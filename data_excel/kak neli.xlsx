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8_{51CCE338-2262-4A2D-BAB7-384B4C636980}" xr6:coauthVersionLast="47" xr6:coauthVersionMax="47" xr10:uidLastSave="{00000000-0000-0000-0000-000000000000}"/>
  <bookViews>
    <workbookView xWindow="-120" yWindow="-120" windowWidth="29040" windowHeight="15720" xr2:uid="{45464FDA-5F28-439F-8C8B-96F0804F2215}"/>
  </bookViews>
  <sheets>
    <sheet name="Sheet1" sheetId="1" r:id="rId1"/>
  </sheets>
  <definedNames>
    <definedName name="_xlnm._FilterDatabase" localSheetId="0" hidden="1">Sheet1!$A$1:$BG$572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32" i="1" l="1"/>
  <c r="Z506" i="1"/>
  <c r="AE532" i="1"/>
  <c r="Z503" i="1"/>
  <c r="AE503" i="1" s="1"/>
  <c r="AT503" i="1" s="1"/>
  <c r="AY238" i="1"/>
  <c r="AY239" i="1"/>
  <c r="AY240" i="1"/>
  <c r="AZ240" i="1" s="1"/>
  <c r="AY242" i="1"/>
  <c r="AZ242" i="1" s="1"/>
  <c r="AY244" i="1"/>
  <c r="AZ244" i="1" s="1"/>
  <c r="AY245" i="1"/>
  <c r="AZ245" i="1" s="1"/>
  <c r="AY246" i="1"/>
  <c r="AZ246" i="1" s="1"/>
  <c r="AY247" i="1"/>
  <c r="AZ247" i="1" s="1"/>
  <c r="AY248" i="1"/>
  <c r="AZ248" i="1" s="1"/>
  <c r="AY249" i="1"/>
  <c r="AZ249" i="1" s="1"/>
  <c r="AY250" i="1"/>
  <c r="AZ250" i="1" s="1"/>
  <c r="AY253" i="1"/>
  <c r="AZ253" i="1" s="1"/>
  <c r="AY255" i="1"/>
  <c r="AZ255" i="1" s="1"/>
  <c r="AY257" i="1"/>
  <c r="AZ257" i="1" s="1"/>
  <c r="AY259" i="1"/>
  <c r="AZ259" i="1" s="1"/>
  <c r="AY260" i="1"/>
  <c r="AZ260" i="1" s="1"/>
  <c r="AS3" i="1"/>
  <c r="AT3" i="1"/>
  <c r="AU3" i="1" s="1"/>
  <c r="AS4" i="1"/>
  <c r="AT4" i="1"/>
  <c r="AU4" i="1" s="1"/>
  <c r="AS5" i="1"/>
  <c r="AT5" i="1"/>
  <c r="AU5" i="1" s="1"/>
  <c r="AS6" i="1"/>
  <c r="AT6" i="1"/>
  <c r="AU6" i="1" s="1"/>
  <c r="AS7" i="1"/>
  <c r="AT7" i="1"/>
  <c r="AU7" i="1" s="1"/>
  <c r="AS8" i="1"/>
  <c r="AT8" i="1"/>
  <c r="AU8" i="1" s="1"/>
  <c r="AS9" i="1"/>
  <c r="AT9" i="1"/>
  <c r="AU9" i="1" s="1"/>
  <c r="AS10" i="1"/>
  <c r="AT10" i="1"/>
  <c r="AU10" i="1" s="1"/>
  <c r="AS11" i="1"/>
  <c r="AT11" i="1"/>
  <c r="AU11" i="1" s="1"/>
  <c r="AS12" i="1"/>
  <c r="AT12" i="1"/>
  <c r="AU12" i="1" s="1"/>
  <c r="AS13" i="1"/>
  <c r="AT13" i="1"/>
  <c r="AU13" i="1" s="1"/>
  <c r="AS14" i="1"/>
  <c r="AT14" i="1"/>
  <c r="AU14" i="1" s="1"/>
  <c r="AS15" i="1"/>
  <c r="AT15" i="1"/>
  <c r="AU15" i="1" s="1"/>
  <c r="AS16" i="1"/>
  <c r="AT16" i="1"/>
  <c r="AU16" i="1" s="1"/>
  <c r="AS17" i="1"/>
  <c r="AT17" i="1"/>
  <c r="AU17" i="1" s="1"/>
  <c r="AS18" i="1"/>
  <c r="AT18" i="1"/>
  <c r="AU18" i="1" s="1"/>
  <c r="AS19" i="1"/>
  <c r="AT19" i="1"/>
  <c r="AU19" i="1" s="1"/>
  <c r="AS20" i="1"/>
  <c r="AT20" i="1"/>
  <c r="AU20" i="1" s="1"/>
  <c r="AS21" i="1"/>
  <c r="AT21" i="1"/>
  <c r="AU21" i="1" s="1"/>
  <c r="AS22" i="1"/>
  <c r="AT22" i="1"/>
  <c r="AU22" i="1" s="1"/>
  <c r="AS23" i="1"/>
  <c r="AT23" i="1"/>
  <c r="AU23" i="1" s="1"/>
  <c r="AS24" i="1"/>
  <c r="AT24" i="1"/>
  <c r="AU24" i="1" s="1"/>
  <c r="AS25" i="1"/>
  <c r="AT25" i="1"/>
  <c r="AU25" i="1" s="1"/>
  <c r="AS26" i="1"/>
  <c r="AT26" i="1"/>
  <c r="AU26" i="1" s="1"/>
  <c r="AS27" i="1"/>
  <c r="AT27" i="1"/>
  <c r="AU27" i="1"/>
  <c r="AS28" i="1"/>
  <c r="AT28" i="1"/>
  <c r="AU28" i="1" s="1"/>
  <c r="AS29" i="1"/>
  <c r="AT29" i="1"/>
  <c r="AU29" i="1" s="1"/>
  <c r="AS30" i="1"/>
  <c r="AT30" i="1"/>
  <c r="AU30" i="1" s="1"/>
  <c r="AS31" i="1"/>
  <c r="AT31" i="1"/>
  <c r="AU31" i="1" s="1"/>
  <c r="AS32" i="1"/>
  <c r="AT32" i="1"/>
  <c r="AU32" i="1" s="1"/>
  <c r="AS33" i="1"/>
  <c r="AT33" i="1"/>
  <c r="AU33" i="1" s="1"/>
  <c r="AS34" i="1"/>
  <c r="AT34" i="1"/>
  <c r="AU34" i="1" s="1"/>
  <c r="AS35" i="1"/>
  <c r="AT35" i="1"/>
  <c r="AU35" i="1" s="1"/>
  <c r="AS36" i="1"/>
  <c r="AT36" i="1"/>
  <c r="AU36" i="1" s="1"/>
  <c r="AS37" i="1"/>
  <c r="AT37" i="1"/>
  <c r="AU37" i="1" s="1"/>
  <c r="AS38" i="1"/>
  <c r="AT38" i="1"/>
  <c r="AU38" i="1" s="1"/>
  <c r="AS39" i="1"/>
  <c r="AT39" i="1"/>
  <c r="AU39" i="1" s="1"/>
  <c r="AS40" i="1"/>
  <c r="AT40" i="1"/>
  <c r="AU40" i="1" s="1"/>
  <c r="AS41" i="1"/>
  <c r="AT41" i="1"/>
  <c r="AU41" i="1" s="1"/>
  <c r="AS42" i="1"/>
  <c r="AT42" i="1"/>
  <c r="AU42" i="1" s="1"/>
  <c r="AS43" i="1"/>
  <c r="AT43" i="1"/>
  <c r="AU43" i="1" s="1"/>
  <c r="AS44" i="1"/>
  <c r="AT44" i="1"/>
  <c r="AU44" i="1" s="1"/>
  <c r="AS45" i="1"/>
  <c r="AT45" i="1"/>
  <c r="AU45" i="1" s="1"/>
  <c r="AS46" i="1"/>
  <c r="AT46" i="1"/>
  <c r="AU46" i="1" s="1"/>
  <c r="AS47" i="1"/>
  <c r="AT47" i="1"/>
  <c r="AU47" i="1" s="1"/>
  <c r="AS48" i="1"/>
  <c r="AT48" i="1"/>
  <c r="AU48" i="1" s="1"/>
  <c r="AS49" i="1"/>
  <c r="AT49" i="1"/>
  <c r="AU49" i="1" s="1"/>
  <c r="AS50" i="1"/>
  <c r="AT50" i="1"/>
  <c r="AU50" i="1" s="1"/>
  <c r="AS51" i="1"/>
  <c r="AT51" i="1"/>
  <c r="AU51" i="1" s="1"/>
  <c r="AS52" i="1"/>
  <c r="AT52" i="1"/>
  <c r="AU52" i="1" s="1"/>
  <c r="AS53" i="1"/>
  <c r="AT53" i="1"/>
  <c r="AU53" i="1" s="1"/>
  <c r="AS54" i="1"/>
  <c r="AT54" i="1"/>
  <c r="AU54" i="1" s="1"/>
  <c r="AS55" i="1"/>
  <c r="AT55" i="1"/>
  <c r="AU55" i="1" s="1"/>
  <c r="AS56" i="1"/>
  <c r="AT56" i="1"/>
  <c r="AU56" i="1" s="1"/>
  <c r="AS57" i="1"/>
  <c r="AT57" i="1"/>
  <c r="AU57" i="1" s="1"/>
  <c r="AS58" i="1"/>
  <c r="AT58" i="1"/>
  <c r="AU58" i="1" s="1"/>
  <c r="AS59" i="1"/>
  <c r="AT59" i="1"/>
  <c r="AU59" i="1" s="1"/>
  <c r="AS60" i="1"/>
  <c r="AT60" i="1"/>
  <c r="AU60" i="1"/>
  <c r="AS61" i="1"/>
  <c r="AT61" i="1"/>
  <c r="AU61" i="1"/>
  <c r="AS62" i="1"/>
  <c r="AT62" i="1"/>
  <c r="AU62" i="1" s="1"/>
  <c r="AS63" i="1"/>
  <c r="AT63" i="1"/>
  <c r="AU63" i="1" s="1"/>
  <c r="AS64" i="1"/>
  <c r="AT64" i="1"/>
  <c r="AU64" i="1" s="1"/>
  <c r="AS65" i="1"/>
  <c r="AT65" i="1"/>
  <c r="AU65" i="1" s="1"/>
  <c r="AS66" i="1"/>
  <c r="AT66" i="1"/>
  <c r="AU66" i="1" s="1"/>
  <c r="AS67" i="1"/>
  <c r="AT67" i="1"/>
  <c r="AU67" i="1" s="1"/>
  <c r="AS68" i="1"/>
  <c r="AT68" i="1"/>
  <c r="AU68" i="1"/>
  <c r="AS69" i="1"/>
  <c r="AT69" i="1"/>
  <c r="AU69" i="1"/>
  <c r="AS70" i="1"/>
  <c r="AT70" i="1"/>
  <c r="AU70" i="1" s="1"/>
  <c r="AS71" i="1"/>
  <c r="AT71" i="1"/>
  <c r="AU71" i="1" s="1"/>
  <c r="AS72" i="1"/>
  <c r="AT72" i="1"/>
  <c r="AU72" i="1" s="1"/>
  <c r="AS73" i="1"/>
  <c r="AT73" i="1"/>
  <c r="AU73" i="1" s="1"/>
  <c r="AS74" i="1"/>
  <c r="AT74" i="1"/>
  <c r="AU74" i="1" s="1"/>
  <c r="AS75" i="1"/>
  <c r="AT75" i="1"/>
  <c r="AU75" i="1" s="1"/>
  <c r="AS76" i="1"/>
  <c r="AT76" i="1"/>
  <c r="AU76" i="1" s="1"/>
  <c r="AS77" i="1"/>
  <c r="AT77" i="1"/>
  <c r="AU77" i="1"/>
  <c r="AS78" i="1"/>
  <c r="AT78" i="1"/>
  <c r="AU78" i="1" s="1"/>
  <c r="AS79" i="1"/>
  <c r="AT79" i="1"/>
  <c r="AU79" i="1"/>
  <c r="AS80" i="1"/>
  <c r="AT80" i="1"/>
  <c r="AU80" i="1" s="1"/>
  <c r="AS81" i="1"/>
  <c r="AT81" i="1"/>
  <c r="AU81" i="1"/>
  <c r="AS82" i="1"/>
  <c r="AT82" i="1"/>
  <c r="AU82" i="1"/>
  <c r="AS83" i="1"/>
  <c r="AT83" i="1"/>
  <c r="AU83" i="1" s="1"/>
  <c r="AS84" i="1"/>
  <c r="AT84" i="1"/>
  <c r="AU84" i="1" s="1"/>
  <c r="AS85" i="1"/>
  <c r="AT85" i="1"/>
  <c r="AU85" i="1" s="1"/>
  <c r="AS86" i="1"/>
  <c r="AT86" i="1"/>
  <c r="AU86" i="1" s="1"/>
  <c r="AS87" i="1"/>
  <c r="AT87" i="1"/>
  <c r="AU87" i="1"/>
  <c r="AS88" i="1"/>
  <c r="AT88" i="1"/>
  <c r="AU88" i="1" s="1"/>
  <c r="AS89" i="1"/>
  <c r="AT89" i="1"/>
  <c r="AU89" i="1" s="1"/>
  <c r="AS90" i="1"/>
  <c r="AT90" i="1"/>
  <c r="AU90" i="1" s="1"/>
  <c r="AS91" i="1"/>
  <c r="AT91" i="1"/>
  <c r="AU91" i="1" s="1"/>
  <c r="AS92" i="1"/>
  <c r="AT92" i="1"/>
  <c r="AU92" i="1" s="1"/>
  <c r="AS93" i="1"/>
  <c r="AT93" i="1"/>
  <c r="AU93" i="1" s="1"/>
  <c r="AS94" i="1"/>
  <c r="AT94" i="1"/>
  <c r="AU94" i="1" s="1"/>
  <c r="AS95" i="1"/>
  <c r="AT95" i="1"/>
  <c r="AU95" i="1" s="1"/>
  <c r="AS96" i="1"/>
  <c r="AT96" i="1"/>
  <c r="AU96" i="1" s="1"/>
  <c r="AS97" i="1"/>
  <c r="AT97" i="1"/>
  <c r="AU97" i="1" s="1"/>
  <c r="AS98" i="1"/>
  <c r="AT98" i="1"/>
  <c r="AU98" i="1" s="1"/>
  <c r="AS99" i="1"/>
  <c r="AT99" i="1"/>
  <c r="AU99" i="1" s="1"/>
  <c r="AS100" i="1"/>
  <c r="AT100" i="1"/>
  <c r="AU100" i="1" s="1"/>
  <c r="AS101" i="1"/>
  <c r="AT101" i="1"/>
  <c r="AU101" i="1" s="1"/>
  <c r="AS102" i="1"/>
  <c r="AT102" i="1"/>
  <c r="AU102" i="1" s="1"/>
  <c r="AS103" i="1"/>
  <c r="AT103" i="1"/>
  <c r="AU103" i="1" s="1"/>
  <c r="AS104" i="1"/>
  <c r="AT104" i="1"/>
  <c r="AU104" i="1" s="1"/>
  <c r="AS105" i="1"/>
  <c r="AT105" i="1"/>
  <c r="AU105" i="1" s="1"/>
  <c r="AS106" i="1"/>
  <c r="AT106" i="1"/>
  <c r="AU106" i="1" s="1"/>
  <c r="AS107" i="1"/>
  <c r="AT107" i="1"/>
  <c r="AU107" i="1" s="1"/>
  <c r="AS108" i="1"/>
  <c r="AT108" i="1"/>
  <c r="AU108" i="1" s="1"/>
  <c r="AS109" i="1"/>
  <c r="AT109" i="1"/>
  <c r="AU109" i="1" s="1"/>
  <c r="AS110" i="1"/>
  <c r="AT110" i="1"/>
  <c r="AU110" i="1" s="1"/>
  <c r="AS111" i="1"/>
  <c r="AT111" i="1"/>
  <c r="AU111" i="1" s="1"/>
  <c r="AS112" i="1"/>
  <c r="AT112" i="1"/>
  <c r="AU112" i="1" s="1"/>
  <c r="AS113" i="1"/>
  <c r="AT113" i="1"/>
  <c r="AU113" i="1" s="1"/>
  <c r="AS114" i="1"/>
  <c r="AT114" i="1"/>
  <c r="AU114" i="1" s="1"/>
  <c r="AS115" i="1"/>
  <c r="AT115" i="1"/>
  <c r="AU115" i="1"/>
  <c r="AS116" i="1"/>
  <c r="AT116" i="1"/>
  <c r="AU116" i="1" s="1"/>
  <c r="AS117" i="1"/>
  <c r="AT117" i="1"/>
  <c r="AU117" i="1" s="1"/>
  <c r="AS118" i="1"/>
  <c r="AT118" i="1"/>
  <c r="AU118" i="1" s="1"/>
  <c r="AS119" i="1"/>
  <c r="AT119" i="1"/>
  <c r="AU119" i="1"/>
  <c r="AS120" i="1"/>
  <c r="AT120" i="1"/>
  <c r="AU120" i="1" s="1"/>
  <c r="AS121" i="1"/>
  <c r="AT121" i="1"/>
  <c r="AU121" i="1" s="1"/>
  <c r="AS122" i="1"/>
  <c r="AT122" i="1"/>
  <c r="AU122" i="1" s="1"/>
  <c r="AS123" i="1"/>
  <c r="AT123" i="1"/>
  <c r="AU123" i="1" s="1"/>
  <c r="AS124" i="1"/>
  <c r="AT124" i="1"/>
  <c r="AU124" i="1" s="1"/>
  <c r="AS125" i="1"/>
  <c r="AT125" i="1"/>
  <c r="AU125" i="1" s="1"/>
  <c r="AS126" i="1"/>
  <c r="AT126" i="1"/>
  <c r="AU126" i="1" s="1"/>
  <c r="AS127" i="1"/>
  <c r="AT127" i="1"/>
  <c r="AU127" i="1" s="1"/>
  <c r="AS128" i="1"/>
  <c r="AT128" i="1"/>
  <c r="AU128" i="1" s="1"/>
  <c r="AS129" i="1"/>
  <c r="AT129" i="1"/>
  <c r="AU129" i="1" s="1"/>
  <c r="AS130" i="1"/>
  <c r="AT130" i="1"/>
  <c r="AU130" i="1" s="1"/>
  <c r="AS131" i="1"/>
  <c r="AT131" i="1"/>
  <c r="AU131" i="1" s="1"/>
  <c r="AS132" i="1"/>
  <c r="AT132" i="1"/>
  <c r="AU132" i="1"/>
  <c r="AS133" i="1"/>
  <c r="AT133" i="1"/>
  <c r="AU133" i="1" s="1"/>
  <c r="AS134" i="1"/>
  <c r="AT134" i="1"/>
  <c r="AU134" i="1" s="1"/>
  <c r="AS135" i="1"/>
  <c r="AT135" i="1"/>
  <c r="AU135" i="1"/>
  <c r="AS136" i="1"/>
  <c r="AT136" i="1"/>
  <c r="AU136" i="1"/>
  <c r="AS137" i="1"/>
  <c r="AT137" i="1"/>
  <c r="AU137" i="1" s="1"/>
  <c r="AS138" i="1"/>
  <c r="AT138" i="1"/>
  <c r="AU138" i="1" s="1"/>
  <c r="AS139" i="1"/>
  <c r="AT139" i="1"/>
  <c r="AU139" i="1" s="1"/>
  <c r="AS140" i="1"/>
  <c r="AT140" i="1"/>
  <c r="AU140" i="1" s="1"/>
  <c r="AS141" i="1"/>
  <c r="AT141" i="1"/>
  <c r="AU141" i="1"/>
  <c r="AS142" i="1"/>
  <c r="AT142" i="1"/>
  <c r="AU142" i="1" s="1"/>
  <c r="AS143" i="1"/>
  <c r="AT143" i="1"/>
  <c r="AU143" i="1"/>
  <c r="AS144" i="1"/>
  <c r="AT144" i="1"/>
  <c r="AU144" i="1"/>
  <c r="AS145" i="1"/>
  <c r="AT145" i="1"/>
  <c r="AU145" i="1" s="1"/>
  <c r="AS146" i="1"/>
  <c r="AT146" i="1"/>
  <c r="AU146" i="1"/>
  <c r="AS147" i="1"/>
  <c r="AT147" i="1"/>
  <c r="AU147" i="1" s="1"/>
  <c r="AS148" i="1"/>
  <c r="AT148" i="1"/>
  <c r="AU148" i="1" s="1"/>
  <c r="AS149" i="1"/>
  <c r="AT149" i="1"/>
  <c r="AU149" i="1" s="1"/>
  <c r="AS150" i="1"/>
  <c r="AT150" i="1"/>
  <c r="AU150" i="1"/>
  <c r="AS151" i="1"/>
  <c r="AT151" i="1"/>
  <c r="AU151" i="1" s="1"/>
  <c r="AS152" i="1"/>
  <c r="AT152" i="1"/>
  <c r="AU152" i="1" s="1"/>
  <c r="AS153" i="1"/>
  <c r="AT153" i="1"/>
  <c r="AU153" i="1" s="1"/>
  <c r="AS154" i="1"/>
  <c r="AT154" i="1"/>
  <c r="AU154" i="1" s="1"/>
  <c r="AS155" i="1"/>
  <c r="AT155" i="1"/>
  <c r="AU155" i="1" s="1"/>
  <c r="AS156" i="1"/>
  <c r="AT156" i="1"/>
  <c r="AU156" i="1"/>
  <c r="AS157" i="1"/>
  <c r="AT157" i="1"/>
  <c r="AU157" i="1" s="1"/>
  <c r="AS158" i="1"/>
  <c r="AT158" i="1"/>
  <c r="AU158" i="1" s="1"/>
  <c r="AS159" i="1"/>
  <c r="AT159" i="1"/>
  <c r="AU159" i="1" s="1"/>
  <c r="AS160" i="1"/>
  <c r="AT160" i="1"/>
  <c r="AU160" i="1" s="1"/>
  <c r="AS161" i="1"/>
  <c r="AT161" i="1"/>
  <c r="AU161" i="1"/>
  <c r="AS162" i="1"/>
  <c r="AT162" i="1"/>
  <c r="AU162" i="1" s="1"/>
  <c r="AS163" i="1"/>
  <c r="AT163" i="1"/>
  <c r="AU163" i="1" s="1"/>
  <c r="AS164" i="1"/>
  <c r="AT164" i="1"/>
  <c r="AU164" i="1" s="1"/>
  <c r="AS165" i="1"/>
  <c r="AT165" i="1"/>
  <c r="AU165" i="1" s="1"/>
  <c r="AS166" i="1"/>
  <c r="AT166" i="1"/>
  <c r="AU166" i="1" s="1"/>
  <c r="AS167" i="1"/>
  <c r="AT167" i="1"/>
  <c r="AU167" i="1" s="1"/>
  <c r="AS168" i="1"/>
  <c r="AT168" i="1"/>
  <c r="AU168" i="1" s="1"/>
  <c r="AS169" i="1"/>
  <c r="AT169" i="1"/>
  <c r="AU169" i="1" s="1"/>
  <c r="AS170" i="1"/>
  <c r="AT170" i="1"/>
  <c r="AU170" i="1" s="1"/>
  <c r="AS171" i="1"/>
  <c r="AT171" i="1"/>
  <c r="AU171" i="1" s="1"/>
  <c r="AS172" i="1"/>
  <c r="AT172" i="1"/>
  <c r="AU172" i="1" s="1"/>
  <c r="AS173" i="1"/>
  <c r="AT173" i="1"/>
  <c r="AU173" i="1"/>
  <c r="AS174" i="1"/>
  <c r="AT174" i="1"/>
  <c r="AU174" i="1" s="1"/>
  <c r="AS175" i="1"/>
  <c r="AT175" i="1"/>
  <c r="AU175" i="1" s="1"/>
  <c r="AS176" i="1"/>
  <c r="AT176" i="1"/>
  <c r="AU176" i="1" s="1"/>
  <c r="AS177" i="1"/>
  <c r="AT177" i="1"/>
  <c r="AU177" i="1" s="1"/>
  <c r="AS178" i="1"/>
  <c r="AT178" i="1"/>
  <c r="AU178" i="1" s="1"/>
  <c r="AS179" i="1"/>
  <c r="AT179" i="1"/>
  <c r="AU179" i="1" s="1"/>
  <c r="AS180" i="1"/>
  <c r="AT180" i="1"/>
  <c r="AU180" i="1" s="1"/>
  <c r="AS181" i="1"/>
  <c r="AT181" i="1"/>
  <c r="AU181" i="1" s="1"/>
  <c r="AS182" i="1"/>
  <c r="AT182" i="1"/>
  <c r="AU182" i="1" s="1"/>
  <c r="AS183" i="1"/>
  <c r="AT183" i="1"/>
  <c r="AU183" i="1" s="1"/>
  <c r="AS184" i="1"/>
  <c r="AT184" i="1"/>
  <c r="AU184" i="1" s="1"/>
  <c r="AS185" i="1"/>
  <c r="AT185" i="1"/>
  <c r="AU185" i="1" s="1"/>
  <c r="AS186" i="1"/>
  <c r="AT186" i="1"/>
  <c r="AU186" i="1" s="1"/>
  <c r="AS187" i="1"/>
  <c r="AT187" i="1"/>
  <c r="AU187" i="1" s="1"/>
  <c r="AS188" i="1"/>
  <c r="AT188" i="1"/>
  <c r="AU188" i="1" s="1"/>
  <c r="AS189" i="1"/>
  <c r="AT189" i="1"/>
  <c r="AU189" i="1" s="1"/>
  <c r="AS190" i="1"/>
  <c r="AT190" i="1"/>
  <c r="AU190" i="1" s="1"/>
  <c r="AS191" i="1"/>
  <c r="AT191" i="1"/>
  <c r="AU191" i="1" s="1"/>
  <c r="AS192" i="1"/>
  <c r="AT192" i="1"/>
  <c r="AU192" i="1" s="1"/>
  <c r="AS193" i="1"/>
  <c r="AT193" i="1"/>
  <c r="AU193" i="1" s="1"/>
  <c r="AS194" i="1"/>
  <c r="AT194" i="1"/>
  <c r="AU194" i="1" s="1"/>
  <c r="AS195" i="1"/>
  <c r="AT195" i="1"/>
  <c r="AU195" i="1" s="1"/>
  <c r="AS196" i="1"/>
  <c r="AT196" i="1"/>
  <c r="AU196" i="1" s="1"/>
  <c r="AS197" i="1"/>
  <c r="AT197" i="1"/>
  <c r="AU197" i="1" s="1"/>
  <c r="AS198" i="1"/>
  <c r="AT198" i="1"/>
  <c r="AU198" i="1" s="1"/>
  <c r="AS199" i="1"/>
  <c r="AT199" i="1"/>
  <c r="AU199" i="1" s="1"/>
  <c r="AS200" i="1"/>
  <c r="AT200" i="1"/>
  <c r="AU200" i="1" s="1"/>
  <c r="AS201" i="1"/>
  <c r="AT201" i="1"/>
  <c r="AU201" i="1" s="1"/>
  <c r="AS202" i="1"/>
  <c r="AT202" i="1"/>
  <c r="AU202" i="1" s="1"/>
  <c r="AS203" i="1"/>
  <c r="AT203" i="1"/>
  <c r="AU203" i="1" s="1"/>
  <c r="AS204" i="1"/>
  <c r="AT204" i="1"/>
  <c r="AU204" i="1" s="1"/>
  <c r="AS205" i="1"/>
  <c r="AT205" i="1"/>
  <c r="AU205" i="1" s="1"/>
  <c r="AS206" i="1"/>
  <c r="AT206" i="1"/>
  <c r="AU206" i="1" s="1"/>
  <c r="AS207" i="1"/>
  <c r="AT207" i="1"/>
  <c r="AU207" i="1" s="1"/>
  <c r="AS208" i="1"/>
  <c r="AT208" i="1"/>
  <c r="AU208" i="1" s="1"/>
  <c r="AS209" i="1"/>
  <c r="AT209" i="1"/>
  <c r="AU209" i="1" s="1"/>
  <c r="AS210" i="1"/>
  <c r="AT210" i="1"/>
  <c r="AU210" i="1" s="1"/>
  <c r="AS211" i="1"/>
  <c r="AT211" i="1"/>
  <c r="AU211" i="1" s="1"/>
  <c r="AS212" i="1"/>
  <c r="AT212" i="1"/>
  <c r="AU212" i="1" s="1"/>
  <c r="AS213" i="1"/>
  <c r="AT213" i="1"/>
  <c r="AU213" i="1" s="1"/>
  <c r="AS214" i="1"/>
  <c r="AT214" i="1"/>
  <c r="AU214" i="1" s="1"/>
  <c r="AS215" i="1"/>
  <c r="AT215" i="1"/>
  <c r="AU215" i="1" s="1"/>
  <c r="AS216" i="1"/>
  <c r="AT216" i="1"/>
  <c r="AU216" i="1" s="1"/>
  <c r="AS217" i="1"/>
  <c r="AT217" i="1"/>
  <c r="AU217" i="1" s="1"/>
  <c r="AS218" i="1"/>
  <c r="AT218" i="1"/>
  <c r="AU218" i="1" s="1"/>
  <c r="AS219" i="1"/>
  <c r="AT219" i="1"/>
  <c r="AU219" i="1" s="1"/>
  <c r="AS220" i="1"/>
  <c r="AT220" i="1"/>
  <c r="AU220" i="1" s="1"/>
  <c r="AS221" i="1"/>
  <c r="AT221" i="1"/>
  <c r="AU221" i="1" s="1"/>
  <c r="AS222" i="1"/>
  <c r="AT222" i="1"/>
  <c r="AU222" i="1" s="1"/>
  <c r="AS223" i="1"/>
  <c r="AT223" i="1"/>
  <c r="AU223" i="1" s="1"/>
  <c r="AS224" i="1"/>
  <c r="AT224" i="1"/>
  <c r="AU224" i="1" s="1"/>
  <c r="AS225" i="1"/>
  <c r="AT225" i="1"/>
  <c r="AU225" i="1" s="1"/>
  <c r="AS226" i="1"/>
  <c r="AT226" i="1"/>
  <c r="AU226" i="1" s="1"/>
  <c r="AS227" i="1"/>
  <c r="AT227" i="1"/>
  <c r="AU227" i="1" s="1"/>
  <c r="AS228" i="1"/>
  <c r="AT228" i="1"/>
  <c r="AU228" i="1" s="1"/>
  <c r="AS229" i="1"/>
  <c r="AT229" i="1"/>
  <c r="AU229" i="1" s="1"/>
  <c r="AS230" i="1"/>
  <c r="AT230" i="1"/>
  <c r="AU230" i="1" s="1"/>
  <c r="AS231" i="1"/>
  <c r="AT231" i="1"/>
  <c r="AU231" i="1" s="1"/>
  <c r="AS232" i="1"/>
  <c r="AT232" i="1"/>
  <c r="AU232" i="1" s="1"/>
  <c r="AS233" i="1"/>
  <c r="AT233" i="1"/>
  <c r="AU233" i="1" s="1"/>
  <c r="AS234" i="1"/>
  <c r="AT234" i="1"/>
  <c r="AU234" i="1" s="1"/>
  <c r="AS235" i="1"/>
  <c r="AT235" i="1"/>
  <c r="AU235" i="1"/>
  <c r="AS236" i="1"/>
  <c r="AT236" i="1"/>
  <c r="AU236" i="1" s="1"/>
  <c r="AS237" i="1"/>
  <c r="AT237" i="1"/>
  <c r="AU237" i="1" s="1"/>
  <c r="AS238" i="1"/>
  <c r="AT238" i="1"/>
  <c r="AU238" i="1" s="1"/>
  <c r="AS239" i="1"/>
  <c r="AT239" i="1"/>
  <c r="AU239" i="1" s="1"/>
  <c r="AS240" i="1"/>
  <c r="AT240" i="1"/>
  <c r="AU240" i="1"/>
  <c r="AS241" i="1"/>
  <c r="AT241" i="1"/>
  <c r="AU241" i="1" s="1"/>
  <c r="AS242" i="1"/>
  <c r="AT242" i="1"/>
  <c r="AU242" i="1" s="1"/>
  <c r="AS243" i="1"/>
  <c r="AT243" i="1"/>
  <c r="AU243" i="1" s="1"/>
  <c r="AS244" i="1"/>
  <c r="AT244" i="1"/>
  <c r="AU244" i="1" s="1"/>
  <c r="AS245" i="1"/>
  <c r="AT245" i="1"/>
  <c r="AU245" i="1" s="1"/>
  <c r="AS246" i="1"/>
  <c r="AT246" i="1"/>
  <c r="AU246" i="1" s="1"/>
  <c r="AS247" i="1"/>
  <c r="AT247" i="1"/>
  <c r="AU247" i="1" s="1"/>
  <c r="AS248" i="1"/>
  <c r="AT248" i="1"/>
  <c r="AU248" i="1" s="1"/>
  <c r="AS249" i="1"/>
  <c r="AT249" i="1"/>
  <c r="AU249" i="1" s="1"/>
  <c r="AS250" i="1"/>
  <c r="AT250" i="1"/>
  <c r="AU250" i="1" s="1"/>
  <c r="AS251" i="1"/>
  <c r="AT251" i="1"/>
  <c r="AU251" i="1" s="1"/>
  <c r="AS252" i="1"/>
  <c r="AT252" i="1"/>
  <c r="AU252" i="1" s="1"/>
  <c r="AS253" i="1"/>
  <c r="AT253" i="1"/>
  <c r="AU253" i="1" s="1"/>
  <c r="AS254" i="1"/>
  <c r="AT254" i="1"/>
  <c r="AU254" i="1" s="1"/>
  <c r="AS255" i="1"/>
  <c r="AT255" i="1"/>
  <c r="AU255" i="1"/>
  <c r="AS256" i="1"/>
  <c r="AT256" i="1"/>
  <c r="AU256" i="1" s="1"/>
  <c r="AS257" i="1"/>
  <c r="AT257" i="1"/>
  <c r="AU257" i="1" s="1"/>
  <c r="AS258" i="1"/>
  <c r="AT258" i="1"/>
  <c r="AU258" i="1" s="1"/>
  <c r="AS259" i="1"/>
  <c r="AT259" i="1"/>
  <c r="AU259" i="1" s="1"/>
  <c r="AS260" i="1"/>
  <c r="AT260" i="1"/>
  <c r="AU260" i="1" s="1"/>
  <c r="AS261" i="1"/>
  <c r="AT261" i="1"/>
  <c r="AU261" i="1" s="1"/>
  <c r="AY261" i="1" s="1"/>
  <c r="AZ261" i="1" s="1"/>
  <c r="AS262" i="1"/>
  <c r="AT262" i="1"/>
  <c r="AU262" i="1" s="1"/>
  <c r="AS263" i="1"/>
  <c r="AT263" i="1"/>
  <c r="AU263" i="1" s="1"/>
  <c r="AY263" i="1" s="1"/>
  <c r="AZ263" i="1" s="1"/>
  <c r="AS264" i="1"/>
  <c r="AT264" i="1"/>
  <c r="AU264" i="1" s="1"/>
  <c r="AY264" i="1" s="1"/>
  <c r="AZ264" i="1" s="1"/>
  <c r="AS265" i="1"/>
  <c r="AT265" i="1"/>
  <c r="AU265" i="1" s="1"/>
  <c r="AS266" i="1"/>
  <c r="AT266" i="1"/>
  <c r="AU266" i="1" s="1"/>
  <c r="AS267" i="1"/>
  <c r="AT267" i="1"/>
  <c r="AU267" i="1" s="1"/>
  <c r="AS268" i="1"/>
  <c r="AT268" i="1"/>
  <c r="AU268" i="1" s="1"/>
  <c r="AS269" i="1"/>
  <c r="AT269" i="1"/>
  <c r="AU269" i="1" s="1"/>
  <c r="AS270" i="1"/>
  <c r="AT270" i="1"/>
  <c r="AU270" i="1" s="1"/>
  <c r="AS271" i="1"/>
  <c r="AT271" i="1"/>
  <c r="AU271" i="1" s="1"/>
  <c r="AS272" i="1"/>
  <c r="AT272" i="1"/>
  <c r="AU272" i="1" s="1"/>
  <c r="AS273" i="1"/>
  <c r="AT273" i="1"/>
  <c r="AU273" i="1"/>
  <c r="AS274" i="1"/>
  <c r="AT274" i="1"/>
  <c r="AU274" i="1" s="1"/>
  <c r="AS275" i="1"/>
  <c r="AT275" i="1"/>
  <c r="AU275" i="1" s="1"/>
  <c r="AS276" i="1"/>
  <c r="AT276" i="1"/>
  <c r="AU276" i="1" s="1"/>
  <c r="AS277" i="1"/>
  <c r="AT277" i="1"/>
  <c r="AU277" i="1" s="1"/>
  <c r="AS278" i="1"/>
  <c r="AT278" i="1"/>
  <c r="AU278" i="1" s="1"/>
  <c r="AS279" i="1"/>
  <c r="AT279" i="1"/>
  <c r="AU279" i="1" s="1"/>
  <c r="AS280" i="1"/>
  <c r="AT280" i="1"/>
  <c r="AU280" i="1" s="1"/>
  <c r="AS281" i="1"/>
  <c r="AT281" i="1"/>
  <c r="AU281" i="1"/>
  <c r="AS282" i="1"/>
  <c r="AT282" i="1"/>
  <c r="AU282" i="1" s="1"/>
  <c r="AS283" i="1"/>
  <c r="AT283" i="1"/>
  <c r="AU283" i="1" s="1"/>
  <c r="AS284" i="1"/>
  <c r="AT284" i="1"/>
  <c r="AU284" i="1" s="1"/>
  <c r="AS285" i="1"/>
  <c r="AT285" i="1"/>
  <c r="AU285" i="1"/>
  <c r="AS286" i="1"/>
  <c r="AT286" i="1"/>
  <c r="AU286" i="1" s="1"/>
  <c r="AS287" i="1"/>
  <c r="AT287" i="1"/>
  <c r="AU287" i="1"/>
  <c r="AS288" i="1"/>
  <c r="AT288" i="1"/>
  <c r="AU288" i="1" s="1"/>
  <c r="AS289" i="1"/>
  <c r="AT289" i="1"/>
  <c r="AU289" i="1"/>
  <c r="AS290" i="1"/>
  <c r="AT290" i="1"/>
  <c r="AU290" i="1"/>
  <c r="AS291" i="1"/>
  <c r="AT291" i="1"/>
  <c r="AU291" i="1" s="1"/>
  <c r="AS292" i="1"/>
  <c r="AT292" i="1"/>
  <c r="AU292" i="1" s="1"/>
  <c r="AS293" i="1"/>
  <c r="AT293" i="1"/>
  <c r="AU293" i="1" s="1"/>
  <c r="AS294" i="1"/>
  <c r="AT294" i="1"/>
  <c r="AU294" i="1" s="1"/>
  <c r="AS295" i="1"/>
  <c r="AT295" i="1"/>
  <c r="AU295" i="1" s="1"/>
  <c r="AS296" i="1"/>
  <c r="AT296" i="1"/>
  <c r="AU296" i="1" s="1"/>
  <c r="AS297" i="1"/>
  <c r="AT297" i="1"/>
  <c r="AU297" i="1" s="1"/>
  <c r="AS298" i="1"/>
  <c r="AT298" i="1"/>
  <c r="AU298" i="1" s="1"/>
  <c r="AS299" i="1"/>
  <c r="AT299" i="1"/>
  <c r="AU299" i="1" s="1"/>
  <c r="AS300" i="1"/>
  <c r="AT300" i="1"/>
  <c r="AU300" i="1" s="1"/>
  <c r="AS301" i="1"/>
  <c r="AT301" i="1"/>
  <c r="AU301" i="1" s="1"/>
  <c r="AS302" i="1"/>
  <c r="AT302" i="1"/>
  <c r="AU302" i="1" s="1"/>
  <c r="AS303" i="1"/>
  <c r="AT303" i="1"/>
  <c r="AU303" i="1" s="1"/>
  <c r="AS304" i="1"/>
  <c r="AT304" i="1"/>
  <c r="AU304" i="1" s="1"/>
  <c r="AS305" i="1"/>
  <c r="AT305" i="1"/>
  <c r="AU305" i="1"/>
  <c r="AS306" i="1"/>
  <c r="AT306" i="1"/>
  <c r="AU306" i="1"/>
  <c r="AS307" i="1"/>
  <c r="AT307" i="1"/>
  <c r="AU307" i="1" s="1"/>
  <c r="AS308" i="1"/>
  <c r="AT308" i="1"/>
  <c r="AU308" i="1" s="1"/>
  <c r="AS309" i="1"/>
  <c r="AT309" i="1"/>
  <c r="AU309" i="1" s="1"/>
  <c r="AS310" i="1"/>
  <c r="AT310" i="1"/>
  <c r="AU310" i="1" s="1"/>
  <c r="AS311" i="1"/>
  <c r="AT311" i="1"/>
  <c r="AU311" i="1" s="1"/>
  <c r="AS312" i="1"/>
  <c r="AT312" i="1"/>
  <c r="AU312" i="1" s="1"/>
  <c r="AS313" i="1"/>
  <c r="AT313" i="1"/>
  <c r="AU313" i="1" s="1"/>
  <c r="AS314" i="1"/>
  <c r="AT314" i="1"/>
  <c r="AU314" i="1" s="1"/>
  <c r="AS315" i="1"/>
  <c r="AT315" i="1"/>
  <c r="AU315" i="1" s="1"/>
  <c r="AS316" i="1"/>
  <c r="AT316" i="1"/>
  <c r="AU316" i="1"/>
  <c r="AS317" i="1"/>
  <c r="AT317" i="1"/>
  <c r="AU317" i="1"/>
  <c r="AS318" i="1"/>
  <c r="AT318" i="1"/>
  <c r="AU318" i="1" s="1"/>
  <c r="AS319" i="1"/>
  <c r="AT319" i="1"/>
  <c r="AU319" i="1" s="1"/>
  <c r="AS320" i="1"/>
  <c r="AT320" i="1"/>
  <c r="AU320" i="1" s="1"/>
  <c r="AS321" i="1"/>
  <c r="AT321" i="1"/>
  <c r="AU321" i="1" s="1"/>
  <c r="AS322" i="1"/>
  <c r="AT322" i="1"/>
  <c r="AU322" i="1" s="1"/>
  <c r="AS323" i="1"/>
  <c r="AT323" i="1"/>
  <c r="AU323" i="1" s="1"/>
  <c r="AS324" i="1"/>
  <c r="AT324" i="1"/>
  <c r="AU324" i="1" s="1"/>
  <c r="AS325" i="1"/>
  <c r="AT325" i="1"/>
  <c r="AU325" i="1" s="1"/>
  <c r="AS326" i="1"/>
  <c r="AT326" i="1"/>
  <c r="AU326" i="1" s="1"/>
  <c r="AS327" i="1"/>
  <c r="AT327" i="1"/>
  <c r="AU327" i="1" s="1"/>
  <c r="AS328" i="1"/>
  <c r="AT328" i="1"/>
  <c r="AU328" i="1" s="1"/>
  <c r="AS329" i="1"/>
  <c r="AT329" i="1"/>
  <c r="AU329" i="1" s="1"/>
  <c r="AS330" i="1"/>
  <c r="AT330" i="1"/>
  <c r="AU330" i="1" s="1"/>
  <c r="AS331" i="1"/>
  <c r="AT331" i="1"/>
  <c r="AU331" i="1"/>
  <c r="AS332" i="1"/>
  <c r="AT332" i="1"/>
  <c r="AU332" i="1" s="1"/>
  <c r="AS333" i="1"/>
  <c r="AT333" i="1"/>
  <c r="AU333" i="1" s="1"/>
  <c r="AS334" i="1"/>
  <c r="AT334" i="1"/>
  <c r="AU334" i="1" s="1"/>
  <c r="AS335" i="1"/>
  <c r="AT335" i="1"/>
  <c r="AU335" i="1" s="1"/>
  <c r="AS336" i="1"/>
  <c r="AT336" i="1"/>
  <c r="AU336" i="1" s="1"/>
  <c r="AS337" i="1"/>
  <c r="AT337" i="1"/>
  <c r="AU337" i="1" s="1"/>
  <c r="AS338" i="1"/>
  <c r="AT338" i="1"/>
  <c r="AU338" i="1" s="1"/>
  <c r="AS339" i="1"/>
  <c r="AT339" i="1"/>
  <c r="AU339" i="1" s="1"/>
  <c r="AS340" i="1"/>
  <c r="AT340" i="1"/>
  <c r="AU340" i="1" s="1"/>
  <c r="AS341" i="1"/>
  <c r="AT341" i="1"/>
  <c r="AU341" i="1" s="1"/>
  <c r="AS342" i="1"/>
  <c r="AT342" i="1"/>
  <c r="AU342" i="1" s="1"/>
  <c r="AS343" i="1"/>
  <c r="AT343" i="1"/>
  <c r="AU343" i="1" s="1"/>
  <c r="AS344" i="1"/>
  <c r="AT344" i="1"/>
  <c r="AU344" i="1" s="1"/>
  <c r="AS345" i="1"/>
  <c r="AT345" i="1"/>
  <c r="AU345" i="1" s="1"/>
  <c r="AS346" i="1"/>
  <c r="AT346" i="1"/>
  <c r="AU346" i="1" s="1"/>
  <c r="AS347" i="1"/>
  <c r="AT347" i="1"/>
  <c r="AU347" i="1" s="1"/>
  <c r="AS348" i="1"/>
  <c r="AT348" i="1"/>
  <c r="AU348" i="1" s="1"/>
  <c r="AS349" i="1"/>
  <c r="AT349" i="1"/>
  <c r="AU349" i="1" s="1"/>
  <c r="AS350" i="1"/>
  <c r="AT350" i="1"/>
  <c r="AU350" i="1" s="1"/>
  <c r="AS351" i="1"/>
  <c r="AT351" i="1"/>
  <c r="AU351" i="1" s="1"/>
  <c r="AS352" i="1"/>
  <c r="AT352" i="1"/>
  <c r="AU352" i="1" s="1"/>
  <c r="AS353" i="1"/>
  <c r="AT353" i="1"/>
  <c r="AU353" i="1" s="1"/>
  <c r="AS354" i="1"/>
  <c r="AT354" i="1"/>
  <c r="AU354" i="1" s="1"/>
  <c r="AS355" i="1"/>
  <c r="AT355" i="1"/>
  <c r="AU355" i="1" s="1"/>
  <c r="AS356" i="1"/>
  <c r="AT356" i="1"/>
  <c r="AU356" i="1" s="1"/>
  <c r="AS357" i="1"/>
  <c r="AT357" i="1"/>
  <c r="AU357" i="1" s="1"/>
  <c r="AS358" i="1"/>
  <c r="AT358" i="1"/>
  <c r="AU358" i="1" s="1"/>
  <c r="AS359" i="1"/>
  <c r="AT359" i="1"/>
  <c r="AU359" i="1" s="1"/>
  <c r="AS360" i="1"/>
  <c r="AT360" i="1"/>
  <c r="AU360" i="1" s="1"/>
  <c r="AS361" i="1"/>
  <c r="AT361" i="1"/>
  <c r="AU361" i="1" s="1"/>
  <c r="AS362" i="1"/>
  <c r="AT362" i="1"/>
  <c r="AU362" i="1" s="1"/>
  <c r="AS363" i="1"/>
  <c r="AT363" i="1"/>
  <c r="AU363" i="1" s="1"/>
  <c r="AS364" i="1"/>
  <c r="AT364" i="1"/>
  <c r="AU364" i="1" s="1"/>
  <c r="AS365" i="1"/>
  <c r="AT365" i="1"/>
  <c r="AU365" i="1" s="1"/>
  <c r="AS366" i="1"/>
  <c r="AT366" i="1"/>
  <c r="AU366" i="1" s="1"/>
  <c r="AS367" i="1"/>
  <c r="AT367" i="1"/>
  <c r="AU367" i="1" s="1"/>
  <c r="AS368" i="1"/>
  <c r="AT368" i="1"/>
  <c r="AU368" i="1" s="1"/>
  <c r="AS369" i="1"/>
  <c r="AT369" i="1"/>
  <c r="AU369" i="1" s="1"/>
  <c r="AS370" i="1"/>
  <c r="AT370" i="1"/>
  <c r="AU370" i="1" s="1"/>
  <c r="AS371" i="1"/>
  <c r="AT371" i="1"/>
  <c r="AU371" i="1"/>
  <c r="AY371" i="1" s="1"/>
  <c r="AZ371" i="1" s="1"/>
  <c r="AS372" i="1"/>
  <c r="AT372" i="1"/>
  <c r="AU372" i="1" s="1"/>
  <c r="AS373" i="1"/>
  <c r="AT373" i="1"/>
  <c r="AU373" i="1"/>
  <c r="AY373" i="1" s="1"/>
  <c r="AZ373" i="1" s="1"/>
  <c r="AS374" i="1"/>
  <c r="AT374" i="1"/>
  <c r="AU374" i="1"/>
  <c r="AY374" i="1" s="1"/>
  <c r="AZ374" i="1" s="1"/>
  <c r="AS375" i="1"/>
  <c r="AT375" i="1"/>
  <c r="AU375" i="1" s="1"/>
  <c r="AS376" i="1"/>
  <c r="AT376" i="1"/>
  <c r="AU376" i="1" s="1"/>
  <c r="AS377" i="1"/>
  <c r="AT377" i="1"/>
  <c r="AU377" i="1" s="1"/>
  <c r="AS378" i="1"/>
  <c r="AT378" i="1"/>
  <c r="AU378" i="1" s="1"/>
  <c r="AS379" i="1"/>
  <c r="AT379" i="1"/>
  <c r="AU379" i="1" s="1"/>
  <c r="AS380" i="1"/>
  <c r="AT380" i="1"/>
  <c r="AU380" i="1" s="1"/>
  <c r="AS381" i="1"/>
  <c r="AT381" i="1"/>
  <c r="AU381" i="1" s="1"/>
  <c r="AS382" i="1"/>
  <c r="AT382" i="1"/>
  <c r="AU382" i="1" s="1"/>
  <c r="AS383" i="1"/>
  <c r="AT383" i="1"/>
  <c r="AU383" i="1" s="1"/>
  <c r="AS384" i="1"/>
  <c r="AT384" i="1"/>
  <c r="AU384" i="1" s="1"/>
  <c r="AS385" i="1"/>
  <c r="AT385" i="1"/>
  <c r="AU385" i="1" s="1"/>
  <c r="AS386" i="1"/>
  <c r="AT386" i="1"/>
  <c r="AU386" i="1" s="1"/>
  <c r="AS387" i="1"/>
  <c r="AT387" i="1"/>
  <c r="AU387" i="1" s="1"/>
  <c r="AS388" i="1"/>
  <c r="AT388" i="1"/>
  <c r="AU388" i="1" s="1"/>
  <c r="AS389" i="1"/>
  <c r="AT389" i="1"/>
  <c r="AU389" i="1" s="1"/>
  <c r="AS390" i="1"/>
  <c r="AT390" i="1"/>
  <c r="AU390" i="1" s="1"/>
  <c r="AS391" i="1"/>
  <c r="AT391" i="1"/>
  <c r="AU391" i="1" s="1"/>
  <c r="AS392" i="1"/>
  <c r="AT392" i="1"/>
  <c r="AU392" i="1" s="1"/>
  <c r="AS393" i="1"/>
  <c r="AT393" i="1"/>
  <c r="AU393" i="1" s="1"/>
  <c r="AS394" i="1"/>
  <c r="AT394" i="1"/>
  <c r="AU394" i="1" s="1"/>
  <c r="AS395" i="1"/>
  <c r="AT395" i="1"/>
  <c r="AU395" i="1" s="1"/>
  <c r="AS396" i="1"/>
  <c r="AT396" i="1"/>
  <c r="AU396" i="1" s="1"/>
  <c r="AS397" i="1"/>
  <c r="AT397" i="1"/>
  <c r="AU397" i="1" s="1"/>
  <c r="AS398" i="1"/>
  <c r="AT398" i="1"/>
  <c r="AU398" i="1" s="1"/>
  <c r="AS399" i="1"/>
  <c r="AT399" i="1"/>
  <c r="AU399" i="1" s="1"/>
  <c r="AS400" i="1"/>
  <c r="AT400" i="1"/>
  <c r="AU400" i="1" s="1"/>
  <c r="AS401" i="1"/>
  <c r="AT401" i="1"/>
  <c r="AU401" i="1" s="1"/>
  <c r="AS402" i="1"/>
  <c r="AT402" i="1"/>
  <c r="AU402" i="1" s="1"/>
  <c r="AS403" i="1"/>
  <c r="AT403" i="1"/>
  <c r="AU403" i="1" s="1"/>
  <c r="AS404" i="1"/>
  <c r="AT404" i="1"/>
  <c r="AU404" i="1" s="1"/>
  <c r="AS405" i="1"/>
  <c r="AT405" i="1"/>
  <c r="AU405" i="1" s="1"/>
  <c r="AS406" i="1"/>
  <c r="AT406" i="1"/>
  <c r="AU406" i="1" s="1"/>
  <c r="AS407" i="1"/>
  <c r="AT407" i="1"/>
  <c r="AU407" i="1" s="1"/>
  <c r="AS408" i="1"/>
  <c r="AT408" i="1"/>
  <c r="AU408" i="1" s="1"/>
  <c r="AS409" i="1"/>
  <c r="AT409" i="1"/>
  <c r="AU409" i="1" s="1"/>
  <c r="AS410" i="1"/>
  <c r="AT410" i="1"/>
  <c r="AU410" i="1" s="1"/>
  <c r="AS411" i="1"/>
  <c r="AT411" i="1"/>
  <c r="AU411" i="1" s="1"/>
  <c r="AS412" i="1"/>
  <c r="AT412" i="1"/>
  <c r="AU412" i="1" s="1"/>
  <c r="AS413" i="1"/>
  <c r="AT413" i="1"/>
  <c r="AU413" i="1" s="1"/>
  <c r="AS414" i="1"/>
  <c r="AT414" i="1"/>
  <c r="AU414" i="1" s="1"/>
  <c r="AS415" i="1"/>
  <c r="AT415" i="1"/>
  <c r="AU415" i="1" s="1"/>
  <c r="AS416" i="1"/>
  <c r="AT416" i="1"/>
  <c r="AU416" i="1" s="1"/>
  <c r="AS417" i="1"/>
  <c r="AT417" i="1"/>
  <c r="AU417" i="1" s="1"/>
  <c r="AS418" i="1"/>
  <c r="AT418" i="1"/>
  <c r="AU418" i="1" s="1"/>
  <c r="AS419" i="1"/>
  <c r="AT419" i="1"/>
  <c r="AU419" i="1" s="1"/>
  <c r="AS420" i="1"/>
  <c r="AT420" i="1"/>
  <c r="AU420" i="1" s="1"/>
  <c r="AS421" i="1"/>
  <c r="AT421" i="1"/>
  <c r="AU421" i="1" s="1"/>
  <c r="AS422" i="1"/>
  <c r="AT422" i="1"/>
  <c r="AU422" i="1" s="1"/>
  <c r="AS423" i="1"/>
  <c r="AT423" i="1"/>
  <c r="AU423" i="1" s="1"/>
  <c r="AS424" i="1"/>
  <c r="AT424" i="1"/>
  <c r="AU424" i="1" s="1"/>
  <c r="AS425" i="1"/>
  <c r="AT425" i="1"/>
  <c r="AU425" i="1" s="1"/>
  <c r="AS426" i="1"/>
  <c r="AT426" i="1"/>
  <c r="AU426" i="1" s="1"/>
  <c r="AS427" i="1"/>
  <c r="AT427" i="1"/>
  <c r="AU427" i="1"/>
  <c r="AS428" i="1"/>
  <c r="AT428" i="1"/>
  <c r="AU428" i="1" s="1"/>
  <c r="AS429" i="1"/>
  <c r="AT429" i="1"/>
  <c r="AU429" i="1" s="1"/>
  <c r="AS430" i="1"/>
  <c r="AT430" i="1"/>
  <c r="AU430" i="1" s="1"/>
  <c r="AS431" i="1"/>
  <c r="AT431" i="1"/>
  <c r="AU431" i="1" s="1"/>
  <c r="AS432" i="1"/>
  <c r="AT432" i="1"/>
  <c r="AU432" i="1" s="1"/>
  <c r="AS433" i="1"/>
  <c r="AT433" i="1"/>
  <c r="AU433" i="1" s="1"/>
  <c r="AS434" i="1"/>
  <c r="AT434" i="1"/>
  <c r="AU434" i="1" s="1"/>
  <c r="AS435" i="1"/>
  <c r="AT435" i="1"/>
  <c r="AU435" i="1" s="1"/>
  <c r="AS436" i="1"/>
  <c r="AT436" i="1"/>
  <c r="AU436" i="1" s="1"/>
  <c r="AS437" i="1"/>
  <c r="AT437" i="1"/>
  <c r="AU437" i="1" s="1"/>
  <c r="AS438" i="1"/>
  <c r="AT438" i="1"/>
  <c r="AU438" i="1" s="1"/>
  <c r="AS439" i="1"/>
  <c r="AT439" i="1"/>
  <c r="AU439" i="1" s="1"/>
  <c r="AS440" i="1"/>
  <c r="AT440" i="1"/>
  <c r="AU440" i="1" s="1"/>
  <c r="AS441" i="1"/>
  <c r="AT441" i="1"/>
  <c r="AU441" i="1" s="1"/>
  <c r="AS442" i="1"/>
  <c r="AT442" i="1"/>
  <c r="AU442" i="1" s="1"/>
  <c r="AS443" i="1"/>
  <c r="AT443" i="1"/>
  <c r="AU443" i="1" s="1"/>
  <c r="AS444" i="1"/>
  <c r="AT444" i="1"/>
  <c r="AU444" i="1" s="1"/>
  <c r="AS445" i="1"/>
  <c r="AT445" i="1"/>
  <c r="AU445" i="1" s="1"/>
  <c r="AS446" i="1"/>
  <c r="AT446" i="1"/>
  <c r="AU446" i="1" s="1"/>
  <c r="AS447" i="1"/>
  <c r="AT447" i="1"/>
  <c r="AU447" i="1" s="1"/>
  <c r="AS448" i="1"/>
  <c r="AT448" i="1"/>
  <c r="AU448" i="1" s="1"/>
  <c r="AS449" i="1"/>
  <c r="AT449" i="1"/>
  <c r="AU449" i="1" s="1"/>
  <c r="AS450" i="1"/>
  <c r="AT450" i="1"/>
  <c r="AU450" i="1" s="1"/>
  <c r="AS451" i="1"/>
  <c r="AT451" i="1"/>
  <c r="AU451" i="1" s="1"/>
  <c r="AS452" i="1"/>
  <c r="AT452" i="1"/>
  <c r="AU452" i="1" s="1"/>
  <c r="AS453" i="1"/>
  <c r="AT453" i="1"/>
  <c r="AU453" i="1" s="1"/>
  <c r="AS454" i="1"/>
  <c r="AT454" i="1"/>
  <c r="AU454" i="1" s="1"/>
  <c r="AS455" i="1"/>
  <c r="AT455" i="1"/>
  <c r="AU455" i="1" s="1"/>
  <c r="AS456" i="1"/>
  <c r="AT456" i="1"/>
  <c r="AU456" i="1"/>
  <c r="AY456" i="1" s="1"/>
  <c r="AZ456" i="1" s="1"/>
  <c r="AS457" i="1"/>
  <c r="AT457" i="1"/>
  <c r="AU457" i="1" s="1"/>
  <c r="AY457" i="1" s="1"/>
  <c r="AZ457" i="1" s="1"/>
  <c r="AS458" i="1"/>
  <c r="AT458" i="1"/>
  <c r="AU458" i="1" s="1"/>
  <c r="AY458" i="1" s="1"/>
  <c r="AZ458" i="1" s="1"/>
  <c r="AS459" i="1"/>
  <c r="AT459" i="1"/>
  <c r="AU459" i="1"/>
  <c r="AY459" i="1" s="1"/>
  <c r="AZ459" i="1" s="1"/>
  <c r="AS460" i="1"/>
  <c r="AT460" i="1"/>
  <c r="AU460" i="1" s="1"/>
  <c r="AS461" i="1"/>
  <c r="AT461" i="1"/>
  <c r="AU461" i="1" s="1"/>
  <c r="AS462" i="1"/>
  <c r="AT462" i="1"/>
  <c r="AU462" i="1" s="1"/>
  <c r="AS463" i="1"/>
  <c r="AT463" i="1"/>
  <c r="AU463" i="1" s="1"/>
  <c r="AS464" i="1"/>
  <c r="AT464" i="1"/>
  <c r="AU464" i="1" s="1"/>
  <c r="AS465" i="1"/>
  <c r="AT465" i="1"/>
  <c r="AU465" i="1" s="1"/>
  <c r="AS466" i="1"/>
  <c r="AT466" i="1"/>
  <c r="AU466" i="1" s="1"/>
  <c r="AS467" i="1"/>
  <c r="AT467" i="1"/>
  <c r="AU467" i="1" s="1"/>
  <c r="AS468" i="1"/>
  <c r="AT468" i="1"/>
  <c r="AU468" i="1" s="1"/>
  <c r="AS469" i="1"/>
  <c r="AT469" i="1"/>
  <c r="AU469" i="1" s="1"/>
  <c r="AS470" i="1"/>
  <c r="AT470" i="1"/>
  <c r="AU470" i="1" s="1"/>
  <c r="AS471" i="1"/>
  <c r="AT471" i="1"/>
  <c r="AU471" i="1" s="1"/>
  <c r="AS472" i="1"/>
  <c r="AT472" i="1"/>
  <c r="AU472" i="1" s="1"/>
  <c r="AS473" i="1"/>
  <c r="AT473" i="1"/>
  <c r="AU473" i="1" s="1"/>
  <c r="AS474" i="1"/>
  <c r="AT474" i="1"/>
  <c r="AU474" i="1" s="1"/>
  <c r="AS475" i="1"/>
  <c r="AT475" i="1"/>
  <c r="AU475" i="1" s="1"/>
  <c r="AS476" i="1"/>
  <c r="AT476" i="1"/>
  <c r="AU476" i="1" s="1"/>
  <c r="AY476" i="1" s="1"/>
  <c r="AZ476" i="1" s="1"/>
  <c r="AS477" i="1"/>
  <c r="AT477" i="1"/>
  <c r="AU477" i="1" s="1"/>
  <c r="AS478" i="1"/>
  <c r="AT478" i="1"/>
  <c r="AU478" i="1" s="1"/>
  <c r="AY478" i="1" s="1"/>
  <c r="AZ478" i="1" s="1"/>
  <c r="AS479" i="1"/>
  <c r="AT479" i="1"/>
  <c r="AU479" i="1" s="1"/>
  <c r="AS480" i="1"/>
  <c r="AT480" i="1"/>
  <c r="AU480" i="1" s="1"/>
  <c r="AS481" i="1"/>
  <c r="AT481" i="1"/>
  <c r="AU481" i="1"/>
  <c r="AY481" i="1" s="1"/>
  <c r="AZ481" i="1" s="1"/>
  <c r="AS482" i="1"/>
  <c r="AT482" i="1"/>
  <c r="AU482" i="1" s="1"/>
  <c r="AY482" i="1" s="1"/>
  <c r="AZ482" i="1" s="1"/>
  <c r="AS483" i="1"/>
  <c r="AT483" i="1"/>
  <c r="AU483" i="1" s="1"/>
  <c r="AS484" i="1"/>
  <c r="AT484" i="1"/>
  <c r="AU484" i="1" s="1"/>
  <c r="AS485" i="1"/>
  <c r="AT485" i="1"/>
  <c r="AU485" i="1" s="1"/>
  <c r="AS486" i="1"/>
  <c r="AT486" i="1"/>
  <c r="AU486" i="1" s="1"/>
  <c r="AS487" i="1"/>
  <c r="AT487" i="1"/>
  <c r="AU487" i="1" s="1"/>
  <c r="AS488" i="1"/>
  <c r="AT488" i="1"/>
  <c r="AU488" i="1" s="1"/>
  <c r="AS489" i="1"/>
  <c r="AT489" i="1"/>
  <c r="AU489" i="1" s="1"/>
  <c r="AS490" i="1"/>
  <c r="AT490" i="1"/>
  <c r="AU490" i="1" s="1"/>
  <c r="AS491" i="1"/>
  <c r="AT491" i="1"/>
  <c r="AU491" i="1" s="1"/>
  <c r="AS492" i="1"/>
  <c r="AT492" i="1"/>
  <c r="AU492" i="1" s="1"/>
  <c r="AS493" i="1"/>
  <c r="AT493" i="1"/>
  <c r="AU493" i="1" s="1"/>
  <c r="AS494" i="1"/>
  <c r="AT494" i="1"/>
  <c r="AU494" i="1"/>
  <c r="AS495" i="1"/>
  <c r="AT495" i="1"/>
  <c r="AU495" i="1" s="1"/>
  <c r="AS496" i="1"/>
  <c r="AT496" i="1"/>
  <c r="AU496" i="1" s="1"/>
  <c r="AS497" i="1"/>
  <c r="AT497" i="1"/>
  <c r="AU497" i="1" s="1"/>
  <c r="AS498" i="1"/>
  <c r="AT498" i="1"/>
  <c r="AU498" i="1"/>
  <c r="AS499" i="1"/>
  <c r="AT499" i="1"/>
  <c r="AU499" i="1" s="1"/>
  <c r="AS500" i="1"/>
  <c r="AT500" i="1"/>
  <c r="AU500" i="1" s="1"/>
  <c r="AS501" i="1"/>
  <c r="AT501" i="1"/>
  <c r="AU501" i="1" s="1"/>
  <c r="AS502" i="1"/>
  <c r="AT502" i="1"/>
  <c r="AU502" i="1" s="1"/>
  <c r="AS504" i="1"/>
  <c r="AT504" i="1"/>
  <c r="AU504" i="1" s="1"/>
  <c r="AS505" i="1"/>
  <c r="AT505" i="1"/>
  <c r="AU505" i="1" s="1"/>
  <c r="AS507" i="1"/>
  <c r="AT507" i="1"/>
  <c r="AU507" i="1" s="1"/>
  <c r="AS508" i="1"/>
  <c r="AT508" i="1"/>
  <c r="AU508" i="1" s="1"/>
  <c r="AS509" i="1"/>
  <c r="AT509" i="1"/>
  <c r="AU509" i="1" s="1"/>
  <c r="AS510" i="1"/>
  <c r="AT510" i="1"/>
  <c r="AU510" i="1" s="1"/>
  <c r="AS511" i="1"/>
  <c r="AT511" i="1"/>
  <c r="AU511" i="1" s="1"/>
  <c r="AS512" i="1"/>
  <c r="AT512" i="1"/>
  <c r="AU512" i="1" s="1"/>
  <c r="AS513" i="1"/>
  <c r="AT513" i="1"/>
  <c r="AU513" i="1" s="1"/>
  <c r="AS514" i="1"/>
  <c r="AT514" i="1"/>
  <c r="AU514" i="1" s="1"/>
  <c r="AS515" i="1"/>
  <c r="AT515" i="1"/>
  <c r="AU515" i="1"/>
  <c r="AS516" i="1"/>
  <c r="AT516" i="1"/>
  <c r="AU516" i="1" s="1"/>
  <c r="AS517" i="1"/>
  <c r="AT517" i="1"/>
  <c r="AU517" i="1" s="1"/>
  <c r="AS518" i="1"/>
  <c r="AT518" i="1"/>
  <c r="AU518" i="1" s="1"/>
  <c r="AS519" i="1"/>
  <c r="AT519" i="1"/>
  <c r="AU519" i="1"/>
  <c r="AS520" i="1"/>
  <c r="AT520" i="1"/>
  <c r="AU520" i="1" s="1"/>
  <c r="AS521" i="1"/>
  <c r="AT521" i="1"/>
  <c r="AU521" i="1"/>
  <c r="AS522" i="1"/>
  <c r="AT522" i="1"/>
  <c r="AU522" i="1" s="1"/>
  <c r="AS523" i="1"/>
  <c r="AT523" i="1"/>
  <c r="AU523" i="1" s="1"/>
  <c r="AS524" i="1"/>
  <c r="AT524" i="1"/>
  <c r="AU524" i="1" s="1"/>
  <c r="AS525" i="1"/>
  <c r="AT525" i="1"/>
  <c r="AU525" i="1" s="1"/>
  <c r="AS526" i="1"/>
  <c r="AT526" i="1"/>
  <c r="AU526" i="1" s="1"/>
  <c r="AS527" i="1"/>
  <c r="AT527" i="1"/>
  <c r="AU527" i="1" s="1"/>
  <c r="AS528" i="1"/>
  <c r="AT528" i="1"/>
  <c r="AU528" i="1" s="1"/>
  <c r="AS529" i="1"/>
  <c r="AT529" i="1"/>
  <c r="AU529" i="1" s="1"/>
  <c r="AS530" i="1"/>
  <c r="AT530" i="1"/>
  <c r="AU530" i="1" s="1"/>
  <c r="AS531" i="1"/>
  <c r="AT531" i="1"/>
  <c r="AU531" i="1" s="1"/>
  <c r="AS532" i="1"/>
  <c r="AT532" i="1"/>
  <c r="AU532" i="1" s="1"/>
  <c r="AS533" i="1"/>
  <c r="AT533" i="1"/>
  <c r="AU533" i="1" s="1"/>
  <c r="AS534" i="1"/>
  <c r="AT534" i="1"/>
  <c r="AU534" i="1" s="1"/>
  <c r="AS535" i="1"/>
  <c r="AT535" i="1"/>
  <c r="AU535" i="1" s="1"/>
  <c r="AS536" i="1"/>
  <c r="AT536" i="1"/>
  <c r="AU536" i="1" s="1"/>
  <c r="AS537" i="1"/>
  <c r="AT537" i="1"/>
  <c r="AU537" i="1"/>
  <c r="AS538" i="1"/>
  <c r="AT538" i="1"/>
  <c r="AU538" i="1" s="1"/>
  <c r="AS539" i="1"/>
  <c r="AT539" i="1"/>
  <c r="AU539" i="1" s="1"/>
  <c r="AS540" i="1"/>
  <c r="AT540" i="1"/>
  <c r="AU540" i="1" s="1"/>
  <c r="AS541" i="1"/>
  <c r="AT541" i="1"/>
  <c r="AU541" i="1" s="1"/>
  <c r="AS542" i="1"/>
  <c r="AT542" i="1"/>
  <c r="AU542" i="1" s="1"/>
  <c r="AS543" i="1"/>
  <c r="AT543" i="1"/>
  <c r="AU543" i="1" s="1"/>
  <c r="AS544" i="1"/>
  <c r="AT544" i="1"/>
  <c r="AU544" i="1" s="1"/>
  <c r="AS545" i="1"/>
  <c r="AT545" i="1"/>
  <c r="AU545" i="1" s="1"/>
  <c r="AS546" i="1"/>
  <c r="AT546" i="1"/>
  <c r="AU546" i="1" s="1"/>
  <c r="AS547" i="1"/>
  <c r="AT547" i="1"/>
  <c r="AU547" i="1" s="1"/>
  <c r="AS548" i="1"/>
  <c r="AT548" i="1"/>
  <c r="AU548" i="1" s="1"/>
  <c r="AS549" i="1"/>
  <c r="AT549" i="1"/>
  <c r="AU549" i="1" s="1"/>
  <c r="AS550" i="1"/>
  <c r="AT550" i="1"/>
  <c r="AU550" i="1" s="1"/>
  <c r="AS551" i="1"/>
  <c r="AT551" i="1"/>
  <c r="AU551" i="1" s="1"/>
  <c r="AS552" i="1"/>
  <c r="AT552" i="1"/>
  <c r="AU552" i="1" s="1"/>
  <c r="AS553" i="1"/>
  <c r="AT553" i="1"/>
  <c r="AU553" i="1" s="1"/>
  <c r="AS554" i="1"/>
  <c r="AT554" i="1"/>
  <c r="AU554" i="1" s="1"/>
  <c r="AS555" i="1"/>
  <c r="AT555" i="1"/>
  <c r="AU555" i="1" s="1"/>
  <c r="AS556" i="1"/>
  <c r="AT556" i="1"/>
  <c r="AU556" i="1" s="1"/>
  <c r="AS557" i="1"/>
  <c r="AT557" i="1"/>
  <c r="AU557" i="1"/>
  <c r="AS558" i="1"/>
  <c r="AT558" i="1"/>
  <c r="AU558" i="1" s="1"/>
  <c r="AS559" i="1"/>
  <c r="AT559" i="1"/>
  <c r="AU559" i="1" s="1"/>
  <c r="AS560" i="1"/>
  <c r="AT560" i="1"/>
  <c r="AU560" i="1" s="1"/>
  <c r="AS561" i="1"/>
  <c r="AT561" i="1"/>
  <c r="AU561" i="1" s="1"/>
  <c r="AS562" i="1"/>
  <c r="AT562" i="1"/>
  <c r="AU562" i="1" s="1"/>
  <c r="AS563" i="1"/>
  <c r="AT563" i="1"/>
  <c r="AU563" i="1" s="1"/>
  <c r="AS564" i="1"/>
  <c r="AT564" i="1"/>
  <c r="AU564" i="1" s="1"/>
  <c r="AS565" i="1"/>
  <c r="AT565" i="1"/>
  <c r="AU565" i="1" s="1"/>
  <c r="AS566" i="1"/>
  <c r="AT566" i="1"/>
  <c r="AU566" i="1" s="1"/>
  <c r="AS567" i="1"/>
  <c r="AT567" i="1"/>
  <c r="AU567" i="1" s="1"/>
  <c r="AS568" i="1"/>
  <c r="AT568" i="1"/>
  <c r="AU568" i="1" s="1"/>
  <c r="AS569" i="1"/>
  <c r="AT569" i="1"/>
  <c r="AU569" i="1" s="1"/>
  <c r="AS570" i="1"/>
  <c r="AT570" i="1"/>
  <c r="AU570" i="1" s="1"/>
  <c r="AS571" i="1"/>
  <c r="AT571" i="1"/>
  <c r="AU571" i="1" s="1"/>
  <c r="AS572" i="1"/>
  <c r="AT572" i="1"/>
  <c r="AU572" i="1" s="1"/>
  <c r="AT2" i="1"/>
  <c r="AU2" i="1" s="1"/>
  <c r="AS2" i="1"/>
  <c r="AZ238" i="1" l="1"/>
  <c r="AZ239" i="1"/>
  <c r="AS506" i="1"/>
  <c r="AE506" i="1"/>
  <c r="AT506" i="1" s="1"/>
  <c r="AU506" i="1" s="1"/>
  <c r="AS503" i="1"/>
  <c r="AU503" i="1"/>
  <c r="AY503" i="1" s="1"/>
  <c r="AZ503" i="1" s="1"/>
  <c r="AY99" i="1"/>
  <c r="AZ99" i="1"/>
  <c r="AY100" i="1"/>
  <c r="AZ100" i="1"/>
  <c r="AY101" i="1"/>
  <c r="AZ101" i="1"/>
  <c r="AY102" i="1"/>
  <c r="AZ102" i="1"/>
  <c r="AY103" i="1"/>
  <c r="AZ103" i="1"/>
  <c r="AY104" i="1"/>
  <c r="AZ104" i="1"/>
  <c r="AY105" i="1"/>
  <c r="AZ105" i="1"/>
  <c r="AY106" i="1"/>
  <c r="AZ106" i="1"/>
  <c r="AY107" i="1"/>
  <c r="AZ107" i="1"/>
  <c r="AY108" i="1"/>
  <c r="AZ108" i="1"/>
  <c r="AY109" i="1"/>
  <c r="AZ109" i="1" s="1"/>
  <c r="AY110" i="1"/>
  <c r="AZ110" i="1"/>
  <c r="AY111" i="1"/>
  <c r="AZ111" i="1"/>
  <c r="AY112" i="1"/>
  <c r="AZ112" i="1"/>
  <c r="AY113" i="1"/>
  <c r="AZ113" i="1"/>
  <c r="AY114" i="1"/>
  <c r="AZ114" i="1"/>
  <c r="AY115" i="1"/>
  <c r="AZ115" i="1"/>
  <c r="AY116" i="1"/>
  <c r="AZ116" i="1"/>
  <c r="AY117" i="1"/>
  <c r="AZ117" i="1"/>
  <c r="AY118" i="1"/>
  <c r="AZ118" i="1"/>
  <c r="AY119" i="1"/>
  <c r="AZ119" i="1" s="1"/>
  <c r="AY120" i="1"/>
  <c r="AZ120" i="1"/>
  <c r="AY121" i="1"/>
  <c r="AZ121" i="1" s="1"/>
  <c r="AY122" i="1"/>
  <c r="AZ122" i="1" s="1"/>
  <c r="AY123" i="1"/>
  <c r="AZ123" i="1"/>
  <c r="AY124" i="1"/>
  <c r="AZ124" i="1"/>
  <c r="AY125" i="1"/>
  <c r="AZ125" i="1" s="1"/>
  <c r="AY126" i="1"/>
  <c r="AZ126" i="1" s="1"/>
  <c r="AY127" i="1"/>
  <c r="AZ127" i="1"/>
  <c r="AY128" i="1"/>
  <c r="AZ128" i="1"/>
  <c r="AY129" i="1"/>
  <c r="AZ129" i="1" s="1"/>
  <c r="AY130" i="1"/>
  <c r="AZ130" i="1" s="1"/>
  <c r="AY131" i="1"/>
  <c r="AZ131" i="1"/>
  <c r="AY132" i="1"/>
  <c r="AZ132" i="1" s="1"/>
  <c r="AY133" i="1"/>
  <c r="AZ133" i="1"/>
  <c r="AY134" i="1"/>
  <c r="AZ134" i="1"/>
  <c r="AY135" i="1"/>
  <c r="AZ135" i="1" s="1"/>
  <c r="AY136" i="1"/>
  <c r="AZ136" i="1" s="1"/>
  <c r="AY137" i="1"/>
  <c r="AZ137" i="1" s="1"/>
  <c r="AY138" i="1"/>
  <c r="AZ138" i="1" s="1"/>
  <c r="AY139" i="1"/>
  <c r="AZ139" i="1"/>
  <c r="AY140" i="1"/>
  <c r="AZ140" i="1"/>
  <c r="AY141" i="1"/>
  <c r="AZ141" i="1" s="1"/>
  <c r="AY142" i="1"/>
  <c r="AZ142" i="1"/>
  <c r="AY143" i="1"/>
  <c r="AZ143" i="1" s="1"/>
  <c r="AY144" i="1"/>
  <c r="AZ144" i="1"/>
  <c r="AY145" i="1"/>
  <c r="AZ145" i="1"/>
  <c r="AY146" i="1"/>
  <c r="AZ146" i="1" s="1"/>
  <c r="AY147" i="1"/>
  <c r="AZ147" i="1"/>
  <c r="AY148" i="1"/>
  <c r="AZ148" i="1" s="1"/>
  <c r="AY149" i="1"/>
  <c r="AZ149" i="1"/>
  <c r="AY150" i="1"/>
  <c r="AZ150" i="1"/>
  <c r="AY151" i="1"/>
  <c r="AZ151" i="1"/>
  <c r="AY152" i="1"/>
  <c r="AZ152" i="1"/>
  <c r="AY153" i="1"/>
  <c r="AZ153" i="1"/>
  <c r="AY154" i="1"/>
  <c r="AZ154" i="1" s="1"/>
  <c r="AY155" i="1"/>
  <c r="AZ155" i="1" s="1"/>
  <c r="AY156" i="1"/>
  <c r="AZ156" i="1"/>
  <c r="AY157" i="1"/>
  <c r="AZ157" i="1"/>
  <c r="AY158" i="1"/>
  <c r="AZ158" i="1"/>
  <c r="AY159" i="1"/>
  <c r="AZ159" i="1" s="1"/>
  <c r="AY160" i="1"/>
  <c r="AZ160" i="1"/>
  <c r="AY161" i="1"/>
  <c r="AZ161" i="1" s="1"/>
  <c r="AY162" i="1"/>
  <c r="AZ162" i="1" s="1"/>
  <c r="AY163" i="1"/>
  <c r="AZ163" i="1" s="1"/>
  <c r="AY164" i="1"/>
  <c r="AZ164" i="1"/>
  <c r="AY165" i="1"/>
  <c r="AZ165" i="1" s="1"/>
  <c r="AY166" i="1"/>
  <c r="AZ166" i="1"/>
  <c r="AY167" i="1"/>
  <c r="AZ167" i="1"/>
  <c r="AY168" i="1"/>
  <c r="AZ168" i="1" s="1"/>
  <c r="AY169" i="1"/>
  <c r="AZ169" i="1" s="1"/>
  <c r="AY170" i="1"/>
  <c r="AZ170" i="1" s="1"/>
  <c r="AY171" i="1"/>
  <c r="AZ171" i="1"/>
  <c r="AY172" i="1"/>
  <c r="AZ172" i="1"/>
  <c r="AY173" i="1"/>
  <c r="AZ173" i="1"/>
  <c r="AY174" i="1"/>
  <c r="AZ174" i="1" s="1"/>
  <c r="AY175" i="1"/>
  <c r="AZ175" i="1" s="1"/>
  <c r="AY179" i="1"/>
  <c r="AZ179" i="1" s="1"/>
  <c r="AY180" i="1"/>
  <c r="AZ180" i="1" s="1"/>
  <c r="AY181" i="1"/>
  <c r="AZ181" i="1" s="1"/>
  <c r="AY182" i="1"/>
  <c r="AZ182" i="1" s="1"/>
  <c r="AY184" i="1"/>
  <c r="AZ184" i="1" s="1"/>
  <c r="AY186" i="1"/>
  <c r="AZ186" i="1" s="1"/>
  <c r="AY187" i="1"/>
  <c r="AZ187" i="1" s="1"/>
  <c r="AY188" i="1"/>
  <c r="AZ188" i="1" s="1"/>
  <c r="AY189" i="1"/>
  <c r="AZ189" i="1" s="1"/>
  <c r="AY190" i="1"/>
  <c r="AZ190" i="1" s="1"/>
  <c r="AY192" i="1"/>
  <c r="AZ192" i="1" s="1"/>
  <c r="AY195" i="1"/>
  <c r="AZ195" i="1"/>
  <c r="AY214" i="1"/>
  <c r="AZ214" i="1"/>
  <c r="AY215" i="1"/>
  <c r="AZ215" i="1"/>
  <c r="AY228" i="1"/>
  <c r="AZ228" i="1" s="1"/>
  <c r="AY229" i="1"/>
  <c r="AZ229" i="1"/>
  <c r="AY233" i="1"/>
  <c r="AZ233" i="1" s="1"/>
  <c r="AY234" i="1"/>
  <c r="AZ234" i="1"/>
  <c r="AY235" i="1"/>
  <c r="AZ235" i="1" s="1"/>
  <c r="AY237" i="1"/>
  <c r="AZ237" i="1"/>
  <c r="AY266" i="1"/>
  <c r="AZ266" i="1" s="1"/>
  <c r="AY269" i="1"/>
  <c r="AZ269" i="1"/>
  <c r="AY270" i="1"/>
  <c r="AZ270" i="1"/>
  <c r="AY273" i="1"/>
  <c r="AZ273" i="1" s="1"/>
  <c r="AY275" i="1"/>
  <c r="AZ275" i="1" s="1"/>
  <c r="AY276" i="1"/>
  <c r="AZ276" i="1"/>
  <c r="AY278" i="1"/>
  <c r="AZ278" i="1" s="1"/>
  <c r="AY279" i="1"/>
  <c r="AZ279" i="1" s="1"/>
  <c r="AY280" i="1"/>
  <c r="AZ280" i="1"/>
  <c r="AY281" i="1"/>
  <c r="AZ281" i="1" s="1"/>
  <c r="AY283" i="1"/>
  <c r="AZ283" i="1"/>
  <c r="AY284" i="1"/>
  <c r="AZ284" i="1" s="1"/>
  <c r="AY285" i="1"/>
  <c r="AZ285" i="1" s="1"/>
  <c r="AY286" i="1"/>
  <c r="AZ286" i="1" s="1"/>
  <c r="AY287" i="1"/>
  <c r="AZ287" i="1" s="1"/>
  <c r="AY288" i="1"/>
  <c r="AZ288" i="1"/>
  <c r="AY289" i="1"/>
  <c r="AZ289" i="1"/>
  <c r="AY290" i="1"/>
  <c r="AZ290" i="1" s="1"/>
  <c r="AY305" i="1"/>
  <c r="AZ305" i="1"/>
  <c r="AY306" i="1"/>
  <c r="AZ306" i="1" s="1"/>
  <c r="AY316" i="1"/>
  <c r="AZ316" i="1" s="1"/>
  <c r="AY317" i="1"/>
  <c r="AZ317" i="1" s="1"/>
  <c r="AY318" i="1"/>
  <c r="AZ318" i="1"/>
  <c r="AY322" i="1"/>
  <c r="AZ322" i="1" s="1"/>
  <c r="AY324" i="1"/>
  <c r="AZ324" i="1"/>
  <c r="AY325" i="1"/>
  <c r="AZ325" i="1"/>
  <c r="AY331" i="1"/>
  <c r="AZ331" i="1"/>
  <c r="AY337" i="1"/>
  <c r="AZ337" i="1"/>
  <c r="AY338" i="1"/>
  <c r="AZ338" i="1"/>
  <c r="AY340" i="1"/>
  <c r="AZ340" i="1"/>
  <c r="AY343" i="1"/>
  <c r="AZ343" i="1"/>
  <c r="AY345" i="1"/>
  <c r="AZ345" i="1" s="1"/>
  <c r="AY353" i="1"/>
  <c r="AZ353" i="1"/>
  <c r="AY355" i="1"/>
  <c r="AZ355" i="1" s="1"/>
  <c r="AY357" i="1"/>
  <c r="AZ357" i="1"/>
  <c r="AY358" i="1"/>
  <c r="AZ358" i="1"/>
  <c r="AY375" i="1"/>
  <c r="AZ375" i="1"/>
  <c r="AY376" i="1"/>
  <c r="AZ376" i="1"/>
  <c r="AY460" i="1"/>
  <c r="AZ460" i="1"/>
  <c r="AY461" i="1"/>
  <c r="AZ461" i="1"/>
  <c r="AY462" i="1"/>
  <c r="AZ462" i="1"/>
  <c r="AY463" i="1"/>
  <c r="AZ463" i="1"/>
  <c r="AY464" i="1"/>
  <c r="AZ464" i="1"/>
  <c r="AY465" i="1"/>
  <c r="AZ465" i="1"/>
  <c r="AY466" i="1"/>
  <c r="AZ466" i="1"/>
  <c r="AY467" i="1"/>
  <c r="AZ467" i="1"/>
  <c r="AY468" i="1"/>
  <c r="AZ468" i="1"/>
  <c r="AY469" i="1"/>
  <c r="AZ469" i="1"/>
  <c r="AY470" i="1"/>
  <c r="AZ470" i="1"/>
  <c r="AY471" i="1"/>
  <c r="AZ471" i="1"/>
  <c r="AY472" i="1"/>
  <c r="AZ472" i="1"/>
  <c r="AY473" i="1"/>
  <c r="AZ473" i="1"/>
  <c r="AY474" i="1"/>
  <c r="AZ474" i="1"/>
  <c r="AY475" i="1"/>
  <c r="AZ475" i="1"/>
  <c r="AY477" i="1"/>
  <c r="AZ477" i="1"/>
  <c r="AY479" i="1"/>
  <c r="AZ479" i="1"/>
  <c r="AY480" i="1"/>
  <c r="AZ480" i="1" s="1"/>
  <c r="AY483" i="1"/>
  <c r="AZ483" i="1"/>
  <c r="AY484" i="1"/>
  <c r="AZ484" i="1"/>
  <c r="AY485" i="1"/>
  <c r="AZ485" i="1"/>
  <c r="AY486" i="1"/>
  <c r="AZ486" i="1"/>
  <c r="AY487" i="1"/>
  <c r="AZ487" i="1"/>
  <c r="AY488" i="1"/>
  <c r="AZ488" i="1"/>
  <c r="AY489" i="1"/>
  <c r="AZ489" i="1"/>
  <c r="AY490" i="1"/>
  <c r="AZ490" i="1"/>
  <c r="AY491" i="1"/>
  <c r="AZ491" i="1"/>
  <c r="AY492" i="1"/>
  <c r="AZ492" i="1"/>
  <c r="AY3" i="1"/>
  <c r="AZ3" i="1"/>
  <c r="AY4" i="1"/>
  <c r="AZ4" i="1"/>
  <c r="AY5" i="1"/>
  <c r="AZ5" i="1"/>
  <c r="AY6" i="1"/>
  <c r="AZ6" i="1"/>
  <c r="AY7" i="1"/>
  <c r="AZ7" i="1"/>
  <c r="AY8" i="1"/>
  <c r="AZ8" i="1"/>
  <c r="AY9" i="1"/>
  <c r="AZ9" i="1"/>
  <c r="AY10" i="1"/>
  <c r="AZ10" i="1"/>
  <c r="AY11" i="1"/>
  <c r="AZ11" i="1" s="1"/>
  <c r="AY12" i="1"/>
  <c r="AZ12" i="1" s="1"/>
  <c r="AY13" i="1"/>
  <c r="AZ13" i="1" s="1"/>
  <c r="AY14" i="1"/>
  <c r="AZ14" i="1"/>
  <c r="AY15" i="1"/>
  <c r="AZ15" i="1" s="1"/>
  <c r="AY16" i="1"/>
  <c r="AZ16" i="1" s="1"/>
  <c r="AY17" i="1"/>
  <c r="AZ17" i="1" s="1"/>
  <c r="AY18" i="1"/>
  <c r="AZ18" i="1" s="1"/>
  <c r="AY19" i="1"/>
  <c r="AZ19" i="1" s="1"/>
  <c r="AY20" i="1"/>
  <c r="AZ20" i="1" s="1"/>
  <c r="AY21" i="1"/>
  <c r="AZ21" i="1" s="1"/>
  <c r="AY22" i="1"/>
  <c r="AZ22" i="1" s="1"/>
  <c r="AY23" i="1"/>
  <c r="AZ23" i="1"/>
  <c r="AY24" i="1"/>
  <c r="AZ24" i="1"/>
  <c r="AY25" i="1"/>
  <c r="AZ25" i="1" s="1"/>
  <c r="AY26" i="1"/>
  <c r="AZ26" i="1" s="1"/>
  <c r="AY27" i="1"/>
  <c r="AZ27" i="1" s="1"/>
  <c r="AY28" i="1"/>
  <c r="AZ28" i="1"/>
  <c r="AY29" i="1"/>
  <c r="AZ29" i="1" s="1"/>
  <c r="AY30" i="1"/>
  <c r="AZ30" i="1" s="1"/>
  <c r="AY31" i="1"/>
  <c r="AZ31" i="1"/>
  <c r="AY32" i="1"/>
  <c r="AZ32" i="1" s="1"/>
  <c r="AY33" i="1"/>
  <c r="AZ33" i="1" s="1"/>
  <c r="AY34" i="1"/>
  <c r="AZ34" i="1" s="1"/>
  <c r="AY35" i="1"/>
  <c r="AZ35" i="1"/>
  <c r="AY36" i="1"/>
  <c r="AZ36" i="1"/>
  <c r="AY37" i="1"/>
  <c r="AZ37" i="1" s="1"/>
  <c r="AY38" i="1"/>
  <c r="AZ38" i="1" s="1"/>
  <c r="AY39" i="1"/>
  <c r="AZ39" i="1" s="1"/>
  <c r="AY40" i="1"/>
  <c r="AZ40" i="1" s="1"/>
  <c r="AY41" i="1"/>
  <c r="AZ41" i="1" s="1"/>
  <c r="AY42" i="1"/>
  <c r="AZ42" i="1"/>
  <c r="AY43" i="1"/>
  <c r="AZ43" i="1"/>
  <c r="AY44" i="1"/>
  <c r="AZ44" i="1" s="1"/>
  <c r="AY45" i="1"/>
  <c r="AZ45" i="1"/>
  <c r="AY46" i="1"/>
  <c r="AZ46" i="1"/>
  <c r="AY47" i="1"/>
  <c r="AZ47" i="1" s="1"/>
  <c r="AY48" i="1"/>
  <c r="AZ48" i="1" s="1"/>
  <c r="AY49" i="1"/>
  <c r="AZ49" i="1"/>
  <c r="AY50" i="1"/>
  <c r="AZ50" i="1" s="1"/>
  <c r="AY51" i="1"/>
  <c r="AZ51" i="1" s="1"/>
  <c r="AY52" i="1"/>
  <c r="AZ52" i="1" s="1"/>
  <c r="AY53" i="1"/>
  <c r="AZ53" i="1" s="1"/>
  <c r="AY54" i="1"/>
  <c r="AZ54" i="1" s="1"/>
  <c r="AY55" i="1"/>
  <c r="AZ55" i="1" s="1"/>
  <c r="AY56" i="1"/>
  <c r="AZ56" i="1" s="1"/>
  <c r="AY57" i="1"/>
  <c r="AZ57" i="1"/>
  <c r="AY58" i="1"/>
  <c r="AZ58" i="1" s="1"/>
  <c r="AY59" i="1"/>
  <c r="AZ59" i="1"/>
  <c r="AY60" i="1"/>
  <c r="AZ60" i="1" s="1"/>
  <c r="AY61" i="1"/>
  <c r="AZ61" i="1"/>
  <c r="AY62" i="1"/>
  <c r="AZ62" i="1" s="1"/>
  <c r="AY63" i="1"/>
  <c r="AZ63" i="1" s="1"/>
  <c r="AY64" i="1"/>
  <c r="AZ64" i="1"/>
  <c r="AY65" i="1"/>
  <c r="AZ65" i="1"/>
  <c r="AY66" i="1"/>
  <c r="AZ66" i="1" s="1"/>
  <c r="AY67" i="1"/>
  <c r="AZ67" i="1" s="1"/>
  <c r="AY68" i="1"/>
  <c r="AZ68" i="1" s="1"/>
  <c r="AY69" i="1"/>
  <c r="AZ69" i="1" s="1"/>
  <c r="AY70" i="1"/>
  <c r="AZ70" i="1" s="1"/>
  <c r="AY71" i="1"/>
  <c r="AZ71" i="1" s="1"/>
  <c r="AY72" i="1"/>
  <c r="AZ72" i="1" s="1"/>
  <c r="AY73" i="1"/>
  <c r="AZ73" i="1"/>
  <c r="AY74" i="1"/>
  <c r="AZ74" i="1" s="1"/>
  <c r="AY75" i="1"/>
  <c r="AZ75" i="1" s="1"/>
  <c r="AY76" i="1"/>
  <c r="AZ76" i="1" s="1"/>
  <c r="AY77" i="1"/>
  <c r="AZ77" i="1" s="1"/>
  <c r="AY78" i="1"/>
  <c r="AZ78" i="1" s="1"/>
  <c r="AY79" i="1"/>
  <c r="AZ79" i="1" s="1"/>
  <c r="AY80" i="1"/>
  <c r="AZ80" i="1" s="1"/>
  <c r="AY81" i="1"/>
  <c r="AZ81" i="1"/>
  <c r="AY82" i="1"/>
  <c r="AZ82" i="1" s="1"/>
  <c r="AY83" i="1"/>
  <c r="AZ83" i="1" s="1"/>
  <c r="AY84" i="1"/>
  <c r="AZ84" i="1" s="1"/>
  <c r="AY85" i="1"/>
  <c r="AZ85" i="1" s="1"/>
  <c r="AY86" i="1"/>
  <c r="AZ86" i="1"/>
  <c r="AY87" i="1"/>
  <c r="AZ87" i="1"/>
  <c r="AY88" i="1"/>
  <c r="AZ88" i="1"/>
  <c r="AY89" i="1"/>
  <c r="AZ89" i="1"/>
  <c r="AY90" i="1"/>
  <c r="AZ90" i="1" s="1"/>
  <c r="AY91" i="1"/>
  <c r="AZ91" i="1" s="1"/>
  <c r="AY92" i="1"/>
  <c r="AZ92" i="1" s="1"/>
  <c r="AY93" i="1"/>
  <c r="AZ93" i="1" s="1"/>
  <c r="AY94" i="1"/>
  <c r="AZ94" i="1" s="1"/>
  <c r="AY95" i="1"/>
  <c r="AZ95" i="1" s="1"/>
  <c r="AY96" i="1"/>
  <c r="AZ96" i="1"/>
  <c r="AY97" i="1"/>
  <c r="AZ97" i="1"/>
  <c r="AY98" i="1"/>
  <c r="AZ98" i="1" s="1"/>
  <c r="AY176" i="1"/>
  <c r="AZ176" i="1" s="1"/>
  <c r="AY177" i="1"/>
  <c r="AZ177" i="1" s="1"/>
  <c r="AY178" i="1"/>
  <c r="AZ178" i="1"/>
  <c r="AY183" i="1"/>
  <c r="AZ183" i="1"/>
  <c r="AY185" i="1"/>
  <c r="AZ185" i="1"/>
  <c r="AY191" i="1"/>
  <c r="AZ191" i="1"/>
  <c r="AY193" i="1"/>
  <c r="AZ193" i="1" s="1"/>
  <c r="AY194" i="1"/>
  <c r="AZ194" i="1" s="1"/>
  <c r="AY196" i="1"/>
  <c r="AZ196" i="1" s="1"/>
  <c r="AY197" i="1"/>
  <c r="AZ197" i="1" s="1"/>
  <c r="AY198" i="1"/>
  <c r="AZ198" i="1" s="1"/>
  <c r="AY199" i="1"/>
  <c r="AZ199" i="1"/>
  <c r="AY200" i="1"/>
  <c r="AZ200" i="1" s="1"/>
  <c r="AY201" i="1"/>
  <c r="AZ201" i="1" s="1"/>
  <c r="AY202" i="1"/>
  <c r="AZ202" i="1"/>
  <c r="AY203" i="1"/>
  <c r="AZ203" i="1" s="1"/>
  <c r="AY204" i="1"/>
  <c r="AZ204" i="1" s="1"/>
  <c r="AY205" i="1"/>
  <c r="AZ205" i="1"/>
  <c r="AY206" i="1"/>
  <c r="AZ206" i="1" s="1"/>
  <c r="AY207" i="1"/>
  <c r="AZ207" i="1" s="1"/>
  <c r="AY208" i="1"/>
  <c r="AZ208" i="1" s="1"/>
  <c r="AY209" i="1"/>
  <c r="AZ209" i="1"/>
  <c r="AY210" i="1"/>
  <c r="AZ210" i="1" s="1"/>
  <c r="AY211" i="1"/>
  <c r="AZ211" i="1" s="1"/>
  <c r="AY212" i="1"/>
  <c r="AZ212" i="1" s="1"/>
  <c r="AY213" i="1"/>
  <c r="AZ213" i="1"/>
  <c r="AY216" i="1"/>
  <c r="AZ216" i="1"/>
  <c r="AY217" i="1"/>
  <c r="AZ217" i="1"/>
  <c r="AY218" i="1"/>
  <c r="AZ218" i="1" s="1"/>
  <c r="AY219" i="1"/>
  <c r="AZ219" i="1" s="1"/>
  <c r="AY220" i="1"/>
  <c r="AZ220" i="1" s="1"/>
  <c r="AY221" i="1"/>
  <c r="AZ221" i="1" s="1"/>
  <c r="AY222" i="1"/>
  <c r="AZ222" i="1"/>
  <c r="AY223" i="1"/>
  <c r="AZ223" i="1"/>
  <c r="AY224" i="1"/>
  <c r="AZ224" i="1"/>
  <c r="AY225" i="1"/>
  <c r="AZ225" i="1" s="1"/>
  <c r="AY226" i="1"/>
  <c r="AZ226" i="1"/>
  <c r="AY227" i="1"/>
  <c r="AZ227" i="1"/>
  <c r="AY230" i="1"/>
  <c r="AZ230" i="1" s="1"/>
  <c r="AY231" i="1"/>
  <c r="AZ231" i="1" s="1"/>
  <c r="AY232" i="1"/>
  <c r="AZ232" i="1"/>
  <c r="AY236" i="1"/>
  <c r="AZ236" i="1"/>
  <c r="AY241" i="1"/>
  <c r="AZ241" i="1"/>
  <c r="AY243" i="1"/>
  <c r="AZ243" i="1" s="1"/>
  <c r="AY251" i="1"/>
  <c r="AZ251" i="1"/>
  <c r="AY252" i="1"/>
  <c r="AZ252" i="1"/>
  <c r="AY254" i="1"/>
  <c r="AZ254" i="1"/>
  <c r="AY256" i="1"/>
  <c r="AZ256" i="1" s="1"/>
  <c r="AY258" i="1"/>
  <c r="AZ258" i="1"/>
  <c r="AY262" i="1"/>
  <c r="AZ262" i="1" s="1"/>
  <c r="AY265" i="1"/>
  <c r="AZ265" i="1" s="1"/>
  <c r="AY267" i="1"/>
  <c r="AZ267" i="1"/>
  <c r="AY268" i="1"/>
  <c r="AZ268" i="1"/>
  <c r="AY271" i="1"/>
  <c r="AZ271" i="1"/>
  <c r="AY272" i="1"/>
  <c r="AZ272" i="1"/>
  <c r="AY274" i="1"/>
  <c r="AZ274" i="1" s="1"/>
  <c r="AY277" i="1"/>
  <c r="AZ277" i="1" s="1"/>
  <c r="AY282" i="1"/>
  <c r="AZ282" i="1"/>
  <c r="AY291" i="1"/>
  <c r="AZ291" i="1"/>
  <c r="AY292" i="1"/>
  <c r="AZ292" i="1" s="1"/>
  <c r="AY293" i="1"/>
  <c r="AZ293" i="1" s="1"/>
  <c r="AY294" i="1"/>
  <c r="AZ294" i="1" s="1"/>
  <c r="AY295" i="1"/>
  <c r="AZ295" i="1" s="1"/>
  <c r="AY296" i="1"/>
  <c r="AZ296" i="1" s="1"/>
  <c r="AY297" i="1"/>
  <c r="AZ297" i="1" s="1"/>
  <c r="AY298" i="1"/>
  <c r="AZ298" i="1"/>
  <c r="AY299" i="1"/>
  <c r="AZ299" i="1" s="1"/>
  <c r="AY300" i="1"/>
  <c r="AZ300" i="1" s="1"/>
  <c r="AY301" i="1"/>
  <c r="AZ301" i="1"/>
  <c r="AY302" i="1"/>
  <c r="AZ302" i="1"/>
  <c r="AY303" i="1"/>
  <c r="AZ303" i="1" s="1"/>
  <c r="AY304" i="1"/>
  <c r="AZ304" i="1"/>
  <c r="AY307" i="1"/>
  <c r="AZ307" i="1"/>
  <c r="AY308" i="1"/>
  <c r="AZ308" i="1" s="1"/>
  <c r="AY309" i="1"/>
  <c r="AZ309" i="1"/>
  <c r="AY310" i="1"/>
  <c r="AZ310" i="1" s="1"/>
  <c r="AY311" i="1"/>
  <c r="AZ311" i="1" s="1"/>
  <c r="AY312" i="1"/>
  <c r="AZ312" i="1" s="1"/>
  <c r="AY313" i="1"/>
  <c r="AZ313" i="1"/>
  <c r="AY314" i="1"/>
  <c r="AZ314" i="1"/>
  <c r="AY315" i="1"/>
  <c r="AZ315" i="1"/>
  <c r="AY319" i="1"/>
  <c r="AZ319" i="1"/>
  <c r="AY320" i="1"/>
  <c r="AZ320" i="1" s="1"/>
  <c r="AY321" i="1"/>
  <c r="AZ321" i="1"/>
  <c r="AY323" i="1"/>
  <c r="AZ323" i="1"/>
  <c r="AY326" i="1"/>
  <c r="AZ326" i="1"/>
  <c r="AY327" i="1"/>
  <c r="AZ327" i="1"/>
  <c r="AY328" i="1"/>
  <c r="AZ328" i="1" s="1"/>
  <c r="AY329" i="1"/>
  <c r="AZ329" i="1" s="1"/>
  <c r="AY330" i="1"/>
  <c r="AZ330" i="1" s="1"/>
  <c r="AY332" i="1"/>
  <c r="AZ332" i="1"/>
  <c r="AY333" i="1"/>
  <c r="AZ333" i="1"/>
  <c r="AY334" i="1"/>
  <c r="AZ334" i="1" s="1"/>
  <c r="AY335" i="1"/>
  <c r="AZ335" i="1" s="1"/>
  <c r="AY336" i="1"/>
  <c r="AZ336" i="1"/>
  <c r="AY339" i="1"/>
  <c r="AZ339" i="1"/>
  <c r="AY341" i="1"/>
  <c r="AZ341" i="1"/>
  <c r="AY342" i="1"/>
  <c r="AZ342" i="1" s="1"/>
  <c r="AY344" i="1"/>
  <c r="AZ344" i="1"/>
  <c r="AY346" i="1"/>
  <c r="AZ346" i="1"/>
  <c r="AY347" i="1"/>
  <c r="AZ347" i="1"/>
  <c r="AY348" i="1"/>
  <c r="AZ348" i="1"/>
  <c r="AY349" i="1"/>
  <c r="AZ349" i="1"/>
  <c r="AY350" i="1"/>
  <c r="AZ350" i="1"/>
  <c r="AY351" i="1"/>
  <c r="AZ351" i="1"/>
  <c r="AY352" i="1"/>
  <c r="AZ352" i="1"/>
  <c r="AY354" i="1"/>
  <c r="AZ354" i="1"/>
  <c r="AY356" i="1"/>
  <c r="AZ356" i="1"/>
  <c r="AY359" i="1"/>
  <c r="AZ359" i="1"/>
  <c r="AY360" i="1"/>
  <c r="AZ360" i="1"/>
  <c r="AY361" i="1"/>
  <c r="AZ361" i="1"/>
  <c r="AY362" i="1"/>
  <c r="AZ362" i="1" s="1"/>
  <c r="AY363" i="1"/>
  <c r="AZ363" i="1"/>
  <c r="AY364" i="1"/>
  <c r="AZ364" i="1"/>
  <c r="AY365" i="1"/>
  <c r="AZ365" i="1"/>
  <c r="AY366" i="1"/>
  <c r="AZ366" i="1"/>
  <c r="AY367" i="1"/>
  <c r="AZ367" i="1"/>
  <c r="AY368" i="1"/>
  <c r="AZ368" i="1"/>
  <c r="AY369" i="1"/>
  <c r="AZ369" i="1"/>
  <c r="AY370" i="1"/>
  <c r="AZ370" i="1"/>
  <c r="AY372" i="1"/>
  <c r="AZ372" i="1"/>
  <c r="AY377" i="1"/>
  <c r="AZ377" i="1"/>
  <c r="AY378" i="1"/>
  <c r="AZ378" i="1"/>
  <c r="AY379" i="1"/>
  <c r="AZ379" i="1"/>
  <c r="AY380" i="1"/>
  <c r="AZ380" i="1" s="1"/>
  <c r="AY381" i="1"/>
  <c r="AZ381" i="1" s="1"/>
  <c r="AY382" i="1"/>
  <c r="AZ382" i="1"/>
  <c r="AY383" i="1"/>
  <c r="AZ383" i="1" s="1"/>
  <c r="AY384" i="1"/>
  <c r="AZ384" i="1"/>
  <c r="AY385" i="1"/>
  <c r="AZ385" i="1" s="1"/>
  <c r="AY386" i="1"/>
  <c r="AZ386" i="1" s="1"/>
  <c r="AY387" i="1"/>
  <c r="AZ387" i="1" s="1"/>
  <c r="AY388" i="1"/>
  <c r="AZ388" i="1"/>
  <c r="AY389" i="1"/>
  <c r="AZ389" i="1"/>
  <c r="AY390" i="1"/>
  <c r="AZ390" i="1" s="1"/>
  <c r="AY391" i="1"/>
  <c r="AZ391" i="1" s="1"/>
  <c r="AY392" i="1"/>
  <c r="AZ392" i="1" s="1"/>
  <c r="AY393" i="1"/>
  <c r="AZ393" i="1" s="1"/>
  <c r="AY394" i="1"/>
  <c r="AZ394" i="1" s="1"/>
  <c r="AY395" i="1"/>
  <c r="AZ395" i="1"/>
  <c r="AY396" i="1"/>
  <c r="AZ396" i="1"/>
  <c r="AY397" i="1"/>
  <c r="AZ397" i="1" s="1"/>
  <c r="AY398" i="1"/>
  <c r="AZ398" i="1" s="1"/>
  <c r="AY399" i="1"/>
  <c r="AZ399" i="1" s="1"/>
  <c r="AY400" i="1"/>
  <c r="AZ400" i="1"/>
  <c r="AY401" i="1"/>
  <c r="AZ401" i="1" s="1"/>
  <c r="AY402" i="1"/>
  <c r="AZ402" i="1"/>
  <c r="AY403" i="1"/>
  <c r="AZ403" i="1"/>
  <c r="AY404" i="1"/>
  <c r="AZ404" i="1"/>
  <c r="AY405" i="1"/>
  <c r="AZ405" i="1" s="1"/>
  <c r="AY406" i="1"/>
  <c r="AZ406" i="1"/>
  <c r="AY407" i="1"/>
  <c r="AZ407" i="1"/>
  <c r="AY408" i="1"/>
  <c r="AZ408" i="1"/>
  <c r="AY409" i="1"/>
  <c r="AZ409" i="1"/>
  <c r="AY410" i="1"/>
  <c r="AZ410" i="1"/>
  <c r="AY411" i="1"/>
  <c r="AZ411" i="1"/>
  <c r="AY412" i="1"/>
  <c r="AZ412" i="1"/>
  <c r="AY413" i="1"/>
  <c r="AZ413" i="1"/>
  <c r="AY414" i="1"/>
  <c r="AZ414" i="1" s="1"/>
  <c r="AY415" i="1"/>
  <c r="AZ415" i="1" s="1"/>
  <c r="AY416" i="1"/>
  <c r="AZ416" i="1"/>
  <c r="AY417" i="1"/>
  <c r="AZ417" i="1"/>
  <c r="AY418" i="1"/>
  <c r="AZ418" i="1" s="1"/>
  <c r="AY419" i="1"/>
  <c r="AZ419" i="1"/>
  <c r="AY420" i="1"/>
  <c r="AZ420" i="1"/>
  <c r="AY421" i="1"/>
  <c r="AZ421" i="1"/>
  <c r="AY422" i="1"/>
  <c r="AZ422" i="1" s="1"/>
  <c r="AY423" i="1"/>
  <c r="AZ423" i="1" s="1"/>
  <c r="AY424" i="1"/>
  <c r="AZ424" i="1"/>
  <c r="AY425" i="1"/>
  <c r="AZ425" i="1"/>
  <c r="AY426" i="1"/>
  <c r="AZ426" i="1"/>
  <c r="AY427" i="1"/>
  <c r="AZ427" i="1" s="1"/>
  <c r="AY428" i="1"/>
  <c r="AZ428" i="1"/>
  <c r="AY429" i="1"/>
  <c r="AZ429" i="1"/>
  <c r="AY430" i="1"/>
  <c r="AZ430" i="1" s="1"/>
  <c r="AY431" i="1"/>
  <c r="AZ431" i="1"/>
  <c r="AY432" i="1"/>
  <c r="AZ432" i="1"/>
  <c r="AY433" i="1"/>
  <c r="AZ433" i="1"/>
  <c r="AY434" i="1"/>
  <c r="AZ434" i="1"/>
  <c r="AY435" i="1"/>
  <c r="AZ435" i="1"/>
  <c r="AY436" i="1"/>
  <c r="AZ436" i="1"/>
  <c r="AY437" i="1"/>
  <c r="AZ437" i="1" s="1"/>
  <c r="AY438" i="1"/>
  <c r="AZ438" i="1"/>
  <c r="AY439" i="1"/>
  <c r="AZ439" i="1"/>
  <c r="AY440" i="1"/>
  <c r="AZ440" i="1"/>
  <c r="AY441" i="1"/>
  <c r="AZ441" i="1"/>
  <c r="AY442" i="1"/>
  <c r="AZ442" i="1" s="1"/>
  <c r="AY443" i="1"/>
  <c r="AZ443" i="1"/>
  <c r="AY444" i="1"/>
  <c r="AZ444" i="1" s="1"/>
  <c r="AY445" i="1"/>
  <c r="AZ445" i="1" s="1"/>
  <c r="AY446" i="1"/>
  <c r="AZ446" i="1"/>
  <c r="AY447" i="1"/>
  <c r="AZ447" i="1" s="1"/>
  <c r="AY448" i="1"/>
  <c r="AZ448" i="1"/>
  <c r="AY449" i="1"/>
  <c r="AZ449" i="1"/>
  <c r="AY450" i="1"/>
  <c r="AZ450" i="1"/>
  <c r="AY451" i="1"/>
  <c r="AZ451" i="1"/>
  <c r="AY452" i="1"/>
  <c r="AZ452" i="1" s="1"/>
  <c r="AY453" i="1"/>
  <c r="AZ453" i="1"/>
  <c r="AY454" i="1"/>
  <c r="AZ454" i="1"/>
  <c r="AY455" i="1"/>
  <c r="AZ455" i="1"/>
  <c r="AY493" i="1"/>
  <c r="AZ493" i="1"/>
  <c r="AY494" i="1"/>
  <c r="AZ494" i="1" s="1"/>
  <c r="AY495" i="1"/>
  <c r="AZ495" i="1"/>
  <c r="AY496" i="1"/>
  <c r="AZ496" i="1"/>
  <c r="AY497" i="1"/>
  <c r="AZ497" i="1" s="1"/>
  <c r="AY498" i="1"/>
  <c r="AZ498" i="1"/>
  <c r="AY499" i="1"/>
  <c r="AZ499" i="1" s="1"/>
  <c r="AY500" i="1"/>
  <c r="AZ500" i="1" s="1"/>
  <c r="AY501" i="1"/>
  <c r="AZ501" i="1" s="1"/>
  <c r="AY502" i="1"/>
  <c r="AZ502" i="1" s="1"/>
  <c r="AY504" i="1"/>
  <c r="AZ504" i="1" s="1"/>
  <c r="AY505" i="1"/>
  <c r="AZ505" i="1"/>
  <c r="AY507" i="1"/>
  <c r="AZ507" i="1"/>
  <c r="AY508" i="1"/>
  <c r="AZ508" i="1"/>
  <c r="AY509" i="1"/>
  <c r="AZ509" i="1" s="1"/>
  <c r="AY510" i="1"/>
  <c r="AZ510" i="1" s="1"/>
  <c r="AY511" i="1"/>
  <c r="AZ511" i="1" s="1"/>
  <c r="AY512" i="1"/>
  <c r="AZ512" i="1" s="1"/>
  <c r="AY513" i="1"/>
  <c r="AZ513" i="1" s="1"/>
  <c r="AY514" i="1"/>
  <c r="AZ514" i="1" s="1"/>
  <c r="AY515" i="1"/>
  <c r="AZ515" i="1" s="1"/>
  <c r="AY516" i="1"/>
  <c r="AZ516" i="1"/>
  <c r="AY517" i="1"/>
  <c r="AZ517" i="1"/>
  <c r="AY518" i="1"/>
  <c r="AZ518" i="1"/>
  <c r="AY519" i="1"/>
  <c r="AZ519" i="1"/>
  <c r="AY520" i="1"/>
  <c r="AZ520" i="1"/>
  <c r="AY521" i="1"/>
  <c r="AZ521" i="1"/>
  <c r="AY522" i="1"/>
  <c r="AZ522" i="1" s="1"/>
  <c r="AY523" i="1"/>
  <c r="AZ523" i="1"/>
  <c r="AY524" i="1"/>
  <c r="AZ524" i="1"/>
  <c r="AY525" i="1"/>
  <c r="AZ525" i="1"/>
  <c r="AY526" i="1"/>
  <c r="AZ526" i="1"/>
  <c r="AY527" i="1"/>
  <c r="AZ527" i="1"/>
  <c r="AY528" i="1"/>
  <c r="AZ528" i="1" s="1"/>
  <c r="AY529" i="1"/>
  <c r="AZ529" i="1" s="1"/>
  <c r="AY530" i="1"/>
  <c r="AZ530" i="1"/>
  <c r="AY531" i="1"/>
  <c r="AZ531" i="1"/>
  <c r="AY532" i="1"/>
  <c r="AZ532" i="1" s="1"/>
  <c r="AY533" i="1"/>
  <c r="AZ533" i="1"/>
  <c r="AY534" i="1"/>
  <c r="AZ534" i="1"/>
  <c r="AY535" i="1"/>
  <c r="AZ535" i="1"/>
  <c r="AY536" i="1"/>
  <c r="AZ536" i="1"/>
  <c r="AY537" i="1"/>
  <c r="AZ537" i="1" s="1"/>
  <c r="AY538" i="1"/>
  <c r="AZ538" i="1"/>
  <c r="AY539" i="1"/>
  <c r="AZ539" i="1" s="1"/>
  <c r="AY540" i="1"/>
  <c r="AZ540" i="1"/>
  <c r="AY541" i="1"/>
  <c r="AZ541" i="1"/>
  <c r="AY542" i="1"/>
  <c r="AZ542" i="1"/>
  <c r="AY543" i="1"/>
  <c r="AZ543" i="1"/>
  <c r="AY544" i="1"/>
  <c r="AZ544" i="1" s="1"/>
  <c r="AY545" i="1"/>
  <c r="AZ545" i="1"/>
  <c r="AY546" i="1"/>
  <c r="AZ546" i="1"/>
  <c r="AY547" i="1"/>
  <c r="AZ547" i="1" s="1"/>
  <c r="AY548" i="1"/>
  <c r="AZ548" i="1" s="1"/>
  <c r="AY549" i="1"/>
  <c r="AZ549" i="1"/>
  <c r="AY550" i="1"/>
  <c r="AZ550" i="1"/>
  <c r="AY551" i="1"/>
  <c r="AZ551" i="1"/>
  <c r="AY552" i="1"/>
  <c r="AZ552" i="1"/>
  <c r="AY553" i="1"/>
  <c r="AZ553" i="1"/>
  <c r="AY554" i="1"/>
  <c r="AZ554" i="1" s="1"/>
  <c r="AY555" i="1"/>
  <c r="AZ555" i="1" s="1"/>
  <c r="AY556" i="1"/>
  <c r="AZ556" i="1" s="1"/>
  <c r="AY557" i="1"/>
  <c r="AZ557" i="1" s="1"/>
  <c r="AY558" i="1"/>
  <c r="AZ558" i="1" s="1"/>
  <c r="AY559" i="1"/>
  <c r="AZ559" i="1" s="1"/>
  <c r="AY560" i="1"/>
  <c r="AZ560" i="1" s="1"/>
  <c r="AY561" i="1"/>
  <c r="AZ561" i="1"/>
  <c r="AY562" i="1"/>
  <c r="AZ562" i="1"/>
  <c r="AY563" i="1"/>
  <c r="AZ563" i="1"/>
  <c r="AY564" i="1"/>
  <c r="AZ564" i="1" s="1"/>
  <c r="AY565" i="1"/>
  <c r="AZ565" i="1"/>
  <c r="AY566" i="1"/>
  <c r="AZ566" i="1"/>
  <c r="AY567" i="1"/>
  <c r="AZ567" i="1"/>
  <c r="AY568" i="1"/>
  <c r="AZ568" i="1" s="1"/>
  <c r="AY569" i="1"/>
  <c r="AZ569" i="1" s="1"/>
  <c r="AY570" i="1"/>
  <c r="AZ570" i="1"/>
  <c r="AY571" i="1"/>
  <c r="AZ571" i="1" s="1"/>
  <c r="AY572" i="1"/>
  <c r="AZ572" i="1" s="1"/>
  <c r="AY2" i="1"/>
  <c r="AZ2" i="1"/>
  <c r="AY506" i="1" l="1"/>
  <c r="AZ506" i="1" s="1"/>
</calcChain>
</file>

<file path=xl/sharedStrings.xml><?xml version="1.0" encoding="utf-8"?>
<sst xmlns="http://schemas.openxmlformats.org/spreadsheetml/2006/main" count="8621" uniqueCount="2608">
  <si>
    <t>assignment_id</t>
  </si>
  <si>
    <t>index1</t>
  </si>
  <si>
    <t>assignment_status_id</t>
  </si>
  <si>
    <t>assignment_status_alias</t>
  </si>
  <si>
    <t>assignment_date_modified</t>
  </si>
  <si>
    <t>assignment_id_timestamp</t>
  </si>
  <si>
    <t>survey_period_id</t>
  </si>
  <si>
    <t>level_1_full_code</t>
  </si>
  <si>
    <t>level_1_name</t>
  </si>
  <si>
    <t>level_2_full_code</t>
  </si>
  <si>
    <t>level_2_name</t>
  </si>
  <si>
    <t>level_3_full_code</t>
  </si>
  <si>
    <t>level_4_full_code</t>
  </si>
  <si>
    <t>kategori</t>
  </si>
  <si>
    <t>kode_kbli</t>
  </si>
  <si>
    <t>nama_usaha</t>
  </si>
  <si>
    <t>metrik_tenaga_kerja</t>
  </si>
  <si>
    <t>metrik_upah_gaji</t>
  </si>
  <si>
    <t>metrik_biaya_produksi</t>
  </si>
  <si>
    <t>metrik_nilai_tambah</t>
  </si>
  <si>
    <t>metrik_total_aset</t>
  </si>
  <si>
    <t>metrik_output</t>
  </si>
  <si>
    <t>rasio_biaya_pembelian_barang_terhadap_omzet</t>
  </si>
  <si>
    <t>reklasifikasi_skala_usaha</t>
  </si>
  <si>
    <t>rasio_ntb</t>
  </si>
  <si>
    <t>produktivitas</t>
  </si>
  <si>
    <t>flag_rasio_1_output_aset</t>
  </si>
  <si>
    <t>flag_rasio_2_upah_ntb</t>
  </si>
  <si>
    <t>flag_rasio_3_ntb_output</t>
  </si>
  <si>
    <t>link_fasih_sm</t>
  </si>
  <si>
    <t>is_remark_sesuai_lapangan</t>
  </si>
  <si>
    <t>is_remark_diperbaiki</t>
  </si>
  <si>
    <t>tahun_operasi</t>
  </si>
  <si>
    <t>tk_dibayar</t>
  </si>
  <si>
    <t>tk_tdk_dibayar</t>
  </si>
  <si>
    <t>Tindak Lanjut Fasih</t>
  </si>
  <si>
    <t>da9dc88a-e154-4724-bb07-2100ed1fc06e</t>
  </si>
  <si>
    <t>APPROVED BY Pengawas</t>
  </si>
  <si>
    <t>da9dc88a-e154-4724-bb07-2100ed1fc06e_1787455505886</t>
  </si>
  <si>
    <t>fd68e454-ba45-4b85-8205-f3bf777ded24</t>
  </si>
  <si>
    <t>NUSA TENGGARA TIMUR</t>
  </si>
  <si>
    <t>FLORES TIMUR</t>
  </si>
  <si>
    <t>C</t>
  </si>
  <si>
    <t>USAHA KOPRA (ZAKARIAS)</t>
  </si>
  <si>
    <t>Mikro</t>
  </si>
  <si>
    <t>https://fasih-sm.bps.go.id/app/assignment/fd68e454-ba45-4b85-8205-f3bf777ded24/da9dc88a-e154-4724-bb07-2100ed1fc06e</t>
  </si>
  <si>
    <t>#4</t>
  </si>
  <si>
    <t>dacd1b8c-43f8-43da-90c5-913c4707b530</t>
  </si>
  <si>
    <t>dacd1b8c-43f8-43da-90c5-913c4707b530_1787725918307</t>
  </si>
  <si>
    <t>INDUSTRI KOPRA</t>
  </si>
  <si>
    <t>https://fasih-sm.bps.go.id/app/assignment/fd68e454-ba45-4b85-8205-f3bf777ded24/dacd1b8c-43f8-43da-90c5-913c4707b530</t>
  </si>
  <si>
    <t>daed60cf-ccba-4ea2-b30c-f4079a85817a</t>
  </si>
  <si>
    <t>daed60cf-ccba-4ea2-b30c-f4079a85817a_1790070019515</t>
  </si>
  <si>
    <t>USAHA KOPRA(YOSEP SABON TUPEN)</t>
  </si>
  <si>
    <t>https://fasih-sm.bps.go.id/app/assignment/fd68e454-ba45-4b85-8205-f3bf777ded24/daed60cf-ccba-4ea2-b30c-f4079a85817a</t>
  </si>
  <si>
    <t>db0927a3-ce16-4beb-bcee-f1c2df79b62b</t>
  </si>
  <si>
    <t>db0927a3-ce16-4beb-bcee-f1c2df79b62b_1787216643133</t>
  </si>
  <si>
    <t>https://fasih-sm.bps.go.id/app/assignment/fd68e454-ba45-4b85-8205-f3bf777ded24/db0927a3-ce16-4beb-bcee-f1c2df79b62b</t>
  </si>
  <si>
    <t>db3b534f-ae26-40e6-b659-b65596f48484</t>
  </si>
  <si>
    <t>db3b534f-ae26-40e6-b659-b65596f48484_1784378602903</t>
  </si>
  <si>
    <t>INDUSTRI KOPRA(MATHEUS SABON AMA)!</t>
  </si>
  <si>
    <t>https://fasih-sm.bps.go.id/app/assignment/fd68e454-ba45-4b85-8205-f3bf777ded24/db3b534f-ae26-40e6-b659-b65596f48484</t>
  </si>
  <si>
    <t>db5e8119-599b-41ab-b060-1d207c7a17a0</t>
  </si>
  <si>
    <t>db5e8119-599b-41ab-b060-1d207c7a17a0_1784090128103</t>
  </si>
  <si>
    <t>INDUSTRI KELAPA&lt;MARIUS MASANG&gt;</t>
  </si>
  <si>
    <t>0,78</t>
  </si>
  <si>
    <t>https://fasih-sm.bps.go.id/app/assignment/fd68e454-ba45-4b85-8205-f3bf777ded24/db5e8119-599b-41ab-b060-1d207c7a17a0</t>
  </si>
  <si>
    <t>db75a822-2b44-45ff-8905-7dbdaeee79fa</t>
  </si>
  <si>
    <t>db75a822-2b44-45ff-8905-7dbdaeee79fa_1789634982064</t>
  </si>
  <si>
    <t>INDUSTRI KOPRA(IDRIS TIBU)</t>
  </si>
  <si>
    <t>https://fasih-sm.bps.go.id/app/assignment/fd68e454-ba45-4b85-8205-f3bf777ded24/db75a822-2b44-45ff-8905-7dbdaeee79fa</t>
  </si>
  <si>
    <t>db8428f8-3fb9-4ebf-803f-88a2fb4a7085</t>
  </si>
  <si>
    <t>db8428f8-3fb9-4ebf-803f-88a2fb4a7085_1785912215870</t>
  </si>
  <si>
    <t>https://fasih-sm.bps.go.id/app/assignment/fd68e454-ba45-4b85-8205-f3bf777ded24/db8428f8-3fb9-4ebf-803f-88a2fb4a7085</t>
  </si>
  <si>
    <t>dbc2aa22-26c9-4178-878a-66aa32c29205</t>
  </si>
  <si>
    <t>dbc2aa22-26c9-4178-878a-66aa32c29205_1789634929370</t>
  </si>
  <si>
    <t>USAHA KOPRA (SIMON)</t>
  </si>
  <si>
    <t>0,75</t>
  </si>
  <si>
    <t>https://fasih-sm.bps.go.id/app/assignment/fd68e454-ba45-4b85-8205-f3bf777ded24/dbc2aa22-26c9-4178-878a-66aa32c29205</t>
  </si>
  <si>
    <t>dc2f49f6-9501-4661-a127-d11da86343e2</t>
  </si>
  <si>
    <t>dc2f49f6-9501-4661-a127-d11da86343e2_1788213208141</t>
  </si>
  <si>
    <t>USAHA INDUSTRI KOPRA(PASKALIS KOPONG SINA)</t>
  </si>
  <si>
    <t>https://fasih-sm.bps.go.id/app/assignment/fd68e454-ba45-4b85-8205-f3bf777ded24/dc2f49f6-9501-4661-a127-d11da86343e2</t>
  </si>
  <si>
    <t>dc30dcd9-1d9a-4aec-ab66-548cc24f3724</t>
  </si>
  <si>
    <t>EDITED BY Admin Kabupaten</t>
  </si>
  <si>
    <t>dc30dcd9-1d9a-4aec-ab66-548cc24f3724_1792302731078</t>
  </si>
  <si>
    <t>INDUSTRI KELAPA (ALOYSIUS)</t>
  </si>
  <si>
    <t>https://fasih-sm.bps.go.id/app/assignment/fd68e454-ba45-4b85-8205-f3bf777ded24/dc30dcd9-1d9a-4aec-ab66-548cc24f3724</t>
  </si>
  <si>
    <t>dc36461d-3a71-4913-b0e8-54f7134bb9f7</t>
  </si>
  <si>
    <t>dc36461d-3a71-4913-b0e8-54f7134bb9f7_1788388195095</t>
  </si>
  <si>
    <t>USAHA INDUSTRI KOPRA(SAMSIA BAREK TUPEN)</t>
  </si>
  <si>
    <t>https://fasih-sm.bps.go.id/app/assignment/fd68e454-ba45-4b85-8205-f3bf777ded24/dc36461d-3a71-4913-b0e8-54f7134bb9f7</t>
  </si>
  <si>
    <t>dc48b20b-dfb1-4ee4-b0d6-1a1deed0adf2</t>
  </si>
  <si>
    <t>dc48b20b-dfb1-4ee4-b0d6-1a1deed0adf2_1788343010684</t>
  </si>
  <si>
    <t>INDUSTRI KOPRA (KLEMENS BAN RAYA)</t>
  </si>
  <si>
    <t>https://fasih-sm.bps.go.id/app/assignment/fd68e454-ba45-4b85-8205-f3bf777ded24/dc48b20b-dfb1-4ee4-b0d6-1a1deed0adf2</t>
  </si>
  <si>
    <t>dc79a387-2be9-411b-ad04-b40e0060ca53</t>
  </si>
  <si>
    <t>dc79a387-2be9-411b-ad04-b40e0060ca53_1784090101906</t>
  </si>
  <si>
    <t>https://fasih-sm.bps.go.id/app/assignment/fd68e454-ba45-4b85-8205-f3bf777ded24/dc79a387-2be9-411b-ad04-b40e0060ca53</t>
  </si>
  <si>
    <t>dc83cf61-fac9-43e7-bd81-4875174022e3</t>
  </si>
  <si>
    <t>dc83cf61-fac9-43e7-bd81-4875174022e3_1785329516557</t>
  </si>
  <si>
    <t>USAHA INDUSTRI KOPRA (VIKTORINUS LAMA TEWELU)</t>
  </si>
  <si>
    <t>0,69</t>
  </si>
  <si>
    <t>https://fasih-sm.bps.go.id/app/assignment/fd68e454-ba45-4b85-8205-f3bf777ded24/dc83cf61-fac9-43e7-bd81-4875174022e3</t>
  </si>
  <si>
    <t>dc9457fa-8fda-40f2-adc4-fe2843229144</t>
  </si>
  <si>
    <t>dc9457fa-8fda-40f2-adc4-fe2843229144_1786262320430</t>
  </si>
  <si>
    <t>USAHA INDUSTRI KOPRA</t>
  </si>
  <si>
    <t>https://fasih-sm.bps.go.id/app/assignment/fd68e454-ba45-4b85-8205-f3bf777ded24/dc9457fa-8fda-40f2-adc4-fe2843229144</t>
  </si>
  <si>
    <t>dcaf026f-352e-49e8-8d69-480a6e3b3940</t>
  </si>
  <si>
    <t>dcaf026f-352e-49e8-8d69-480a6e3b3940_1790023155925</t>
  </si>
  <si>
    <t>USAHA KOPRA</t>
  </si>
  <si>
    <t>https://fasih-sm.bps.go.id/app/assignment/fd68e454-ba45-4b85-8205-f3bf777ded24/dcaf026f-352e-49e8-8d69-480a6e3b3940</t>
  </si>
  <si>
    <t>dccf0a22-ced4-4f2b-a775-2463dc4d9fc6</t>
  </si>
  <si>
    <t>COMPLETED BY Admin Kabupaten</t>
  </si>
  <si>
    <t>dccf0a22-ced4-4f2b-a775-2463dc4d9fc6_1792542650232</t>
  </si>
  <si>
    <t>INDUSTRI PENGOLAHAN KELAPA&lt;HENDRIKUS OLA&gt;</t>
  </si>
  <si>
    <t>0,76</t>
  </si>
  <si>
    <t>https://fasih-sm.bps.go.id/app/assignment/fd68e454-ba45-4b85-8205-f3bf777ded24/dccf0a22-ced4-4f2b-a775-2463dc4d9fc6</t>
  </si>
  <si>
    <t>dceda477-32da-475a-a58c-3bb58e2674c2</t>
  </si>
  <si>
    <t>dceda477-32da-475a-a58c-3bb58e2674c2_1788132066662</t>
  </si>
  <si>
    <t>0,82</t>
  </si>
  <si>
    <t>https://fasih-sm.bps.go.id/app/assignment/fd68e454-ba45-4b85-8205-f3bf777ded24/dceda477-32da-475a-a58c-3bb58e2674c2</t>
  </si>
  <si>
    <t>dceeafe3-d000-429c-a79c-e5bee5a9f0f1</t>
  </si>
  <si>
    <t>dceeafe3-d000-429c-a79c-e5bee5a9f0f1_1784874373649</t>
  </si>
  <si>
    <t>USAHAN INDUSTRI KOPRA &lt;WILHELMINA SALAKAI&gt;</t>
  </si>
  <si>
    <t>0,84</t>
  </si>
  <si>
    <t>https://fasih-sm.bps.go.id/app/assignment/fd68e454-ba45-4b85-8205-f3bf777ded24/dceeafe3-d000-429c-a79c-e5bee5a9f0f1</t>
  </si>
  <si>
    <t>dd0593c1-c545-4282-aa41-618535707b79</t>
  </si>
  <si>
    <t>dd0593c1-c545-4282-aa41-618535707b79_1784090093385</t>
  </si>
  <si>
    <t>UTP INDUSTRI KELAPA&lt; KRISTINA SURAT HALI&gt;</t>
  </si>
  <si>
    <t>https://fasih-sm.bps.go.id/app/assignment/fd68e454-ba45-4b85-8205-f3bf777ded24/dd0593c1-c545-4282-aa41-618535707b79</t>
  </si>
  <si>
    <t>dd0b7eca-46c4-4bda-beda-74bba3c67bb0</t>
  </si>
  <si>
    <t>dd0b7eca-46c4-4bda-beda-74bba3c67bb0_1790005762816</t>
  </si>
  <si>
    <t>UTP INDUSTRI ( MATIAS KOPONG ANTONI)</t>
  </si>
  <si>
    <t>https://fasih-sm.bps.go.id/app/assignment/fd68e454-ba45-4b85-8205-f3bf777ded24/dd0b7eca-46c4-4bda-beda-74bba3c67bb0</t>
  </si>
  <si>
    <t>dd275136-fd5d-406f-9e7a-5d92d5e4abf6</t>
  </si>
  <si>
    <t>dd275136-fd5d-406f-9e7a-5d92d5e4abf6_1785024477119</t>
  </si>
  <si>
    <t>UTP INDUSTRI (THOMAS SOGE IKE)</t>
  </si>
  <si>
    <t>https://fasih-sm.bps.go.id/app/assignment/fd68e454-ba45-4b85-8205-f3bf777ded24/dd275136-fd5d-406f-9e7a-5d92d5e4abf6</t>
  </si>
  <si>
    <t>dd27982e-e22c-4256-b00c-a91d1c230c64</t>
  </si>
  <si>
    <t>dd27982e-e22c-4256-b00c-a91d1c230c64_1789635235797</t>
  </si>
  <si>
    <t>INDUSTRI KELAPA</t>
  </si>
  <si>
    <t>https://fasih-sm.bps.go.id/app/assignment/fd68e454-ba45-4b85-8205-f3bf777ded24/dd27982e-e22c-4256-b00c-a91d1c230c64</t>
  </si>
  <si>
    <t>dd4eac1b-4cd4-4a19-92b3-5ab24fbf34ed</t>
  </si>
  <si>
    <t>dd4eac1b-4cd4-4a19-92b3-5ab24fbf34ed_1785835748286</t>
  </si>
  <si>
    <t>USAHA KOPRA(LUKMAN LAGA BELO)</t>
  </si>
  <si>
    <t>https://fasih-sm.bps.go.id/app/assignment/fd68e454-ba45-4b85-8205-f3bf777ded24/dd4eac1b-4cd4-4a19-92b3-5ab24fbf34ed</t>
  </si>
  <si>
    <t>dd59169e-d444-4948-8e47-3781e03db700</t>
  </si>
  <si>
    <t>dd59169e-d444-4948-8e47-3781e03db700_1788124583814</t>
  </si>
  <si>
    <t>https://fasih-sm.bps.go.id/app/assignment/fd68e454-ba45-4b85-8205-f3bf777ded24/dd59169e-d444-4948-8e47-3781e03db700</t>
  </si>
  <si>
    <t>dd64ef62-655d-464a-9ade-69f7373c849e</t>
  </si>
  <si>
    <t>dd64ef62-655d-464a-9ade-69f7373c849e_1789342033542</t>
  </si>
  <si>
    <t>Industri kopra</t>
  </si>
  <si>
    <t>https://fasih-sm.bps.go.id/app/assignment/fd68e454-ba45-4b85-8205-f3bf777ded24/dd64ef62-655d-464a-9ade-69f7373c849e</t>
  </si>
  <si>
    <t>ddb8278f-83a6-4b03-aef8-b4eebc577864</t>
  </si>
  <si>
    <t>ddb8278f-83a6-4b03-aef8-b4eebc577864_1790086414697</t>
  </si>
  <si>
    <t>INDUSTRI KELAPA&lt;ABBAS ABDULLAH&gt;</t>
  </si>
  <si>
    <t>https://fasih-sm.bps.go.id/app/assignment/fd68e454-ba45-4b85-8205-f3bf777ded24/ddb8278f-83a6-4b03-aef8-b4eebc577864</t>
  </si>
  <si>
    <t>ddd0edc6-f67e-4d15-8ed0-85e5d78d2a77</t>
  </si>
  <si>
    <t>ddd0edc6-f67e-4d15-8ed0-85e5d78d2a77_1787896653190</t>
  </si>
  <si>
    <t>USAHA KOPRA(YOHANES)</t>
  </si>
  <si>
    <t>https://fasih-sm.bps.go.id/app/assignment/fd68e454-ba45-4b85-8205-f3bf777ded24/ddd0edc6-f67e-4d15-8ed0-85e5d78d2a77</t>
  </si>
  <si>
    <t>de01defd-38ea-40bc-8781-439fd7fb69ac</t>
  </si>
  <si>
    <t>de01defd-38ea-40bc-8781-439fd7fb69ac_1784124943276</t>
  </si>
  <si>
    <t>USAHA INDUSTRI KOPRA &lt;SUMARNO MASANG&gt;</t>
  </si>
  <si>
    <t>https://fasih-sm.bps.go.id/app/assignment/fd68e454-ba45-4b85-8205-f3bf777ded24/de01defd-38ea-40bc-8781-439fd7fb69ac</t>
  </si>
  <si>
    <t>de0c00fb-4a8d-422a-8c4b-49ff331f61ab</t>
  </si>
  <si>
    <t>de0c00fb-4a8d-422a-8c4b-49ff331f61ab_1792395106767</t>
  </si>
  <si>
    <t>KOPRA(KANISIUS KOPONG DATEN)</t>
  </si>
  <si>
    <t>de15b2b8-2653-409b-8d1f-b8dba1c29323</t>
  </si>
  <si>
    <t>de15b2b8-2653-409b-8d1f-b8dba1c29323_1789635069088</t>
  </si>
  <si>
    <t>UTP INDUSTRI &lt;PETRUS OLA PAYON&gt;</t>
  </si>
  <si>
    <t>https://fasih-sm.bps.go.id/app/assignment/fd68e454-ba45-4b85-8205-f3bf777ded24/de15b2b8-2653-409b-8d1f-b8dba1c29323</t>
  </si>
  <si>
    <t>de1a3235-0b51-43b1-8e88-863736c5296d</t>
  </si>
  <si>
    <t>de1a3235-0b51-43b1-8e88-863736c5296d_1792626787431</t>
  </si>
  <si>
    <t>USAHA KOPRA(AHMAD UMAR)</t>
  </si>
  <si>
    <t>https://fasih-sm.bps.go.id/app/assignment/fd68e454-ba45-4b85-8205-f3bf777ded24/de1a3235-0b51-43b1-8e88-863736c5296d</t>
  </si>
  <si>
    <t>de24b882-b345-4f69-8d5b-48c035df6bd8</t>
  </si>
  <si>
    <t>de24b882-b345-4f69-8d5b-48c035df6bd8_1788058362446</t>
  </si>
  <si>
    <t>https://fasih-sm.bps.go.id/app/assignment/fd68e454-ba45-4b85-8205-f3bf777ded24/de24b882-b345-4f69-8d5b-48c035df6bd8</t>
  </si>
  <si>
    <t>de28dfda-0327-4424-8581-be9860f98853</t>
  </si>
  <si>
    <t>de28dfda-0327-4424-8581-be9860f98853_1789635071840</t>
  </si>
  <si>
    <t>USAHA KOPRA(WILFRIDUS)</t>
  </si>
  <si>
    <t>https://fasih-sm.bps.go.id/app/assignment/fd68e454-ba45-4b85-8205-f3bf777ded24/de28dfda-0327-4424-8581-be9860f98853</t>
  </si>
  <si>
    <t>de2de3f0-6f7e-4804-a779-6a207c07ddac</t>
  </si>
  <si>
    <t>de2de3f0-6f7e-4804-a779-6a207c07ddac_1784090107286</t>
  </si>
  <si>
    <t>INDUSTRI KOPRA &lt;KORNELIA NINI KAYA&gt;</t>
  </si>
  <si>
    <t>https://fasih-sm.bps.go.id/app/assignment/fd68e454-ba45-4b85-8205-f3bf777ded24/de2de3f0-6f7e-4804-a779-6a207c07ddac</t>
  </si>
  <si>
    <t>de377741-09be-40c6-849a-fd28c7308ab2</t>
  </si>
  <si>
    <t>de377741-09be-40c6-849a-fd28c7308ab2_1785646099874</t>
  </si>
  <si>
    <t>https://fasih-sm.bps.go.id/app/assignment/fd68e454-ba45-4b85-8205-f3bf777ded24/de377741-09be-40c6-849a-fd28c7308ab2</t>
  </si>
  <si>
    <t>de3e28d4-c107-4b76-89ee-db3ab9ac9571</t>
  </si>
  <si>
    <t>de3e28d4-c107-4b76-89ee-db3ab9ac9571_1787911337714</t>
  </si>
  <si>
    <t>https://fasih-sm.bps.go.id/app/assignment/fd68e454-ba45-4b85-8205-f3bf777ded24/de3e28d4-c107-4b76-89ee-db3ab9ac9571</t>
  </si>
  <si>
    <t>de4d919b-086e-40af-b46e-bb5c216b5428</t>
  </si>
  <si>
    <t>de4d919b-086e-40af-b46e-bb5c216b5428_1788473911019</t>
  </si>
  <si>
    <t>INDUSTRI KOPRA (IGNASIUS GELEUK BAHON)</t>
  </si>
  <si>
    <t>https://fasih-sm.bps.go.id/app/assignment/fd68e454-ba45-4b85-8205-f3bf777ded24/de4d919b-086e-40af-b46e-bb5c216b5428</t>
  </si>
  <si>
    <t>de524029-e555-4248-97d0-2573a185b8c1</t>
  </si>
  <si>
    <t>de524029-e555-4248-97d0-2573a185b8c1_1787745303313</t>
  </si>
  <si>
    <t>USAHA KOPRA(MARIA UBA SINA)</t>
  </si>
  <si>
    <t>de5bd721-13ed-4d87-814a-dc1f2d81e29f</t>
  </si>
  <si>
    <t>de5bd721-13ed-4d87-814a-dc1f2d81e29f_1789992006975</t>
  </si>
  <si>
    <t>INDUSTRI KOPRA ( IRWANTO)</t>
  </si>
  <si>
    <t>https://fasih-sm.bps.go.id/app/assignment/fd68e454-ba45-4b85-8205-f3bf777ded24/de5bd721-13ed-4d87-814a-dc1f2d81e29f</t>
  </si>
  <si>
    <t>de8a4956-622e-45b3-9aa9-b6081600060b</t>
  </si>
  <si>
    <t>de8a4956-622e-45b3-9aa9-b6081600060b_1787063570036</t>
  </si>
  <si>
    <t>0,62</t>
  </si>
  <si>
    <t>https://fasih-sm.bps.go.id/app/assignment/fd68e454-ba45-4b85-8205-f3bf777ded24/de8a4956-622e-45b3-9aa9-b6081600060b</t>
  </si>
  <si>
    <t>de8cb384-e59d-491d-a65e-cd6e86e3a70a</t>
  </si>
  <si>
    <t>de8cb384-e59d-491d-a65e-cd6e86e3a70a_1787238469430</t>
  </si>
  <si>
    <t>https://fasih-sm.bps.go.id/app/assignment/fd68e454-ba45-4b85-8205-f3bf777ded24/de8cb384-e59d-491d-a65e-cd6e86e3a70a</t>
  </si>
  <si>
    <t>dea05093-1a3f-42d3-83c1-78751df6ea79</t>
  </si>
  <si>
    <t>dea05093-1a3f-42d3-83c1-78751df6ea79_1790080070897</t>
  </si>
  <si>
    <t>https://fasih-sm.bps.go.id/app/assignment/fd68e454-ba45-4b85-8205-f3bf777ded24/dea05093-1a3f-42d3-83c1-78751df6ea79</t>
  </si>
  <si>
    <t>dea572df-2aef-405f-b76b-827342bc3a5f</t>
  </si>
  <si>
    <t>dea572df-2aef-405f-b76b-827342bc3a5f_1784090241587</t>
  </si>
  <si>
    <t>INDUSTRI KOPRA &lt;YOHANES PAYONG&gt;</t>
  </si>
  <si>
    <t>https://fasih-sm.bps.go.id/app/assignment/fd68e454-ba45-4b85-8205-f3bf777ded24/dea572df-2aef-405f-b76b-827342bc3a5f</t>
  </si>
  <si>
    <t>deb72454-49d0-4a01-a9df-d85b1f128cfb</t>
  </si>
  <si>
    <t>deb72454-49d0-4a01-a9df-d85b1f128cfb_1791853479498</t>
  </si>
  <si>
    <t>https://fasih-sm.bps.go.id/app/assignment/fd68e454-ba45-4b85-8205-f3bf777ded24/deb72454-49d0-4a01-a9df-d85b1f128cfb</t>
  </si>
  <si>
    <t>debfa10d-38ea-425c-a3d6-90690880f78c</t>
  </si>
  <si>
    <t>debfa10d-38ea-425c-a3d6-90690880f78c_1792032821972</t>
  </si>
  <si>
    <t>INDUSTRI KOPRA(SALESTINUS OLA TOKAN)</t>
  </si>
  <si>
    <t>https://fasih-sm.bps.go.id/app/assignment/fd68e454-ba45-4b85-8205-f3bf777ded24/debfa10d-38ea-425c-a3d6-90690880f78c</t>
  </si>
  <si>
    <t>dedcd57d-c8d0-478e-b321-b21d200f13e8</t>
  </si>
  <si>
    <t>dedcd57d-c8d0-478e-b321-b21d200f13e8_1783294149876</t>
  </si>
  <si>
    <t>INDUSTRY KOPRA&lt;YEREMIAS LANANG SARA&gt;</t>
  </si>
  <si>
    <t>https://fasih-sm.bps.go.id/app/assignment/fd68e454-ba45-4b85-8205-f3bf777ded24/dedcd57d-c8d0-478e-b321-b21d200f13e8</t>
  </si>
  <si>
    <t>def73c3c-38b9-4062-9d81-07db98c3b050</t>
  </si>
  <si>
    <t>def73c3c-38b9-4062-9d81-07db98c3b050_1784090192802</t>
  </si>
  <si>
    <t>INDUSTRI KOPRA THERRSIA SURAT OLA &lt;THRESIA SURAT OLA&gt;</t>
  </si>
  <si>
    <t>https://fasih-sm.bps.go.id/app/assignment/fd68e454-ba45-4b85-8205-f3bf777ded24/def73c3c-38b9-4062-9d81-07db98c3b050</t>
  </si>
  <si>
    <t>df011853-a596-4427-ba6b-e91660bb70a7</t>
  </si>
  <si>
    <t>df011853-a596-4427-ba6b-e91660bb70a7_1789994339218</t>
  </si>
  <si>
    <t>USAHA INDUSTRI KOPRA &lt;CHAROLINDA KEWA&gt;</t>
  </si>
  <si>
    <t>https://fasih-sm.bps.go.id/app/assignment/fd68e454-ba45-4b85-8205-f3bf777ded24/df011853-a596-4427-ba6b-e91660bb70a7</t>
  </si>
  <si>
    <t>df0ad837-b718-4902-ae78-b695f2ebe594</t>
  </si>
  <si>
    <t>df0ad837-b718-4902-ae78-b695f2ebe594_1784614500603</t>
  </si>
  <si>
    <t>UTP INDUSTRI &lt; PAULUS SILI BOLI&gt;</t>
  </si>
  <si>
    <t>https://fasih-sm.bps.go.id/app/assignment/fd68e454-ba45-4b85-8205-f3bf777ded24/df0ad837-b718-4902-ae78-b695f2ebe594</t>
  </si>
  <si>
    <t>df0fc486-9de7-4940-8a35-2e4a0c676ff9</t>
  </si>
  <si>
    <t>df0fc486-9de7-4940-8a35-2e4a0c676ff9_1789635392721</t>
  </si>
  <si>
    <t>INDUSTRI KOPRA(NURDIN BIN MANSYUR)</t>
  </si>
  <si>
    <t>https://fasih-sm.bps.go.id/app/assignment/fd68e454-ba45-4b85-8205-f3bf777ded24/df0fc486-9de7-4940-8a35-2e4a0c676ff9</t>
  </si>
  <si>
    <t>df215d00-b3cf-41e1-afba-d46fce31382e</t>
  </si>
  <si>
    <t>df215d00-b3cf-41e1-afba-d46fce31382e_1789635077344</t>
  </si>
  <si>
    <t>INDUSTRI KELAPA&lt;AGNES DATE PAYON&gt;</t>
  </si>
  <si>
    <t>https://fasih-sm.bps.go.id/app/assignment/fd68e454-ba45-4b85-8205-f3bf777ded24/df215d00-b3cf-41e1-afba-d46fce31382e</t>
  </si>
  <si>
    <t>df51d6ad-90c9-410d-af01-2ede60ece21d</t>
  </si>
  <si>
    <t>df51d6ad-90c9-410d-af01-2ede60ece21d_1785885714851</t>
  </si>
  <si>
    <t>https://fasih-sm.bps.go.id/app/assignment/fd68e454-ba45-4b85-8205-f3bf777ded24/df51d6ad-90c9-410d-af01-2ede60ece21d</t>
  </si>
  <si>
    <t>df537e27-bbd0-4db8-b29e-9c99f11779cf</t>
  </si>
  <si>
    <t>df537e27-bbd0-4db8-b29e-9c99f11779cf_1790083013663</t>
  </si>
  <si>
    <t>https://fasih-sm.bps.go.id/app/assignment/fd68e454-ba45-4b85-8205-f3bf777ded24/df537e27-bbd0-4db8-b29e-9c99f11779cf</t>
  </si>
  <si>
    <t>df89d0b3-1f90-4200-9862-cfdc39703a62</t>
  </si>
  <si>
    <t>df89d0b3-1f90-4200-9862-cfdc39703a62_1789634970900</t>
  </si>
  <si>
    <t>UTP INDUSTRI PENGOLAHAN KELAPA(YOHANES GELEKA SANGA)</t>
  </si>
  <si>
    <t>https://fasih-sm.bps.go.id/app/assignment/fd68e454-ba45-4b85-8205-f3bf777ded24/df89d0b3-1f90-4200-9862-cfdc39703a62</t>
  </si>
  <si>
    <t>df92ecea-533f-43f2-ae71-180debf3ba13</t>
  </si>
  <si>
    <t>df92ecea-533f-43f2-ae71-180debf3ba13_1784103136177</t>
  </si>
  <si>
    <t>UTP INDUSTRI PENGOLAHAN KELAPA(LAMBERTUS EBU SILI)</t>
  </si>
  <si>
    <t>https://fasih-sm.bps.go.id/app/assignment/fd68e454-ba45-4b85-8205-f3bf777ded24/df92ecea-533f-43f2-ae71-180debf3ba13</t>
  </si>
  <si>
    <t>dfbdf316-0b1f-4e15-a95f-fcbde0d3a2ea</t>
  </si>
  <si>
    <t>dfbdf316-0b1f-4e15-a95f-fcbde0d3a2ea_1789635122777</t>
  </si>
  <si>
    <t>INDUSTRI KOPRA&lt;GABRIEL NAMA LIBUR&gt;</t>
  </si>
  <si>
    <t>https://fasih-sm.bps.go.id/app/assignment/fd68e454-ba45-4b85-8205-f3bf777ded24/dfbdf316-0b1f-4e15-a95f-fcbde0d3a2ea</t>
  </si>
  <si>
    <t>dfcfc12e-429d-4055-9ac6-748539457ead</t>
  </si>
  <si>
    <t>dfcfc12e-429d-4055-9ac6-748539457ead_1786404201648</t>
  </si>
  <si>
    <t>INDUSTRI KELAPA&lt; AISYAH BATRISA MUNIRA&gt;</t>
  </si>
  <si>
    <t>https://fasih-sm.bps.go.id/app/assignment/fd68e454-ba45-4b85-8205-f3bf777ded24/dfcfc12e-429d-4055-9ac6-748539457ead</t>
  </si>
  <si>
    <t>dfd58217-31d8-492e-9751-29d886f0265b</t>
  </si>
  <si>
    <t>dfd58217-31d8-492e-9751-29d886f0265b_1786482310432</t>
  </si>
  <si>
    <t>INDUSTRI KOPRA &lt;YOHANES&gt;</t>
  </si>
  <si>
    <t>https://fasih-sm.bps.go.id/app/assignment/fd68e454-ba45-4b85-8205-f3bf777ded24/dfd58217-31d8-492e-9751-29d886f0265b</t>
  </si>
  <si>
    <t>dfd93af6-d0d0-4c28-8285-7f75eccfce5c</t>
  </si>
  <si>
    <t>dfd93af6-d0d0-4c28-8285-7f75eccfce5c_1789635027244</t>
  </si>
  <si>
    <t>INDUSTRI KOPRA &lt;FATMA MADINAH&gt;</t>
  </si>
  <si>
    <t>https://fasih-sm.bps.go.id/app/assignment/fd68e454-ba45-4b85-8205-f3bf777ded24/dfd93af6-d0d0-4c28-8285-7f75eccfce5c</t>
  </si>
  <si>
    <t>dfee7536-7d00-4d93-a0da-91173d756503</t>
  </si>
  <si>
    <t>dfee7536-7d00-4d93-a0da-91173d756503_1790566898429</t>
  </si>
  <si>
    <t>https://fasih-sm.bps.go.id/app/assignment/fd68e454-ba45-4b85-8205-f3bf777ded24/dfee7536-7d00-4d93-a0da-91173d756503</t>
  </si>
  <si>
    <t>dff2ab19-552b-40bc-90e7-657f3713228b</t>
  </si>
  <si>
    <t>dff2ab19-552b-40bc-90e7-657f3713228b_1792270199423</t>
  </si>
  <si>
    <t>USAHA INDUSTRI KOPRA &lt;RUDOLF LEGA LAWE&gt;</t>
  </si>
  <si>
    <t>https://fasih-sm.bps.go.id/app/assignment/fd68e454-ba45-4b85-8205-f3bf777ded24/dff2ab19-552b-40bc-90e7-657f3713228b</t>
  </si>
  <si>
    <t>e003be48-f3e9-4278-ab7e-47b6bc5fc8b5</t>
  </si>
  <si>
    <t>e003be48-f3e9-4278-ab7e-47b6bc5fc8b5_1785950498287</t>
  </si>
  <si>
    <t>https://fasih-sm.bps.go.id/app/assignment/fd68e454-ba45-4b85-8205-f3bf777ded24/e003be48-f3e9-4278-ab7e-47b6bc5fc8b5</t>
  </si>
  <si>
    <t>e01635ab-3d9d-4b7c-9782-802d05cddb39</t>
  </si>
  <si>
    <t>e01635ab-3d9d-4b7c-9782-802d05cddb39_1790068436061</t>
  </si>
  <si>
    <t>UTP INDUSTRI KOPRA ( ANTONIUS M. SAFERIUS)</t>
  </si>
  <si>
    <t>https://fasih-sm.bps.go.id/app/assignment/fd68e454-ba45-4b85-8205-f3bf777ded24/e01635ab-3d9d-4b7c-9782-802d05cddb39</t>
  </si>
  <si>
    <t>e0271df1-e0b2-407b-83da-87fa6bfb5926</t>
  </si>
  <si>
    <t>e0271df1-e0b2-407b-83da-87fa6bfb5926_1789790373642</t>
  </si>
  <si>
    <t>INDUSTRI KELAPA&lt;AHMAD PAYONG&gt;</t>
  </si>
  <si>
    <t>https://fasih-sm.bps.go.id/app/assignment/fd68e454-ba45-4b85-8205-f3bf777ded24/e0271df1-e0b2-407b-83da-87fa6bfb5926</t>
  </si>
  <si>
    <t>e0507d8d-d8d1-4026-9c89-2bcefc2a3029</t>
  </si>
  <si>
    <t>e0507d8d-d8d1-4026-9c89-2bcefc2a3029_1790566899005</t>
  </si>
  <si>
    <t>INDUSTRI KOPRA&lt;ABDULLAH TALIB&gt;</t>
  </si>
  <si>
    <t>https://fasih-sm.bps.go.id/app/assignment/fd68e454-ba45-4b85-8205-f3bf777ded24/e0507d8d-d8d1-4026-9c89-2bcefc2a3029</t>
  </si>
  <si>
    <t>e05b8105-f685-4c26-a78a-de58052d1f8b</t>
  </si>
  <si>
    <t>e05b8105-f685-4c26-a78a-de58052d1f8b_1786080273131</t>
  </si>
  <si>
    <t>INDUSTRI KOPRA &lt;YOHANES LAGA MASAN&gt;</t>
  </si>
  <si>
    <t>https://fasih-sm.bps.go.id/app/assignment/fd68e454-ba45-4b85-8205-f3bf777ded24/e05b8105-f685-4c26-a78a-de58052d1f8b</t>
  </si>
  <si>
    <t>e078b223-316b-403b-ac2f-80214bb1a3b3</t>
  </si>
  <si>
    <t>e078b223-316b-403b-ac2f-80214bb1a3b3_1789661724160</t>
  </si>
  <si>
    <t>INDUSTRI KOPRA(MAZRUDIN SULAIMAN)</t>
  </si>
  <si>
    <t>https://fasih-sm.bps.go.id/app/assignment/fd68e454-ba45-4b85-8205-f3bf777ded24/e078b223-316b-403b-ac2f-80214bb1a3b3</t>
  </si>
  <si>
    <t>e0846627-09e9-408e-b4e1-1ceed4c3076a</t>
  </si>
  <si>
    <t>e0846627-09e9-408e-b4e1-1ceed4c3076a_1787797757315</t>
  </si>
  <si>
    <t>INDUSTRI KOPRA PAULUS PAJO RURON</t>
  </si>
  <si>
    <t>https://fasih-sm.bps.go.id/app/assignment/fd68e454-ba45-4b85-8205-f3bf777ded24/e0846627-09e9-408e-b4e1-1ceed4c3076a</t>
  </si>
  <si>
    <t>e0940408-4c68-43d8-bbd6-80efd90d8ad0</t>
  </si>
  <si>
    <t>e0940408-4c68-43d8-bbd6-80efd90d8ad0_1786006639696</t>
  </si>
  <si>
    <t>USAHA INDUSTRI KOPRA (ABIDIN BOLI WURAN)</t>
  </si>
  <si>
    <t>https://fasih-sm.bps.go.id/app/assignment/fd68e454-ba45-4b85-8205-f3bf777ded24/e0940408-4c68-43d8-bbd6-80efd90d8ad0</t>
  </si>
  <si>
    <t>e0cc8017-0c31-4547-9e6f-6b5f9889b9bd</t>
  </si>
  <si>
    <t>e0cc8017-0c31-4547-9e6f-6b5f9889b9bd_1789635190560</t>
  </si>
  <si>
    <t>USAHA INDUSTRI KOPRA (NIKOLAUS BERNO TOBI)</t>
  </si>
  <si>
    <t>https://fasih-sm.bps.go.id/app/assignment/fd68e454-ba45-4b85-8205-f3bf777ded24/e0cc8017-0c31-4547-9e6f-6b5f9889b9bd</t>
  </si>
  <si>
    <t>e0d18ed7-c9b9-4c56-93c0-56d624ef13e2</t>
  </si>
  <si>
    <t>e0d18ed7-c9b9-4c56-93c0-56d624ef13e2_1787296220918</t>
  </si>
  <si>
    <t>UTP INDUSTRI &lt;PAULUS MITEN LEIN&gt;</t>
  </si>
  <si>
    <t>https://fasih-sm.bps.go.id/app/assignment/fd68e454-ba45-4b85-8205-f3bf777ded24/e0d18ed7-c9b9-4c56-93c0-56d624ef13e2</t>
  </si>
  <si>
    <t>e0dc79f1-93b2-4a1a-9d10-d81322b40004</t>
  </si>
  <si>
    <t>e0dc79f1-93b2-4a1a-9d10-d81322b40004_1787958342603</t>
  </si>
  <si>
    <t>INDUSTRI KOPRA (WILHELMUS WISOK BORO)</t>
  </si>
  <si>
    <t>https://fasih-sm.bps.go.id/app/assignment/fd68e454-ba45-4b85-8205-f3bf777ded24/e0dc79f1-93b2-4a1a-9d10-d81322b40004</t>
  </si>
  <si>
    <t>e0ddd687-755a-4b72-a936-2daec107ea56</t>
  </si>
  <si>
    <t>e0ddd687-755a-4b72-a936-2daec107ea56_1788043301143</t>
  </si>
  <si>
    <t>UPT KEBUN KELAPA&lt;MARIA MASI BALA&gt;</t>
  </si>
  <si>
    <t>https://fasih-sm.bps.go.id/app/assignment/fd68e454-ba45-4b85-8205-f3bf777ded24/e0ddd687-755a-4b72-a936-2daec107ea56</t>
  </si>
  <si>
    <t>e11dffbc-d620-424a-8a81-27d259f797fc</t>
  </si>
  <si>
    <t>e11dffbc-d620-424a-8a81-27d259f797fc_1788037896868</t>
  </si>
  <si>
    <t>https://fasih-sm.bps.go.id/app/assignment/fd68e454-ba45-4b85-8205-f3bf777ded24/e11dffbc-d620-424a-8a81-27d259f797fc</t>
  </si>
  <si>
    <t>e1307611-9734-4f62-b574-8a3632c25206</t>
  </si>
  <si>
    <t>e1307611-9734-4f62-b574-8a3632c25206_1786947038382</t>
  </si>
  <si>
    <t>INDUSTRI KOPRA &lt;FRANSISKA BAO MANGU&gt;</t>
  </si>
  <si>
    <t>0,92</t>
  </si>
  <si>
    <t>https://fasih-sm.bps.go.id/app/assignment/fd68e454-ba45-4b85-8205-f3bf777ded24/e1307611-9734-4f62-b574-8a3632c25206</t>
  </si>
  <si>
    <t>e132ea21-48ec-4a84-8fd3-598ed0399662</t>
  </si>
  <si>
    <t>e132ea21-48ec-4a84-8fd3-598ed0399662_1784354786687</t>
  </si>
  <si>
    <t>INDUSTRI KELAPA &lt;KRISTOFORUS ARA&gt;</t>
  </si>
  <si>
    <t>https://fasih-sm.bps.go.id/app/assignment/fd68e454-ba45-4b85-8205-f3bf777ded24/e132ea21-48ec-4a84-8fd3-598ed0399662</t>
  </si>
  <si>
    <t>e1a0a4f0-7a4a-4eb9-87d6-bcdb1cc8c09d</t>
  </si>
  <si>
    <t>e1a0a4f0-7a4a-4eb9-87d6-bcdb1cc8c09d_1789635537885</t>
  </si>
  <si>
    <t>INDUSTRI KELAPA&lt; HERIBERTUS BORO&gt;</t>
  </si>
  <si>
    <t>https://fasih-sm.bps.go.id/app/assignment/fd68e454-ba45-4b85-8205-f3bf777ded24/e1a0a4f0-7a4a-4eb9-87d6-bcdb1cc8c09d</t>
  </si>
  <si>
    <t>e1b256cd-f9ce-4361-ab0a-cd1a9e3f268c</t>
  </si>
  <si>
    <t>e1b256cd-f9ce-4361-ab0a-cd1a9e3f268c_1787129103744</t>
  </si>
  <si>
    <t>INDUSTRI KOPRA APOLONIUS ILE SUKUN</t>
  </si>
  <si>
    <t>https://fasih-sm.bps.go.id/app/assignment/fd68e454-ba45-4b85-8205-f3bf777ded24/e1b256cd-f9ce-4361-ab0a-cd1a9e3f268c</t>
  </si>
  <si>
    <t>e1d38074-0e05-44e0-9434-15e729453c9c</t>
  </si>
  <si>
    <t>e1d38074-0e05-44e0-9434-15e729453c9c_1789635313854</t>
  </si>
  <si>
    <t>INDUSTRI KELAPA &lt;ANNISA BENGAN TUPEN&gt;</t>
  </si>
  <si>
    <t>https://fasih-sm.bps.go.id/app/assignment/fd68e454-ba45-4b85-8205-f3bf777ded24/e1d38074-0e05-44e0-9434-15e729453c9c</t>
  </si>
  <si>
    <t>e1e3698e-4c5f-47a1-9372-e5512dd8a7b1</t>
  </si>
  <si>
    <t>e1e3698e-4c5f-47a1-9372-e5512dd8a7b1_1789635556015</t>
  </si>
  <si>
    <t>UPT PERKEBUNAN KOPRA</t>
  </si>
  <si>
    <t>https://fasih-sm.bps.go.id/app/assignment/fd68e454-ba45-4b85-8205-f3bf777ded24/e1e3698e-4c5f-47a1-9372-e5512dd8a7b1</t>
  </si>
  <si>
    <t>e1e5a620-26ce-4161-ac3e-5d0ab8d6cb21</t>
  </si>
  <si>
    <t>e1e5a620-26ce-4161-ac3e-5d0ab8d6cb21_1789994304435</t>
  </si>
  <si>
    <t>USAHA PERKEBUNAN KOPRA</t>
  </si>
  <si>
    <t>0,98</t>
  </si>
  <si>
    <t>https://fasih-sm.bps.go.id/app/assignment/fd68e454-ba45-4b85-8205-f3bf777ded24/e1e5a620-26ce-4161-ac3e-5d0ab8d6cb21</t>
  </si>
  <si>
    <t>e1f7130f-3756-4c2d-b55e-dfb7a28317cf</t>
  </si>
  <si>
    <t>e1f7130f-3756-4c2d-b55e-dfb7a28317cf_1791946235795</t>
  </si>
  <si>
    <t>INDUSTRI KELAPA &lt; PETRUS BENA BENI&gt;</t>
  </si>
  <si>
    <t>https://fasih-sm.bps.go.id/app/assignment/fd68e454-ba45-4b85-8205-f3bf777ded24/e1f7130f-3756-4c2d-b55e-dfb7a28317cf</t>
  </si>
  <si>
    <t>e201f06c-c564-44af-bb99-bc6d76e3be9a</t>
  </si>
  <si>
    <t>e201f06c-c564-44af-bb99-bc6d76e3be9a_1788257102054</t>
  </si>
  <si>
    <t>https://fasih-sm.bps.go.id/app/assignment/fd68e454-ba45-4b85-8205-f3bf777ded24/e201f06c-c564-44af-bb99-bc6d76e3be9a</t>
  </si>
  <si>
    <t>e220b515-2497-46b6-9538-a395b07a869a</t>
  </si>
  <si>
    <t>e220b515-2497-46b6-9538-a395b07a869a_1792504138975</t>
  </si>
  <si>
    <t>INDUSTRI KELAPA&lt;IKHSAN TAMRIN&gt;</t>
  </si>
  <si>
    <t>https://fasih-sm.bps.go.id/app/assignment/fd68e454-ba45-4b85-8205-f3bf777ded24/e220b515-2497-46b6-9538-a395b07a869a</t>
  </si>
  <si>
    <t>e229e677-06f4-4261-82d2-e25172cbc0fd</t>
  </si>
  <si>
    <t>e229e677-06f4-4261-82d2-e25172cbc0fd_1790562541049</t>
  </si>
  <si>
    <t>INDUSTRI KOPRA (LUKAS KEBESA ARAKIAN)</t>
  </si>
  <si>
    <t>https://fasih-sm.bps.go.id/app/assignment/fd68e454-ba45-4b85-8205-f3bf777ded24/e229e677-06f4-4261-82d2-e25172cbc0fd</t>
  </si>
  <si>
    <t>e23126cc-c93b-453b-889a-c446dcf6b97c</t>
  </si>
  <si>
    <t>e23126cc-c93b-453b-889a-c446dcf6b97c_1791773711153</t>
  </si>
  <si>
    <t>INDUSTRI KOPRA(HERMANUS OLA MANGU)</t>
  </si>
  <si>
    <t>https://fasih-sm.bps.go.id/app/assignment/fd68e454-ba45-4b85-8205-f3bf777ded24/e23126cc-c93b-453b-889a-c446dcf6b97c</t>
  </si>
  <si>
    <t>e238273b-e9ed-412a-a7cd-24e73d9ccb03</t>
  </si>
  <si>
    <t>e238273b-e9ed-412a-a7cd-24e73d9ccb03_1785025211384</t>
  </si>
  <si>
    <t>UTP INDUSTRI ( PETRUS ROMAN)</t>
  </si>
  <si>
    <t>e26ce431-dade-4d30-bb7a-803b4d9b97e2</t>
  </si>
  <si>
    <t>e26ce431-dade-4d30-bb7a-803b4d9b97e2_1784805655732</t>
  </si>
  <si>
    <t>USAHA INDUSTRI KOPRA &lt;PETRUS KOPONG&gt;</t>
  </si>
  <si>
    <t>https://fasih-sm.bps.go.id/app/assignment/fd68e454-ba45-4b85-8205-f3bf777ded24/e26ce431-dade-4d30-bb7a-803b4d9b97e2</t>
  </si>
  <si>
    <t>e28f988c-51fe-4ae8-ab12-325550cbc7a1</t>
  </si>
  <si>
    <t>e28f988c-51fe-4ae8-ab12-325550cbc7a1_1789661714571</t>
  </si>
  <si>
    <t>INDUSTRI KOPRA&lt;STEFANUS PAYONG RAPOK&gt;</t>
  </si>
  <si>
    <t>https://fasih-sm.bps.go.id/app/assignment/fd68e454-ba45-4b85-8205-f3bf777ded24/e28f988c-51fe-4ae8-ab12-325550cbc7a1</t>
  </si>
  <si>
    <t>e29084d7-1eb8-4058-a48c-be6aee3d4ac7</t>
  </si>
  <si>
    <t>e29084d7-1eb8-4058-a48c-be6aee3d4ac7_1789661715835</t>
  </si>
  <si>
    <t>USAHA INDUSTRI KOPRA (HENDRIKUS JONI TOBI)</t>
  </si>
  <si>
    <t>https://fasih-sm.bps.go.id/app/assignment/fd68e454-ba45-4b85-8205-f3bf777ded24/e29084d7-1eb8-4058-a48c-be6aee3d4ac7</t>
  </si>
  <si>
    <t>e29b7f5d-615f-4a76-8c35-3dac6e3c622e</t>
  </si>
  <si>
    <t>e29b7f5d-615f-4a76-8c35-3dac6e3c622e_1789635491536</t>
  </si>
  <si>
    <t>UTP INDUSTRI &lt;SIPRIANUS LAGA&gt;</t>
  </si>
  <si>
    <t>https://fasih-sm.bps.go.id/app/assignment/fd68e454-ba45-4b85-8205-f3bf777ded24/e29b7f5d-615f-4a76-8c35-3dac6e3c622e</t>
  </si>
  <si>
    <t>e2a17965-3dac-411b-94d2-5f705f2f3ec6</t>
  </si>
  <si>
    <t>e2a17965-3dac-411b-94d2-5f705f2f3ec6_1784811020476</t>
  </si>
  <si>
    <t>USAHA KOPRA( EUPHEMIA?</t>
  </si>
  <si>
    <t>https://fasih-sm.bps.go.id/app/assignment/fd68e454-ba45-4b85-8205-f3bf777ded24/e2a17965-3dac-411b-94d2-5f705f2f3ec6</t>
  </si>
  <si>
    <t>e2ada05c-d7c8-4766-89b2-e7cb68351c87</t>
  </si>
  <si>
    <t>e2ada05c-d7c8-4766-89b2-e7cb68351c87_1789986883013</t>
  </si>
  <si>
    <t>https://fasih-sm.bps.go.id/app/assignment/fd68e454-ba45-4b85-8205-f3bf777ded24/e2ada05c-d7c8-4766-89b2-e7cb68351c87</t>
  </si>
  <si>
    <t>e2dde351-702e-4720-a953-ebbf1b92ae6b</t>
  </si>
  <si>
    <t>e2dde351-702e-4720-a953-ebbf1b92ae6b_1789635512674</t>
  </si>
  <si>
    <t>INDUSTRI KOPRA(HENDRIKUS OLA BEBE)</t>
  </si>
  <si>
    <t>https://fasih-sm.bps.go.id/app/assignment/fd68e454-ba45-4b85-8205-f3bf777ded24/e2dde351-702e-4720-a953-ebbf1b92ae6b</t>
  </si>
  <si>
    <t>e2e8a158-b741-4099-be84-82174369fc4c</t>
  </si>
  <si>
    <t>e2e8a158-b741-4099-be84-82174369fc4c_1786926644554</t>
  </si>
  <si>
    <t>https://fasih-sm.bps.go.id/app/assignment/fd68e454-ba45-4b85-8205-f3bf777ded24/e2e8a158-b741-4099-be84-82174369fc4c</t>
  </si>
  <si>
    <t>e3054d0b-2ac5-4571-997b-4a390ad9043a</t>
  </si>
  <si>
    <t>e3054d0b-2ac5-4571-997b-4a390ad9043a_1790566898570</t>
  </si>
  <si>
    <t>https://fasih-sm.bps.go.id/app/assignment/fd68e454-ba45-4b85-8205-f3bf777ded24/e3054d0b-2ac5-4571-997b-4a390ad9043a</t>
  </si>
  <si>
    <t>e3190bd4-2d37-423c-b518-7509c188b60f</t>
  </si>
  <si>
    <t>e3190bd4-2d37-423c-b518-7509c188b60f_1784805525621</t>
  </si>
  <si>
    <t>USAHA INDUSTRI KOPRA &lt;PETRUS MAMUN&gt;</t>
  </si>
  <si>
    <t>https://fasih-sm.bps.go.id/app/assignment/fd68e454-ba45-4b85-8205-f3bf777ded24/e3190bd4-2d37-423c-b518-7509c188b60f</t>
  </si>
  <si>
    <t>e3221083-f0f6-4a3a-9978-e68b22b732f5</t>
  </si>
  <si>
    <t>e3221083-f0f6-4a3a-9978-e68b22b732f5_1786925100830</t>
  </si>
  <si>
    <t>INDUSTRI (MATEUS MEHE HABAN)</t>
  </si>
  <si>
    <t>https://fasih-sm.bps.go.id/app/assignment/fd68e454-ba45-4b85-8205-f3bf777ded24/e3221083-f0f6-4a3a-9978-e68b22b732f5</t>
  </si>
  <si>
    <t>e326c8b1-7104-4174-8701-d4279ff4a3f9</t>
  </si>
  <si>
    <t>e326c8b1-7104-4174-8701-d4279ff4a3f9_1790067302869</t>
  </si>
  <si>
    <t>INDUSTRI KOPRA (YOHANES EBANG OLA)</t>
  </si>
  <si>
    <t>https://fasih-sm.bps.go.id/app/assignment/fd68e454-ba45-4b85-8205-f3bf777ded24/e326c8b1-7104-4174-8701-d4279ff4a3f9</t>
  </si>
  <si>
    <t>e327b026-b84f-4c90-9bbf-486e198b70bb</t>
  </si>
  <si>
    <t>e327b026-b84f-4c90-9bbf-486e198b70bb_1789635494349</t>
  </si>
  <si>
    <t>USAHA KOPRA(HAYATI KEWA OLA)</t>
  </si>
  <si>
    <t>https://fasih-sm.bps.go.id/app/assignment/fd68e454-ba45-4b85-8205-f3bf777ded24/e327b026-b84f-4c90-9bbf-486e198b70bb</t>
  </si>
  <si>
    <t>e32917dd-2bf2-44ad-a13d-a9dde621dfa7</t>
  </si>
  <si>
    <t>e32917dd-2bf2-44ad-a13d-a9dde621dfa7_1789635363070</t>
  </si>
  <si>
    <t>INDUSTRI KOPRA (KARMAN KOPONG TOKAN)</t>
  </si>
  <si>
    <t>https://fasih-sm.bps.go.id/app/assignment/fd68e454-ba45-4b85-8205-f3bf777ded24/e32917dd-2bf2-44ad-a13d-a9dde621dfa7</t>
  </si>
  <si>
    <t>e3511df3-fc44-4b1d-939b-3ed1d53086f4</t>
  </si>
  <si>
    <t>e3511df3-fc44-4b1d-939b-3ed1d53086f4_1789599112268</t>
  </si>
  <si>
    <t>INDUSTRI KOPRA(ANDREY NUBA)</t>
  </si>
  <si>
    <t>https://fasih-sm.bps.go.id/app/assignment/fd68e454-ba45-4b85-8205-f3bf777ded24/e3511df3-fc44-4b1d-939b-3ed1d53086f4</t>
  </si>
  <si>
    <t>e35bbe28-70fb-4103-8664-21d61388ed6a</t>
  </si>
  <si>
    <t>e35bbe28-70fb-4103-8664-21d61388ed6a_1788265137685</t>
  </si>
  <si>
    <t>USAHA INDUSTRI KOPRA (DOMINIKUS DONI SOGE)</t>
  </si>
  <si>
    <t>https://fasih-sm.bps.go.id/app/assignment/fd68e454-ba45-4b85-8205-f3bf777ded24/e35bbe28-70fb-4103-8664-21d61388ed6a</t>
  </si>
  <si>
    <t>e35ec936-7335-4c31-9ee5-5055ad8466c0</t>
  </si>
  <si>
    <t>e35ec936-7335-4c31-9ee5-5055ad8466c0_1789426970905</t>
  </si>
  <si>
    <t>Industri kopra (Yohanes Kopong Duli)</t>
  </si>
  <si>
    <t>https://fasih-sm.bps.go.id/app/assignment/fd68e454-ba45-4b85-8205-f3bf777ded24/e35ec936-7335-4c31-9ee5-5055ad8466c0</t>
  </si>
  <si>
    <t>e3746b5f-c996-48ce-acee-af1bcaf3e85a</t>
  </si>
  <si>
    <t>e3746b5f-c996-48ce-acee-af1bcaf3e85a_1790084047955</t>
  </si>
  <si>
    <t>INDUSTRI KELAPA&lt;MOHAMMAD PADAK&gt;</t>
  </si>
  <si>
    <t>https://fasih-sm.bps.go.id/app/assignment/fd68e454-ba45-4b85-8205-f3bf777ded24/e3746b5f-c996-48ce-acee-af1bcaf3e85a</t>
  </si>
  <si>
    <t>e39a4f03-6937-4631-a1f2-77c18399edf2</t>
  </si>
  <si>
    <t>e39a4f03-6937-4631-a1f2-77c18399edf2_1786159848815</t>
  </si>
  <si>
    <t>INDUSTRI KOPRA&lt;IGNASIUS SILI NILO&gt;</t>
  </si>
  <si>
    <t>https://fasih-sm.bps.go.id/app/assignment/fd68e454-ba45-4b85-8205-f3bf777ded24/e39a4f03-6937-4631-a1f2-77c18399edf2</t>
  </si>
  <si>
    <t>e3cf5d96-0507-4f51-b662-3503c1b0880d</t>
  </si>
  <si>
    <t>e3cf5d96-0507-4f51-b662-3503c1b0880d_1786366831385</t>
  </si>
  <si>
    <t>INDUSTRI KOPRA(WILHELMUS DATON KASA RUA)</t>
  </si>
  <si>
    <t>https://fasih-sm.bps.go.id/app/assignment/fd68e454-ba45-4b85-8205-f3bf777ded24/e3cf5d96-0507-4f51-b662-3503c1b0880d</t>
  </si>
  <si>
    <t>e41c0b0c-f45a-4c8b-a152-c6e0aa1b78cd</t>
  </si>
  <si>
    <t>e41c0b0c-f45a-4c8b-a152-c6e0aa1b78cd_1790077908886</t>
  </si>
  <si>
    <t>INDUSTRI KELAPA&lt;ABDUL RAHMAN SUBAN&gt;</t>
  </si>
  <si>
    <t>https://fasih-sm.bps.go.id/app/assignment/fd68e454-ba45-4b85-8205-f3bf777ded24/e41c0b0c-f45a-4c8b-a152-c6e0aa1b78cd</t>
  </si>
  <si>
    <t>e46f8704-62f1-4a7d-b7f1-fb4954051c2e</t>
  </si>
  <si>
    <t>e46f8704-62f1-4a7d-b7f1-fb4954051c2e_1784090460176</t>
  </si>
  <si>
    <t>INDUSTRI KOPRA &lt;MARSELINUS KODA&gt;</t>
  </si>
  <si>
    <t>https://fasih-sm.bps.go.id/app/assignment/fd68e454-ba45-4b85-8205-f3bf777ded24/e46f8704-62f1-4a7d-b7f1-fb4954051c2e</t>
  </si>
  <si>
    <t>e4772494-4797-485a-98ab-d07973f8d354</t>
  </si>
  <si>
    <t>e4772494-4797-485a-98ab-d07973f8d354_1787066929176</t>
  </si>
  <si>
    <t>INDUSTRI KOPRA(DAHLAN OLA KIAN)</t>
  </si>
  <si>
    <t>https://fasih-sm.bps.go.id/app/assignment/fd68e454-ba45-4b85-8205-f3bf777ded24/e4772494-4797-485a-98ab-d07973f8d354</t>
  </si>
  <si>
    <t>e4799f81-4b46-4ace-a09a-5a3eb14032af</t>
  </si>
  <si>
    <t>e4799f81-4b46-4ace-a09a-5a3eb14032af_1784090439391</t>
  </si>
  <si>
    <t>UTP PERKEBUNAN&lt;BENEDIKTUS AMA JEKSON&gt;&gt;</t>
  </si>
  <si>
    <t>https://fasih-sm.bps.go.id/app/assignment/fd68e454-ba45-4b85-8205-f3bf777ded24/e4799f81-4b46-4ace-a09a-5a3eb14032af</t>
  </si>
  <si>
    <t>e4817a77-e6fc-4117-a445-bb699ff78116</t>
  </si>
  <si>
    <t>e4817a77-e6fc-4117-a445-bb699ff78116_1787799682571</t>
  </si>
  <si>
    <t>USAHA KOPRA (YUDAS)</t>
  </si>
  <si>
    <t>https://fasih-sm.bps.go.id/app/assignment/fd68e454-ba45-4b85-8205-f3bf777ded24/e4817a77-e6fc-4117-a445-bb699ff78116</t>
  </si>
  <si>
    <t>e483bab2-1857-4404-a8f0-638ae0285f9f</t>
  </si>
  <si>
    <t>e483bab2-1857-4404-a8f0-638ae0285f9f_1789999009426</t>
  </si>
  <si>
    <t>https://fasih-sm.bps.go.id/app/assignment/fd68e454-ba45-4b85-8205-f3bf777ded24/e483bab2-1857-4404-a8f0-638ae0285f9f</t>
  </si>
  <si>
    <t>e4d0c193-0aad-46d4-a99e-80366328d079</t>
  </si>
  <si>
    <t>e4d0c193-0aad-46d4-a99e-80366328d079_1789635539589</t>
  </si>
  <si>
    <t>https://fasih-sm.bps.go.id/app/assignment/fd68e454-ba45-4b85-8205-f3bf777ded24/e4d0c193-0aad-46d4-a99e-80366328d079</t>
  </si>
  <si>
    <t>e4ed3feb-c67a-4990-88ce-01bd9c98b9de</t>
  </si>
  <si>
    <t>e4ed3feb-c67a-4990-88ce-01bd9c98b9de_1786233893997</t>
  </si>
  <si>
    <t>UTP INDUSTRI &lt;PANGKRASIUS SABON DONI&gt;</t>
  </si>
  <si>
    <t>https://fasih-sm.bps.go.id/app/assignment/fd68e454-ba45-4b85-8205-f3bf777ded24/e4ed3feb-c67a-4990-88ce-01bd9c98b9de</t>
  </si>
  <si>
    <t>e4f4dfad-f4e9-440b-a1fb-dbda041f8a80</t>
  </si>
  <si>
    <t>e4f4dfad-f4e9-440b-a1fb-dbda041f8a80_1789635770119</t>
  </si>
  <si>
    <t>https://fasih-sm.bps.go.id/app/assignment/fd68e454-ba45-4b85-8205-f3bf777ded24/e4f4dfad-f4e9-440b-a1fb-dbda041f8a80</t>
  </si>
  <si>
    <t>e51e3c3a-d2e4-4373-a292-b92d6a595cbe</t>
  </si>
  <si>
    <t>e51e3c3a-d2e4-4373-a292-b92d6a595cbe_1789635501831</t>
  </si>
  <si>
    <t>INDUSTRI KOPRA(MUSAFAR ARIFIN)</t>
  </si>
  <si>
    <t>e5217b8a-7612-4755-acfc-34b68279b74f</t>
  </si>
  <si>
    <t>e5217b8a-7612-4755-acfc-34b68279b74f_1788096089195</t>
  </si>
  <si>
    <t>https://fasih-sm.bps.go.id/app/assignment/fd68e454-ba45-4b85-8205-f3bf777ded24/e5217b8a-7612-4755-acfc-34b68279b74f</t>
  </si>
  <si>
    <t>e5438864-ec86-439e-9479-3d67f67318d6</t>
  </si>
  <si>
    <t>e5438864-ec86-439e-9479-3d67f67318d6_1785633941693</t>
  </si>
  <si>
    <t>https://fasih-sm.bps.go.id/app/assignment/fd68e454-ba45-4b85-8205-f3bf777ded24/e5438864-ec86-439e-9479-3d67f67318d6</t>
  </si>
  <si>
    <t>e55f506c-f510-4132-bc4e-5f5458c8342a</t>
  </si>
  <si>
    <t>e55f506c-f510-4132-bc4e-5f5458c8342a_1790045691784</t>
  </si>
  <si>
    <t>INDUSTRI (LUKAS GERODA LOBAN)</t>
  </si>
  <si>
    <t>https://fasih-sm.bps.go.id/app/assignment/fd68e454-ba45-4b85-8205-f3bf777ded24/e55f506c-f510-4132-bc4e-5f5458c8342a</t>
  </si>
  <si>
    <t>e575aab3-6abb-4d4a-bfee-d8baa5342b31</t>
  </si>
  <si>
    <t>e575aab3-6abb-4d4a-bfee-d8baa5342b31_1786265305756</t>
  </si>
  <si>
    <t>USAHA INDUSTRI KOPRA &lt;RAMADHAN SAHAR&gt;</t>
  </si>
  <si>
    <t>https://fasih-sm.bps.go.id/app/assignment/fd68e454-ba45-4b85-8205-f3bf777ded24/e575aab3-6abb-4d4a-bfee-d8baa5342b31</t>
  </si>
  <si>
    <t>e5795f3b-64ed-49a9-8927-bbd3d99d7742</t>
  </si>
  <si>
    <t>e5795f3b-64ed-49a9-8927-bbd3d99d7742_1792046947723</t>
  </si>
  <si>
    <t>USAHA INDUSTRI KOPRA &lt;OKTOVIANUS HUGU&gt;</t>
  </si>
  <si>
    <t>https://fasih-sm.bps.go.id/app/assignment/fd68e454-ba45-4b85-8205-f3bf777ded24/e5795f3b-64ed-49a9-8927-bbd3d99d7742</t>
  </si>
  <si>
    <t>e5aa457d-abfd-463b-8d55-b886fb1ceb0d</t>
  </si>
  <si>
    <t>e5aa457d-abfd-463b-8d55-b886fb1ceb0d_1786784343008</t>
  </si>
  <si>
    <t>INDUSTRI KOPRA ( THOMAS OLA BOLI)</t>
  </si>
  <si>
    <t>https://fasih-sm.bps.go.id/app/assignment/fd68e454-ba45-4b85-8205-f3bf777ded24/e5aa457d-abfd-463b-8d55-b886fb1ceb0d</t>
  </si>
  <si>
    <t>e5ad439d-e4fc-403a-b403-a000a6b6f323</t>
  </si>
  <si>
    <t>e5ad439d-e4fc-403a-b403-a000a6b6f323_1784090532917</t>
  </si>
  <si>
    <t>https://fasih-sm.bps.go.id/app/assignment/fd68e454-ba45-4b85-8205-f3bf777ded24/e5ad439d-e4fc-403a-b403-a000a6b6f323</t>
  </si>
  <si>
    <t>e5b6da09-1dfa-434d-aa97-7cf2e644b554</t>
  </si>
  <si>
    <t>e5b6da09-1dfa-434d-aa97-7cf2e644b554_1789635549289</t>
  </si>
  <si>
    <t>https://fasih-sm.bps.go.id/app/assignment/fd68e454-ba45-4b85-8205-f3bf777ded24/e5b6da09-1dfa-434d-aa97-7cf2e644b554</t>
  </si>
  <si>
    <t>e5d5a5e5-88e2-4ae2-9e3d-b62a44e8b99f</t>
  </si>
  <si>
    <t>e5d5a5e5-88e2-4ae2-9e3d-b62a44e8b99f_1789167002862</t>
  </si>
  <si>
    <t>https://fasih-sm.bps.go.id/app/assignment/fd68e454-ba45-4b85-8205-f3bf777ded24/e5d5a5e5-88e2-4ae2-9e3d-b62a44e8b99f</t>
  </si>
  <si>
    <t>e5eed3f6-095e-4d3e-895a-2c9db7ba50cb</t>
  </si>
  <si>
    <t>e5eed3f6-095e-4d3e-895a-2c9db7ba50cb_1787800203906</t>
  </si>
  <si>
    <t>UTP INDUSTRI KELAPA ( RETI)</t>
  </si>
  <si>
    <t>https://fasih-sm.bps.go.id/app/assignment/fd68e454-ba45-4b85-8205-f3bf777ded24/e5eed3f6-095e-4d3e-895a-2c9db7ba50cb</t>
  </si>
  <si>
    <t>e60cd32a-fd1b-400c-a86b-e4c4adc256d8</t>
  </si>
  <si>
    <t>e60cd32a-fd1b-400c-a86b-e4c4adc256d8_1789661738616</t>
  </si>
  <si>
    <t>INDUSTRI KOPRA&lt;MARTINUS SANGA&gt;</t>
  </si>
  <si>
    <t>https://fasih-sm.bps.go.id/app/assignment/fd68e454-ba45-4b85-8205-f3bf777ded24/e60cd32a-fd1b-400c-a86b-e4c4adc256d8</t>
  </si>
  <si>
    <t>e60e43f8-cccb-4385-8745-620d35ff9197</t>
  </si>
  <si>
    <t>e60e43f8-cccb-4385-8745-620d35ff9197_1785150559684</t>
  </si>
  <si>
    <t>INDUSTRI KELAPA&lt;HAMID AHMAD&gt;</t>
  </si>
  <si>
    <t>https://fasih-sm.bps.go.id/app/assignment/fd68e454-ba45-4b85-8205-f3bf777ded24/e60e43f8-cccb-4385-8745-620d35ff9197</t>
  </si>
  <si>
    <t>e61cd3df-7c8b-4db2-a327-955cf863315e</t>
  </si>
  <si>
    <t>e61cd3df-7c8b-4db2-a327-955cf863315e_1789661737663</t>
  </si>
  <si>
    <t>INDUSTRI KOPRA&lt;FRANSISKUS RIMO SAMON&gt;</t>
  </si>
  <si>
    <t>https://fasih-sm.bps.go.id/app/assignment/fd68e454-ba45-4b85-8205-f3bf777ded24/e61cd3df-7c8b-4db2-a327-955cf863315e</t>
  </si>
  <si>
    <t>e61e745d-53b2-4f8c-8cec-3f2d7f9e5a47</t>
  </si>
  <si>
    <t>e61e745d-53b2-4f8c-8cec-3f2d7f9e5a47_1789661790719</t>
  </si>
  <si>
    <t>INDUSTRI KOPRA&lt;YOHANES NAMA HAREK&gt;</t>
  </si>
  <si>
    <t>https://fasih-sm.bps.go.id/app/assignment/fd68e454-ba45-4b85-8205-f3bf777ded24/e61e745d-53b2-4f8c-8cec-3f2d7f9e5a47</t>
  </si>
  <si>
    <t>e6225972-f229-4a0f-8384-ce86de33c24c</t>
  </si>
  <si>
    <t>e6225972-f229-4a0f-8384-ce86de33c24c_1791940156643</t>
  </si>
  <si>
    <t>USAHA INDUSTRI KOPRA &lt;ABU BAKAR SYAFRUDDIN&gt;</t>
  </si>
  <si>
    <t>https://fasih-sm.bps.go.id/app/assignment/fd68e454-ba45-4b85-8205-f3bf777ded24/e6225972-f229-4a0f-8384-ce86de33c24c</t>
  </si>
  <si>
    <t>e62469c8-ad16-4d79-a4d9-f6dbd7ffe494</t>
  </si>
  <si>
    <t>e62469c8-ad16-4d79-a4d9-f6dbd7ffe494_1786900997279</t>
  </si>
  <si>
    <t>INDUSTRI KOPRA PETRUS PREPU RURON</t>
  </si>
  <si>
    <t>https://fasih-sm.bps.go.id/app/assignment/fd68e454-ba45-4b85-8205-f3bf777ded24/e62469c8-ad16-4d79-a4d9-f6dbd7ffe494</t>
  </si>
  <si>
    <t>e634a15a-f15d-4adf-b316-d284e8f0875c</t>
  </si>
  <si>
    <t>e634a15a-f15d-4adf-b316-d284e8f0875c_1790083361869</t>
  </si>
  <si>
    <t>UTP INDUSTRI KOPRA &lt;MARTINUS GERODA LIBUR&gt;</t>
  </si>
  <si>
    <t>https://fasih-sm.bps.go.id/app/assignment/fd68e454-ba45-4b85-8205-f3bf777ded24/e634a15a-f15d-4adf-b316-d284e8f0875c</t>
  </si>
  <si>
    <t>e63f0959-483f-4df9-a767-5de9c8ce17a4</t>
  </si>
  <si>
    <t>e63f0959-483f-4df9-a767-5de9c8ce17a4_1787856238740</t>
  </si>
  <si>
    <t>INDUSTRI KOPRA&lt;ROMANUS PAYONG&gt;</t>
  </si>
  <si>
    <t>https://fasih-sm.bps.go.id/app/assignment/fd68e454-ba45-4b85-8205-f3bf777ded24/e63f0959-483f-4df9-a767-5de9c8ce17a4</t>
  </si>
  <si>
    <t>e6519768-bbcb-4f18-bd55-52600f66d3b3</t>
  </si>
  <si>
    <t>e6519768-bbcb-4f18-bd55-52600f66d3b3_1790036652147</t>
  </si>
  <si>
    <t>INDUSTRI KELAPA&lt;SURYANI SURAT&gt;</t>
  </si>
  <si>
    <t>https://fasih-sm.bps.go.id/app/assignment/fd68e454-ba45-4b85-8205-f3bf777ded24/e6519768-bbcb-4f18-bd55-52600f66d3b3</t>
  </si>
  <si>
    <t>e670a17f-2ec8-47c7-8785-148d86b976aa</t>
  </si>
  <si>
    <t>e670a17f-2ec8-47c7-8785-148d86b976aa_1787716316200</t>
  </si>
  <si>
    <t>INDUSTRI KOPRA ( STANISLAUS BOLI KIA)</t>
  </si>
  <si>
    <t>https://fasih-sm.bps.go.id/app/assignment/fd68e454-ba45-4b85-8205-f3bf777ded24/e670a17f-2ec8-47c7-8785-148d86b976aa</t>
  </si>
  <si>
    <t>e67cd3ab-c34a-4838-8ece-20d7e9bb6729</t>
  </si>
  <si>
    <t>e67cd3ab-c34a-4838-8ece-20d7e9bb6729_1788148678453</t>
  </si>
  <si>
    <t>USAHA KEBUN KELAPA KOPRA (BONEFASIUS BOLIN ARAN)</t>
  </si>
  <si>
    <t>https://fasih-sm.bps.go.id/app/assignment/fd68e454-ba45-4b85-8205-f3bf777ded24/e67cd3ab-c34a-4838-8ece-20d7e9bb6729</t>
  </si>
  <si>
    <t>e67f9c8d-ef22-4d2e-83f8-e9a216161d26</t>
  </si>
  <si>
    <t>e67f9c8d-ef22-4d2e-83f8-e9a216161d26_1792462347530</t>
  </si>
  <si>
    <t>INDUSTRI KOPRA (YUSTINUS PAYONG MOLAN)</t>
  </si>
  <si>
    <t>https://fasih-sm.bps.go.id/app/assignment/fd68e454-ba45-4b85-8205-f3bf777ded24/e67f9c8d-ef22-4d2e-83f8-e9a216161d26</t>
  </si>
  <si>
    <t>e6813b65-0a98-4ef1-8e9c-f3bcea6f245b</t>
  </si>
  <si>
    <t>e6813b65-0a98-4ef1-8e9c-f3bcea6f245b_1787839420962</t>
  </si>
  <si>
    <t>USAHA KOPRA (BERNADUS)</t>
  </si>
  <si>
    <t>https://fasih-sm.bps.go.id/app/assignment/fd68e454-ba45-4b85-8205-f3bf777ded24/e6813b65-0a98-4ef1-8e9c-f3bcea6f245b</t>
  </si>
  <si>
    <t>e6993e30-46a3-419f-8c30-f83652731dbf</t>
  </si>
  <si>
    <t>e6993e30-46a3-419f-8c30-f83652731dbf_1790072966099</t>
  </si>
  <si>
    <t>UPT PERKEBUNAN (SESILIA SABU WIDIN)</t>
  </si>
  <si>
    <t>https://fasih-sm.bps.go.id/app/assignment/fd68e454-ba45-4b85-8205-f3bf777ded24/e6993e30-46a3-419f-8c30-f83652731dbf</t>
  </si>
  <si>
    <t>e6ae27aa-f6ca-4e32-b323-4dd388c2ce0d</t>
  </si>
  <si>
    <t>e6ae27aa-f6ca-4e32-b323-4dd388c2ce0d_1784740241280</t>
  </si>
  <si>
    <t>USAHA KOPRA VERONIKA PERADA DEMON</t>
  </si>
  <si>
    <t>https://fasih-sm.bps.go.id/app/assignment/fd68e454-ba45-4b85-8205-f3bf777ded24/e6ae27aa-f6ca-4e32-b323-4dd388c2ce0d</t>
  </si>
  <si>
    <t>e6b905f8-f750-410d-a037-4a79ee69b1be</t>
  </si>
  <si>
    <t>e6b905f8-f750-410d-a037-4a79ee69b1be_1785633845292</t>
  </si>
  <si>
    <t>USAHA INDUSTRI KOPRA&lt;MARTINUS KOPONG MULI&gt;</t>
  </si>
  <si>
    <t>https://fasih-sm.bps.go.id/app/assignment/fd68e454-ba45-4b85-8205-f3bf777ded24/e6b905f8-f750-410d-a037-4a79ee69b1be</t>
  </si>
  <si>
    <t>e6c2cc6d-58b9-4699-ae71-87c8932b6c30</t>
  </si>
  <si>
    <t>e6c2cc6d-58b9-4699-ae71-87c8932b6c30_1790062448246</t>
  </si>
  <si>
    <t>UTP INDUSTRI &lt;YOHANES NARA&gt;</t>
  </si>
  <si>
    <t>https://fasih-sm.bps.go.id/app/assignment/fd68e454-ba45-4b85-8205-f3bf777ded24/e6c2cc6d-58b9-4699-ae71-87c8932b6c30</t>
  </si>
  <si>
    <t>e6cb244c-4a87-4359-8006-3712fe348bc2</t>
  </si>
  <si>
    <t>e6cb244c-4a87-4359-8006-3712fe348bc2_1784090546331</t>
  </si>
  <si>
    <t>INDUSTRI KOPRA THOMAS NAMA OLA &lt; THOMAS NAMA OLA &gt;</t>
  </si>
  <si>
    <t>https://fasih-sm.bps.go.id/app/assignment/fd68e454-ba45-4b85-8205-f3bf777ded24/e6cb244c-4a87-4359-8006-3712fe348bc2</t>
  </si>
  <si>
    <t>e6ce2a3d-9369-4ece-9953-c32ad862a670</t>
  </si>
  <si>
    <t>e6ce2a3d-9369-4ece-9953-c32ad862a670_1792307982696</t>
  </si>
  <si>
    <t>KOPRA(MARIA BAREK HALA)</t>
  </si>
  <si>
    <t>https://fasih-sm.bps.go.id/app/assignment/fd68e454-ba45-4b85-8205-f3bf777ded24/e6ce2a3d-9369-4ece-9953-c32ad862a670</t>
  </si>
  <si>
    <t>e6ec1e36-0c79-4c9d-9cec-90fdb74b5162</t>
  </si>
  <si>
    <t>e6ec1e36-0c79-4c9d-9cec-90fdb74b5162_1784307959733</t>
  </si>
  <si>
    <t>INDUSTRI KOPRA (ELIAS KOPONG HODA)</t>
  </si>
  <si>
    <t>https://fasih-sm.bps.go.id/app/assignment/fd68e454-ba45-4b85-8205-f3bf777ded24/e6ec1e36-0c79-4c9d-9cec-90fdb74b5162</t>
  </si>
  <si>
    <t>e6eec71e-5d3c-4138-9b9e-51965b905921</t>
  </si>
  <si>
    <t>e6eec71e-5d3c-4138-9b9e-51965b905921_1792649083470</t>
  </si>
  <si>
    <t>https://fasih-sm.bps.go.id/app/assignment/fd68e454-ba45-4b85-8205-f3bf777ded24/e6eec71e-5d3c-4138-9b9e-51965b905921</t>
  </si>
  <si>
    <t>e6ef140d-8faf-4909-94d1-980d4d89cfe1</t>
  </si>
  <si>
    <t>e6ef140d-8faf-4909-94d1-980d4d89cfe1_1785150271633</t>
  </si>
  <si>
    <t>USAHA INDUSTRI KOPRA &lt;AHMAD HASYIM&gt;</t>
  </si>
  <si>
    <t>https://fasih-sm.bps.go.id/app/assignment/fd68e454-ba45-4b85-8205-f3bf777ded24/e6ef140d-8faf-4909-94d1-980d4d89cfe1</t>
  </si>
  <si>
    <t>e700d18e-fdc8-41e0-81c1-2ddebbc3c2f0</t>
  </si>
  <si>
    <t>e700d18e-fdc8-41e0-81c1-2ddebbc3c2f0_1788339982709</t>
  </si>
  <si>
    <t>https://fasih-sm.bps.go.id/app/assignment/fd68e454-ba45-4b85-8205-f3bf777ded24/e700d18e-fdc8-41e0-81c1-2ddebbc3c2f0</t>
  </si>
  <si>
    <t>e7064545-28bb-4103-8212-191c0f3fe04f</t>
  </si>
  <si>
    <t>e7064545-28bb-4103-8212-191c0f3fe04f_1788940150592</t>
  </si>
  <si>
    <t>USAHA PRODUKSI KOPRA</t>
  </si>
  <si>
    <t>https://fasih-sm.bps.go.id/app/assignment/fd68e454-ba45-4b85-8205-f3bf777ded24/e7064545-28bb-4103-8212-191c0f3fe04f</t>
  </si>
  <si>
    <t>e70cb1b5-6bfe-4bf8-9cff-7b55098a8da5</t>
  </si>
  <si>
    <t>e70cb1b5-6bfe-4bf8-9cff-7b55098a8da5_1784613564264</t>
  </si>
  <si>
    <t>INDUSTRI KOPRA (PHILIPUS BITAN)</t>
  </si>
  <si>
    <t>https://fasih-sm.bps.go.id/app/assignment/fd68e454-ba45-4b85-8205-f3bf777ded24/e70cb1b5-6bfe-4bf8-9cff-7b55098a8da5</t>
  </si>
  <si>
    <t>e71e8225-d823-4385-a152-ddde4484ad81</t>
  </si>
  <si>
    <t>e71e8225-d823-4385-a152-ddde4484ad81_1787811903999</t>
  </si>
  <si>
    <t>USAHA INDUSTRI KOPRA (NURDIN LEGA BOLI TOBI)</t>
  </si>
  <si>
    <t>https://fasih-sm.bps.go.id/app/assignment/fd68e454-ba45-4b85-8205-f3bf777ded24/e71e8225-d823-4385-a152-ddde4484ad81</t>
  </si>
  <si>
    <t>e7287b9c-dfdb-4216-a7bd-f31f8de904b8</t>
  </si>
  <si>
    <t>e7287b9c-dfdb-4216-a7bd-f31f8de904b8_1791874143388</t>
  </si>
  <si>
    <t>UTP INDUSTRI KOPRA ( WILEM)</t>
  </si>
  <si>
    <t>https://fasih-sm.bps.go.id/app/assignment/fd68e454-ba45-4b85-8205-f3bf777ded24/e7287b9c-dfdb-4216-a7bd-f31f8de904b8</t>
  </si>
  <si>
    <t>e7418d2e-1395-4064-a5a7-8aa5104e0753</t>
  </si>
  <si>
    <t>e7418d2e-1395-4064-a5a7-8aa5104e0753_1789635808197</t>
  </si>
  <si>
    <t>UTP INDUSTRI PENGOLAHAN KELAPA(PETRUS NAMA)</t>
  </si>
  <si>
    <t>https://fasih-sm.bps.go.id/app/assignment/fd68e454-ba45-4b85-8205-f3bf777ded24/e7418d2e-1395-4064-a5a7-8aa5104e0753</t>
  </si>
  <si>
    <t>e74a781b-bbe1-4009-bdfb-8eae96dc4ff6</t>
  </si>
  <si>
    <t>e74a781b-bbe1-4009-bdfb-8eae96dc4ff6_1789635657374</t>
  </si>
  <si>
    <t>INDUSTRI KOPRA(MIAMAR SONGA)</t>
  </si>
  <si>
    <t>https://fasih-sm.bps.go.id/app/assignment/fd68e454-ba45-4b85-8205-f3bf777ded24/e74a781b-bbe1-4009-bdfb-8eae96dc4ff6</t>
  </si>
  <si>
    <t>e7783f2a-ed96-4737-bd19-36468e0c104f</t>
  </si>
  <si>
    <t>e7783f2a-ed96-4737-bd19-36468e0c104f_1789635920783</t>
  </si>
  <si>
    <t>https://fasih-sm.bps.go.id/app/assignment/fd68e454-ba45-4b85-8205-f3bf777ded24/e7783f2a-ed96-4737-bd19-36468e0c104f</t>
  </si>
  <si>
    <t>e7821c8a-3b57-48f0-831d-fef57460f534</t>
  </si>
  <si>
    <t>e7821c8a-3b57-48f0-831d-fef57460f534_1784090559884</t>
  </si>
  <si>
    <t>INDUSTRI KOPRA &lt;PETRUS DOSI LIBUR&gt;</t>
  </si>
  <si>
    <t>https://fasih-sm.bps.go.id/app/assignment/fd68e454-ba45-4b85-8205-f3bf777ded24/e7821c8a-3b57-48f0-831d-fef57460f534</t>
  </si>
  <si>
    <t>e78582ac-f0cb-4fc7-9906-9e4949281a11</t>
  </si>
  <si>
    <t>e78582ac-f0cb-4fc7-9906-9e4949281a11_1787875396235</t>
  </si>
  <si>
    <t>INDUSTRI KOPRA (YOSEPH NEBONG PATI)</t>
  </si>
  <si>
    <t>https://fasih-sm.bps.go.id/app/assignment/fd68e454-ba45-4b85-8205-f3bf777ded24/e78582ac-f0cb-4fc7-9906-9e4949281a11</t>
  </si>
  <si>
    <t>e78a5635-0b72-4716-a1e0-1159fad309e7</t>
  </si>
  <si>
    <t>e78a5635-0b72-4716-a1e0-1159fad309e7_1792474738324</t>
  </si>
  <si>
    <t>INDUSTRI KELAPA&lt; PHILIPUS KOPONG&gt;</t>
  </si>
  <si>
    <t>https://fasih-sm.bps.go.id/app/assignment/fd68e454-ba45-4b85-8205-f3bf777ded24/e78a5635-0b72-4716-a1e0-1159fad309e7</t>
  </si>
  <si>
    <t>e791428c-1e5b-41a9-a245-468b880f70c7</t>
  </si>
  <si>
    <t>e791428c-1e5b-41a9-a245-468b880f70c7_1790005880446</t>
  </si>
  <si>
    <t>https://fasih-sm.bps.go.id/app/assignment/fd68e454-ba45-4b85-8205-f3bf777ded24/e791428c-1e5b-41a9-a245-468b880f70c7</t>
  </si>
  <si>
    <t>e79da31c-7574-4b7d-8e89-241acaaf4c28</t>
  </si>
  <si>
    <t>e79da31c-7574-4b7d-8e89-241acaaf4c28_1790005810725</t>
  </si>
  <si>
    <t>UTP PERKEBUNAN (MARSEL KOLO)</t>
  </si>
  <si>
    <t>https://fasih-sm.bps.go.id/app/assignment/fd68e454-ba45-4b85-8205-f3bf777ded24/e79da31c-7574-4b7d-8e89-241acaaf4c28</t>
  </si>
  <si>
    <t>e79dda10-90bb-4da5-a4eb-be35c8b434d9</t>
  </si>
  <si>
    <t>e79dda10-90bb-4da5-a4eb-be35c8b434d9_1789635654653</t>
  </si>
  <si>
    <t>UTP KOPRA (MARIANUS MARE PUKA)</t>
  </si>
  <si>
    <t>https://fasih-sm.bps.go.id/app/assignment/fd68e454-ba45-4b85-8205-f3bf777ded24/e79dda10-90bb-4da5-a4eb-be35c8b434d9</t>
  </si>
  <si>
    <t>e7b8024d-d254-4643-9db3-f375d75e2078</t>
  </si>
  <si>
    <t>e7b8024d-d254-4643-9db3-f375d75e2078_1789635605986</t>
  </si>
  <si>
    <t>USAHA KOPRA (STEFANUS)</t>
  </si>
  <si>
    <t>https://fasih-sm.bps.go.id/app/assignment/fd68e454-ba45-4b85-8205-f3bf777ded24/e7b8024d-d254-4643-9db3-f375d75e2078</t>
  </si>
  <si>
    <t>e7bd13ff-172a-4aec-be3b-89333cd89e2f</t>
  </si>
  <si>
    <t>e7bd13ff-172a-4aec-be3b-89333cd89e2f_1790001785556</t>
  </si>
  <si>
    <t>INDUSTRI KOPRA (OKTAVIANUS B. KOREBIMA)</t>
  </si>
  <si>
    <t>https://fasih-sm.bps.go.id/app/assignment/fd68e454-ba45-4b85-8205-f3bf777ded24/e7bd13ff-172a-4aec-be3b-89333cd89e2f</t>
  </si>
  <si>
    <t>e7ddfe35-0e4d-4275-ab2c-383f8a3ee4bf</t>
  </si>
  <si>
    <t>e7ddfe35-0e4d-4275-ab2c-383f8a3ee4bf_1784330118528</t>
  </si>
  <si>
    <t>INDUSTRI KOPRA(SESILIA</t>
  </si>
  <si>
    <t>https://fasih-sm.bps.go.id/app/assignment/fd68e454-ba45-4b85-8205-f3bf777ded24/e7ddfe35-0e4d-4275-ab2c-383f8a3ee4bf</t>
  </si>
  <si>
    <t>e7e8c133-99a7-4d00-8c96-e9d1ab48d78f</t>
  </si>
  <si>
    <t>e7e8c133-99a7-4d00-8c96-e9d1ab48d78f_1784090609828</t>
  </si>
  <si>
    <t>INDUSTRI KELAPA&lt;ARMAN YUSUF&gt;</t>
  </si>
  <si>
    <t>https://fasih-sm.bps.go.id/app/assignment/fd68e454-ba45-4b85-8205-f3bf777ded24/e7e8c133-99a7-4d00-8c96-e9d1ab48d78f</t>
  </si>
  <si>
    <t>e7ec6408-c201-4735-8af7-5b92ab0fc9af</t>
  </si>
  <si>
    <t>e7ec6408-c201-4735-8af7-5b92ab0fc9af_1789661737184</t>
  </si>
  <si>
    <t>INDUSTRI KOPRA(FRANSISKUS MOHON DATEN)</t>
  </si>
  <si>
    <t>https://fasih-sm.bps.go.id/app/assignment/fd68e454-ba45-4b85-8205-f3bf777ded24/e7ec6408-c201-4735-8af7-5b92ab0fc9af</t>
  </si>
  <si>
    <t>e7f12a87-9c15-4e86-8fb1-a760c31002ad</t>
  </si>
  <si>
    <t>e7f12a87-9c15-4e86-8fb1-a760c31002ad_1789722610435</t>
  </si>
  <si>
    <t>INDUSTRI KOPRA (YAKOB MANGU)</t>
  </si>
  <si>
    <t>https://fasih-sm.bps.go.id/app/assignment/fd68e454-ba45-4b85-8205-f3bf777ded24/e7f12a87-9c15-4e86-8fb1-a760c31002ad</t>
  </si>
  <si>
    <t>e7fa4458-68f6-4d78-a72d-9ebd06d12835</t>
  </si>
  <si>
    <t>e7fa4458-68f6-4d78-a72d-9ebd06d12835_1785508292270</t>
  </si>
  <si>
    <t>https://fasih-sm.bps.go.id/app/assignment/fd68e454-ba45-4b85-8205-f3bf777ded24/e7fa4458-68f6-4d78-a72d-9ebd06d12835</t>
  </si>
  <si>
    <t>e80800d5-dece-484c-85f2-bfd167e53f10</t>
  </si>
  <si>
    <t>e80800d5-dece-484c-85f2-bfd167e53f10_1786898963225</t>
  </si>
  <si>
    <t>INDUSTRI KOPRA ( KATARINA GOLU RURON )</t>
  </si>
  <si>
    <t>https://fasih-sm.bps.go.id/app/assignment/fd68e454-ba45-4b85-8205-f3bf777ded24/e80800d5-dece-484c-85f2-bfd167e53f10</t>
  </si>
  <si>
    <t>e8390118-c571-4029-aa2f-30fecd67df3e</t>
  </si>
  <si>
    <t>e8390118-c571-4029-aa2f-30fecd67df3e_1789661771214</t>
  </si>
  <si>
    <t>UTP INDUSTRI PENGOLAHAN KELAPA(MARKUS OLA KIA)</t>
  </si>
  <si>
    <t>https://fasih-sm.bps.go.id/app/assignment/fd68e454-ba45-4b85-8205-f3bf777ded24/e8390118-c571-4029-aa2f-30fecd67df3e</t>
  </si>
  <si>
    <t>e843cc46-ea98-4f27-8c0f-8e068cf62de5</t>
  </si>
  <si>
    <t>e843cc46-ea98-4f27-8c0f-8e068cf62de5_1787114853550</t>
  </si>
  <si>
    <t>INDUSRTI KELAPA</t>
  </si>
  <si>
    <t>https://fasih-sm.bps.go.id/app/assignment/fd68e454-ba45-4b85-8205-f3bf777ded24/e843cc46-ea98-4f27-8c0f-8e068cf62de5</t>
  </si>
  <si>
    <t>e85d5936-56f2-4932-b16d-6001ae33d52b</t>
  </si>
  <si>
    <t>e85d5936-56f2-4932-b16d-6001ae33d52b_1790566898134</t>
  </si>
  <si>
    <t>UPT INDUSTRI KOPRA&lt;HASAN KAYA&gt;</t>
  </si>
  <si>
    <t>https://fasih-sm.bps.go.id/app/assignment/fd68e454-ba45-4b85-8205-f3bf777ded24/e85d5936-56f2-4932-b16d-6001ae33d52b</t>
  </si>
  <si>
    <t>e861cd92-afb6-45ac-a482-a190fb1ca779</t>
  </si>
  <si>
    <t>e861cd92-afb6-45ac-a482-a190fb1ca779_1789635711899</t>
  </si>
  <si>
    <t>INDUSTRI KELAPA ( WILHELMUS MULI PATI)</t>
  </si>
  <si>
    <t>https://fasih-sm.bps.go.id/app/assignment/fd68e454-ba45-4b85-8205-f3bf777ded24/e861cd92-afb6-45ac-a482-a190fb1ca779</t>
  </si>
  <si>
    <t>e866e478-d5e6-45c7-b1b0-76597ada6b6d</t>
  </si>
  <si>
    <t>e866e478-d5e6-45c7-b1b0-76597ada6b6d_1788264318634</t>
  </si>
  <si>
    <t>USAHA INDUSTRI KOPRQ(EMILIANUS SABON TAWA)</t>
  </si>
  <si>
    <t>https://fasih-sm.bps.go.id/app/assignment/fd68e454-ba45-4b85-8205-f3bf777ded24/e866e478-d5e6-45c7-b1b0-76597ada6b6d</t>
  </si>
  <si>
    <t>e86fa943-d584-48c0-8f09-497b4282c12d</t>
  </si>
  <si>
    <t>e86fa943-d584-48c0-8f09-497b4282c12d_1784090621758</t>
  </si>
  <si>
    <t>PERKEBUNAN KELAPA ( BAREK)</t>
  </si>
  <si>
    <t>https://fasih-sm.bps.go.id/app/assignment/fd68e454-ba45-4b85-8205-f3bf777ded24/e86fa943-d584-48c0-8f09-497b4282c12d</t>
  </si>
  <si>
    <t>INDUSTRI KOPRA ( BAREK )</t>
  </si>
  <si>
    <t>e87127cd-f93c-41f8-bbea-608390010c33</t>
  </si>
  <si>
    <t>e87127cd-f93c-41f8-bbea-608390010c33_1789963917666</t>
  </si>
  <si>
    <t>INDUSTRI KOPRA(IBRAHIM BALA WAHAN)</t>
  </si>
  <si>
    <t>https://fasih-sm.bps.go.id/app/assignment/fd68e454-ba45-4b85-8205-f3bf777ded24/e87127cd-f93c-41f8-bbea-608390010c33</t>
  </si>
  <si>
    <t>e88b0c64-f3ab-4998-bca4-8fbb88ccec95</t>
  </si>
  <si>
    <t>e88b0c64-f3ab-4998-bca4-8fbb88ccec95_1789635876020</t>
  </si>
  <si>
    <t>https://fasih-sm.bps.go.id/app/assignment/fd68e454-ba45-4b85-8205-f3bf777ded24/e88b0c64-f3ab-4998-bca4-8fbb88ccec95</t>
  </si>
  <si>
    <t>e88f036a-4a70-409d-9801-354cf6ead966</t>
  </si>
  <si>
    <t>e88f036a-4a70-409d-9801-354cf6ead966_1786429799657</t>
  </si>
  <si>
    <t>https://fasih-sm.bps.go.id/app/assignment/fd68e454-ba45-4b85-8205-f3bf777ded24/e88f036a-4a70-409d-9801-354cf6ead966</t>
  </si>
  <si>
    <t>e8a450df-ac3c-401d-98b5-45c2af0aab89</t>
  </si>
  <si>
    <t>e8a450df-ac3c-401d-98b5-45c2af0aab89_1790070477760</t>
  </si>
  <si>
    <t>INDUSTRI PENGOLAHAN KELAPA</t>
  </si>
  <si>
    <t>https://fasih-sm.bps.go.id/app/assignment/fd68e454-ba45-4b85-8205-f3bf777ded24/e8a450df-ac3c-401d-98b5-45c2af0aab89</t>
  </si>
  <si>
    <t>e8b9a724-71c2-42c9-918f-f721698f87f9</t>
  </si>
  <si>
    <t>e8b9a724-71c2-42c9-918f-f721698f87f9_1787899731476</t>
  </si>
  <si>
    <t>USAHA INDUSTRI KOPRA (SYUKUR OLA BEBE)</t>
  </si>
  <si>
    <t>https://fasih-sm.bps.go.id/app/assignment/fd68e454-ba45-4b85-8205-f3bf777ded24/e8b9a724-71c2-42c9-918f-f721698f87f9</t>
  </si>
  <si>
    <t>e8c0f6b8-1b83-470b-8415-3d0d6ac65559</t>
  </si>
  <si>
    <t>e8c0f6b8-1b83-470b-8415-3d0d6ac65559_1789635740889</t>
  </si>
  <si>
    <t>INDUSTRI KOPRA (AKBAR KASMIN)</t>
  </si>
  <si>
    <t>https://fasih-sm.bps.go.id/app/assignment/fd68e454-ba45-4b85-8205-f3bf777ded24/e8c0f6b8-1b83-470b-8415-3d0d6ac65559</t>
  </si>
  <si>
    <t>e8c9c418-465e-4c9e-a6ae-ebf280dbc6cb</t>
  </si>
  <si>
    <t>e8c9c418-465e-4c9e-a6ae-ebf280dbc6cb_1789599166498</t>
  </si>
  <si>
    <t>PERKEBUNAN KELAPA</t>
  </si>
  <si>
    <t>https://fasih-sm.bps.go.id/app/assignment/fd68e454-ba45-4b85-8205-f3bf777ded24/e8c9c418-465e-4c9e-a6ae-ebf280dbc6cb</t>
  </si>
  <si>
    <t>e8d5c727-1646-4afa-b110-40690afda27a</t>
  </si>
  <si>
    <t>e8d5c727-1646-4afa-b110-40690afda27a_1790562542704</t>
  </si>
  <si>
    <t>https://fasih-sm.bps.go.id/app/assignment/fd68e454-ba45-4b85-8205-f3bf777ded24/e8d5c727-1646-4afa-b110-40690afda27a</t>
  </si>
  <si>
    <t>e8ddafd6-1679-4b83-bc42-b1cb30c64f1f</t>
  </si>
  <si>
    <t>e8ddafd6-1679-4b83-bc42-b1cb30c64f1f_1790078046985</t>
  </si>
  <si>
    <t>INDUSTRI KOPRA(LUSIA KEBOK OLA)</t>
  </si>
  <si>
    <t>https://fasih-sm.bps.go.id/app/assignment/fd68e454-ba45-4b85-8205-f3bf777ded24/e8ddafd6-1679-4b83-bc42-b1cb30c64f1f</t>
  </si>
  <si>
    <t>e8e274ab-83df-4f0f-bca0-6df6b559fb7c</t>
  </si>
  <si>
    <t>e8e274ab-83df-4f0f-bca0-6df6b559fb7c_1789970435974</t>
  </si>
  <si>
    <t>INDUSTRI KOPRA &lt;USDI A. THALIB&gt;</t>
  </si>
  <si>
    <t>https://fasih-sm.bps.go.id/app/assignment/fd68e454-ba45-4b85-8205-f3bf777ded24/e8e274ab-83df-4f0f-bca0-6df6b559fb7c</t>
  </si>
  <si>
    <t>e8e842cf-30d1-4872-aec7-49b8d3083805</t>
  </si>
  <si>
    <t>e8e842cf-30d1-4872-aec7-49b8d3083805_1789635862691</t>
  </si>
  <si>
    <t>USAHA KOPRA (OLA BEGU)</t>
  </si>
  <si>
    <t>https://fasih-sm.bps.go.id/app/assignment/fd68e454-ba45-4b85-8205-f3bf777ded24/e8e842cf-30d1-4872-aec7-49b8d3083805</t>
  </si>
  <si>
    <t>e8f0aa04-a498-479b-ab72-fc13768c30fb</t>
  </si>
  <si>
    <t>e8f0aa04-a498-479b-ab72-fc13768c30fb_1790024616504</t>
  </si>
  <si>
    <t>INDUSTRI KOPRA&lt;HAIRUL MASAN BAYO&gt;</t>
  </si>
  <si>
    <t>https://fasih-sm.bps.go.id/app/assignment/fd68e454-ba45-4b85-8205-f3bf777ded24/e8f0aa04-a498-479b-ab72-fc13768c30fb</t>
  </si>
  <si>
    <t>e8fce74f-89f9-4b16-a132-3257a6365f9d</t>
  </si>
  <si>
    <t>e8fce74f-89f9-4b16-a132-3257a6365f9d_1788325088979</t>
  </si>
  <si>
    <t>USAHA KOPRA(VINSENSIUS NAMA BELAWA)</t>
  </si>
  <si>
    <t>https://fasih-sm.bps.go.id/app/assignment/fd68e454-ba45-4b85-8205-f3bf777ded24/e8fce74f-89f9-4b16-a132-3257a6365f9d</t>
  </si>
  <si>
    <t>e917ee90-b01e-4852-a837-37be1c3ce628</t>
  </si>
  <si>
    <t>e917ee90-b01e-4852-a837-37be1c3ce628_1785208050683</t>
  </si>
  <si>
    <t>BKU RUMAH ENERGI MATAHARI</t>
  </si>
  <si>
    <t>https://fasih-sm.bps.go.id/app/assignment/fd68e454-ba45-4b85-8205-f3bf777ded24/e917ee90-b01e-4852-a837-37be1c3ce628</t>
  </si>
  <si>
    <t>e9302af9-72ce-4e98-a533-347edf2528f9</t>
  </si>
  <si>
    <t>e9302af9-72ce-4e98-a533-347edf2528f9_1790078425987</t>
  </si>
  <si>
    <t>INDUSTRI PENGOLAHAN KELAPA(ANTON ARA GAYAK)</t>
  </si>
  <si>
    <t>https://fasih-sm.bps.go.id/app/assignment/fd68e454-ba45-4b85-8205-f3bf777ded24/e9302af9-72ce-4e98-a533-347edf2528f9</t>
  </si>
  <si>
    <t>e94411d8-09f0-4027-8782-67ffdac81e26</t>
  </si>
  <si>
    <t>e94411d8-09f0-4027-8782-67ffdac81e26_1790071427520</t>
  </si>
  <si>
    <t>INDUSTRI KOPRA ( HELENA HALAN KOTEN)</t>
  </si>
  <si>
    <t>https://fasih-sm.bps.go.id/app/assignment/fd68e454-ba45-4b85-8205-f3bf777ded24/e94411d8-09f0-4027-8782-67ffdac81e26</t>
  </si>
  <si>
    <t>e9504973-9f08-4bd6-b729-46df0a31bdf6</t>
  </si>
  <si>
    <t>e9504973-9f08-4bd6-b729-46df0a31bdf6_1789635842534</t>
  </si>
  <si>
    <t>INDUSTRI LELAPA&lt; MARTA OSE LEIN&gt;</t>
  </si>
  <si>
    <t>https://fasih-sm.bps.go.id/app/assignment/fd68e454-ba45-4b85-8205-f3bf777ded24/e9504973-9f08-4bd6-b729-46df0a31bdf6</t>
  </si>
  <si>
    <t>e95ef7b2-f150-459d-aa91-5ad0f960ae24</t>
  </si>
  <si>
    <t>e95ef7b2-f150-459d-aa91-5ad0f960ae24_1789635717627</t>
  </si>
  <si>
    <t>USAHA KELAPA (BAPAK YOHANES NATO TOLOK KUMANIREN)</t>
  </si>
  <si>
    <t>https://fasih-sm.bps.go.id/app/assignment/fd68e454-ba45-4b85-8205-f3bf777ded24/e95ef7b2-f150-459d-aa91-5ad0f960ae24</t>
  </si>
  <si>
    <t>e98f1806-71e2-482d-942d-4445d09daa6a</t>
  </si>
  <si>
    <t>e98f1806-71e2-482d-942d-4445d09daa6a_1786671679772</t>
  </si>
  <si>
    <t>INDUSTRI KOPRA&lt;MARTINUS MASAN&gt;</t>
  </si>
  <si>
    <t>https://fasih-sm.bps.go.id/app/assignment/fd68e454-ba45-4b85-8205-f3bf777ded24/e98f1806-71e2-482d-942d-4445d09daa6a</t>
  </si>
  <si>
    <t>e98fde0e-2dcf-4b79-88f0-80dd9f83f868</t>
  </si>
  <si>
    <t>e98fde0e-2dcf-4b79-88f0-80dd9f83f868_1789635776220</t>
  </si>
  <si>
    <t>UTP INDUSTRI &lt;MARKUS MASANG ABA&gt;</t>
  </si>
  <si>
    <t>0,96</t>
  </si>
  <si>
    <t>https://fasih-sm.bps.go.id/app/assignment/fd68e454-ba45-4b85-8205-f3bf777ded24/e98fde0e-2dcf-4b79-88f0-80dd9f83f868</t>
  </si>
  <si>
    <t>e9abd02e-8936-4d83-95c5-588e19f3e4a7</t>
  </si>
  <si>
    <t>e9abd02e-8936-4d83-95c5-588e19f3e4a7_1790069923973</t>
  </si>
  <si>
    <t>https://fasih-sm.bps.go.id/app/assignment/fd68e454-ba45-4b85-8205-f3bf777ded24/e9abd02e-8936-4d83-95c5-588e19f3e4a7</t>
  </si>
  <si>
    <t>e9e08199-912b-470f-a44a-034e6d864553</t>
  </si>
  <si>
    <t>e9e08199-912b-470f-a44a-034e6d864553_1788069362621</t>
  </si>
  <si>
    <t>https://fasih-sm.bps.go.id/app/assignment/fd68e454-ba45-4b85-8205-f3bf777ded24/e9e08199-912b-470f-a44a-034e6d864553</t>
  </si>
  <si>
    <t>ea071513-32de-49fc-8e8e-c5b8a051fcea</t>
  </si>
  <si>
    <t>ea071513-32de-49fc-8e8e-c5b8a051fcea_1784090765354</t>
  </si>
  <si>
    <t>INDUSTRI PENGOLAHAN KELAPA&lt; YASINTA MENU MASAN&gt;</t>
  </si>
  <si>
    <t>https://fasih-sm.bps.go.id/app/assignment/fd68e454-ba45-4b85-8205-f3bf777ded24/ea071513-32de-49fc-8e8e-c5b8a051fcea</t>
  </si>
  <si>
    <t>ea0d3577-33f1-4d24-b387-9146a31044ba</t>
  </si>
  <si>
    <t>ea0d3577-33f1-4d24-b387-9146a31044ba_1789661820270</t>
  </si>
  <si>
    <t>INDUSTRI KELAPA &lt;YOSEP GORAN DORE&gt;</t>
  </si>
  <si>
    <t>https://fasih-sm.bps.go.id/app/assignment/fd68e454-ba45-4b85-8205-f3bf777ded24/ea0d3577-33f1-4d24-b387-9146a31044ba</t>
  </si>
  <si>
    <t>ea18bb93-5f9d-4378-b807-5d26fecf2ca8</t>
  </si>
  <si>
    <t>ea18bb93-5f9d-4378-b807-5d26fecf2ca8_1787666020421</t>
  </si>
  <si>
    <t>USAHA INDUSTRI KOPRA (KATARINA KEWA DUAN)</t>
  </si>
  <si>
    <t>https://fasih-sm.bps.go.id/app/assignment/fd68e454-ba45-4b85-8205-f3bf777ded24/ea18bb93-5f9d-4378-b807-5d26fecf2ca8</t>
  </si>
  <si>
    <t>ea27df16-9c5f-46e3-9ee7-815e6e515ad9</t>
  </si>
  <si>
    <t>ea27df16-9c5f-46e3-9ee7-815e6e515ad9_1792477232944</t>
  </si>
  <si>
    <t>INDUSTRI KOPRA&lt;PASKALIS KOPONGANGGU&gt;</t>
  </si>
  <si>
    <t>https://fasih-sm.bps.go.id/app/assignment/fd68e454-ba45-4b85-8205-f3bf777ded24/ea27df16-9c5f-46e3-9ee7-815e6e515ad9</t>
  </si>
  <si>
    <t>ea2a9ebd-5ca9-4af3-bcce-28f8b063ef1b</t>
  </si>
  <si>
    <t>ea2a9ebd-5ca9-4af3-bcce-28f8b063ef1b_1789695342887</t>
  </si>
  <si>
    <t>USAHA KOPRA(YOSEPH)</t>
  </si>
  <si>
    <t>https://fasih-sm.bps.go.id/app/assignment/fd68e454-ba45-4b85-8205-f3bf777ded24/ea2a9ebd-5ca9-4af3-bcce-28f8b063ef1b</t>
  </si>
  <si>
    <t>ea3d1c56-d378-4174-a9ad-e3cb21a8249f</t>
  </si>
  <si>
    <t>ea3d1c56-d378-4174-a9ad-e3cb21a8249f_1791942363269</t>
  </si>
  <si>
    <t>INDUSTRI KELAPA&lt;IRWAN AMINUDIN&gt;</t>
  </si>
  <si>
    <t>https://fasih-sm.bps.go.id/app/assignment/fd68e454-ba45-4b85-8205-f3bf777ded24/ea3d1c56-d378-4174-a9ad-e3cb21a8249f</t>
  </si>
  <si>
    <t>ea4ed21d-4eea-4693-9e78-bc54d2235168</t>
  </si>
  <si>
    <t>ea4ed21d-4eea-4693-9e78-bc54d2235168_1784352694312</t>
  </si>
  <si>
    <t>UTP INDUSTRI PENGOLAHAN KELAPA(ALFONSUS AYONG)</t>
  </si>
  <si>
    <t>https://fasih-sm.bps.go.id/app/assignment/fd68e454-ba45-4b85-8205-f3bf777ded24/ea4ed21d-4eea-4693-9e78-bc54d2235168</t>
  </si>
  <si>
    <t>ea5e6a80-e630-46c4-a97f-30fee7869d01</t>
  </si>
  <si>
    <t>ea5e6a80-e630-46c4-a97f-30fee7869d01_1790075789835</t>
  </si>
  <si>
    <t>INDUSTRI KOPRA &lt;OSKAR PEKA MANGU&gt;</t>
  </si>
  <si>
    <t>https://fasih-sm.bps.go.id/app/assignment/fd68e454-ba45-4b85-8205-f3bf777ded24/ea5e6a80-e630-46c4-a97f-30fee7869d01</t>
  </si>
  <si>
    <t>ea609196-1c5e-4e86-adab-764daa10282f</t>
  </si>
  <si>
    <t>ea609196-1c5e-4e86-adab-764daa10282f_1789635980202</t>
  </si>
  <si>
    <t>USAHA KOPRA (MATHIAS BUANG MARAN)</t>
  </si>
  <si>
    <t>https://fasih-sm.bps.go.id/app/assignment/fd68e454-ba45-4b85-8205-f3bf777ded24/ea609196-1c5e-4e86-adab-764daa10282f</t>
  </si>
  <si>
    <t>ea6ee646-91a2-4fe6-8412-710bd155042d</t>
  </si>
  <si>
    <t>ea6ee646-91a2-4fe6-8412-710bd155042d_1785884622505</t>
  </si>
  <si>
    <t>INDUSTRI KOPRA(KASMAN KOPONG SANGA)</t>
  </si>
  <si>
    <t>https://fasih-sm.bps.go.id/app/assignment/fd68e454-ba45-4b85-8205-f3bf777ded24/ea6ee646-91a2-4fe6-8412-710bd155042d</t>
  </si>
  <si>
    <t>ea8a7eb0-5931-4118-89c0-89620127596d</t>
  </si>
  <si>
    <t>ea8a7eb0-5931-4118-89c0-89620127596d_1784090686777</t>
  </si>
  <si>
    <t>INDUSTRI KELAPA &lt;MUHAMMAD SALEH&gt;</t>
  </si>
  <si>
    <t>https://fasih-sm.bps.go.id/app/assignment/fd68e454-ba45-4b85-8205-f3bf777ded24/ea8a7eb0-5931-4118-89c0-89620127596d</t>
  </si>
  <si>
    <t>ea8f8030-88b4-4ab3-a1b2-9881a8d031d5</t>
  </si>
  <si>
    <t>ea8f8030-88b4-4ab3-a1b2-9881a8d031d5_1789635906313</t>
  </si>
  <si>
    <t>UTP INDUSTRI &lt; AGUSTINUS LIKO NOTAN &gt;</t>
  </si>
  <si>
    <t>https://fasih-sm.bps.go.id/app/assignment/fd68e454-ba45-4b85-8205-f3bf777ded24/ea8f8030-88b4-4ab3-a1b2-9881a8d031d5</t>
  </si>
  <si>
    <t>ea90256e-7e47-4334-b752-1d02293ed81a</t>
  </si>
  <si>
    <t>ea90256e-7e47-4334-b752-1d02293ed81a_1784090695339</t>
  </si>
  <si>
    <t>INDUSTRI KOPRA &lt;MASIAN SAPE BAYO&gt;</t>
  </si>
  <si>
    <t>https://fasih-sm.bps.go.id/app/assignment/fd68e454-ba45-4b85-8205-f3bf777ded24/ea90256e-7e47-4334-b752-1d02293ed81a</t>
  </si>
  <si>
    <t>eaa24589-6e8e-451b-9aeb-7f9107efd9d7</t>
  </si>
  <si>
    <t>eaa24589-6e8e-451b-9aeb-7f9107efd9d7_1789635957743</t>
  </si>
  <si>
    <t>https://fasih-sm.bps.go.id/app/assignment/fd68e454-ba45-4b85-8205-f3bf777ded24/eaa24589-6e8e-451b-9aeb-7f9107efd9d7</t>
  </si>
  <si>
    <t>eaaa7032-73b5-4790-9c63-4d9e991a0d0b</t>
  </si>
  <si>
    <t>eaaa7032-73b5-4790-9c63-4d9e991a0d0b_1785312257565</t>
  </si>
  <si>
    <t>Industri kopra(antonius puru maran)</t>
  </si>
  <si>
    <t>https://fasih-sm.bps.go.id/app/assignment/fd68e454-ba45-4b85-8205-f3bf777ded24/eaaa7032-73b5-4790-9c63-4d9e991a0d0b</t>
  </si>
  <si>
    <t>eab787fc-a028-4a0d-8ee4-cb478df5be63</t>
  </si>
  <si>
    <t>eab787fc-a028-4a0d-8ee4-cb478df5be63_1789986880970</t>
  </si>
  <si>
    <t>INDUSTRI KOPRA&lt;IBRAHIM LASI&gt;</t>
  </si>
  <si>
    <t>https://fasih-sm.bps.go.id/app/assignment/fd68e454-ba45-4b85-8205-f3bf777ded24/eab787fc-a028-4a0d-8ee4-cb478df5be63</t>
  </si>
  <si>
    <t>ead136f9-2fdf-4d15-af9d-9f94081c7288</t>
  </si>
  <si>
    <t>ead136f9-2fdf-4d15-af9d-9f94081c7288_1786262199229</t>
  </si>
  <si>
    <t>https://fasih-sm.bps.go.id/app/assignment/fd68e454-ba45-4b85-8205-f3bf777ded24/ead136f9-2fdf-4d15-af9d-9f94081c7288</t>
  </si>
  <si>
    <t>eae3501a-d0e2-4729-8774-aa2c3eca78c8</t>
  </si>
  <si>
    <t>eae3501a-d0e2-4729-8774-aa2c3eca78c8_1785816022379</t>
  </si>
  <si>
    <t>INDUSTRI KELAPA&lt;GABRIEL SOGE BEAN&gt;</t>
  </si>
  <si>
    <t>https://fasih-sm.bps.go.id/app/assignment/fd68e454-ba45-4b85-8205-f3bf777ded24/eae3501a-d0e2-4729-8774-aa2c3eca78c8</t>
  </si>
  <si>
    <t>eb041dd9-8ab8-40aa-aff8-fa1eb0f996bd</t>
  </si>
  <si>
    <t>eb041dd9-8ab8-40aa-aff8-fa1eb0f996bd_1790067787163</t>
  </si>
  <si>
    <t>UTP INDUSTRI (MARTINUS KOPONG LIKU)</t>
  </si>
  <si>
    <t>https://fasih-sm.bps.go.id/app/assignment/fd68e454-ba45-4b85-8205-f3bf777ded24/eb041dd9-8ab8-40aa-aff8-fa1eb0f996bd</t>
  </si>
  <si>
    <t>eb1e9b3b-5111-40f4-adb1-6aa41e6b23d1</t>
  </si>
  <si>
    <t>eb1e9b3b-5111-40f4-adb1-6aa41e6b23d1_1786429559409</t>
  </si>
  <si>
    <t>USAHA KOPRA(GABRIEL)</t>
  </si>
  <si>
    <t>eb2226b1-c82f-4855-b3c7-bfce3bfd4efa</t>
  </si>
  <si>
    <t>eb2226b1-c82f-4855-b3c7-bfce3bfd4efa_1789635935272</t>
  </si>
  <si>
    <t>USAHA KOPRA(USMAN WADANG)</t>
  </si>
  <si>
    <t>https://fasih-sm.bps.go.id/app/assignment/fd68e454-ba45-4b85-8205-f3bf777ded24/eb2226b1-c82f-4855-b3c7-bfce3bfd4efa</t>
  </si>
  <si>
    <t>eb255fb1-6f24-4180-b9e6-ce3e016239e0</t>
  </si>
  <si>
    <t>eb255fb1-6f24-4180-b9e6-ce3e016239e0_1790076390572</t>
  </si>
  <si>
    <t>INDUSTRI KELAPA&lt;ANWAR USMAN&gt;</t>
  </si>
  <si>
    <t>https://fasih-sm.bps.go.id/app/assignment/fd68e454-ba45-4b85-8205-f3bf777ded24/eb255fb1-6f24-4180-b9e6-ce3e016239e0</t>
  </si>
  <si>
    <t>eb4889fa-a633-48fd-82c2-5f96bd062684</t>
  </si>
  <si>
    <t>eb4889fa-a633-48fd-82c2-5f96bd062684_1790032326369</t>
  </si>
  <si>
    <t>https://fasih-sm.bps.go.id/app/assignment/fd68e454-ba45-4b85-8205-f3bf777ded24/eb4889fa-a633-48fd-82c2-5f96bd062684</t>
  </si>
  <si>
    <t>eb627ea1-e7ff-4dfa-a871-7ab11b1ae934</t>
  </si>
  <si>
    <t>eb627ea1-e7ff-4dfa-a871-7ab11b1ae934_1791941421993</t>
  </si>
  <si>
    <t>INDUSTRI KOPRA &lt;SYUKUR NIKMAT&gt;</t>
  </si>
  <si>
    <t>https://fasih-sm.bps.go.id/app/assignment/fd68e454-ba45-4b85-8205-f3bf777ded24/eb627ea1-e7ff-4dfa-a871-7ab11b1ae934</t>
  </si>
  <si>
    <t>eb68fa7b-3890-4ae9-b057-3b7bb39bd589</t>
  </si>
  <si>
    <t>eb68fa7b-3890-4ae9-b057-3b7bb39bd589_1789636016733</t>
  </si>
  <si>
    <t>INDUSTRI KOPRA(KASMIN KOPONG MASAN)</t>
  </si>
  <si>
    <t>https://fasih-sm.bps.go.id/app/assignment/fd68e454-ba45-4b85-8205-f3bf777ded24/eb68fa7b-3890-4ae9-b057-3b7bb39bd589</t>
  </si>
  <si>
    <t>eb694af1-01b6-420b-933b-8957f5dbdddf</t>
  </si>
  <si>
    <t>eb694af1-01b6-420b-933b-8957f5dbdddf_1789599192561</t>
  </si>
  <si>
    <t>INDUSTRI KOPRA(BONEFASIUS TUBO OLA)</t>
  </si>
  <si>
    <t>https://fasih-sm.bps.go.id/app/assignment/fd68e454-ba45-4b85-8205-f3bf777ded24/eb694af1-01b6-420b-933b-8957f5dbdddf</t>
  </si>
  <si>
    <t>eba3ff15-5a12-4efe-8318-4ff68151393c</t>
  </si>
  <si>
    <t>eba3ff15-5a12-4efe-8318-4ff68151393c_1785306079367</t>
  </si>
  <si>
    <t>INDUSTRI KOPRA(YULIANA ODI)</t>
  </si>
  <si>
    <t>https://fasih-sm.bps.go.id/app/assignment/fd68e454-ba45-4b85-8205-f3bf777ded24/eba3ff15-5a12-4efe-8318-4ff68151393c</t>
  </si>
  <si>
    <t>eba86352-7668-43bc-a21a-ddacf676bfd4</t>
  </si>
  <si>
    <t>eba86352-7668-43bc-a21a-ddacf676bfd4_1784090771675</t>
  </si>
  <si>
    <t>https://fasih-sm.bps.go.id/app/assignment/fd68e454-ba45-4b85-8205-f3bf777ded24/eba86352-7668-43bc-a21a-ddacf676bfd4</t>
  </si>
  <si>
    <t>ebc603cc-0eb9-4096-a411-4a0cead83a74</t>
  </si>
  <si>
    <t>ebc603cc-0eb9-4096-a411-4a0cead83a74_1792373482026</t>
  </si>
  <si>
    <t>https://fasih-sm.bps.go.id/app/assignment/fd68e454-ba45-4b85-8205-f3bf777ded24/ebc603cc-0eb9-4096-a411-4a0cead83a74</t>
  </si>
  <si>
    <t>ebd08da5-29e0-456f-ad80-ebc2e8f957fe</t>
  </si>
  <si>
    <t>ebd08da5-29e0-456f-ad80-ebc2e8f957fe_1789635940362</t>
  </si>
  <si>
    <t>https://fasih-sm.bps.go.id/app/assignment/fd68e454-ba45-4b85-8205-f3bf777ded24/ebd08da5-29e0-456f-ad80-ebc2e8f957fe</t>
  </si>
  <si>
    <t>ebeeaec8-6c3f-4a43-84b3-bdd9a0580251</t>
  </si>
  <si>
    <t>ebeeaec8-6c3f-4a43-84b3-bdd9a0580251_1790046743360</t>
  </si>
  <si>
    <t>INDUSTRI KOPRA MATEUS PATI RURON</t>
  </si>
  <si>
    <t>https://fasih-sm.bps.go.id/app/assignment/fd68e454-ba45-4b85-8205-f3bf777ded24/ebeeaec8-6c3f-4a43-84b3-bdd9a0580251</t>
  </si>
  <si>
    <t>ebf459fe-3f86-4fbd-b8d7-3f9edbbb49ea</t>
  </si>
  <si>
    <t>ebf459fe-3f86-4fbd-b8d7-3f9edbbb49ea_1786252622658</t>
  </si>
  <si>
    <t>https://fasih-sm.bps.go.id/app/assignment/fd68e454-ba45-4b85-8205-f3bf777ded24/ebf459fe-3f86-4fbd-b8d7-3f9edbbb49ea</t>
  </si>
  <si>
    <t>ec0c1a90-026d-43c3-9d46-74e4df0be7e4</t>
  </si>
  <si>
    <t>ec0c1a90-026d-43c3-9d46-74e4df0be7e4_1786080049213</t>
  </si>
  <si>
    <t>INDUSTRI KOPRA &lt;LAURENSIUS DEMON LILIN&gt;</t>
  </si>
  <si>
    <t>https://fasih-sm.bps.go.id/app/assignment/fd68e454-ba45-4b85-8205-f3bf777ded24/ec0c1a90-026d-43c3-9d46-74e4df0be7e4</t>
  </si>
  <si>
    <t>ec179c5e-9ee8-482c-99dd-06801187f680</t>
  </si>
  <si>
    <t>ec179c5e-9ee8-482c-99dd-06801187f680_1790068534333</t>
  </si>
  <si>
    <t>INDUSTRI KOPRA ( MARTINUS)</t>
  </si>
  <si>
    <t>https://fasih-sm.bps.go.id/app/assignment/fd68e454-ba45-4b85-8205-f3bf777ded24/ec179c5e-9ee8-482c-99dd-06801187f680</t>
  </si>
  <si>
    <t>ec1c95b1-62ec-4431-b4c0-da9874608a59</t>
  </si>
  <si>
    <t>ec1c95b1-62ec-4431-b4c0-da9874608a59_1786404692624</t>
  </si>
  <si>
    <t>INDUSTRI KELAPA&lt;LASIM SYUKUR&gt;</t>
  </si>
  <si>
    <t>https://fasih-sm.bps.go.id/app/assignment/fd68e454-ba45-4b85-8205-f3bf777ded24/ec1c95b1-62ec-4431-b4c0-da9874608a59</t>
  </si>
  <si>
    <t>ec28be3c-a835-4e39-9b07-07c3dcde913d</t>
  </si>
  <si>
    <t>ec28be3c-a835-4e39-9b07-07c3dcde913d_1784635660322</t>
  </si>
  <si>
    <t>KOPRA(MARTINUS TUBO OLA)</t>
  </si>
  <si>
    <t>https://fasih-sm.bps.go.id/app/assignment/fd68e454-ba45-4b85-8205-f3bf777ded24/ec28be3c-a835-4e39-9b07-07c3dcde913d</t>
  </si>
  <si>
    <t>ec42714f-1840-45d7-91d0-861072f16be5</t>
  </si>
  <si>
    <t>ec42714f-1840-45d7-91d0-861072f16be5_1792022994036</t>
  </si>
  <si>
    <t>USAHA KOPRA (VINSENSIUS)</t>
  </si>
  <si>
    <t>https://fasih-sm.bps.go.id/app/assignment/fd68e454-ba45-4b85-8205-f3bf777ded24/ec42714f-1840-45d7-91d0-861072f16be5</t>
  </si>
  <si>
    <t>ec5c3764-abd3-475e-a2ab-52b663b55ab3</t>
  </si>
  <si>
    <t>ec5c3764-abd3-475e-a2ab-52b663b55ab3_1786269103797</t>
  </si>
  <si>
    <t>INDUSTRI KOPRA MARIA MAGDALENA BOLENG MOLAN</t>
  </si>
  <si>
    <t>https://fasih-sm.bps.go.id/app/assignment/fd68e454-ba45-4b85-8205-f3bf777ded24/ec5c3764-abd3-475e-a2ab-52b663b55ab3</t>
  </si>
  <si>
    <t>ec72693b-56cc-4450-989d-59eb14b78112</t>
  </si>
  <si>
    <t>ec72693b-56cc-4450-989d-59eb14b78112_1792022222649</t>
  </si>
  <si>
    <t>KOPRA(NICOLAUS DALOT WALEN)</t>
  </si>
  <si>
    <t>https://fasih-sm.bps.go.id/app/assignment/fd68e454-ba45-4b85-8205-f3bf777ded24/ec72693b-56cc-4450-989d-59eb14b78112</t>
  </si>
  <si>
    <t>ec78f439-fd80-4f11-918e-a4a233d608dd</t>
  </si>
  <si>
    <t>ec78f439-fd80-4f11-918e-a4a233d608dd_1789635883876</t>
  </si>
  <si>
    <t>INDUSTRI KOPRA&lt;ADRIANUS KOPONG AMA&gt;</t>
  </si>
  <si>
    <t>https://fasih-sm.bps.go.id/app/assignment/fd68e454-ba45-4b85-8205-f3bf777ded24/ec78f439-fd80-4f11-918e-a4a233d608dd</t>
  </si>
  <si>
    <t>ec845350-0772-4cc5-8e64-e15db55b143a</t>
  </si>
  <si>
    <t>ec845350-0772-4cc5-8e64-e15db55b143a_1789969906817</t>
  </si>
  <si>
    <t>INDUSTRI KELAPA&lt;ABUBAKAR ABAS&gt;</t>
  </si>
  <si>
    <t>https://fasih-sm.bps.go.id/app/assignment/fd68e454-ba45-4b85-8205-f3bf777ded24/ec845350-0772-4cc5-8e64-e15db55b143a</t>
  </si>
  <si>
    <t>ec9baff1-420d-4136-af37-942bb77d872c</t>
  </si>
  <si>
    <t>ec9baff1-420d-4136-af37-942bb77d872c_1789599206558</t>
  </si>
  <si>
    <t>INDUSTRI KOPRA (DAHLAN DIRI LAWAN)</t>
  </si>
  <si>
    <t>UM</t>
  </si>
  <si>
    <t>https://fasih-sm.bps.go.id/app/assignment/fd68e454-ba45-4b85-8205-f3bf777ded24/ec9baff1-420d-4136-af37-942bb77d872c</t>
  </si>
  <si>
    <t>ecde720a-28a1-4f0e-bfb7-764a9814a939</t>
  </si>
  <si>
    <t>ecde720a-28a1-4f0e-bfb7-764a9814a939_1789635914266</t>
  </si>
  <si>
    <t>https://fasih-sm.bps.go.id/app/assignment/fd68e454-ba45-4b85-8205-f3bf777ded24/ecde720a-28a1-4f0e-bfb7-764a9814a939</t>
  </si>
  <si>
    <t>ecf04317-3105-4c52-8059-709eb7721a1b</t>
  </si>
  <si>
    <t>ecf04317-3105-4c52-8059-709eb7721a1b_1786501213277</t>
  </si>
  <si>
    <t>INDUSTRI KOPRA &lt;ELISABET PALANG&gt;</t>
  </si>
  <si>
    <t>https://fasih-sm.bps.go.id/app/assignment/fd68e454-ba45-4b85-8205-f3bf777ded24/ecf04317-3105-4c52-8059-709eb7721a1b</t>
  </si>
  <si>
    <t>ed049ce8-b9ed-45a4-9963-9bfc0765a203</t>
  </si>
  <si>
    <t>ed049ce8-b9ed-45a4-9963-9bfc0765a203_1790566898199</t>
  </si>
  <si>
    <t>PRODUKSI KELAPA</t>
  </si>
  <si>
    <t>https://fasih-sm.bps.go.id/app/assignment/fd68e454-ba45-4b85-8205-f3bf777ded24/ed049ce8-b9ed-45a4-9963-9bfc0765a203</t>
  </si>
  <si>
    <t>ed1d857b-b58a-41e4-8acf-ad11c0b35e0c</t>
  </si>
  <si>
    <t>ed1d857b-b58a-41e4-8acf-ad11c0b35e0c_1784974227407</t>
  </si>
  <si>
    <t>https://fasih-sm.bps.go.id/app/assignment/fd68e454-ba45-4b85-8205-f3bf777ded24/ed1d857b-b58a-41e4-8acf-ad11c0b35e0c</t>
  </si>
  <si>
    <t>ed26d478-c1d9-417f-8a82-31da0629f647</t>
  </si>
  <si>
    <t>ed26d478-c1d9-417f-8a82-31da0629f647_1786083462107</t>
  </si>
  <si>
    <t>INDUSTRI KOPRA ( LAMBERTUS LOLI HOKOR )</t>
  </si>
  <si>
    <t>https://fasih-sm.bps.go.id/app/assignment/fd68e454-ba45-4b85-8205-f3bf777ded24/ed26d478-c1d9-417f-8a82-31da0629f647</t>
  </si>
  <si>
    <t>ed4a8fae-8f9f-4f10-967f-719e299282f7</t>
  </si>
  <si>
    <t>ed4a8fae-8f9f-4f10-967f-719e299282f7_1787839523598</t>
  </si>
  <si>
    <t>USAHA KOPRA(MARIA)</t>
  </si>
  <si>
    <t>https://fasih-sm.bps.go.id/app/assignment/fd68e454-ba45-4b85-8205-f3bf777ded24/ed4a8fae-8f9f-4f10-967f-719e299282f7</t>
  </si>
  <si>
    <t>ed7280e4-b265-4d00-a3bb-363d341d3926</t>
  </si>
  <si>
    <t>ed7280e4-b265-4d00-a3bb-363d341d3926_1789636215289</t>
  </si>
  <si>
    <t>UTP INDUSTRI KELAPA &lt;KELARA KEWA DERAN&gt;</t>
  </si>
  <si>
    <t>https://fasih-sm.bps.go.id/app/assignment/fd68e454-ba45-4b85-8205-f3bf777ded24/ed7280e4-b265-4d00-a3bb-363d341d3926</t>
  </si>
  <si>
    <t>ed7c69df-51df-40f2-8461-61aade7da53f</t>
  </si>
  <si>
    <t>ed7c69df-51df-40f2-8461-61aade7da53f_1787755401738</t>
  </si>
  <si>
    <t>https://fasih-sm.bps.go.id/app/assignment/fd68e454-ba45-4b85-8205-f3bf777ded24/ed7c69df-51df-40f2-8461-61aade7da53f</t>
  </si>
  <si>
    <t>ed8774a3-ae92-472c-9052-03726988d3f8</t>
  </si>
  <si>
    <t>ed8774a3-ae92-472c-9052-03726988d3f8_1788859535183</t>
  </si>
  <si>
    <t>INDUSTRI KOPRA &lt;LAURENSIUS LAGA HOKOR&gt;</t>
  </si>
  <si>
    <t>https://fasih-sm.bps.go.id/app/assignment/fd68e454-ba45-4b85-8205-f3bf777ded24/ed8774a3-ae92-472c-9052-03726988d3f8</t>
  </si>
  <si>
    <t>ed92eb45-de26-4eac-b5ac-a6b9b747bbef</t>
  </si>
  <si>
    <t>ed92eb45-de26-4eac-b5ac-a6b9b747bbef_1790016116135</t>
  </si>
  <si>
    <t>INDUSTRI KELAPA &lt; SEBASTIANUS PAAYONG&gt;</t>
  </si>
  <si>
    <t>https://fasih-sm.bps.go.id/app/assignment/fd68e454-ba45-4b85-8205-f3bf777ded24/ed92eb45-de26-4eac-b5ac-a6b9b747bbef</t>
  </si>
  <si>
    <t>edb5f190-b189-43ee-97f6-072ff701e8fc</t>
  </si>
  <si>
    <t>edb5f190-b189-43ee-97f6-072ff701e8fc_1783559059712</t>
  </si>
  <si>
    <t>INDUSTRI KELAPA &lt;FRANSISKUS AMA HOME&gt;</t>
  </si>
  <si>
    <t>https://fasih-sm.bps.go.id/app/assignment/fd68e454-ba45-4b85-8205-f3bf777ded24/edb5f190-b189-43ee-97f6-072ff701e8fc</t>
  </si>
  <si>
    <t>eddc8c42-715e-4855-bacb-b9883aa678df</t>
  </si>
  <si>
    <t>eddc8c42-715e-4855-bacb-b9883aa678df_1789661899336</t>
  </si>
  <si>
    <t>https://fasih-sm.bps.go.id/app/assignment/fd68e454-ba45-4b85-8205-f3bf777ded24/eddc8c42-715e-4855-bacb-b9883aa678df</t>
  </si>
  <si>
    <t>edeb8795-8834-4bd0-9a69-4eb3293b78ae</t>
  </si>
  <si>
    <t>edeb8795-8834-4bd0-9a69-4eb3293b78ae_1791942175346</t>
  </si>
  <si>
    <t>INDUSTRI KELAPA&lt;ABDUL GANI&gt;</t>
  </si>
  <si>
    <t>https://fasih-sm.bps.go.id/app/assignment/fd68e454-ba45-4b85-8205-f3bf777ded24/edeb8795-8834-4bd0-9a69-4eb3293b78ae</t>
  </si>
  <si>
    <t>edf23f35-fa87-41d3-9b9d-a49e055cf5ba</t>
  </si>
  <si>
    <t>edf23f35-fa87-41d3-9b9d-a49e055cf5ba_1784125189698</t>
  </si>
  <si>
    <t>INDUSTRI KOPRA &lt;YUFENALIS PAYONG PEKA&gt;</t>
  </si>
  <si>
    <t>https://fasih-sm.bps.go.id/app/assignment/fd68e454-ba45-4b85-8205-f3bf777ded24/edf23f35-fa87-41d3-9b9d-a49e055cf5ba</t>
  </si>
  <si>
    <t>edf29b68-62cb-4f91-bbee-8457bc89d60e</t>
  </si>
  <si>
    <t>edf29b68-62cb-4f91-bbee-8457bc89d60e_1792394593309</t>
  </si>
  <si>
    <t>USAHA KOPRA&lt;APOLONIUS PAJI SALA&gt;</t>
  </si>
  <si>
    <t>https://fasih-sm.bps.go.id/app/assignment/fd68e454-ba45-4b85-8205-f3bf777ded24/edf29b68-62cb-4f91-bbee-8457bc89d60e</t>
  </si>
  <si>
    <t>edf31ded-7098-4013-8f58-a65f10210c9a</t>
  </si>
  <si>
    <t>edf31ded-7098-4013-8f58-a65f10210c9a_1790066340551</t>
  </si>
  <si>
    <t>UTP INDUSTRI ( KORNELIS KEDANG BOROT )</t>
  </si>
  <si>
    <t>https://fasih-sm.bps.go.id/app/assignment/fd68e454-ba45-4b85-8205-f3bf777ded24/edf31ded-7098-4013-8f58-a65f10210c9a</t>
  </si>
  <si>
    <t>edfe51f4-b890-4204-9c2a-bc4474a67289</t>
  </si>
  <si>
    <t>edfe51f4-b890-4204-9c2a-bc4474a67289_1790021368592</t>
  </si>
  <si>
    <t>https://fasih-sm.bps.go.id/app/assignment/fd68e454-ba45-4b85-8205-f3bf777ded24/edfe51f4-b890-4204-9c2a-bc4474a67289</t>
  </si>
  <si>
    <t>edff2e40-18ff-4ac6-b2dd-af050c9ffe4e</t>
  </si>
  <si>
    <t>edff2e40-18ff-4ac6-b2dd-af050c9ffe4e_1787706281052</t>
  </si>
  <si>
    <t>INDUSTRI KELAPA&lt; DOMINOKUS OLA LAGA LIAT&gt;</t>
  </si>
  <si>
    <t>https://fasih-sm.bps.go.id/app/assignment/fd68e454-ba45-4b85-8205-f3bf777ded24/edff2e40-18ff-4ac6-b2dd-af050c9ffe4e</t>
  </si>
  <si>
    <t>ee02ed5a-3609-434b-b002-e10373bec889</t>
  </si>
  <si>
    <t>ee02ed5a-3609-434b-b002-e10373bec889_1789661910576</t>
  </si>
  <si>
    <t>UTP PERKEBUNAN (YOHANA MANI WERANG)</t>
  </si>
  <si>
    <t>https://fasih-sm.bps.go.id/app/assignment/fd68e454-ba45-4b85-8205-f3bf777ded24/ee02ed5a-3609-434b-b002-e10373bec889</t>
  </si>
  <si>
    <t>ee0ef72d-dd15-4cef-9577-b7e62bd271ea</t>
  </si>
  <si>
    <t>ee0ef72d-dd15-4cef-9577-b7e62bd271ea_1788404106689</t>
  </si>
  <si>
    <t>https://fasih-sm.bps.go.id/app/assignment/fd68e454-ba45-4b85-8205-f3bf777ded24/ee0ef72d-dd15-4cef-9577-b7e62bd271ea</t>
  </si>
  <si>
    <t>ee37d886-4d15-43d6-90fa-a6c3988eeaa5</t>
  </si>
  <si>
    <t>ee37d886-4d15-43d6-90fa-a6c3988eeaa5_1791872594980</t>
  </si>
  <si>
    <t>https://fasih-sm.bps.go.id/app/assignment/fd68e454-ba45-4b85-8205-f3bf777ded24/ee37d886-4d15-43d6-90fa-a6c3988eeaa5</t>
  </si>
  <si>
    <t>ee5b080a-ff2d-46de-b1b6-57499abf26d1</t>
  </si>
  <si>
    <t>ee5b080a-ff2d-46de-b1b6-57499abf26d1_1788334688710</t>
  </si>
  <si>
    <t>USAHA INDUSTRI KOPRA (MUKTAR TOKAN BUNGA)</t>
  </si>
  <si>
    <t>https://fasih-sm.bps.go.id/app/assignment/fd68e454-ba45-4b85-8205-f3bf777ded24/ee5b080a-ff2d-46de-b1b6-57499abf26d1</t>
  </si>
  <si>
    <t>ee96e9f3-7d99-4616-99a1-5a41be5c50be</t>
  </si>
  <si>
    <t>ee96e9f3-7d99-4616-99a1-5a41be5c50be_1789636097627</t>
  </si>
  <si>
    <t>https://fasih-sm.bps.go.id/app/assignment/fd68e454-ba45-4b85-8205-f3bf777ded24/ee96e9f3-7d99-4616-99a1-5a41be5c50be</t>
  </si>
  <si>
    <t>eea334ef-20e7-42b1-8719-33b98d50ba95</t>
  </si>
  <si>
    <t>eea334ef-20e7-42b1-8719-33b98d50ba95_1784090918074</t>
  </si>
  <si>
    <t>INDUSTRI KOPRA (BONEVASIA MASA DONI)</t>
  </si>
  <si>
    <t>https://fasih-sm.bps.go.id/app/assignment/fd68e454-ba45-4b85-8205-f3bf777ded24/eea334ef-20e7-42b1-8719-33b98d50ba95</t>
  </si>
  <si>
    <t>eeb2654e-4971-42c9-bb7b-7779782fdfa7</t>
  </si>
  <si>
    <t>eeb2654e-4971-42c9-bb7b-7779782fdfa7_1785308815201</t>
  </si>
  <si>
    <t>https://fasih-sm.bps.go.id/app/assignment/fd68e454-ba45-4b85-8205-f3bf777ded24/eeb2654e-4971-42c9-bb7b-7779782fdfa7</t>
  </si>
  <si>
    <t>eeb32eff-3345-40af-b094-4a8c9023a32c</t>
  </si>
  <si>
    <t>eeb32eff-3345-40af-b094-4a8c9023a32c_1786268887021</t>
  </si>
  <si>
    <t>INDUSTRI KOPRA YOSEPH BERA RURON</t>
  </si>
  <si>
    <t>https://fasih-sm.bps.go.id/app/assignment/fd68e454-ba45-4b85-8205-f3bf777ded24/eeb32eff-3345-40af-b094-4a8c9023a32c</t>
  </si>
  <si>
    <t>eeb4ebaf-8c2f-4768-b2a6-8050b6c39eb7</t>
  </si>
  <si>
    <t>eeb4ebaf-8c2f-4768-b2a6-8050b6c39eb7_1789636025730</t>
  </si>
  <si>
    <t>https://fasih-sm.bps.go.id/app/assignment/fd68e454-ba45-4b85-8205-f3bf777ded24/eeb4ebaf-8c2f-4768-b2a6-8050b6c39eb7</t>
  </si>
  <si>
    <t>eeba4d09-31e8-4201-a51c-8dba80d8bde5</t>
  </si>
  <si>
    <t>eeba4d09-31e8-4201-a51c-8dba80d8bde5_1788508983268</t>
  </si>
  <si>
    <t>INDUSTRI KOPRA (HERMANUS LAGA MOLAN)</t>
  </si>
  <si>
    <t>https://fasih-sm.bps.go.id/app/assignment/fd68e454-ba45-4b85-8205-f3bf777ded24/eeba4d09-31e8-4201-a51c-8dba80d8bde5</t>
  </si>
  <si>
    <t>eedfcfe6-dce7-4fdf-994b-0aeccc21d149</t>
  </si>
  <si>
    <t>eedfcfe6-dce7-4fdf-994b-0aeccc21d149_1784090871382</t>
  </si>
  <si>
    <t>INDUSTRI KOPRA &lt;PETRUS WALI SUBAN&gt;</t>
  </si>
  <si>
    <t>https://fasih-sm.bps.go.id/app/assignment/fd68e454-ba45-4b85-8205-f3bf777ded24/eedfcfe6-dce7-4fdf-994b-0aeccc21d149</t>
  </si>
  <si>
    <t>ef0dbcd7-411a-43e3-bd4d-7ab713698f54</t>
  </si>
  <si>
    <t>ef0dbcd7-411a-43e3-bd4d-7ab713698f54_1789636053993</t>
  </si>
  <si>
    <t>INDUSTRI KOPRA&lt;SIPRIANUS MASAN AGON&gt;</t>
  </si>
  <si>
    <t>https://fasih-sm.bps.go.id/app/assignment/fd68e454-ba45-4b85-8205-f3bf777ded24/ef0dbcd7-411a-43e3-bd4d-7ab713698f54</t>
  </si>
  <si>
    <t>ef53eb73-a3c7-4d4b-a7f3-31afe51df91c</t>
  </si>
  <si>
    <t>ef53eb73-a3c7-4d4b-a7f3-31afe51df91c_1786367396962</t>
  </si>
  <si>
    <t>INDUSTRI KOPRA(BERNADUS PAYONG SILI</t>
  </si>
  <si>
    <t>https://fasih-sm.bps.go.id/app/assignment/fd68e454-ba45-4b85-8205-f3bf777ded24/ef53eb73-a3c7-4d4b-a7f3-31afe51df91c</t>
  </si>
  <si>
    <t>ef65ba3b-7fbe-45a5-8470-d09d9fa6a4ae</t>
  </si>
  <si>
    <t>ef65ba3b-7fbe-45a5-8470-d09d9fa6a4ae_1789636123108</t>
  </si>
  <si>
    <t>INDUSTRI KOPRA&lt;YOHANES ROMAN BOLI&gt;</t>
  </si>
  <si>
    <t>https://fasih-sm.bps.go.id/app/assignment/fd68e454-ba45-4b85-8205-f3bf777ded24/ef65ba3b-7fbe-45a5-8470-d09d9fa6a4ae</t>
  </si>
  <si>
    <t>ef73516a-ae28-451f-9ac1-1dbe6e9d5d79</t>
  </si>
  <si>
    <t>ef73516a-ae28-451f-9ac1-1dbe6e9d5d79_1785932902670</t>
  </si>
  <si>
    <t>INDUSTRI KOPRA (THEODORUS TUGU LEIN)</t>
  </si>
  <si>
    <t>https://fasih-sm.bps.go.id/app/assignment/fd68e454-ba45-4b85-8205-f3bf777ded24/ef73516a-ae28-451f-9ac1-1dbe6e9d5d79</t>
  </si>
  <si>
    <t>ef77e917-cd34-42d4-b844-d686fe75dfd3</t>
  </si>
  <si>
    <t>ef77e917-cd34-42d4-b844-d686fe75dfd3_1788957235929</t>
  </si>
  <si>
    <t>USAHA PERKEBUNAN</t>
  </si>
  <si>
    <t>https://fasih-sm.bps.go.id/app/assignment/fd68e454-ba45-4b85-8205-f3bf777ded24/ef77e917-cd34-42d4-b844-d686fe75dfd3</t>
  </si>
  <si>
    <t>ef856b6a-4430-4336-a255-6e527192d366</t>
  </si>
  <si>
    <t>ef856b6a-4430-4336-a255-6e527192d366_1786141924696</t>
  </si>
  <si>
    <t>INDUSTRI KOPRA (BIBIANA KABO GEON)</t>
  </si>
  <si>
    <t>https://fasih-sm.bps.go.id/app/assignment/fd68e454-ba45-4b85-8205-f3bf777ded24/ef856b6a-4430-4336-a255-6e527192d366</t>
  </si>
  <si>
    <t>ef910fe2-7293-4949-8702-30a8ef70303b</t>
  </si>
  <si>
    <t>ef910fe2-7293-4949-8702-30a8ef70303b_1786192561140</t>
  </si>
  <si>
    <t>INDUSTRI KOPRA&lt;ROSA DAI MARAN&gt;</t>
  </si>
  <si>
    <t>https://fasih-sm.bps.go.id/app/assignment/fd68e454-ba45-4b85-8205-f3bf777ded24/ef910fe2-7293-4949-8702-30a8ef70303b</t>
  </si>
  <si>
    <t>ef99d7b6-ddad-4c45-ad5d-56558cb512c7</t>
  </si>
  <si>
    <t>ef99d7b6-ddad-4c45-ad5d-56558cb512c7_1792501587854</t>
  </si>
  <si>
    <t>USAHA INDUSTRI KOPRA &lt;WILFRIDUS MASANG&gt;</t>
  </si>
  <si>
    <t>https://fasih-sm.bps.go.id/app/assignment/fd68e454-ba45-4b85-8205-f3bf777ded24/ef99d7b6-ddad-4c45-ad5d-56558cb512c7</t>
  </si>
  <si>
    <t>efd47bdc-4ae3-41e9-8a6a-004bfee1da1d</t>
  </si>
  <si>
    <t>efd47bdc-4ae3-41e9-8a6a-004bfee1da1d_1783180922200</t>
  </si>
  <si>
    <t>UTP INDUSTRI KOPRA ( SIPRIANUS HADUNG)</t>
  </si>
  <si>
    <t>https://fasih-sm.bps.go.id/app/assignment/fd68e454-ba45-4b85-8205-f3bf777ded24/efd47bdc-4ae3-41e9-8a6a-004bfee1da1d</t>
  </si>
  <si>
    <t>efd94660-c5bc-49fe-abf8-5ab59f3cc523</t>
  </si>
  <si>
    <t>efd94660-c5bc-49fe-abf8-5ab59f3cc523_1789721237425</t>
  </si>
  <si>
    <t>UTP INDUSTRI PENGOLAHAN KELAPA(MUHAMMAD LABA)</t>
  </si>
  <si>
    <t>https://fasih-sm.bps.go.id/app/assignment/fd68e454-ba45-4b85-8205-f3bf777ded24/efd94660-c5bc-49fe-abf8-5ab59f3cc523</t>
  </si>
  <si>
    <t>efee5be2-9215-4008-b791-8fba76a8025a</t>
  </si>
  <si>
    <t>efee5be2-9215-4008-b791-8fba76a8025a_1786164788134</t>
  </si>
  <si>
    <t>INDUSTRI KOPRA( BERNADUS LAOT PEHAN)</t>
  </si>
  <si>
    <t>https://fasih-sm.bps.go.id/app/assignment/fd68e454-ba45-4b85-8205-f3bf777ded24/efee5be2-9215-4008-b791-8fba76a8025a</t>
  </si>
  <si>
    <t>eff64e7a-139b-48ea-b713-8a300c10f526</t>
  </si>
  <si>
    <t>eff64e7a-139b-48ea-b713-8a300c10f526_1790010116993</t>
  </si>
  <si>
    <t>INDUSTRI KOPRA&lt;SIPRIANUS OLA&gt;</t>
  </si>
  <si>
    <t>https://fasih-sm.bps.go.id/app/assignment/fd68e454-ba45-4b85-8205-f3bf777ded24/eff64e7a-139b-48ea-b713-8a300c10f526</t>
  </si>
  <si>
    <t>f0058522-c69c-457e-9a25-af142254fc8f</t>
  </si>
  <si>
    <t>f0058522-c69c-457e-9a25-af142254fc8f_1789661879059</t>
  </si>
  <si>
    <t>INDUSTRI KOPRA(ARIFIN OLA MANUK)</t>
  </si>
  <si>
    <t>https://fasih-sm.bps.go.id/app/assignment/fd68e454-ba45-4b85-8205-f3bf777ded24/f0058522-c69c-457e-9a25-af142254fc8f</t>
  </si>
  <si>
    <t>f005cd22-6914-4eb7-993c-6aacbbee7e01</t>
  </si>
  <si>
    <t>f005cd22-6914-4eb7-993c-6aacbbee7e01_1790062299639</t>
  </si>
  <si>
    <t>INDUSTRI KOPRA)ESTER ESE BAYEN)</t>
  </si>
  <si>
    <t>https://fasih-sm.bps.go.id/app/assignment/fd68e454-ba45-4b85-8205-f3bf777ded24/f005cd22-6914-4eb7-993c-6aacbbee7e01</t>
  </si>
  <si>
    <t>f00eb4b0-257e-4d77-ae21-f2ad6da594d6</t>
  </si>
  <si>
    <t>f00eb4b0-257e-4d77-ae21-f2ad6da594d6_1792474596795</t>
  </si>
  <si>
    <t>Industri Kopra</t>
  </si>
  <si>
    <t>https://fasih-sm.bps.go.id/app/assignment/fd68e454-ba45-4b85-8205-f3bf777ded24/f00eb4b0-257e-4d77-ae21-f2ad6da594d6</t>
  </si>
  <si>
    <t>f0251a9a-d7b3-4ba0-91bd-7cde3207bbd0</t>
  </si>
  <si>
    <t>f0251a9a-d7b3-4ba0-91bd-7cde3207bbd0_1789959220913</t>
  </si>
  <si>
    <t>INDUSTRI KELAPA&lt;TAHIRA WAHID&gt;</t>
  </si>
  <si>
    <t>https://fasih-sm.bps.go.id/app/assignment/fd68e454-ba45-4b85-8205-f3bf777ded24/f0251a9a-d7b3-4ba0-91bd-7cde3207bbd0</t>
  </si>
  <si>
    <t>f0285702-9025-4d72-9439-46dbc9e998b2</t>
  </si>
  <si>
    <t>f0285702-9025-4d72-9439-46dbc9e998b2_1785680730035</t>
  </si>
  <si>
    <t>INDUSTRI KOPRA (AMBROSIUS MASAN GERODA)</t>
  </si>
  <si>
    <t>https://fasih-sm.bps.go.id/app/assignment/fd68e454-ba45-4b85-8205-f3bf777ded24/f0285702-9025-4d72-9439-46dbc9e998b2</t>
  </si>
  <si>
    <t>f038a038-8410-4954-8128-436767c36764</t>
  </si>
  <si>
    <t>f038a038-8410-4954-8128-436767c36764_1787791902220</t>
  </si>
  <si>
    <t>USAHA KOPRA (DOMINGGUS)</t>
  </si>
  <si>
    <t>https://fasih-sm.bps.go.id/app/assignment/fd68e454-ba45-4b85-8205-f3bf777ded24/f038a038-8410-4954-8128-436767c36764</t>
  </si>
  <si>
    <t>f052d59f-6b9d-472b-9be0-083d77911341</t>
  </si>
  <si>
    <t>f052d59f-6b9d-472b-9be0-083d77911341_1789661946887</t>
  </si>
  <si>
    <t>INDUSTRI KOPRA(VERONIKA UBA DONI)</t>
  </si>
  <si>
    <t>https://fasih-sm.bps.go.id/app/assignment/fd68e454-ba45-4b85-8205-f3bf777ded24/f052d59f-6b9d-472b-9be0-083d77911341</t>
  </si>
  <si>
    <t>f0c44fcd-c8bc-40cf-94f3-a4763f8ec34b</t>
  </si>
  <si>
    <t>f0c44fcd-c8bc-40cf-94f3-a4763f8ec34b_1790029238899</t>
  </si>
  <si>
    <t>INDUSTRI PENGOLAHAN KELAPA&lt; SIMON NUA SANGA&gt;</t>
  </si>
  <si>
    <t>https://fasih-sm.bps.go.id/app/assignment/fd68e454-ba45-4b85-8205-f3bf777ded24/f0c44fcd-c8bc-40cf-94f3-a4763f8ec34b</t>
  </si>
  <si>
    <t>f0c641c1-04bc-49dd-8dc1-4ed5202a1d7e</t>
  </si>
  <si>
    <t>f0c641c1-04bc-49dd-8dc1-4ed5202a1d7e_1791943324699</t>
  </si>
  <si>
    <t>INDUSTRI KOPRA&lt;YOHANES NEDIN PEKA&gt;</t>
  </si>
  <si>
    <t>https://fasih-sm.bps.go.id/app/assignment/fd68e454-ba45-4b85-8205-f3bf777ded24/f0c641c1-04bc-49dd-8dc1-4ed5202a1d7e</t>
  </si>
  <si>
    <t>f0c87b25-b21d-49a9-ab47-8023a59c8ecd</t>
  </si>
  <si>
    <t>f0c87b25-b21d-49a9-ab47-8023a59c8ecd_1784772825078</t>
  </si>
  <si>
    <t>INDUSTRI KELAPA &lt;MALIK YAHYA&gt;</t>
  </si>
  <si>
    <t>https://fasih-sm.bps.go.id/app/assignment/fd68e454-ba45-4b85-8205-f3bf777ded24/f0c87b25-b21d-49a9-ab47-8023a59c8ecd</t>
  </si>
  <si>
    <t>f0ece0b1-735f-4434-844f-dab4c57e5a78</t>
  </si>
  <si>
    <t>f0ece0b1-735f-4434-844f-dab4c57e5a78_1789636293024</t>
  </si>
  <si>
    <t>USAHA KOPRA( GIORGIUS)</t>
  </si>
  <si>
    <t>https://fasih-sm.bps.go.id/app/assignment/fd68e454-ba45-4b85-8205-f3bf777ded24/f0ece0b1-735f-4434-844f-dab4c57e5a78</t>
  </si>
  <si>
    <t>f10c2042-eb08-4a63-bb1a-11d3c8c8ba17</t>
  </si>
  <si>
    <t>f10c2042-eb08-4a63-bb1a-11d3c8c8ba17_1787908593331</t>
  </si>
  <si>
    <t>INDUSTRI KOPRA&lt;MARIUS PANDAI&gt;</t>
  </si>
  <si>
    <t>https://fasih-sm.bps.go.id/app/assignment/fd68e454-ba45-4b85-8205-f3bf777ded24/f10c2042-eb08-4a63-bb1a-11d3c8c8ba17</t>
  </si>
  <si>
    <t>f1118d91-c147-47b9-9154-4d4ef25ede38</t>
  </si>
  <si>
    <t>f1118d91-c147-47b9-9154-4d4ef25ede38_1789636257231</t>
  </si>
  <si>
    <t>INDUSTRI KOPRA &lt;GREGORIUS GAYAK DEMON&gt;</t>
  </si>
  <si>
    <t>https://fasih-sm.bps.go.id/app/assignment/fd68e454-ba45-4b85-8205-f3bf777ded24/f1118d91-c147-47b9-9154-4d4ef25ede38</t>
  </si>
  <si>
    <t>f122523a-f753-4747-b1e0-1f5f48289280</t>
  </si>
  <si>
    <t>f122523a-f753-4747-b1e0-1f5f48289280_1786496655856</t>
  </si>
  <si>
    <t>INDUSTRI KOPRA FRANSISKUS KEBOJA RURON</t>
  </si>
  <si>
    <t>https://fasih-sm.bps.go.id/app/assignment/fd68e454-ba45-4b85-8205-f3bf777ded24/f122523a-f753-4747-b1e0-1f5f48289280</t>
  </si>
  <si>
    <t>f135d60d-4bb2-4338-9327-e0296be24d83</t>
  </si>
  <si>
    <t>f135d60d-4bb2-4338-9327-e0296be24d83_1784548498406</t>
  </si>
  <si>
    <t>KOPRA(FAISAL GAFUR)</t>
  </si>
  <si>
    <t>https://fasih-sm.bps.go.id/app/assignment/fd68e454-ba45-4b85-8205-f3bf777ded24/f135d60d-4bb2-4338-9327-e0296be24d83</t>
  </si>
  <si>
    <t>f14700d5-0268-4882-bdab-f294470dba99</t>
  </si>
  <si>
    <t>f14700d5-0268-4882-bdab-f294470dba99_1788387935828</t>
  </si>
  <si>
    <t>USAHA INDUSTRI KOPRA(MARSELINUS IKO RAYA)</t>
  </si>
  <si>
    <t>https://fasih-sm.bps.go.id/app/assignment/fd68e454-ba45-4b85-8205-f3bf777ded24/f14700d5-0268-4882-bdab-f294470dba99</t>
  </si>
  <si>
    <t>f147a823-78d4-49a2-b898-a9f3899c6679</t>
  </si>
  <si>
    <t>f147a823-78d4-49a2-b898-a9f3899c6679_1786461064253</t>
  </si>
  <si>
    <t>INDUSTRI KOPRA &lt;GABRIEL MASAN DAWIN&gt;</t>
  </si>
  <si>
    <t>https://fasih-sm.bps.go.id/app/assignment/fd68e454-ba45-4b85-8205-f3bf777ded24/f147a823-78d4-49a2-b898-a9f3899c6679</t>
  </si>
  <si>
    <t>f16d19fd-a412-400f-b131-c7ec49d4591b</t>
  </si>
  <si>
    <t>f16d19fd-a412-400f-b131-c7ec49d4591b_1790074557644</t>
  </si>
  <si>
    <t>USAHA INDUSTRI KOPRA KURNIAWAN</t>
  </si>
  <si>
    <t>https://fasih-sm.bps.go.id/app/assignment/fd68e454-ba45-4b85-8205-f3bf777ded24/f16d19fd-a412-400f-b131-c7ec49d4591b</t>
  </si>
  <si>
    <t>f174a37f-90fb-4571-9c17-1b3d3d7dbd81</t>
  </si>
  <si>
    <t>f174a37f-90fb-4571-9c17-1b3d3d7dbd81_1789981160973</t>
  </si>
  <si>
    <t>IMDUSTRI KOPRA</t>
  </si>
  <si>
    <t>https://fasih-sm.bps.go.id/app/assignment/fd68e454-ba45-4b85-8205-f3bf777ded24/f174a37f-90fb-4571-9c17-1b3d3d7dbd81</t>
  </si>
  <si>
    <t>f19336e3-0019-4552-a4fb-50d71a5dcc0a</t>
  </si>
  <si>
    <t>f19336e3-0019-4552-a4fb-50d71a5dcc0a_1788067884426</t>
  </si>
  <si>
    <t>https://fasih-sm.bps.go.id/app/assignment/fd68e454-ba45-4b85-8205-f3bf777ded24/f19336e3-0019-4552-a4fb-50d71a5dcc0a</t>
  </si>
  <si>
    <t>f1b55c2f-7e9a-4297-ae10-ae5e0d1274b5</t>
  </si>
  <si>
    <t>f1b55c2f-7e9a-4297-ae10-ae5e0d1274b5_1788818984166</t>
  </si>
  <si>
    <t>https://fasih-sm.bps.go.id/app/assignment/fd68e454-ba45-4b85-8205-f3bf777ded24/f1b55c2f-7e9a-4297-ae10-ae5e0d1274b5</t>
  </si>
  <si>
    <t>f1d0273f-7e63-42f3-82a0-2f31931f9278</t>
  </si>
  <si>
    <t>f1d0273f-7e63-42f3-82a0-2f31931f9278_1787583034988</t>
  </si>
  <si>
    <t>INDUSTRI KOPRA(EUSIBIUS OLA TOKAN)</t>
  </si>
  <si>
    <t>https://fasih-sm.bps.go.id/app/assignment/fd68e454-ba45-4b85-8205-f3bf777ded24/f1d0273f-7e63-42f3-82a0-2f31931f9278</t>
  </si>
  <si>
    <t>f1e7715e-5fca-43ca-b415-f14d3dbca552</t>
  </si>
  <si>
    <t>f1e7715e-5fca-43ca-b415-f14d3dbca552_1785932761643</t>
  </si>
  <si>
    <t>INDUSTRI KOPRA(ANDREAS LAGA SAMON)</t>
  </si>
  <si>
    <t>https://fasih-sm.bps.go.id/app/assignment/fd68e454-ba45-4b85-8205-f3bf777ded24/f1e7715e-5fca-43ca-b415-f14d3dbca552</t>
  </si>
  <si>
    <t>f1fa5694-09f7-4f2f-88d9-0b9c631310ad</t>
  </si>
  <si>
    <t>f1fa5694-09f7-4f2f-88d9-0b9c631310ad_1789661909035</t>
  </si>
  <si>
    <t>UTP PERTANIAN KELAPA&lt;ALFONS GELI LIWUN&gt;</t>
  </si>
  <si>
    <t>https://fasih-sm.bps.go.id/app/assignment/fd68e454-ba45-4b85-8205-f3bf777ded24/f1fa5694-09f7-4f2f-88d9-0b9c631310ad</t>
  </si>
  <si>
    <t>f21ca41b-b4c6-45e8-a44a-d62cd04a06be</t>
  </si>
  <si>
    <t>f21ca41b-b4c6-45e8-a44a-d62cd04a06be_1785819442962</t>
  </si>
  <si>
    <t>https://fasih-sm.bps.go.id/app/assignment/fd68e454-ba45-4b85-8205-f3bf777ded24/f21ca41b-b4c6-45e8-a44a-d62cd04a06be</t>
  </si>
  <si>
    <t>f2416fee-fe0b-49db-a5b5-6c9c08df77f7</t>
  </si>
  <si>
    <t>f2416fee-fe0b-49db-a5b5-6c9c08df77f7_1790562542493</t>
  </si>
  <si>
    <t>USAHA KOPRA (GHAFAR KOPONG)</t>
  </si>
  <si>
    <t>https://fasih-sm.bps.go.id/app/assignment/fd68e454-ba45-4b85-8205-f3bf777ded24/f2416fee-fe0b-49db-a5b5-6c9c08df77f7</t>
  </si>
  <si>
    <t>f27258ad-987b-4470-a87e-c1361cd86d5f</t>
  </si>
  <si>
    <t>f27258ad-987b-4470-a87e-c1361cd86d5f_1789636262305</t>
  </si>
  <si>
    <t>https://fasih-sm.bps.go.id/app/assignment/fd68e454-ba45-4b85-8205-f3bf777ded24/f27258ad-987b-4470-a87e-c1361cd86d5f</t>
  </si>
  <si>
    <t>f2912837-2fbb-464c-a624-4101b77b718d</t>
  </si>
  <si>
    <t>f2912837-2fbb-464c-a624-4101b77b718d_1784091119245</t>
  </si>
  <si>
    <t>INDUSTRI KOPRA &lt;OSKAR SIGA IKE&gt;</t>
  </si>
  <si>
    <t>https://fasih-sm.bps.go.id/app/assignment/fd68e454-ba45-4b85-8205-f3bf777ded24/f2912837-2fbb-464c-a624-4101b77b718d</t>
  </si>
  <si>
    <t>f296d1cd-1df7-4334-aeab-cea784db4cd5</t>
  </si>
  <si>
    <t>f296d1cd-1df7-4334-aeab-cea784db4cd5_1787265116085</t>
  </si>
  <si>
    <t>UTP INDUSTRI &lt;FRANSISKUS BAPA PUKEN&gt;</t>
  </si>
  <si>
    <t>https://fasih-sm.bps.go.id/app/assignment/fd68e454-ba45-4b85-8205-f3bf777ded24/f296d1cd-1df7-4334-aeab-cea784db4cd5</t>
  </si>
  <si>
    <t>f2d74255-07c7-4edf-b149-c849f0f725ea</t>
  </si>
  <si>
    <t>f2d74255-07c7-4edf-b149-c849f0f725ea_1784091166741</t>
  </si>
  <si>
    <t>UPT USAHA KOPRA (BAPAK LINUS LALUN)</t>
  </si>
  <si>
    <t>https://fasih-sm.bps.go.id/app/assignment/fd68e454-ba45-4b85-8205-f3bf777ded24/f2d74255-07c7-4edf-b149-c849f0f725ea</t>
  </si>
  <si>
    <t>f2e25890-10cb-447e-8805-652acdbfe640</t>
  </si>
  <si>
    <t>f2e25890-10cb-447e-8805-652acdbfe640_1790566898472</t>
  </si>
  <si>
    <t>INDUSTRI KELAPA&lt; HENDRIKUS MASANG</t>
  </si>
  <si>
    <t>https://fasih-sm.bps.go.id/app/assignment/fd68e454-ba45-4b85-8205-f3bf777ded24/f2e25890-10cb-447e-8805-652acdbfe640</t>
  </si>
  <si>
    <t>f2e82da4-28e1-4eb8-ae43-4fa91ae84d96</t>
  </si>
  <si>
    <t>f2e82da4-28e1-4eb8-ae43-4fa91ae84d96_1790084092561</t>
  </si>
  <si>
    <t>UTP INDUSTRI PENGOLAHAN KELAPA(YOSEP ARA MOLAN)</t>
  </si>
  <si>
    <t>https://fasih-sm.bps.go.id/app/assignment/fd68e454-ba45-4b85-8205-f3bf777ded24/f2e82da4-28e1-4eb8-ae43-4fa91ae84d96</t>
  </si>
  <si>
    <t>f2eac54d-bfa2-425f-90ee-d8449c3ffd74</t>
  </si>
  <si>
    <t>f2eac54d-bfa2-425f-90ee-d8449c3ffd74_1789723341845</t>
  </si>
  <si>
    <t>https://fasih-sm.bps.go.id/app/assignment/fd68e454-ba45-4b85-8205-f3bf777ded24/f2eac54d-bfa2-425f-90ee-d8449c3ffd74</t>
  </si>
  <si>
    <t>f30dfeb3-5454-49f6-8b1e-4f6bf9274901</t>
  </si>
  <si>
    <t>f30dfeb3-5454-49f6-8b1e-4f6bf9274901_1789636651777</t>
  </si>
  <si>
    <t>INDUSTRI KOPRA&lt;KAMSINA KEKAK&gt;</t>
  </si>
  <si>
    <t>https://fasih-sm.bps.go.id/app/assignment/fd68e454-ba45-4b85-8205-f3bf777ded24/f30dfeb3-5454-49f6-8b1e-4f6bf9274901</t>
  </si>
  <si>
    <t>f32191fc-6f1c-49e0-bc7d-0900084fafe0</t>
  </si>
  <si>
    <t>f32191fc-6f1c-49e0-bc7d-0900084fafe0_1790071799582</t>
  </si>
  <si>
    <t>INDUSTRI KELAPA &lt;ABDU SYUKUR&gt;</t>
  </si>
  <si>
    <t>https://fasih-sm.bps.go.id/app/assignment/fd68e454-ba45-4b85-8205-f3bf777ded24/f32191fc-6f1c-49e0-bc7d-0900084fafe0</t>
  </si>
  <si>
    <t>f364f122-dc37-4ea2-80e8-c5572557af84</t>
  </si>
  <si>
    <t>f364f122-dc37-4ea2-80e8-c5572557af84_1790029153456</t>
  </si>
  <si>
    <t>UTP INDUSTRI &lt; YOHANES OLA LIKU DULI &gt;</t>
  </si>
  <si>
    <t>https://fasih-sm.bps.go.id/app/assignment/fd68e454-ba45-4b85-8205-f3bf777ded24/f364f122-dc37-4ea2-80e8-c5572557af84</t>
  </si>
  <si>
    <t>f3a2f16e-8bd4-4386-b2c3-6c1c424839b7</t>
  </si>
  <si>
    <t>f3a2f16e-8bd4-4386-b2c3-6c1c424839b7_1784091186691</t>
  </si>
  <si>
    <t>UTP INDUSTRI KELAPA ( TOBI )</t>
  </si>
  <si>
    <t>https://fasih-sm.bps.go.id/app/assignment/fd68e454-ba45-4b85-8205-f3bf777ded24/f3a2f16e-8bd4-4386-b2c3-6c1c424839b7</t>
  </si>
  <si>
    <t>f3cb1598-c7b5-4c04-86ab-c4c2d4304f5d</t>
  </si>
  <si>
    <t>f3cb1598-c7b5-4c04-86ab-c4c2d4304f5d_1787300692628</t>
  </si>
  <si>
    <t>https://fasih-sm.bps.go.id/app/assignment/fd68e454-ba45-4b85-8205-f3bf777ded24/f3cb1598-c7b5-4c04-86ab-c4c2d4304f5d</t>
  </si>
  <si>
    <t>f3cc17fe-2b98-4685-9b3f-c1d168c90278</t>
  </si>
  <si>
    <t>f3cc17fe-2b98-4685-9b3f-c1d168c90278_1786904884433</t>
  </si>
  <si>
    <t>INDUSTRI KOPRA MARIA NOGO TUKAN</t>
  </si>
  <si>
    <t>https://fasih-sm.bps.go.id/app/assignment/fd68e454-ba45-4b85-8205-f3bf777ded24/f3cc17fe-2b98-4685-9b3f-c1d168c90278</t>
  </si>
  <si>
    <t>f3ea58f3-c4b7-4181-8f40-e7fdc4aca07a</t>
  </si>
  <si>
    <t>f3ea58f3-c4b7-4181-8f40-e7fdc4aca07a_1792626315927</t>
  </si>
  <si>
    <t>UTP INDUSTRI PENGOLAHAN KELAPA(DAMIANUS DAGANG BALA)</t>
  </si>
  <si>
    <t>https://fasih-sm.bps.go.id/app/assignment/fd68e454-ba45-4b85-8205-f3bf777ded24/f3ea58f3-c4b7-4181-8f40-e7fdc4aca07a</t>
  </si>
  <si>
    <t>f3fd1317-d674-4b0f-bdf5-285ec1a65ac1</t>
  </si>
  <si>
    <t>f3fd1317-d674-4b0f-bdf5-285ec1a65ac1_1787887886027</t>
  </si>
  <si>
    <t>INDUSTRI KOPRA ATAPUPU</t>
  </si>
  <si>
    <t>https://fasih-sm.bps.go.id/app/assignment/fd68e454-ba45-4b85-8205-f3bf777ded24/f3fd1317-d674-4b0f-bdf5-285ec1a65ac1</t>
  </si>
  <si>
    <t>INDUSTRI KOPRA NARA</t>
  </si>
  <si>
    <t>f425ae67-b16c-4314-af88-54186c0aea9f</t>
  </si>
  <si>
    <t>f425ae67-b16c-4314-af88-54186c0aea9f_1784355265623</t>
  </si>
  <si>
    <t>INDUSTRI KELAPA &lt;LUSIA BULU OLA&gt;</t>
  </si>
  <si>
    <t>https://fasih-sm.bps.go.id/app/assignment/fd68e454-ba45-4b85-8205-f3bf777ded24/f425ae67-b16c-4314-af88-54186c0aea9f</t>
  </si>
  <si>
    <t>f448bd35-b8a5-48a1-bb4d-bcf617070c2c</t>
  </si>
  <si>
    <t>f448bd35-b8a5-48a1-bb4d-bcf617070c2c_1789661985686</t>
  </si>
  <si>
    <t>UTP INDUSTRI &lt; NIKO DONI &gt;</t>
  </si>
  <si>
    <t>https://fasih-sm.bps.go.id/app/assignment/fd68e454-ba45-4b85-8205-f3bf777ded24/f448bd35-b8a5-48a1-bb4d-bcf617070c2c</t>
  </si>
  <si>
    <t>f4500536-e6cc-4d1f-8b95-2fbb422b5e78</t>
  </si>
  <si>
    <t>f4500536-e6cc-4d1f-8b95-2fbb422b5e78_1792480304981</t>
  </si>
  <si>
    <t>INDUSTRI PENGOLAHAN KELAPA(AGUSTINUS AMA BELEN)</t>
  </si>
  <si>
    <t>https://fasih-sm.bps.go.id/app/assignment/fd68e454-ba45-4b85-8205-f3bf777ded24/f4500536-e6cc-4d1f-8b95-2fbb422b5e78</t>
  </si>
  <si>
    <t>f4541a2c-18a1-4bc5-9b1b-0257cf455961</t>
  </si>
  <si>
    <t>f4541a2c-18a1-4bc5-9b1b-0257cf455961_1784091218718</t>
  </si>
  <si>
    <t>UTP INDUSTRI KOPRA ( PATI)</t>
  </si>
  <si>
    <t>https://fasih-sm.bps.go.id/app/assignment/fd68e454-ba45-4b85-8205-f3bf777ded24/f4541a2c-18a1-4bc5-9b1b-0257cf455961</t>
  </si>
  <si>
    <t>f4735e35-ddac-4160-a91f-6f6ca44ec266</t>
  </si>
  <si>
    <t>f4735e35-ddac-4160-a91f-6f6ca44ec266_1790066223982</t>
  </si>
  <si>
    <t>USAHA KOPRA AGENES UTO RURON</t>
  </si>
  <si>
    <t>https://fasih-sm.bps.go.id/app/assignment/fd68e454-ba45-4b85-8205-f3bf777ded24/f4735e35-ddac-4160-a91f-6f6ca44ec266</t>
  </si>
  <si>
    <t>f4b3f5b4-77e0-4aef-bbfc-da4439de4364</t>
  </si>
  <si>
    <t>f4b3f5b4-77e0-4aef-bbfc-da4439de4364_1790084835909</t>
  </si>
  <si>
    <t>USAHA KOPRA (MARSELINA AMU MANUK)</t>
  </si>
  <si>
    <t>https://fasih-sm.bps.go.id/app/assignment/fd68e454-ba45-4b85-8205-f3bf777ded24/f4b3f5b4-77e0-4aef-bbfc-da4439de4364</t>
  </si>
  <si>
    <t>f4c042f0-49d6-48c3-899f-4feadae0e274</t>
  </si>
  <si>
    <t>f4c042f0-49d6-48c3-899f-4feadae0e274_1783045348397</t>
  </si>
  <si>
    <t>INDUSTRI KOPRA &lt; KOSMAS GELEUK OLA &gt;</t>
  </si>
  <si>
    <t>https://fasih-sm.bps.go.id/app/assignment/fd68e454-ba45-4b85-8205-f3bf777ded24/f4c042f0-49d6-48c3-899f-4feadae0e274</t>
  </si>
  <si>
    <t>f4ccdb10-3f21-400e-bcb9-ce4ddd27c3ca</t>
  </si>
  <si>
    <t>f4ccdb10-3f21-400e-bcb9-ce4ddd27c3ca_1784341093673</t>
  </si>
  <si>
    <t>https://fasih-sm.bps.go.id/app/assignment/fd68e454-ba45-4b85-8205-f3bf777ded24/f4ccdb10-3f21-400e-bcb9-ce4ddd27c3ca</t>
  </si>
  <si>
    <t>f4d6de29-c8d1-41d8-bd42-af16657de059</t>
  </si>
  <si>
    <t>f4d6de29-c8d1-41d8-bd42-af16657de059_1789636534457</t>
  </si>
  <si>
    <t>UTP INDUSTRI &lt; SESILIA LIPAT BROKAN&gt;</t>
  </si>
  <si>
    <t>https://fasih-sm.bps.go.id/app/assignment/fd68e454-ba45-4b85-8205-f3bf777ded24/f4d6de29-c8d1-41d8-bd42-af16657de059</t>
  </si>
  <si>
    <t>f4ef34f7-ec9d-4117-a19a-7fcbdbde508a</t>
  </si>
  <si>
    <t>f4ef34f7-ec9d-4117-a19a-7fcbdbde508a_1789606993649</t>
  </si>
  <si>
    <t>https://fasih-sm.bps.go.id/app/assignment/fd68e454-ba45-4b85-8205-f3bf777ded24/f4ef34f7-ec9d-4117-a19a-7fcbdbde508a</t>
  </si>
  <si>
    <t>f4fa71aa-2e2d-492f-857d-361644ebdf0a</t>
  </si>
  <si>
    <t>f4fa71aa-2e2d-492f-857d-361644ebdf0a_1788257250043</t>
  </si>
  <si>
    <t>https://fasih-sm.bps.go.id/app/assignment/fd68e454-ba45-4b85-8205-f3bf777ded24/f4fa71aa-2e2d-492f-857d-361644ebdf0a</t>
  </si>
  <si>
    <t>f532d7cf-7309-4eef-b452-156de3e6a9a0</t>
  </si>
  <si>
    <t>f532d7cf-7309-4eef-b452-156de3e6a9a0_1784091315616</t>
  </si>
  <si>
    <t>https://fasih-sm.bps.go.id/app/assignment/fd68e454-ba45-4b85-8205-f3bf777ded24/f532d7cf-7309-4eef-b452-156de3e6a9a0</t>
  </si>
  <si>
    <t>f5333361-83ef-49b7-a2a2-c6a0f64a87da</t>
  </si>
  <si>
    <t>f5333361-83ef-49b7-a2a2-c6a0f64a87da_1789636585289</t>
  </si>
  <si>
    <t>INDUSTRI KOPRA (REDENTUS OLA MANGU)</t>
  </si>
  <si>
    <t>https://fasih-sm.bps.go.id/app/assignment/fd68e454-ba45-4b85-8205-f3bf777ded24/f5333361-83ef-49b7-a2a2-c6a0f64a87da</t>
  </si>
  <si>
    <t>f54acfb0-08da-448b-8b28-e2fefe11bb3c</t>
  </si>
  <si>
    <t>f54acfb0-08da-448b-8b28-e2fefe11bb3c_1789636407788</t>
  </si>
  <si>
    <t>https://fasih-sm.bps.go.id/app/assignment/fd68e454-ba45-4b85-8205-f3bf777ded24/f54acfb0-08da-448b-8b28-e2fefe11bb3c</t>
  </si>
  <si>
    <t>f55e7214-e2c0-4165-ae1d-a5cf3adcd8d8</t>
  </si>
  <si>
    <t>f55e7214-e2c0-4165-ae1d-a5cf3adcd8d8_1789636533476</t>
  </si>
  <si>
    <t>INDUSTRI KOPRA&lt;MARIA FATIMA SALAN&gt;</t>
  </si>
  <si>
    <t>https://fasih-sm.bps.go.id/app/assignment/fd68e454-ba45-4b85-8205-f3bf777ded24/f55e7214-e2c0-4165-ae1d-a5cf3adcd8d8</t>
  </si>
  <si>
    <t>f56a693f-bc64-4fa5-a3f8-3046a50119c5</t>
  </si>
  <si>
    <t>f56a693f-bc64-4fa5-a3f8-3046a50119c5_1784676275984</t>
  </si>
  <si>
    <t>INDUSTRI KOPRA (STEFANUS EKE)</t>
  </si>
  <si>
    <t>https://fasih-sm.bps.go.id/app/assignment/fd68e454-ba45-4b85-8205-f3bf777ded24/f56a693f-bc64-4fa5-a3f8-3046a50119c5</t>
  </si>
  <si>
    <t>f57a94ae-d79e-4d66-a703-cdd933ada2d2</t>
  </si>
  <si>
    <t>f57a94ae-d79e-4d66-a703-cdd933ada2d2_1784091326360</t>
  </si>
  <si>
    <t>UTP PERKEBUNAN (LAURENSIUS LAU TOBI)</t>
  </si>
  <si>
    <t>https://fasih-sm.bps.go.id/app/assignment/fd68e454-ba45-4b85-8205-f3bf777ded24/f57a94ae-d79e-4d66-a703-cdd933ada2d2</t>
  </si>
  <si>
    <t>f58ba1da-c045-4e55-affe-fed774424964</t>
  </si>
  <si>
    <t>f58ba1da-c045-4e55-affe-fed774424964_1784091215597</t>
  </si>
  <si>
    <t>INDUSTRI KOPRA(PASKALIS LAURE)</t>
  </si>
  <si>
    <t>https://fasih-sm.bps.go.id/app/assignment/fd68e454-ba45-4b85-8205-f3bf777ded24/f58ba1da-c045-4e55-affe-fed774424964</t>
  </si>
  <si>
    <t>f5a42fec-470e-4e60-a5a1-3168251fefae</t>
  </si>
  <si>
    <t>f5a42fec-470e-4e60-a5a1-3168251fefae_1788183209442</t>
  </si>
  <si>
    <t>https://fasih-sm.bps.go.id/app/assignment/fd68e454-ba45-4b85-8205-f3bf777ded24/f5a42fec-470e-4e60-a5a1-3168251fefae</t>
  </si>
  <si>
    <t>f5d764e8-e291-483a-ae6e-30ff68929a89</t>
  </si>
  <si>
    <t>f5d764e8-e291-483a-ae6e-30ff68929a89_1788627982364</t>
  </si>
  <si>
    <t>https://fasih-sm.bps.go.id/app/assignment/fd68e454-ba45-4b85-8205-f3bf777ded24/f5d764e8-e291-483a-ae6e-30ff68929a89</t>
  </si>
  <si>
    <t>f5d7f5ab-44ff-4aae-8126-975b7659a1dd</t>
  </si>
  <si>
    <t>f5d7f5ab-44ff-4aae-8126-975b7659a1dd_1790566898992</t>
  </si>
  <si>
    <t>INDUSTRI KOPRA&lt;NIKOLAUS OLA SAMON&gt;</t>
  </si>
  <si>
    <t>https://fasih-sm.bps.go.id/app/assignment/fd68e454-ba45-4b85-8205-f3bf777ded24/f5d7f5ab-44ff-4aae-8126-975b7659a1dd</t>
  </si>
  <si>
    <t>f5e31d01-47f2-45f9-af77-3b52c79e7857</t>
  </si>
  <si>
    <t>f5e31d01-47f2-45f9-af77-3b52c79e7857_1790078732734</t>
  </si>
  <si>
    <t>USAHA KOPRA(AMUNUDIN BAYO SILI)</t>
  </si>
  <si>
    <t>https://fasih-sm.bps.go.id/app/assignment/fd68e454-ba45-4b85-8205-f3bf777ded24/f5e31d01-47f2-45f9-af77-3b52c79e7857</t>
  </si>
  <si>
    <t>f5f80386-60a8-4aa7-bb6c-de1faea86d39</t>
  </si>
  <si>
    <t>f5f80386-60a8-4aa7-bb6c-de1faea86d39_1784251203723</t>
  </si>
  <si>
    <t>INDUSTRI KOPRA &lt;MONICA DA TUKAN&gt;</t>
  </si>
  <si>
    <t>https://fasih-sm.bps.go.id/app/assignment/fd68e454-ba45-4b85-8205-f3bf777ded24/f5f80386-60a8-4aa7-bb6c-de1faea86d39</t>
  </si>
  <si>
    <t>f601b02f-7a9f-48d4-9a66-1a60bab7c2af</t>
  </si>
  <si>
    <t>f601b02f-7a9f-48d4-9a66-1a60bab7c2af_1785361283837</t>
  </si>
  <si>
    <t>Usaha produksi kopra</t>
  </si>
  <si>
    <t>https://fasih-sm.bps.go.id/app/assignment/fd68e454-ba45-4b85-8205-f3bf777ded24/f601b02f-7a9f-48d4-9a66-1a60bab7c2af</t>
  </si>
  <si>
    <t>f602cc30-4488-421b-8a6f-41a17325519e</t>
  </si>
  <si>
    <t>f602cc30-4488-421b-8a6f-41a17325519e_1790087428160</t>
  </si>
  <si>
    <t>INDUSTRI PENGOLAHAN KELAPA&lt; PHILIPUS BERNASIUS NUA&gt;</t>
  </si>
  <si>
    <t>https://fasih-sm.bps.go.id/app/assignment/fd68e454-ba45-4b85-8205-f3bf777ded24/f602cc30-4488-421b-8a6f-41a17325519e</t>
  </si>
  <si>
    <t>f60636de-ea96-4c85-b913-c6f5d2605b74</t>
  </si>
  <si>
    <t>f60636de-ea96-4c85-b913-c6f5d2605b74_1787781765098</t>
  </si>
  <si>
    <t>INDUSTRI KOPRA ATU</t>
  </si>
  <si>
    <t>https://fasih-sm.bps.go.id/app/assignment/fd68e454-ba45-4b85-8205-f3bf777ded24/f60636de-ea96-4c85-b913-c6f5d2605b74</t>
  </si>
  <si>
    <t>INDUSTRI KOPRA WALANG</t>
  </si>
  <si>
    <t>f626ef16-5590-4904-a0b4-2280805f715b</t>
  </si>
  <si>
    <t>f626ef16-5590-4904-a0b4-2280805f715b_1787782015651</t>
  </si>
  <si>
    <t>https://fasih-sm.bps.go.id/app/assignment/fd68e454-ba45-4b85-8205-f3bf777ded24/f626ef16-5590-4904-a0b4-2280805f715b</t>
  </si>
  <si>
    <t>f6292dbe-17f5-4267-abc3-419e1f4e77f9</t>
  </si>
  <si>
    <t>f6292dbe-17f5-4267-abc3-419e1f4e77f9_1786872320316</t>
  </si>
  <si>
    <t>https://fasih-sm.bps.go.id/app/assignment/fd68e454-ba45-4b85-8205-f3bf777ded24/f6292dbe-17f5-4267-abc3-419e1f4e77f9</t>
  </si>
  <si>
    <t>f62aac2f-ae8a-43df-bfe1-db15f85c46d1</t>
  </si>
  <si>
    <t>f62aac2f-ae8a-43df-bfe1-db15f85c46d1_1787005014023</t>
  </si>
  <si>
    <t>https://fasih-sm.bps.go.id/app/assignment/fd68e454-ba45-4b85-8205-f3bf777ded24/f62aac2f-ae8a-43df-bfe1-db15f85c46d1</t>
  </si>
  <si>
    <t>f6303ef6-b12d-4720-b670-8055046b48eb</t>
  </si>
  <si>
    <t>f6303ef6-b12d-4720-b670-8055046b48eb_1790061178354</t>
  </si>
  <si>
    <t>INDUSTRI PENGOLAHAN KELAPA&lt; DIDIMUS DOT TOLAN&gt;</t>
  </si>
  <si>
    <t>https://fasih-sm.bps.go.id/app/assignment/fd68e454-ba45-4b85-8205-f3bf777ded24/f6303ef6-b12d-4720-b670-8055046b48eb</t>
  </si>
  <si>
    <t>f6358a33-ef30-4cc9-a8a5-fe1bd665cd43</t>
  </si>
  <si>
    <t>f6358a33-ef30-4cc9-a8a5-fe1bd665cd43_1790085738335</t>
  </si>
  <si>
    <t>INDUSTRI KOPRA(wilhelmus laga juan)</t>
  </si>
  <si>
    <t>https://fasih-sm.bps.go.id/app/assignment/fd68e454-ba45-4b85-8205-f3bf777ded24/f6358a33-ef30-4cc9-a8a5-fe1bd665cd43</t>
  </si>
  <si>
    <t>f63988cd-a37a-4a43-aacb-21bfd1af81a5</t>
  </si>
  <si>
    <t>f63988cd-a37a-4a43-aacb-21bfd1af81a5_1788006254554</t>
  </si>
  <si>
    <t>USAHA INDUSTRI KOPRA (KLEMENS SOGAN OLA)</t>
  </si>
  <si>
    <t>https://fasih-sm.bps.go.id/app/assignment/fd68e454-ba45-4b85-8205-f3bf777ded24/f63988cd-a37a-4a43-aacb-21bfd1af81a5</t>
  </si>
  <si>
    <t>f67003a4-f0c8-4807-b221-4df5376501a7</t>
  </si>
  <si>
    <t>f67003a4-f0c8-4807-b221-4df5376501a7_1784023874628</t>
  </si>
  <si>
    <t>INDUSTRI KOPRA(STEFANUS KOPONG)</t>
  </si>
  <si>
    <t>https://fasih-sm.bps.go.id/app/assignment/fd68e454-ba45-4b85-8205-f3bf777ded24/f67003a4-f0c8-4807-b221-4df5376501a7</t>
  </si>
  <si>
    <t>f68f795f-e4bd-43ec-9165-88b92c46f419</t>
  </si>
  <si>
    <t>f68f795f-e4bd-43ec-9165-88b92c46f419_1784677055359</t>
  </si>
  <si>
    <t>INDUSTRI KOPRA (DSRIUS DAWAT OLA)</t>
  </si>
  <si>
    <t>https://fasih-sm.bps.go.id/app/assignment/fd68e454-ba45-4b85-8205-f3bf777ded24/f68f795f-e4bd-43ec-9165-88b92c46f419</t>
  </si>
  <si>
    <t>f6990f11-c672-4135-9e22-2cabaf118533</t>
  </si>
  <si>
    <t>f6990f11-c672-4135-9e22-2cabaf118533_1789599308335</t>
  </si>
  <si>
    <t>USAHA PERKEBUNAN KELAPA ( HILARIUS PITANG LIWU )</t>
  </si>
  <si>
    <t>https://fasih-sm.bps.go.id/app/assignment/fd68e454-ba45-4b85-8205-f3bf777ded24/f6990f11-c672-4135-9e22-2cabaf118533</t>
  </si>
  <si>
    <t>f69d5a22-66ea-48ec-97b8-354cba3229af</t>
  </si>
  <si>
    <t>f69d5a22-66ea-48ec-97b8-354cba3229af_1785933424008</t>
  </si>
  <si>
    <t>INDUSTRI KOPRA(ALOYSYIUS IGO BELELA)</t>
  </si>
  <si>
    <t>https://fasih-sm.bps.go.id/app/assignment/fd68e454-ba45-4b85-8205-f3bf777ded24/f69d5a22-66ea-48ec-97b8-354cba3229af</t>
  </si>
  <si>
    <t>f6a06079-bbd5-467c-99d4-1fac05043ad1</t>
  </si>
  <si>
    <t>f6a06079-bbd5-467c-99d4-1fac05043ad1_1790072324905</t>
  </si>
  <si>
    <t>INDUSTRI PERKEBUNAN KELAPA(YOHANES WAI NOKE)</t>
  </si>
  <si>
    <t>https://fasih-sm.bps.go.id/app/assignment/fd68e454-ba45-4b85-8205-f3bf777ded24/f6a06079-bbd5-467c-99d4-1fac05043ad1</t>
  </si>
  <si>
    <t>f6c97438-15d6-435f-87b4-5cddee81f6ce</t>
  </si>
  <si>
    <t>f6c97438-15d6-435f-87b4-5cddee81f6ce_1788060953137</t>
  </si>
  <si>
    <t>https://fasih-sm.bps.go.id/app/assignment/fd68e454-ba45-4b85-8205-f3bf777ded24/f6c97438-15d6-435f-87b4-5cddee81f6ce</t>
  </si>
  <si>
    <t>f6ddd5c2-9226-404a-a392-79e84248a797</t>
  </si>
  <si>
    <t>f6ddd5c2-9226-404a-a392-79e84248a797_1787706383277</t>
  </si>
  <si>
    <t>INDUSTRI KELAPA&lt; TRESIA DANUNG&gt;</t>
  </si>
  <si>
    <t>https://fasih-sm.bps.go.id/app/assignment/fd68e454-ba45-4b85-8205-f3bf777ded24/f6ddd5c2-9226-404a-a392-79e84248a797</t>
  </si>
  <si>
    <t>f6fb4cb6-f654-4265-a71f-53715bd4ef4a</t>
  </si>
  <si>
    <t>f6fb4cb6-f654-4265-a71f-53715bd4ef4a_1785836071656</t>
  </si>
  <si>
    <t>USAHA INDUSTRI KOPRA &lt;LUSIA PENATEN&gt;ko</t>
  </si>
  <si>
    <t>https://fasih-sm.bps.go.id/app/assignment/fd68e454-ba45-4b85-8205-f3bf777ded24/f6fb4cb6-f654-4265-a71f-53715bd4ef4a</t>
  </si>
  <si>
    <t>f70159f9-2a4a-4e06-a3f4-c5d0387264c5</t>
  </si>
  <si>
    <t>f70159f9-2a4a-4e06-a3f4-c5d0387264c5_1791943803612</t>
  </si>
  <si>
    <t>INDUSTRI KOPRA&lt;HAJRUL ISHAK&gt;</t>
  </si>
  <si>
    <t>https://fasih-sm.bps.go.id/app/assignment/fd68e454-ba45-4b85-8205-f3bf777ded24/f70159f9-2a4a-4e06-a3f4-c5d0387264c5</t>
  </si>
  <si>
    <t>f719ce96-3562-4aef-9da4-23a255623610</t>
  </si>
  <si>
    <t>f719ce96-3562-4aef-9da4-23a255623610_1784366292560</t>
  </si>
  <si>
    <t>INDUSTRI KELAPA (TAMRIN RATE SALEH)</t>
  </si>
  <si>
    <t>https://fasih-sm.bps.go.id/app/assignment/fd68e454-ba45-4b85-8205-f3bf777ded24/f719ce96-3562-4aef-9da4-23a255623610</t>
  </si>
  <si>
    <t>f729a6e2-618f-4e79-a1bb-250dab1312d5</t>
  </si>
  <si>
    <t>f729a6e2-618f-4e79-a1bb-250dab1312d5_1786265563607</t>
  </si>
  <si>
    <t>USAHA INDUSTRI KOPRA &lt;RAHMAN MUDA RAYA&gt;</t>
  </si>
  <si>
    <t>https://fasih-sm.bps.go.id/app/assignment/fd68e454-ba45-4b85-8205-f3bf777ded24/f729a6e2-618f-4e79-a1bb-250dab1312d5</t>
  </si>
  <si>
    <t>f730f914-70ac-441c-81fd-ad4c953542d5</t>
  </si>
  <si>
    <t>f730f914-70ac-441c-81fd-ad4c953542d5_1789636561309</t>
  </si>
  <si>
    <t>INDUSTRI KOPRA &lt;KOSMAS KOPONG SIRA&gt;</t>
  </si>
  <si>
    <t>https://fasih-sm.bps.go.id/app/assignment/fd68e454-ba45-4b85-8205-f3bf777ded24/f730f914-70ac-441c-81fd-ad4c953542d5</t>
  </si>
  <si>
    <t>f7ad0982-477f-4840-aa06-639433fdb533</t>
  </si>
  <si>
    <t>f7ad0982-477f-4840-aa06-639433fdb533_1786419635989</t>
  </si>
  <si>
    <t>INDUSTRI KOPRA NIKODEMIS BERKAT HALA)</t>
  </si>
  <si>
    <t>https://fasih-sm.bps.go.id/app/assignment/fd68e454-ba45-4b85-8205-f3bf777ded24/f7ad0982-477f-4840-aa06-639433fdb533</t>
  </si>
  <si>
    <t>f7f41255-b5dc-42ea-bdf9-6855529b6dd1</t>
  </si>
  <si>
    <t>f7f41255-b5dc-42ea-bdf9-6855529b6dd1_1790079152389</t>
  </si>
  <si>
    <t>INDUSTRI KOPRA(DIDAKUS KOTAK)</t>
  </si>
  <si>
    <t>https://fasih-sm.bps.go.id/app/assignment/fd68e454-ba45-4b85-8205-f3bf777ded24/f7f41255-b5dc-42ea-bdf9-6855529b6dd1</t>
  </si>
  <si>
    <t>f7fb10ed-5d6a-4879-934a-777d22a6f052</t>
  </si>
  <si>
    <t>f7fb10ed-5d6a-4879-934a-777d22a6f052_1786268126331</t>
  </si>
  <si>
    <t>https://fasih-sm.bps.go.id/app/assignment/fd68e454-ba45-4b85-8205-f3bf777ded24/f7fb10ed-5d6a-4879-934a-777d22a6f052</t>
  </si>
  <si>
    <t>f8013566-528f-472c-b8a1-73f561dcd7a6</t>
  </si>
  <si>
    <t>f8013566-528f-472c-b8a1-73f561dcd7a6_1784269368335</t>
  </si>
  <si>
    <t>INDUSTRI KOPRA &lt; PETRUS KUDA HOKOR&gt;</t>
  </si>
  <si>
    <t>https://fasih-sm.bps.go.id/app/assignment/fd68e454-ba45-4b85-8205-f3bf777ded24/f8013566-528f-472c-b8a1-73f561dcd7a6</t>
  </si>
  <si>
    <t>f819bf0b-03ec-49b6-a223-1e60b49bc468</t>
  </si>
  <si>
    <t>f819bf0b-03ec-49b6-a223-1e60b49bc468_1784706990854</t>
  </si>
  <si>
    <t>UTP PERKEBUNAN (YOSEP WATOWUAN)</t>
  </si>
  <si>
    <t>https://fasih-sm.bps.go.id/app/assignment/fd68e454-ba45-4b85-8205-f3bf777ded24/f819bf0b-03ec-49b6-a223-1e60b49bc468</t>
  </si>
  <si>
    <t>f8227f03-e261-42b7-928c-268326f9ace4</t>
  </si>
  <si>
    <t>f8227f03-e261-42b7-928c-268326f9ace4_1789068218852</t>
  </si>
  <si>
    <t>https://fasih-sm.bps.go.id/app/assignment/fd68e454-ba45-4b85-8205-f3bf777ded24/f8227f03-e261-42b7-928c-268326f9ace4</t>
  </si>
  <si>
    <t>f8254ae9-58da-45df-be92-81c49be9f88c</t>
  </si>
  <si>
    <t>f8254ae9-58da-45df-be92-81c49be9f88c_1790566898497</t>
  </si>
  <si>
    <t>INDUSTRI KOPRA&lt;ISTIWATI KEWA&gt;</t>
  </si>
  <si>
    <t>https://fasih-sm.bps.go.id/app/assignment/fd68e454-ba45-4b85-8205-f3bf777ded24/f8254ae9-58da-45df-be92-81c49be9f88c</t>
  </si>
  <si>
    <t>f82fda9c-14b7-48f5-b4ce-744bb76beb24</t>
  </si>
  <si>
    <t>f82fda9c-14b7-48f5-b4ce-744bb76beb24_1789662009073</t>
  </si>
  <si>
    <t>INDUSTRI KOPRA&lt;KORNELIA ERO&gt;</t>
  </si>
  <si>
    <t>https://fasih-sm.bps.go.id/app/assignment/fd68e454-ba45-4b85-8205-f3bf777ded24/f82fda9c-14b7-48f5-b4ce-744bb76beb24</t>
  </si>
  <si>
    <t>f835dd15-69e8-4ee4-b31b-ed1d58655112</t>
  </si>
  <si>
    <t>f835dd15-69e8-4ee4-b31b-ed1d58655112_1787848103550</t>
  </si>
  <si>
    <t>INDUSTRI KOPRA ( SIPRIANUS DOSI SILI)</t>
  </si>
  <si>
    <t>https://fasih-sm.bps.go.id/app/assignment/fd68e454-ba45-4b85-8205-f3bf777ded24/f835dd15-69e8-4ee4-b31b-ed1d58655112</t>
  </si>
  <si>
    <t>f8885e9a-829e-4fde-b085-12b21a423628</t>
  </si>
  <si>
    <t>f8885e9a-829e-4fde-b085-12b21a423628_1787787532325</t>
  </si>
  <si>
    <t>KOPRA</t>
  </si>
  <si>
    <t>https://fasih-sm.bps.go.id/app/assignment/fd68e454-ba45-4b85-8205-f3bf777ded24/f8885e9a-829e-4fde-b085-12b21a423628</t>
  </si>
  <si>
    <t>f88ee133-e7a0-4b38-8828-b1c5aab95d3d</t>
  </si>
  <si>
    <t>f88ee133-e7a0-4b38-8828-b1c5aab95d3d_1786192441998</t>
  </si>
  <si>
    <t>UTP PETERNAKAN &lt;MARKUS KOPONG LEYN&gt;</t>
  </si>
  <si>
    <t>https://fasih-sm.bps.go.id/app/assignment/fd68e454-ba45-4b85-8205-f3bf777ded24/f88ee133-e7a0-4b38-8828-b1c5aab95d3d</t>
  </si>
  <si>
    <t>INDUSTRI KELAPA &lt;MARKUS KOPONG LEYN&gt;</t>
  </si>
  <si>
    <t>f8aec111-9087-4bb7-aa2a-da60830e4f00</t>
  </si>
  <si>
    <t>f8aec111-9087-4bb7-aa2a-da60830e4f00_1790084044940</t>
  </si>
  <si>
    <t>USAHA INDUSTRI KOPRA &lt;SAIDA SURAT IGO&gt;</t>
  </si>
  <si>
    <t>https://fasih-sm.bps.go.id/app/assignment/fd68e454-ba45-4b85-8205-f3bf777ded24/f8aec111-9087-4bb7-aa2a-da60830e4f00</t>
  </si>
  <si>
    <t>f8c875c5-1292-429d-b724-0006ce4d28fd</t>
  </si>
  <si>
    <t>f8c875c5-1292-429d-b724-0006ce4d28fd_1789991593545</t>
  </si>
  <si>
    <t>USAHA INDUSTRI KOPRA &lt;YOHANES PAYONG&gt;</t>
  </si>
  <si>
    <t>https://fasih-sm.bps.go.id/app/assignment/fd68e454-ba45-4b85-8205-f3bf777ded24/f8c875c5-1292-429d-b724-0006ce4d28fd</t>
  </si>
  <si>
    <t>f8d10189-c03c-43cc-85ff-27478bc62aa0</t>
  </si>
  <si>
    <t>f8d10189-c03c-43cc-85ff-27478bc62aa0_1790075513008</t>
  </si>
  <si>
    <t>UTP INDUSTRI &lt; PETRUS OLA PAYONG &gt;</t>
  </si>
  <si>
    <t>https://fasih-sm.bps.go.id/app/assignment/fd68e454-ba45-4b85-8205-f3bf777ded24/f8d10189-c03c-43cc-85ff-27478bc62aa0</t>
  </si>
  <si>
    <t>f8e7f606-77f6-464f-8fd9-e3ef174e72b3</t>
  </si>
  <si>
    <t>f8e7f606-77f6-464f-8fd9-e3ef174e72b3_1784044295837</t>
  </si>
  <si>
    <t>UTP INDUSTRI KELPA&lt; BERNADETE BULU&gt;</t>
  </si>
  <si>
    <t>https://fasih-sm.bps.go.id/app/assignment/fd68e454-ba45-4b85-8205-f3bf777ded24/f8e7f606-77f6-464f-8fd9-e3ef174e72b3</t>
  </si>
  <si>
    <t>f8ebdbdc-5c60-4909-b270-20aee32f2e1d</t>
  </si>
  <si>
    <t>f8ebdbdc-5c60-4909-b270-20aee32f2e1d_1791940678345</t>
  </si>
  <si>
    <t>USAHA INDUSTRI KOPRA &lt;FATIMA KEWA&gt;</t>
  </si>
  <si>
    <t>https://fasih-sm.bps.go.id/app/assignment/fd68e454-ba45-4b85-8205-f3bf777ded24/f8ebdbdc-5c60-4909-b270-20aee32f2e1d</t>
  </si>
  <si>
    <t>f919907d-7ee3-4c17-be28-07ee8d75c477</t>
  </si>
  <si>
    <t>f919907d-7ee3-4c17-be28-07ee8d75c477_1787641879479</t>
  </si>
  <si>
    <t>https://fasih-sm.bps.go.id/app/assignment/fd68e454-ba45-4b85-8205-f3bf777ded24/f919907d-7ee3-4c17-be28-07ee8d75c477</t>
  </si>
  <si>
    <t>f92cbfcd-e901-4ce1-89db-ddef3c40fee2</t>
  </si>
  <si>
    <t>f92cbfcd-e901-4ce1-89db-ddef3c40fee2_1791871225239</t>
  </si>
  <si>
    <t>UTP INDUSTRI KOPRA&lt;HENDRIKUS HEDE KIA&gt;</t>
  </si>
  <si>
    <t>https://fasih-sm.bps.go.id/app/assignment/fd68e454-ba45-4b85-8205-f3bf777ded24/f92cbfcd-e901-4ce1-89db-ddef3c40fee2</t>
  </si>
  <si>
    <t>f9a7e514-337d-4801-837c-7909a0c0ee22</t>
  </si>
  <si>
    <t>f9a7e514-337d-4801-837c-7909a0c0ee22_1784877758791</t>
  </si>
  <si>
    <t>USAHA INDUSTRI KOPRA &lt;SULAIMAN ABDULLAH&gt;&gt;</t>
  </si>
  <si>
    <t>https://fasih-sm.bps.go.id/app/assignment/fd68e454-ba45-4b85-8205-f3bf777ded24/f9a7e514-337d-4801-837c-7909a0c0ee22</t>
  </si>
  <si>
    <t>f9cf7c3e-95f1-46fb-b2d0-3d96cddb0bd1</t>
  </si>
  <si>
    <t>f9cf7c3e-95f1-46fb-b2d0-3d96cddb0bd1_1789599336567</t>
  </si>
  <si>
    <t>KOPRA(MUHAMMAD ROSARDI)</t>
  </si>
  <si>
    <t>https://fasih-sm.bps.go.id/app/assignment/fd68e454-ba45-4b85-8205-f3bf777ded24/f9cf7c3e-95f1-46fb-b2d0-3d96cddb0bd1</t>
  </si>
  <si>
    <t>f9d09c1f-f87c-4bb3-bc03-d49cb8cf36f6</t>
  </si>
  <si>
    <t>f9d09c1f-f87c-4bb3-bc03-d49cb8cf36f6_1789636794081</t>
  </si>
  <si>
    <t>IINDUSTRI KELAPA</t>
  </si>
  <si>
    <t>https://fasih-sm.bps.go.id/app/assignment/fd68e454-ba45-4b85-8205-f3bf777ded24/f9d09c1f-f87c-4bb3-bc03-d49cb8cf36f6</t>
  </si>
  <si>
    <t>f9d9bb31-20c7-4154-aec0-11f980aa0660</t>
  </si>
  <si>
    <t>f9d9bb31-20c7-4154-aec0-11f980aa0660_1790073237670</t>
  </si>
  <si>
    <t>https://fasih-sm.bps.go.id/app/assignment/fd68e454-ba45-4b85-8205-f3bf777ded24/f9d9bb31-20c7-4154-aec0-11f980aa0660</t>
  </si>
  <si>
    <t>fa0d5c03-ed97-453a-ab4d-072619f798eb</t>
  </si>
  <si>
    <t>fa0d5c03-ed97-453a-ab4d-072619f798eb_1790079154104</t>
  </si>
  <si>
    <t>https://fasih-sm.bps.go.id/app/assignment/fd68e454-ba45-4b85-8205-f3bf777ded24/fa0d5c03-ed97-453a-ab4d-072619f798eb</t>
  </si>
  <si>
    <t>fa39a383-7adb-48a9-84ac-e18ec8695d61</t>
  </si>
  <si>
    <t>fa39a383-7adb-48a9-84ac-e18ec8695d61_1789109943196</t>
  </si>
  <si>
    <t>https://fasih-sm.bps.go.id/app/assignment/fd68e454-ba45-4b85-8205-f3bf777ded24/fa39a383-7adb-48a9-84ac-e18ec8695d61</t>
  </si>
  <si>
    <t>fa6ac808-d940-4877-978c-2c7ba32cfb7d</t>
  </si>
  <si>
    <t>fa6ac808-d940-4877-978c-2c7ba32cfb7d_1790072969851</t>
  </si>
  <si>
    <t>USAHA KOPRA (KORNELIS SANGA BADIN)</t>
  </si>
  <si>
    <t>https://fasih-sm.bps.go.id/app/assignment/fd68e454-ba45-4b85-8205-f3bf777ded24/fa6ac808-d940-4877-978c-2c7ba32cfb7d</t>
  </si>
  <si>
    <t>fa77a54f-7043-427c-9373-f3f28c31f467</t>
  </si>
  <si>
    <t>fa77a54f-7043-427c-9373-f3f28c31f467_1784793360261</t>
  </si>
  <si>
    <t>USAHA KOPRA(MARIETHA)</t>
  </si>
  <si>
    <t>https://fasih-sm.bps.go.id/app/assignment/fd68e454-ba45-4b85-8205-f3bf777ded24/fa77a54f-7043-427c-9373-f3f28c31f467</t>
  </si>
  <si>
    <t>USAHA PERKEBUNAN KELAPA(MARGARETHA)</t>
  </si>
  <si>
    <t>fa7f5e7e-9e54-46d4-8844-25bb08c4c1ef</t>
  </si>
  <si>
    <t>fa7f5e7e-9e54-46d4-8844-25bb08c4c1ef_1785224011983</t>
  </si>
  <si>
    <t>INDUSTRI KOPRA DORE</t>
  </si>
  <si>
    <t>https://fasih-sm.bps.go.id/app/assignment/fd68e454-ba45-4b85-8205-f3bf777ded24/fa7f5e7e-9e54-46d4-8844-25bb08c4c1ef</t>
  </si>
  <si>
    <t>fa7ffae2-2798-45fa-a9d3-fbd657878da7</t>
  </si>
  <si>
    <t>fa7ffae2-2798-45fa-a9d3-fbd657878da7_1784036369180</t>
  </si>
  <si>
    <t>https://fasih-sm.bps.go.id/app/assignment/fd68e454-ba45-4b85-8205-f3bf777ded24/fa7ffae2-2798-45fa-a9d3-fbd657878da7</t>
  </si>
  <si>
    <t>faaede9e-8600-46c9-8da7-a5bfbd9405d5</t>
  </si>
  <si>
    <t>faaede9e-8600-46c9-8da7-a5bfbd9405d5_1787531528110</t>
  </si>
  <si>
    <t>KOPRA(ALOISIUS OLA GEKEN)</t>
  </si>
  <si>
    <t>https://fasih-sm.bps.go.id/app/assignment/fd68e454-ba45-4b85-8205-f3bf777ded24/faaede9e-8600-46c9-8da7-a5bfbd9405d5</t>
  </si>
  <si>
    <t>faba4bfd-1513-4db2-b634-1896714c912e</t>
  </si>
  <si>
    <t>faba4bfd-1513-4db2-b634-1896714c912e_1788422185140</t>
  </si>
  <si>
    <t>INDUSTRI KOPRA (MARIA KELIN LABA)</t>
  </si>
  <si>
    <t>https://fasih-sm.bps.go.id/app/assignment/fd68e454-ba45-4b85-8205-f3bf777ded24/faba4bfd-1513-4db2-b634-1896714c912e</t>
  </si>
  <si>
    <t>facbfe54-f01e-40cf-8f5e-448a1c9f0389</t>
  </si>
  <si>
    <t>facbfe54-f01e-40cf-8f5e-448a1c9f0389_1790066623629</t>
  </si>
  <si>
    <t>INDUSTRI KELAPA&lt;YASIN ABDULLAH&gt;</t>
  </si>
  <si>
    <t>https://fasih-sm.bps.go.id/app/assignment/fd68e454-ba45-4b85-8205-f3bf777ded24/facbfe54-f01e-40cf-8f5e-448a1c9f0389</t>
  </si>
  <si>
    <t>fad3676e-3766-4788-bbec-db3f1a6c706a</t>
  </si>
  <si>
    <t>fad3676e-3766-4788-bbec-db3f1a6c706a_1785528486099</t>
  </si>
  <si>
    <t>INDUSTRI KOPRA ( PETRUS)</t>
  </si>
  <si>
    <t>https://fasih-sm.bps.go.id/app/assignment/fd68e454-ba45-4b85-8205-f3bf777ded24/fad3676e-3766-4788-bbec-db3f1a6c706a</t>
  </si>
  <si>
    <t>faeab723-73d2-453e-9b9d-0445100953f5</t>
  </si>
  <si>
    <t>faeab723-73d2-453e-9b9d-0445100953f5_1784675211247</t>
  </si>
  <si>
    <t>INDUSTRI KOPRA (IMELDA NINA)</t>
  </si>
  <si>
    <t>https://fasih-sm.bps.go.id/app/assignment/fd68e454-ba45-4b85-8205-f3bf777ded24/faeab723-73d2-453e-9b9d-0445100953f5</t>
  </si>
  <si>
    <t>fb1d89bf-c03b-4146-8142-7c9970529786</t>
  </si>
  <si>
    <t>fb1d89bf-c03b-4146-8142-7c9970529786_1787756914722</t>
  </si>
  <si>
    <t>https://fasih-sm.bps.go.id/app/assignment/fd68e454-ba45-4b85-8205-f3bf777ded24/fb1d89bf-c03b-4146-8142-7c9970529786</t>
  </si>
  <si>
    <t>fb3c6485-7210-4442-b86e-82cfdebec7dc</t>
  </si>
  <si>
    <t>fb3c6485-7210-4442-b86e-82cfdebec7dc_1789637005993</t>
  </si>
  <si>
    <t>INDUSTRI KOPRA(DAHLAN HANAN)</t>
  </si>
  <si>
    <t>https://fasih-sm.bps.go.id/app/assignment/fd68e454-ba45-4b85-8205-f3bf777ded24/fb3c6485-7210-4442-b86e-82cfdebec7dc</t>
  </si>
  <si>
    <t>fb3df6ff-1e7e-40b3-b865-1e6a358cfab9</t>
  </si>
  <si>
    <t>fb3df6ff-1e7e-40b3-b865-1e6a358cfab9_1792294338263</t>
  </si>
  <si>
    <t>INDUSTRI PENGOLAHAN KOPRA</t>
  </si>
  <si>
    <t>https://fasih-sm.bps.go.id/app/assignment/fd68e454-ba45-4b85-8205-f3bf777ded24/fb3df6ff-1e7e-40b3-b865-1e6a358cfab9</t>
  </si>
  <si>
    <t>fb450bfa-927e-441a-be97-f34cbaac93e4</t>
  </si>
  <si>
    <t>fb450bfa-927e-441a-be97-f34cbaac93e4_1792032952545</t>
  </si>
  <si>
    <t>INDUSTRI KOPRA(YOSEPH LULI MAMUN)</t>
  </si>
  <si>
    <t>https://fasih-sm.bps.go.id/app/assignment/fd68e454-ba45-4b85-8205-f3bf777ded24/fb450bfa-927e-441a-be97-f34cbaac93e4</t>
  </si>
  <si>
    <t>fb893d22-80b4-4644-a8d1-1f2fcd2d4cec</t>
  </si>
  <si>
    <t>fb893d22-80b4-4644-a8d1-1f2fcd2d4cec_1791770565718</t>
  </si>
  <si>
    <t>https://fasih-sm.bps.go.id/app/assignment/fd68e454-ba45-4b85-8205-f3bf777ded24/fb893d22-80b4-4644-a8d1-1f2fcd2d4cec</t>
  </si>
  <si>
    <t>fbad6b32-e163-4255-aab3-62259c84bc61</t>
  </si>
  <si>
    <t>fbad6b32-e163-4255-aab3-62259c84bc61_1790083809206</t>
  </si>
  <si>
    <t>https://fasih-sm.bps.go.id/app/assignment/fd68e454-ba45-4b85-8205-f3bf777ded24/fbad6b32-e163-4255-aab3-62259c84bc61</t>
  </si>
  <si>
    <t>fbc98d89-7b00-4151-95a3-f9271c745425</t>
  </si>
  <si>
    <t>fbc98d89-7b00-4151-95a3-f9271c745425_1789988777060</t>
  </si>
  <si>
    <t>INDUSTRI KELAPA&lt;FATMA SURAT&gt;</t>
  </si>
  <si>
    <t>https://fasih-sm.bps.go.id/app/assignment/fd68e454-ba45-4b85-8205-f3bf777ded24/fbc98d89-7b00-4151-95a3-f9271c745425</t>
  </si>
  <si>
    <t>fbdd3441-f281-48f2-9436-5e5716ffc628</t>
  </si>
  <si>
    <t>fbdd3441-f281-48f2-9436-5e5716ffc628_1785305736013</t>
  </si>
  <si>
    <t>https://fasih-sm.bps.go.id/app/assignment/fd68e454-ba45-4b85-8205-f3bf777ded24/fbdd3441-f281-48f2-9436-5e5716ffc628</t>
  </si>
  <si>
    <t>fbde9d69-39a3-4b56-a84b-13224b84d46f</t>
  </si>
  <si>
    <t>fbde9d69-39a3-4b56-a84b-13224b84d46f_1784351714751</t>
  </si>
  <si>
    <t>INDUSTRI KOPRA (YOHANES GERODA GEGA)</t>
  </si>
  <si>
    <t>https://fasih-sm.bps.go.id/app/assignment/fd68e454-ba45-4b85-8205-f3bf777ded24/fbde9d69-39a3-4b56-a84b-13224b84d46f</t>
  </si>
  <si>
    <t>fc08a600-25e9-4521-a76c-42938889913a</t>
  </si>
  <si>
    <t>fc08a600-25e9-4521-a76c-42938889913a_1787995453433</t>
  </si>
  <si>
    <t>https://fasih-sm.bps.go.id/app/assignment/fd68e454-ba45-4b85-8205-f3bf777ded24/fc08a600-25e9-4521-a76c-42938889913a</t>
  </si>
  <si>
    <t>fc0a3c92-16f8-4cb9-9d32-f195940f83d9</t>
  </si>
  <si>
    <t>fc0a3c92-16f8-4cb9-9d32-f195940f83d9_1785232002465</t>
  </si>
  <si>
    <t>https://fasih-sm.bps.go.id/app/assignment/fd68e454-ba45-4b85-8205-f3bf777ded24/fc0a3c92-16f8-4cb9-9d32-f195940f83d9</t>
  </si>
  <si>
    <t>fc1a74f1-b607-460c-9454-4589ec0d3ac6</t>
  </si>
  <si>
    <t>fc1a74f1-b607-460c-9454-4589ec0d3ac6_1789413288054</t>
  </si>
  <si>
    <t>USAHA INDUSTRI KOPRA(FABIANUS BATA RUA)</t>
  </si>
  <si>
    <t>https://fasih-sm.bps.go.id/app/assignment/fd68e454-ba45-4b85-8205-f3bf777ded24/fc1a74f1-b607-460c-9454-4589ec0d3ac6</t>
  </si>
  <si>
    <t>fc3886a5-65c0-4ac5-8c15-b0e17df17161</t>
  </si>
  <si>
    <t>fc3886a5-65c0-4ac5-8c15-b0e17df17161_1792626857241</t>
  </si>
  <si>
    <t>UTP INDUSTRI PENGOLAHAN KELAPA(YOSEP TERON WOLO)</t>
  </si>
  <si>
    <t>https://fasih-sm.bps.go.id/app/assignment/fd68e454-ba45-4b85-8205-f3bf777ded24/fc3886a5-65c0-4ac5-8c15-b0e17df17161</t>
  </si>
  <si>
    <t>fc505013-b578-43a1-97ad-f022780569bc</t>
  </si>
  <si>
    <t>fc505013-b578-43a1-97ad-f022780569bc_1792223707777</t>
  </si>
  <si>
    <t>UTP INDUSTRI &lt; VALENTINA SURAT LUE&gt;</t>
  </si>
  <si>
    <t>https://fasih-sm.bps.go.id/app/assignment/fd68e454-ba45-4b85-8205-f3bf777ded24/fc505013-b578-43a1-97ad-f022780569bc</t>
  </si>
  <si>
    <t>fc612093-6639-4114-b709-20c54d41e1f4</t>
  </si>
  <si>
    <t>fc612093-6639-4114-b709-20c54d41e1f4_1787129129584</t>
  </si>
  <si>
    <t>INDUSTRI KOPRA MELDA LEPAN HEWEN</t>
  </si>
  <si>
    <t>https://fasih-sm.bps.go.id/app/assignment/fd68e454-ba45-4b85-8205-f3bf777ded24/fc612093-6639-4114-b709-20c54d41e1f4</t>
  </si>
  <si>
    <t>fc703170-cee9-4546-878b-531ee21447ef</t>
  </si>
  <si>
    <t>fc703170-cee9-4546-878b-531ee21447ef_1784811409877</t>
  </si>
  <si>
    <t>USAHA KOPRA( THERESIA)</t>
  </si>
  <si>
    <t>https://fasih-sm.bps.go.id/app/assignment/fd68e454-ba45-4b85-8205-f3bf777ded24/fc703170-cee9-4546-878b-531ee21447ef</t>
  </si>
  <si>
    <t>fc8643cd-9c30-44ff-8882-0f1cf88738ee</t>
  </si>
  <si>
    <t>fc8643cd-9c30-44ff-8882-0f1cf88738ee_1787995877530</t>
  </si>
  <si>
    <t>https://fasih-sm.bps.go.id/app/assignment/fd68e454-ba45-4b85-8205-f3bf777ded24/fc8643cd-9c30-44ff-8882-0f1cf88738ee</t>
  </si>
  <si>
    <t>fc8a0222-a873-4230-b131-99bc0c20aee3</t>
  </si>
  <si>
    <t>fc8a0222-a873-4230-b131-99bc0c20aee3_1790061582274</t>
  </si>
  <si>
    <t>UTP INDUSTRI ( MATEUS PAYONG GERODA )</t>
  </si>
  <si>
    <t>https://fasih-sm.bps.go.id/app/assignment/fd68e454-ba45-4b85-8205-f3bf777ded24/fc8a0222-a873-4230-b131-99bc0c20aee3</t>
  </si>
  <si>
    <t>fc9b4a48-d0df-4aaa-959c-5a63fe6982bf</t>
  </si>
  <si>
    <t>fc9b4a48-d0df-4aaa-959c-5a63fe6982bf_1788474667933</t>
  </si>
  <si>
    <t>INDUSTRI KOPRA (LAMBERTUS BOLI SABON)</t>
  </si>
  <si>
    <t>https://fasih-sm.bps.go.id/app/assignment/fd68e454-ba45-4b85-8205-f3bf777ded24/fc9b4a48-d0df-4aaa-959c-5a63fe6982bf</t>
  </si>
  <si>
    <t>fcc6a833-9b93-485c-b499-40fbe5f36d49</t>
  </si>
  <si>
    <t>fcc6a833-9b93-485c-b499-40fbe5f36d49_1786506352134</t>
  </si>
  <si>
    <t>INDUSTRI KOPRA &lt; KAROLUS PAYONG&gt;</t>
  </si>
  <si>
    <t>https://fasih-sm.bps.go.id/app/assignment/fd68e454-ba45-4b85-8205-f3bf777ded24/fcc6a833-9b93-485c-b499-40fbe5f36d49</t>
  </si>
  <si>
    <t>fcd72b18-a386-4561-9da3-f25fbbbdb939</t>
  </si>
  <si>
    <t>fcd72b18-a386-4561-9da3-f25fbbbdb939_1790019000673</t>
  </si>
  <si>
    <t>INDUSTRI KOPRA(MOSES LATU NARA)</t>
  </si>
  <si>
    <t>https://fasih-sm.bps.go.id/app/assignment/fd68e454-ba45-4b85-8205-f3bf777ded24/fcd72b18-a386-4561-9da3-f25fbbbdb939</t>
  </si>
  <si>
    <t>UTP PETERNAKAN(MOSES LATU NARA)</t>
  </si>
  <si>
    <t>fceb1ad1-ecf2-419c-8073-57a6cc609b73</t>
  </si>
  <si>
    <t>fceb1ad1-ecf2-419c-8073-57a6cc609b73_1788264105719</t>
  </si>
  <si>
    <t>USAHA INDUSTRI KOPRA(ROSALINA DAEN PAYON)</t>
  </si>
  <si>
    <t>https://fasih-sm.bps.go.id/app/assignment/fd68e454-ba45-4b85-8205-f3bf777ded24/fceb1ad1-ecf2-419c-8073-57a6cc609b73</t>
  </si>
  <si>
    <t>fcfc7f80-3f10-4fd3-93ff-536e7b9332c9</t>
  </si>
  <si>
    <t>fcfc7f80-3f10-4fd3-93ff-536e7b9332c9_1785936952304</t>
  </si>
  <si>
    <t>INDUSTRI KELAPA&lt;HAJI ALWAN&gt;</t>
  </si>
  <si>
    <t>https://fasih-sm.bps.go.id/app/assignment/fd68e454-ba45-4b85-8205-f3bf777ded24/fcfc7f80-3f10-4fd3-93ff-536e7b9332c9</t>
  </si>
  <si>
    <t>fd02890b-c155-442f-884e-aead480c987f</t>
  </si>
  <si>
    <t>fd02890b-c155-442f-884e-aead480c987f_1792299915367</t>
  </si>
  <si>
    <t>INDUSTRI KELAPA&lt;IMANTO YAHYA&gt;</t>
  </si>
  <si>
    <t>https://fasih-sm.bps.go.id/app/assignment/fd68e454-ba45-4b85-8205-f3bf777ded24/fd02890b-c155-442f-884e-aead480c987f</t>
  </si>
  <si>
    <t>fd3bdeb9-357b-422a-92c5-6a7f40c5ca7d</t>
  </si>
  <si>
    <t>fd3bdeb9-357b-422a-92c5-6a7f40c5ca7d_1786902782968</t>
  </si>
  <si>
    <t>INDUSTRI KOPRA PETRUS PATI HEWEN</t>
  </si>
  <si>
    <t>https://fasih-sm.bps.go.id/app/assignment/fd68e454-ba45-4b85-8205-f3bf777ded24/fd3bdeb9-357b-422a-92c5-6a7f40c5ca7d</t>
  </si>
  <si>
    <t>fd412c6e-c5b2-4eb7-b7a5-48126fe6102a</t>
  </si>
  <si>
    <t>fd412c6e-c5b2-4eb7-b7a5-48126fe6102a_1785060872916</t>
  </si>
  <si>
    <t>INDUSTRI KOPRA(THOMAS AQUINOS)</t>
  </si>
  <si>
    <t>https://fasih-sm.bps.go.id/app/assignment/fd68e454-ba45-4b85-8205-f3bf777ded24/fd412c6e-c5b2-4eb7-b7a5-48126fe6102a</t>
  </si>
  <si>
    <t>fd419560-0ef3-42ba-b85d-a767ba6a8e3e</t>
  </si>
  <si>
    <t>fd419560-0ef3-42ba-b85d-a767ba6a8e3e_1784019216825</t>
  </si>
  <si>
    <t>INDUSTRI KELAPA&lt;ISMAIL ILYAS&gt;</t>
  </si>
  <si>
    <t>https://fasih-sm.bps.go.id/app/assignment/fd68e454-ba45-4b85-8205-f3bf777ded24/fd419560-0ef3-42ba-b85d-a767ba6a8e3e</t>
  </si>
  <si>
    <t>fd5f12d2-5155-417c-8e4e-80f025aca40a</t>
  </si>
  <si>
    <t>fd5f12d2-5155-417c-8e4e-80f025aca40a_1786399794887</t>
  </si>
  <si>
    <t>INDUSTRI KOPRA(</t>
  </si>
  <si>
    <t>https://fasih-sm.bps.go.id/app/assignment/fd68e454-ba45-4b85-8205-f3bf777ded24/fd5f12d2-5155-417c-8e4e-80f025aca40a</t>
  </si>
  <si>
    <t>fd607122-9d0a-40cd-b349-e0a3ad1c7931</t>
  </si>
  <si>
    <t>fd607122-9d0a-40cd-b349-e0a3ad1c7931_1790089113559</t>
  </si>
  <si>
    <t>UPT PERKEBUNAN KELAPA</t>
  </si>
  <si>
    <t>https://fasih-sm.bps.go.id/app/assignment/fd68e454-ba45-4b85-8205-f3bf777ded24/fd607122-9d0a-40cd-b349-e0a3ad1c7931</t>
  </si>
  <si>
    <t>fd6577b9-4e6c-492a-8f7f-a3035b1a7432</t>
  </si>
  <si>
    <t>fd6577b9-4e6c-492a-8f7f-a3035b1a7432_1786376334752</t>
  </si>
  <si>
    <t>INDUSTRI KOPRA&lt;MANSYUR MASAN&gt;</t>
  </si>
  <si>
    <t>https://fasih-sm.bps.go.id/app/assignment/fd68e454-ba45-4b85-8205-f3bf777ded24/fd6577b9-4e6c-492a-8f7f-a3035b1a7432</t>
  </si>
  <si>
    <t>fd702535-cd26-42c8-b1b9-cf08fde40310</t>
  </si>
  <si>
    <t>fd702535-cd26-42c8-b1b9-cf08fde40310_1787027801660</t>
  </si>
  <si>
    <t>https://fasih-sm.bps.go.id/app/assignment/fd68e454-ba45-4b85-8205-f3bf777ded24/fd702535-cd26-42c8-b1b9-cf08fde40310</t>
  </si>
  <si>
    <t>fd7b35a5-13b3-4ed9-a949-628eddca6708</t>
  </si>
  <si>
    <t>fd7b35a5-13b3-4ed9-a949-628eddca6708_1789637088195</t>
  </si>
  <si>
    <t>INDUSTRI KOPRA &lt;KOPONG&gt;</t>
  </si>
  <si>
    <t>https://fasih-sm.bps.go.id/app/assignment/fd68e454-ba45-4b85-8205-f3bf777ded24/fd7b35a5-13b3-4ed9-a949-628eddca6708</t>
  </si>
  <si>
    <t>fd82df47-eb63-4e7b-a12a-f9b68c987c01</t>
  </si>
  <si>
    <t>fd82df47-eb63-4e7b-a12a-f9b68c987c01_1789637145919</t>
  </si>
  <si>
    <t>InDUSTRI KELAPS&lt; APLONARIS PEKA&gt;</t>
  </si>
  <si>
    <t>https://fasih-sm.bps.go.id/app/assignment/fd68e454-ba45-4b85-8205-f3bf777ded24/fd82df47-eb63-4e7b-a12a-f9b68c987c01</t>
  </si>
  <si>
    <t>fdd103d6-719c-4b65-b6d9-a2ccfd85b833</t>
  </si>
  <si>
    <t>fdd103d6-719c-4b65-b6d9-a2ccfd85b833_1790012412012</t>
  </si>
  <si>
    <t>https://fasih-sm.bps.go.id/app/assignment/fd68e454-ba45-4b85-8205-f3bf777ded24/fdd103d6-719c-4b65-b6d9-a2ccfd85b833</t>
  </si>
  <si>
    <t>fde97b8b-8717-425c-988b-0c37f3863939</t>
  </si>
  <si>
    <t>fde97b8b-8717-425c-988b-0c37f3863939_1784091618422</t>
  </si>
  <si>
    <t>INDUSTRI KELAPA &lt;ZAINUDIN SULIKAN&gt;</t>
  </si>
  <si>
    <t>https://fasih-sm.bps.go.id/app/assignment/fd68e454-ba45-4b85-8205-f3bf777ded24/fde97b8b-8717-425c-988b-0c37f3863939</t>
  </si>
  <si>
    <t>fde9a06a-4e58-4078-8a18-e35d86313ed6</t>
  </si>
  <si>
    <t>fde9a06a-4e58-4078-8a18-e35d86313ed6_1786404292078</t>
  </si>
  <si>
    <t>INDUSTRI KELAPA&lt;SYAMSUL RAHMAN&gt;</t>
  </si>
  <si>
    <t>https://fasih-sm.bps.go.id/app/assignment/fd68e454-ba45-4b85-8205-f3bf777ded24/fde9a06a-4e58-4078-8a18-e35d86313ed6</t>
  </si>
  <si>
    <t>fe1cf5bd-b835-49b1-b12f-b996ff353d35</t>
  </si>
  <si>
    <t>fe1cf5bd-b835-49b1-b12f-b996ff353d35_1787807239522</t>
  </si>
  <si>
    <t>INDUSTRI KOPRA DOMINIKUS DORO RURON</t>
  </si>
  <si>
    <t>https://fasih-sm.bps.go.id/app/assignment/fd68e454-ba45-4b85-8205-f3bf777ded24/fe1cf5bd-b835-49b1-b12f-b996ff353d35</t>
  </si>
  <si>
    <t>fe32d362-bffd-4349-9736-f39451b38dae</t>
  </si>
  <si>
    <t>fe32d362-bffd-4349-9736-f39451b38dae_1786314984526</t>
  </si>
  <si>
    <t>UTP INDUSTRI PENGOLAHAN KELAPA</t>
  </si>
  <si>
    <t>0,94</t>
  </si>
  <si>
    <t>https://fasih-sm.bps.go.id/app/assignment/fd68e454-ba45-4b85-8205-f3bf777ded24/fe32d362-bffd-4349-9736-f39451b38dae</t>
  </si>
  <si>
    <t>fe4cb175-3d4c-4e0c-bde8-a30bc93bd1eb</t>
  </si>
  <si>
    <t>fe4cb175-3d4c-4e0c-bde8-a30bc93bd1eb_1784694035181</t>
  </si>
  <si>
    <t>INDUSTRI KOPRA (YOHANES)</t>
  </si>
  <si>
    <t>https://fasih-sm.bps.go.id/app/assignment/fd68e454-ba45-4b85-8205-f3bf777ded24/fe4cb175-3d4c-4e0c-bde8-a30bc93bd1eb</t>
  </si>
  <si>
    <t>fe59a3c1-400d-42f1-9362-0b7ce776f41f</t>
  </si>
  <si>
    <t>fe59a3c1-400d-42f1-9362-0b7ce776f41f_1785111412504</t>
  </si>
  <si>
    <t>USAHA INDUSTRI KOPRA (HENDRIKUS LOLI BEDA AMA)</t>
  </si>
  <si>
    <t>https://fasih-sm.bps.go.id/app/assignment/fd68e454-ba45-4b85-8205-f3bf777ded24/fe59a3c1-400d-42f1-9362-0b7ce776f41f</t>
  </si>
  <si>
    <t>fe7acad4-43fe-47ef-ada7-809f590fa892</t>
  </si>
  <si>
    <t>fe7acad4-43fe-47ef-ada7-809f590fa892_1787762669702</t>
  </si>
  <si>
    <t>https://fasih-sm.bps.go.id/app/assignment/fd68e454-ba45-4b85-8205-f3bf777ded24/fe7acad4-43fe-47ef-ada7-809f590fa892</t>
  </si>
  <si>
    <t>fe84418e-e36e-423a-9019-64280ed8f458</t>
  </si>
  <si>
    <t>fe84418e-e36e-423a-9019-64280ed8f458_1787965150818</t>
  </si>
  <si>
    <t>INDUSTRI PENGOLAHAN KELAPA(MARIUS MANGU)</t>
  </si>
  <si>
    <t>0,88</t>
  </si>
  <si>
    <t>https://fasih-sm.bps.go.id/app/assignment/fd68e454-ba45-4b85-8205-f3bf777ded24/fe84418e-e36e-423a-9019-64280ed8f458</t>
  </si>
  <si>
    <t>fe863518-90a3-4d30-858e-281be9434481</t>
  </si>
  <si>
    <t>fe863518-90a3-4d30-858e-281be9434481_1787912912828</t>
  </si>
  <si>
    <t>INDUSTRI KOPRA (ANTONIUS SAI OLA)</t>
  </si>
  <si>
    <t>https://fasih-sm.bps.go.id/app/assignment/fd68e454-ba45-4b85-8205-f3bf777ded24/fe863518-90a3-4d30-858e-281be9434481</t>
  </si>
  <si>
    <t>fe87b5b1-a6b5-4688-8edb-fdf6d5f183de</t>
  </si>
  <si>
    <t>fe87b5b1-a6b5-4688-8edb-fdf6d5f183de_1790067148620</t>
  </si>
  <si>
    <t>INDUSTRI KOPRA (ALOYSIUS NUBA OLA)</t>
  </si>
  <si>
    <t>https://fasih-sm.bps.go.id/app/assignment/fd68e454-ba45-4b85-8205-f3bf777ded24/fe87b5b1-a6b5-4688-8edb-fdf6d5f183de</t>
  </si>
  <si>
    <t>fe965f1e-8a15-4da6-ac19-60ee58d23032</t>
  </si>
  <si>
    <t>fe965f1e-8a15-4da6-ac19-60ee58d23032_1789717498905</t>
  </si>
  <si>
    <t>0,93</t>
  </si>
  <si>
    <t>https://fasih-sm.bps.go.id/app/assignment/fd68e454-ba45-4b85-8205-f3bf777ded24/fe965f1e-8a15-4da6-ac19-60ee58d23032</t>
  </si>
  <si>
    <t>feb0953d-0ea9-45ff-9551-3f4fcdb687d0</t>
  </si>
  <si>
    <t>feb0953d-0ea9-45ff-9551-3f4fcdb687d0_1784091807429</t>
  </si>
  <si>
    <t>https://fasih-sm.bps.go.id/app/assignment/fd68e454-ba45-4b85-8205-f3bf777ded24/feb0953d-0ea9-45ff-9551-3f4fcdb687d0</t>
  </si>
  <si>
    <t>feb6b124-d62e-43be-93ee-713c2e026a1d</t>
  </si>
  <si>
    <t>feb6b124-d62e-43be-93ee-713c2e026a1d_1785357067483</t>
  </si>
  <si>
    <t>https://fasih-sm.bps.go.id/app/assignment/fd68e454-ba45-4b85-8205-f3bf777ded24/feb6b124-d62e-43be-93ee-713c2e026a1d</t>
  </si>
  <si>
    <t>fecb5b92-6b96-4a42-b2b8-9f6bef57e35d</t>
  </si>
  <si>
    <t>fecb5b92-6b96-4a42-b2b8-9f6bef57e35d_1786238733091</t>
  </si>
  <si>
    <t>0,85</t>
  </si>
  <si>
    <t>https://fasih-sm.bps.go.id/app/assignment/fd68e454-ba45-4b85-8205-f3bf777ded24/fecb5b92-6b96-4a42-b2b8-9f6bef57e35d</t>
  </si>
  <si>
    <t>feff24ff-9d0b-4163-bf51-e353fa058eb3</t>
  </si>
  <si>
    <t>feff24ff-9d0b-4163-bf51-e353fa058eb3_1792123059505</t>
  </si>
  <si>
    <t>INDUSTRI KOPRA ( PASKALIS)</t>
  </si>
  <si>
    <t>https://fasih-sm.bps.go.id/app/assignment/fd68e454-ba45-4b85-8205-f3bf777ded24/feff24ff-9d0b-4163-bf51-e353fa058eb3</t>
  </si>
  <si>
    <t>ff1eb27c-7899-4b23-abb1-24678a298a2b</t>
  </si>
  <si>
    <t>ff1eb27c-7899-4b23-abb1-24678a298a2b_1790566899005</t>
  </si>
  <si>
    <t>INDUSTRI KOPRA&lt;PETRUS PAYONG SENEN&gt;</t>
  </si>
  <si>
    <t>https://fasih-sm.bps.go.id/app/assignment/fd68e454-ba45-4b85-8205-f3bf777ded24/ff1eb27c-7899-4b23-abb1-24678a298a2b</t>
  </si>
  <si>
    <t>ff26ebce-1013-4a0f-8399-518b14505a59</t>
  </si>
  <si>
    <t>ff26ebce-1013-4a0f-8399-518b14505a59_1789002376130</t>
  </si>
  <si>
    <t>https://fasih-sm.bps.go.id/app/assignment/fd68e454-ba45-4b85-8205-f3bf777ded24/ff26ebce-1013-4a0f-8399-518b14505a59</t>
  </si>
  <si>
    <t>ff2b7ca3-dffa-474e-b758-e61e9f2ac769</t>
  </si>
  <si>
    <t>ff2b7ca3-dffa-474e-b758-e61e9f2ac769_1786238284325</t>
  </si>
  <si>
    <t>https://fasih-sm.bps.go.id/app/assignment/fd68e454-ba45-4b85-8205-f3bf777ded24/ff2b7ca3-dffa-474e-b758-e61e9f2ac769</t>
  </si>
  <si>
    <t>ff570a2f-9752-45f0-a5f4-f9eac9e11643</t>
  </si>
  <si>
    <t>ff570a2f-9752-45f0-a5f4-f9eac9e11643_1786743253880</t>
  </si>
  <si>
    <t>INDUSTRI KOPRA&lt;SYAFRUDIN WOLO&gt;</t>
  </si>
  <si>
    <t>https://fasih-sm.bps.go.id/app/assignment/fd68e454-ba45-4b85-8205-f3bf777ded24/ff570a2f-9752-45f0-a5f4-f9eac9e11643</t>
  </si>
  <si>
    <t>ff676c8e-c1a7-4c94-a2eb-8e4342c49b3f</t>
  </si>
  <si>
    <t>ff676c8e-c1a7-4c94-a2eb-8e4342c49b3f_1784847080372</t>
  </si>
  <si>
    <t>INDUSTRI PENGOLAHAN KELAPA(BERNADUS MASAN DOSI)</t>
  </si>
  <si>
    <t>https://fasih-sm.bps.go.id/app/assignment/fd68e454-ba45-4b85-8205-f3bf777ded24/ff676c8e-c1a7-4c94-a2eb-8e4342c49b3f</t>
  </si>
  <si>
    <t>ff6ae8ef-a2bd-499e-9740-e30629022c4d</t>
  </si>
  <si>
    <t>ff6ae8ef-a2bd-499e-9740-e30629022c4d_1786674531858</t>
  </si>
  <si>
    <t>https://fasih-sm.bps.go.id/app/assignment/fd68e454-ba45-4b85-8205-f3bf777ded24/ff6ae8ef-a2bd-499e-9740-e30629022c4d</t>
  </si>
  <si>
    <t>ff6b4a69-ce1c-4e46-b1ef-c91ab4ad6724</t>
  </si>
  <si>
    <t>ff6b4a69-ce1c-4e46-b1ef-c91ab4ad6724_1792223059655</t>
  </si>
  <si>
    <t>USAHA INDUSTRI KOPRA (MATHEUS TIMU AGAN)</t>
  </si>
  <si>
    <t>https://fasih-sm.bps.go.id/app/assignment/fd68e454-ba45-4b85-8205-f3bf777ded24/ff6b4a69-ce1c-4e46-b1ef-c91ab4ad6724</t>
  </si>
  <si>
    <t>ff6cbd1e-2129-47be-97a4-2059de91674c</t>
  </si>
  <si>
    <t>ff6cbd1e-2129-47be-97a4-2059de91674c_1790077172436</t>
  </si>
  <si>
    <t>INDUSTRI KELAPA&lt;MUKHLIS ABDURAHMAN&gt;</t>
  </si>
  <si>
    <t>https://fasih-sm.bps.go.id/app/assignment/fd68e454-ba45-4b85-8205-f3bf777ded24/ff6cbd1e-2129-47be-97a4-2059de91674c</t>
  </si>
  <si>
    <t>ff8896f1-69d4-4b74-a5df-a014943ff060</t>
  </si>
  <si>
    <t>ff8896f1-69d4-4b74-a5df-a014943ff060_1786364055614</t>
  </si>
  <si>
    <t>INDUSTRI KOPRA&lt;PAULUS ERASMUS ATULOLON&gt;</t>
  </si>
  <si>
    <t>0,95</t>
  </si>
  <si>
    <t>https://fasih-sm.bps.go.id/app/assignment/fd68e454-ba45-4b85-8205-f3bf777ded24/ff8896f1-69d4-4b74-a5df-a014943ff060</t>
  </si>
  <si>
    <t>ff908f1a-1326-4cd7-8b16-01c0e6965560</t>
  </si>
  <si>
    <t>ff908f1a-1326-4cd7-8b16-01c0e6965560_1789637167072</t>
  </si>
  <si>
    <t>INDUSTRI KOPRA&lt;ANSELMUS PATI LAMARAN&gt;</t>
  </si>
  <si>
    <t>https://fasih-sm.bps.go.id/app/assignment/fd68e454-ba45-4b85-8205-f3bf777ded24/ff908f1a-1326-4cd7-8b16-01c0e6965560</t>
  </si>
  <si>
    <t>ffbfa51f-827b-4b39-a70e-cfc9cab50231</t>
  </si>
  <si>
    <t>ffbfa51f-827b-4b39-a70e-cfc9cab50231_1786402661189</t>
  </si>
  <si>
    <t>USAHA INDUSTRI KOPRA &lt;PHILIPUS PAYONG&gt;</t>
  </si>
  <si>
    <t>0,97</t>
  </si>
  <si>
    <t>https://fasih-sm.bps.go.id/app/assignment/fd68e454-ba45-4b85-8205-f3bf777ded24/ffbfa51f-827b-4b39-a70e-cfc9cab50231</t>
  </si>
  <si>
    <t>ffc8c5bf-0c61-4e3b-ad88-3ae05c9a491a</t>
  </si>
  <si>
    <t>ffc8c5bf-0c61-4e3b-ad88-3ae05c9a491a_1790041760538</t>
  </si>
  <si>
    <t>INDUSTRI KELAPA&lt;ABDURRAHMAN YUSUF&gt;</t>
  </si>
  <si>
    <t>https://fasih-sm.bps.go.id/app/assignment/fd68e454-ba45-4b85-8205-f3bf777ded24/ffc8c5bf-0c61-4e3b-ad88-3ae05c9a491a</t>
  </si>
  <si>
    <t>70e62aea-100a-4e20-beb7-42ca06268b71</t>
  </si>
  <si>
    <t>70e62aea-100a-4e20-beb7-42ca06268b71_1791174449514</t>
  </si>
  <si>
    <t>INDUSTRI KELAPA &lt; DONATUS &gt;</t>
  </si>
  <si>
    <t>https://fasih-sm.bps.go.id/app/assignment/fd68e454-ba45-4b85-8205-f3bf777ded24/70e62aea-100a-4e20-beb7-42ca06268b71</t>
  </si>
  <si>
    <t>73217d07-48f6-4c73-9952-b2bec3a9473d</t>
  </si>
  <si>
    <t>73217d07-48f6-4c73-9952-b2bec3a9473d_1786515298194</t>
  </si>
  <si>
    <t>USAH INDUSTRI ( KRISTINA PALANG BELANG)</t>
  </si>
  <si>
    <t>https://fasih-sm.bps.go.id/app/assignment/fd68e454-ba45-4b85-8205-f3bf777ded24/73217d07-48f6-4c73-9952-b2bec3a9473d</t>
  </si>
  <si>
    <t>8e8b09e7-d0f9-4d23-b5ea-230b396d582b</t>
  </si>
  <si>
    <t>8e8b09e7-d0f9-4d23-b5ea-230b396d582b_1791195368310</t>
  </si>
  <si>
    <t>USAHA JUALAN (BERNADETE BENGA LAOT)</t>
  </si>
  <si>
    <t>https://fasih-sm.bps.go.id/app/assignment/fd68e454-ba45-4b85-8205-f3bf777ded24/8e8b09e7-d0f9-4d23-b5ea-230b396d582b</t>
  </si>
  <si>
    <t>91c5bd77-47a1-4402-8123-9a00f479c55f</t>
  </si>
  <si>
    <t>91c5bd77-47a1-4402-8123-9a00f479c55f_1791197065482</t>
  </si>
  <si>
    <t>USAHA MINYAK VCO ( AGATHA NATALIA BAO TUKAN )</t>
  </si>
  <si>
    <t>https://fasih-sm.bps.go.id/app/assignment/fd68e454-ba45-4b85-8205-f3bf777ded24/91c5bd77-47a1-4402-8123-9a00f479c55f</t>
  </si>
  <si>
    <t>935cde56-cef6-4fcd-9597-286d3e766dbe</t>
  </si>
  <si>
    <t>935cde56-cef6-4fcd-9597-286d3e766dbe_1791197914801</t>
  </si>
  <si>
    <t>USAHA PENJUALAN MINYAK MURNI (FAJAR TOKAN)</t>
  </si>
  <si>
    <t>https://fasih-sm.bps.go.id/app/assignment/fd68e454-ba45-4b85-8205-f3bf777ded24/935cde56-cef6-4fcd-9597-286d3e766dbe</t>
  </si>
  <si>
    <t>9624f714-8f4e-4922-9c41-40c979523cb8</t>
  </si>
  <si>
    <t>9624f714-8f4e-4922-9c41-40c979523cb8_1791199331981</t>
  </si>
  <si>
    <t>GILING KELAPA &lt;PETRUS OTU BELEN&gt;</t>
  </si>
  <si>
    <t>https://fasih-sm.bps.go.id/app/assignment/fd68e454-ba45-4b85-8205-f3bf777ded24/9624f714-8f4e-4922-9c41-40c979523cb8</t>
  </si>
  <si>
    <t>9d7cd246-df91-484e-98f0-570a43aaf1cb</t>
  </si>
  <si>
    <t>9d7cd246-df91-484e-98f0-570a43aaf1cb_1791203300536</t>
  </si>
  <si>
    <t>MINYAK MURNI VCO ( URSULA U KOTEN )</t>
  </si>
  <si>
    <t>https://fasih-sm.bps.go.id/app/assignment/fd68e454-ba45-4b85-8205-f3bf777ded24/9d7cd246-df91-484e-98f0-570a43aaf1cb</t>
  </si>
  <si>
    <t>a46341bd-9997-403b-84ee-f3412e59cb53</t>
  </si>
  <si>
    <t>a46341bd-9997-403b-84ee-f3412e59cb53_1791207050243</t>
  </si>
  <si>
    <t>INDUSTRI VCO (MARIA ONYA MUKIN)</t>
  </si>
  <si>
    <t>https://fasih-sm.bps.go.id/app/assignment/fd68e454-ba45-4b85-8205-f3bf777ded24/a46341bd-9997-403b-84ee-f3412e59cb53</t>
  </si>
  <si>
    <t>e0e2faae-d37a-4801-9b1b-66dadab7a3bf</t>
  </si>
  <si>
    <t>e0e2faae-d37a-4801-9b1b-66dadab7a3bf_1789635093121</t>
  </si>
  <si>
    <t>INDUSTRI MINYAK MURNI (MARKUS MARIN)</t>
  </si>
  <si>
    <t>https://fasih-sm.bps.go.id/app/assignment/fd68e454-ba45-4b85-8205-f3bf777ded24/e0e2faae-d37a-4801-9b1b-66dadab7a3bf</t>
  </si>
  <si>
    <t>8a938192-4def-4213-9c44-5fc03122a805</t>
  </si>
  <si>
    <t>8a938192-4def-4213-9c44-5fc03122a805_1791186593670</t>
  </si>
  <si>
    <t>UTP PEMBUATAN VCO (KRISTINA LELU WISOK)</t>
  </si>
  <si>
    <t>https://fasih-sm.bps.go.id/app/assignment/fd68e454-ba45-4b85-8205-f3bf777ded24/8a938192-4def-4213-9c44-5fc03122a805</t>
  </si>
  <si>
    <t>1f9da299-a45e-459d-80de-dc5e0c9c37dd</t>
  </si>
  <si>
    <t>1f9da299-a45e-459d-80de-dc5e0c9c37dd_1791066361370</t>
  </si>
  <si>
    <t>USAHA JASA PERTANIAN</t>
  </si>
  <si>
    <t>https://fasih-sm.bps.go.id/app/assignment/fd68e454-ba45-4b85-8205-f3bf777ded24/1f9da299-a45e-459d-80de-dc5e0c9c37dd</t>
  </si>
  <si>
    <t>04e7a0a0-a4e9-408b-a506-8439efab8c09</t>
  </si>
  <si>
    <t>04e7a0a0-a4e9-408b-a506-8439efab8c09_1791052733579</t>
  </si>
  <si>
    <t>USAHA GILING JAGUNG (VALENTINA)</t>
  </si>
  <si>
    <t>https://fasih-sm.bps.go.id/app/assignment/fd68e454-ba45-4b85-8205-f3bf777ded24/04e7a0a0-a4e9-408b-a506-8439efab8c09</t>
  </si>
  <si>
    <t>17f0c767-b537-4da8-b746-258f8a5a3c5e</t>
  </si>
  <si>
    <t>17f0c767-b537-4da8-b746-258f8a5a3c5e_1791062632131</t>
  </si>
  <si>
    <t>USAHA PENGGILINGAN PADI&lt;ROMUALDUS KOLI DARANG&gt;</t>
  </si>
  <si>
    <t>https://fasih-sm.bps.go.id/app/assignment/fd68e454-ba45-4b85-8205-f3bf777ded24/17f0c767-b537-4da8-b746-258f8a5a3c5e</t>
  </si>
  <si>
    <t>18dbe402-17d3-443d-95c0-bd2095b3da21</t>
  </si>
  <si>
    <t>18dbe402-17d3-443d-95c0-bd2095b3da21_1792331394717</t>
  </si>
  <si>
    <t>JASA PERTANIAN MESIN GILING PADI MINI</t>
  </si>
  <si>
    <t>https://fasih-sm.bps.go.id/app/assignment/fd68e454-ba45-4b85-8205-f3bf777ded24/18dbe402-17d3-443d-95c0-bd2095b3da21</t>
  </si>
  <si>
    <t>18f675a7-163a-41e7-a05b-47e9771b9ddc</t>
  </si>
  <si>
    <t>18f675a7-163a-41e7-a05b-47e9771b9ddc_1791063186136</t>
  </si>
  <si>
    <t>MESIN GILING (HILARIUS SOGE)</t>
  </si>
  <si>
    <t>https://fasih-sm.bps.go.id/app/assignment/fd68e454-ba45-4b85-8205-f3bf777ded24/18f675a7-163a-41e7-a05b-47e9771b9ddc</t>
  </si>
  <si>
    <t>1cb0a392-cbf9-4f12-801a-6c28866185dc</t>
  </si>
  <si>
    <t>1cb0a392-cbf9-4f12-801a-6c28866185dc_1791065180942</t>
  </si>
  <si>
    <t>JASA PERTANIAN</t>
  </si>
  <si>
    <t>https://fasih-sm.bps.go.id/app/assignment/fd68e454-ba45-4b85-8205-f3bf777ded24/1cb0a392-cbf9-4f12-801a-6c28866185dc</t>
  </si>
  <si>
    <t>1e395480-9b93-48cf-b86d-33029f21d183</t>
  </si>
  <si>
    <t>1e395480-9b93-48cf-b86d-33029f21d183_1791065681268</t>
  </si>
  <si>
    <t>PENGGILINGAN PADI (GARFELINUS PATI DOREN)</t>
  </si>
  <si>
    <t>https://fasih-sm.bps.go.id/app/assignment/fd68e454-ba45-4b85-8205-f3bf777ded24/1e395480-9b93-48cf-b86d-33029f21d183</t>
  </si>
  <si>
    <t>1e73c893-481d-46a3-ad29-d8f8e8f7161f</t>
  </si>
  <si>
    <t>1e73c893-481d-46a3-ad29-d8f8e8f7161f_1791065768886</t>
  </si>
  <si>
    <t>USAHA PENGGILINGAN PADI</t>
  </si>
  <si>
    <t>https://fasih-sm.bps.go.id/app/assignment/fd68e454-ba45-4b85-8205-f3bf777ded24/1e73c893-481d-46a3-ad29-d8f8e8f7161f</t>
  </si>
  <si>
    <t>256b37ba-ea8b-47f3-a378-c0ef01e0fffb</t>
  </si>
  <si>
    <t>256b37ba-ea8b-47f3-a378-c0ef01e0fffb_1791069794720</t>
  </si>
  <si>
    <t>USAHA PENGGILINGAN PADI ( LAURENSIUS WAJO MOLAN )</t>
  </si>
  <si>
    <t>https://fasih-sm.bps.go.id/app/assignment/fd68e454-ba45-4b85-8205-f3bf777ded24/256b37ba-ea8b-47f3-a378-c0ef01e0fffb</t>
  </si>
  <si>
    <t>27737230-cccb-4f2d-8b50-8ca8598d0142</t>
  </si>
  <si>
    <t>27737230-cccb-4f2d-8b50-8ca8598d0142_1791070885595</t>
  </si>
  <si>
    <t>PENGGILINGAN JAGUNG</t>
  </si>
  <si>
    <t>https://fasih-sm.bps.go.id/app/assignment/fd68e454-ba45-4b85-8205-f3bf777ded24/27737230-cccb-4f2d-8b50-8ca8598d0142</t>
  </si>
  <si>
    <t>2ca2d7b3-e08b-4dfb-a4a4-b7d53e5df9c6</t>
  </si>
  <si>
    <t>2ca2d7b3-e08b-4dfb-a4a4-b7d53e5df9c6_1791073585361</t>
  </si>
  <si>
    <t>PENGGILINGAN PADI LODOVIKUS MIGO HOKON</t>
  </si>
  <si>
    <t>https://fasih-sm.bps.go.id/app/assignment/fd68e454-ba45-4b85-8205-f3bf777ded24/2ca2d7b3-e08b-4dfb-a4a4-b7d53e5df9c6</t>
  </si>
  <si>
    <t>3570a88d-3112-443e-875e-94a7ae23fb56</t>
  </si>
  <si>
    <t>3570a88d-3112-443e-875e-94a7ae23fb56_1792471957072</t>
  </si>
  <si>
    <t>UTP TANAMAN PANGAN</t>
  </si>
  <si>
    <t>https://fasih-sm.bps.go.id/app/assignment/fd68e454-ba45-4b85-8205-f3bf777ded24/3570a88d-3112-443e-875e-94a7ae23fb56</t>
  </si>
  <si>
    <t>3ed21529-f9c8-4112-ad50-36efb8977f95</t>
  </si>
  <si>
    <t>3ed21529-f9c8-4112-ad50-36efb8977f95_1791083217904</t>
  </si>
  <si>
    <t>MESIN PENGGILING JAGUNG</t>
  </si>
  <si>
    <t>https://fasih-sm.bps.go.id/app/assignment/fd68e454-ba45-4b85-8205-f3bf777ded24/3ed21529-f9c8-4112-ad50-36efb8977f95</t>
  </si>
  <si>
    <t>3f8ebe7c-3557-4b54-833a-3f2edc159ee2</t>
  </si>
  <si>
    <t>3f8ebe7c-3557-4b54-833a-3f2edc159ee2_1791083626659</t>
  </si>
  <si>
    <t>USAHA PENGGILINGAN JAGUNG (YOHANES DERAN HERIN)</t>
  </si>
  <si>
    <t>https://fasih-sm.bps.go.id/app/assignment/fd68e454-ba45-4b85-8205-f3bf777ded24/3f8ebe7c-3557-4b54-833a-3f2edc159ee2</t>
  </si>
  <si>
    <t>480bd4ba-44a7-4e7e-a0ad-9ddbff5d344d</t>
  </si>
  <si>
    <t>480bd4ba-44a7-4e7e-a0ad-9ddbff5d344d_1792209496655</t>
  </si>
  <si>
    <t>PENGGILINGAN KELAPA (THOMAS)</t>
  </si>
  <si>
    <t>https://fasih-sm.bps.go.id/app/assignment/fd68e454-ba45-4b85-8205-f3bf777ded24/480bd4ba-44a7-4e7e-a0ad-9ddbff5d344d</t>
  </si>
  <si>
    <t>4db6c690-e990-4ad3-b841-1fedb2b04797</t>
  </si>
  <si>
    <t>4db6c690-e990-4ad3-b841-1fedb2b04797_1791114481903</t>
  </si>
  <si>
    <t>PENGGILINGAN PADI RT 6</t>
  </si>
  <si>
    <t>https://fasih-sm.bps.go.id/app/assignment/fd68e454-ba45-4b85-8205-f3bf777ded24/4db6c690-e990-4ad3-b841-1fedb2b04797</t>
  </si>
  <si>
    <t>514ae7b8-21d7-4f2f-9a00-3ea8c19c6e9c</t>
  </si>
  <si>
    <t>514ae7b8-21d7-4f2f-9a00-3ea8c19c6e9c_1791116400041</t>
  </si>
  <si>
    <t>USAHA PENGGILINGAN PADI ( MARIANUS SANGA KAHA)</t>
  </si>
  <si>
    <t>https://fasih-sm.bps.go.id/app/assignment/fd68e454-ba45-4b85-8205-f3bf777ded24/514ae7b8-21d7-4f2f-9a00-3ea8c19c6e9c</t>
  </si>
  <si>
    <t>5ca8c0e8-8ce3-4a79-aec6-793fcb9741e6</t>
  </si>
  <si>
    <t>5ca8c0e8-8ce3-4a79-aec6-793fcb9741e6_1792552487247</t>
  </si>
  <si>
    <t>USAHA GILING PADI (DIONISIUS RANO)</t>
  </si>
  <si>
    <t>https://fasih-sm.bps.go.id/app/assignment/fd68e454-ba45-4b85-8205-f3bf777ded24/5ca8c0e8-8ce3-4a79-aec6-793fcb9741e6</t>
  </si>
  <si>
    <t>5d7c2c39-c565-4b7d-93ee-6d5f42736bbc</t>
  </si>
  <si>
    <t>5d7c2c39-c565-4b7d-93ee-6d5f42736bbc_1791122775632</t>
  </si>
  <si>
    <t>PENGGILINGAN PADI YOSEP BUANG WULON</t>
  </si>
  <si>
    <t>https://fasih-sm.bps.go.id/app/assignment/fd68e454-ba45-4b85-8205-f3bf777ded24/5d7c2c39-c565-4b7d-93ee-6d5f42736bbc</t>
  </si>
  <si>
    <t>5da8fcb0-a6b4-417f-80d9-e99fc517d91d</t>
  </si>
  <si>
    <t>5da8fcb0-a6b4-417f-80d9-e99fc517d91d_1791122882513</t>
  </si>
  <si>
    <t>PENGGILINGAN PADI BAPA MANUS &lt;GERMANUS ROTOK LION&gt;</t>
  </si>
  <si>
    <t>https://fasih-sm.bps.go.id/app/assignment/fd68e454-ba45-4b85-8205-f3bf777ded24/5da8fcb0-a6b4-417f-80d9-e99fc517d91d</t>
  </si>
  <si>
    <t>61669ae3-da13-4013-8419-8cd2be1fc5c8</t>
  </si>
  <si>
    <t>61669ae3-da13-4013-8419-8cd2be1fc5c8_1791124712239</t>
  </si>
  <si>
    <t>USAHA PENGGILINGAN ( REGINA INA)</t>
  </si>
  <si>
    <t>0,86</t>
  </si>
  <si>
    <t>https://fasih-sm.bps.go.id/app/assignment/fd68e454-ba45-4b85-8205-f3bf777ded24/61669ae3-da13-4013-8419-8cd2be1fc5c8</t>
  </si>
  <si>
    <t>634b8faf-9028-4a28-b85a-1f89ed53e75f</t>
  </si>
  <si>
    <t>634b8faf-9028-4a28-b85a-1f89ed53e75f_1791125487407</t>
  </si>
  <si>
    <t>PENGGILINGAN PADI</t>
  </si>
  <si>
    <t>https://fasih-sm.bps.go.id/app/assignment/fd68e454-ba45-4b85-8205-f3bf777ded24/634b8faf-9028-4a28-b85a-1f89ed53e75f</t>
  </si>
  <si>
    <t>63baabea-ad62-417c-980d-6888b0190c2b</t>
  </si>
  <si>
    <t>63baabea-ad62-417c-980d-6888b0190c2b_1791125626657</t>
  </si>
  <si>
    <t>PENGGILINGAN PADI PATIGOLO &lt;PETRUS PEDO PLATIN&gt;</t>
  </si>
  <si>
    <t>https://fasih-sm.bps.go.id/app/assignment/fd68e454-ba45-4b85-8205-f3bf777ded24/63baabea-ad62-417c-980d-6888b0190c2b</t>
  </si>
  <si>
    <t>63bda6ea-0da6-42a0-b15e-c9a1e811d228</t>
  </si>
  <si>
    <t>63bda6ea-0da6-42a0-b15e-c9a1e811d228_1791125688386</t>
  </si>
  <si>
    <t>https://fasih-sm.bps.go.id/app/assignment/fd68e454-ba45-4b85-8205-f3bf777ded24/63bda6ea-0da6-42a0-b15e-c9a1e811d228</t>
  </si>
  <si>
    <t>653cba0b-e33e-440c-a777-5352388f2497</t>
  </si>
  <si>
    <t>653cba0b-e33e-440c-a777-5352388f2497_1791126333213</t>
  </si>
  <si>
    <t>https://fasih-sm.bps.go.id/app/assignment/fd68e454-ba45-4b85-8205-f3bf777ded24/653cba0b-e33e-440c-a777-5352388f2497</t>
  </si>
  <si>
    <t>663feee6-9e41-4f6a-9e1a-9f86212c21ef</t>
  </si>
  <si>
    <t>663feee6-9e41-4f6a-9e1a-9f86212c21ef_1791126702270</t>
  </si>
  <si>
    <t>https://fasih-sm.bps.go.id/app/assignment/fd68e454-ba45-4b85-8205-f3bf777ded24/663feee6-9e41-4f6a-9e1a-9f86212c21ef</t>
  </si>
  <si>
    <t>6bafb3fd-e463-451e-81d5-a0c388e391ab</t>
  </si>
  <si>
    <t>6bafb3fd-e463-451e-81d5-a0c388e391ab_1789659533644</t>
  </si>
  <si>
    <t>https://fasih-sm.bps.go.id/app/assignment/fd68e454-ba45-4b85-8205-f3bf777ded24/6bafb3fd-e463-451e-81d5-a0c388e391ab</t>
  </si>
  <si>
    <t>6ee974b8-d195-4631-a310-af94f416189c</t>
  </si>
  <si>
    <t>6ee974b8-d195-4631-a310-af94f416189c_1791173540380</t>
  </si>
  <si>
    <t>PENGGILINGAN PADI (KORNELIS HEAN BADIN)</t>
  </si>
  <si>
    <t>https://fasih-sm.bps.go.id/app/assignment/fd68e454-ba45-4b85-8205-f3bf777ded24/6ee974b8-d195-4631-a310-af94f416189c</t>
  </si>
  <si>
    <t>704b2ad9-ba41-4d9a-a6cb-a8eb1f2c952c</t>
  </si>
  <si>
    <t>704b2ad9-ba41-4d9a-a6cb-a8eb1f2c952c_1791174167431</t>
  </si>
  <si>
    <t>PENGGILINGAN PADI MUSLIMIN</t>
  </si>
  <si>
    <t>https://fasih-sm.bps.go.id/app/assignment/fd68e454-ba45-4b85-8205-f3bf777ded24/704b2ad9-ba41-4d9a-a6cb-a8eb1f2c952c</t>
  </si>
  <si>
    <t>74ebf425-7235-4195-a851-8c84af39c909</t>
  </si>
  <si>
    <t>74ebf425-7235-4195-a851-8c84af39c909_1791176487881</t>
  </si>
  <si>
    <t>USAHA GILING JAGUNG</t>
  </si>
  <si>
    <t>https://fasih-sm.bps.go.id/app/assignment/fd68e454-ba45-4b85-8205-f3bf777ded24/74ebf425-7235-4195-a851-8c84af39c909</t>
  </si>
  <si>
    <t>79f2bb64-e692-4044-8977-ac23da017b35</t>
  </si>
  <si>
    <t>79f2bb64-e692-4044-8977-ac23da017b35_1791179110211</t>
  </si>
  <si>
    <t>USAHA GILING JAGUNG( SIMON TURA BOLI)</t>
  </si>
  <si>
    <t>https://fasih-sm.bps.go.id/app/assignment/fd68e454-ba45-4b85-8205-f3bf777ded24/79f2bb64-e692-4044-8977-ac23da017b35</t>
  </si>
  <si>
    <t>7cd97166-cc5d-4426-84a1-de05b638658f</t>
  </si>
  <si>
    <t>7cd97166-cc5d-4426-84a1-de05b638658f_1791180540667</t>
  </si>
  <si>
    <t>Pengilingan</t>
  </si>
  <si>
    <t>https://fasih-sm.bps.go.id/app/assignment/fd68e454-ba45-4b85-8205-f3bf777ded24/7cd97166-cc5d-4426-84a1-de05b638658f</t>
  </si>
  <si>
    <t>7da6cbc8-771f-4eec-a375-842501d5e5a8</t>
  </si>
  <si>
    <t>7da6cbc8-771f-4eec-a375-842501d5e5a8_1791180875699</t>
  </si>
  <si>
    <t>USAHA PENGGILINGAN PADI ( LAMBERTUS LAME TUKAN )</t>
  </si>
  <si>
    <t>https://fasih-sm.bps.go.id/app/assignment/fd68e454-ba45-4b85-8205-f3bf777ded24/7da6cbc8-771f-4eec-a375-842501d5e5a8</t>
  </si>
  <si>
    <t>857d01d2-00d5-4ad9-a231-3b6aa78db49b</t>
  </si>
  <si>
    <t>857d01d2-00d5-4ad9-a231-3b6aa78db49b_1791184797921</t>
  </si>
  <si>
    <t>PENGGILINGAN PADI (PAULUS PATA TOBI)</t>
  </si>
  <si>
    <t>https://fasih-sm.bps.go.id/app/assignment/fd68e454-ba45-4b85-8205-f3bf777ded24/857d01d2-00d5-4ad9-a231-3b6aa78db49b</t>
  </si>
  <si>
    <t>88313ef3-f89a-4091-8bb4-6aeebbe3418a</t>
  </si>
  <si>
    <t>88313ef3-f89a-4091-8bb4-6aeebbe3418a_1791185902743</t>
  </si>
  <si>
    <t>PENGGILING LADI (ALOYSIUS LERA KWUTA)</t>
  </si>
  <si>
    <t>https://fasih-sm.bps.go.id/app/assignment/fd68e454-ba45-4b85-8205-f3bf777ded24/88313ef3-f89a-4091-8bb4-6aeebbe3418a</t>
  </si>
  <si>
    <t>8d172718-60f5-4231-b49a-f0811cd69021</t>
  </si>
  <si>
    <t>8d172718-60f5-4231-b49a-f0811cd69021_1792388936762</t>
  </si>
  <si>
    <t>USAHA INDUSTRI (BERNADUS KESALEH HULER</t>
  </si>
  <si>
    <t>https://fasih-sm.bps.go.id/app/assignment/fd68e454-ba45-4b85-8205-f3bf777ded24/8d172718-60f5-4231-b49a-f0811cd69021</t>
  </si>
  <si>
    <t>8e7938d2-e5b2-42f3-9c18-8d64ad3fad1b</t>
  </si>
  <si>
    <t>8e7938d2-e5b2-42f3-9c18-8d64ad3fad1b_1791195369808</t>
  </si>
  <si>
    <t>Penggilingan</t>
  </si>
  <si>
    <t>-0,16</t>
  </si>
  <si>
    <t>https://fasih-sm.bps.go.id/app/assignment/fd68e454-ba45-4b85-8205-f3bf777ded24/8e7938d2-e5b2-42f3-9c18-8d64ad3fad1b</t>
  </si>
  <si>
    <t>90644c30-33b0-47b6-9104-644837ed59cf</t>
  </si>
  <si>
    <t>90644c30-33b0-47b6-9104-644837ed59cf_1791196377297</t>
  </si>
  <si>
    <t>PENGGILINGAN PADI YOSEP MADA SOGE</t>
  </si>
  <si>
    <t>https://fasih-sm.bps.go.id/app/assignment/fd68e454-ba45-4b85-8205-f3bf777ded24/90644c30-33b0-47b6-9104-644837ed59cf</t>
  </si>
  <si>
    <t>94624c83-e717-4528-80ca-f284c78ef80c</t>
  </si>
  <si>
    <t>94624c83-e717-4528-80ca-f284c78ef80c_1791198382214</t>
  </si>
  <si>
    <t>BUMDES PAJINIAN</t>
  </si>
  <si>
    <t>https://fasih-sm.bps.go.id/app/assignment/fd68e454-ba45-4b85-8205-f3bf777ded24/94624c83-e717-4528-80ca-f284c78ef80c</t>
  </si>
  <si>
    <t>9728f732-5e0a-47fa-8483-c8dd1621942a</t>
  </si>
  <si>
    <t>9728f732-5e0a-47fa-8483-c8dd1621942a_1791199905252</t>
  </si>
  <si>
    <t>USAHA PENGGILINGAN PADI OM KAROLUS FERNANDEZ</t>
  </si>
  <si>
    <t>https://fasih-sm.bps.go.id/app/assignment/fd68e454-ba45-4b85-8205-f3bf777ded24/9728f732-5e0a-47fa-8483-c8dd1621942a</t>
  </si>
  <si>
    <t>985ef3bf-79ce-47e3-aec3-d38689710669</t>
  </si>
  <si>
    <t>985ef3bf-79ce-47e3-aec3-d38689710669_1791200454165</t>
  </si>
  <si>
    <t>PENGGILANGAN PADI BAPA EMAN EMANUEL RIBERU</t>
  </si>
  <si>
    <t>https://fasih-sm.bps.go.id/app/assignment/fd68e454-ba45-4b85-8205-f3bf777ded24/985ef3bf-79ce-47e3-aec3-d38689710669</t>
  </si>
  <si>
    <t>9c32f5e8-7f9e-440a-8812-2725e2712620</t>
  </si>
  <si>
    <t>9c32f5e8-7f9e-440a-8812-2725e2712620_1791202605216</t>
  </si>
  <si>
    <t>PENGGILINGAN PADI ANDREAS SAKERA</t>
  </si>
  <si>
    <t>https://fasih-sm.bps.go.id/app/assignment/fd68e454-ba45-4b85-8205-f3bf777ded24/9c32f5e8-7f9e-440a-8812-2725e2712620</t>
  </si>
  <si>
    <t>9f6a90bd-c8f5-450c-8f70-7cd7b513618c</t>
  </si>
  <si>
    <t>9f6a90bd-c8f5-450c-8f70-7cd7b513618c_1791204406131</t>
  </si>
  <si>
    <t>PENGGILINGAN BERAS PADI</t>
  </si>
  <si>
    <t>https://fasih-sm.bps.go.id/app/assignment/fd68e454-ba45-4b85-8205-f3bf777ded24/9f6a90bd-c8f5-450c-8f70-7cd7b513618c</t>
  </si>
  <si>
    <t>a119d9d9-aae6-4d2b-b8c7-cd5098487d2d</t>
  </si>
  <si>
    <t>a119d9d9-aae6-4d2b-b8c7-cd5098487d2d_1791205184187</t>
  </si>
  <si>
    <t>PENGGILINGAN PADI&lt;AURELIUS</t>
  </si>
  <si>
    <t>https://fasih-sm.bps.go.id/app/assignment/fd68e454-ba45-4b85-8205-f3bf777ded24/a119d9d9-aae6-4d2b-b8c7-cd5098487d2d</t>
  </si>
  <si>
    <t>ab9a6814-b9e7-4d0b-a65f-8f8998a61cec</t>
  </si>
  <si>
    <t>ab9a6814-b9e7-4d0b-a65f-8f8998a61cec_1791210246254</t>
  </si>
  <si>
    <t>USAHA PENGILING PADI</t>
  </si>
  <si>
    <t>https://fasih-sm.bps.go.id/app/assignment/fd68e454-ba45-4b85-8205-f3bf777ded24/ab9a6814-b9e7-4d0b-a65f-8f8998a61cec</t>
  </si>
  <si>
    <t>abbfcc4f-e52b-417b-b691-bf73eab8edc5</t>
  </si>
  <si>
    <t>abbfcc4f-e52b-417b-b691-bf73eab8edc5_1791210318685</t>
  </si>
  <si>
    <t>USAHA PENGGILINGAN PADI (SAMUEL PAYONG)</t>
  </si>
  <si>
    <t>https://fasih-sm.bps.go.id/app/assignment/fd68e454-ba45-4b85-8205-f3bf777ded24/abbfcc4f-e52b-417b-b691-bf73eab8edc5</t>
  </si>
  <si>
    <t>ad0393c4-11c7-4392-a80d-7903dfdf73aa</t>
  </si>
  <si>
    <t>ad0393c4-11c7-4392-a80d-7903dfdf73aa_1791210798107</t>
  </si>
  <si>
    <t>INDUSTRI PENGGILINGAN PADI EDELBERTUS L HOKOR</t>
  </si>
  <si>
    <t>https://fasih-sm.bps.go.id/app/assignment/fd68e454-ba45-4b85-8205-f3bf777ded24/ad0393c4-11c7-4392-a80d-7903dfdf73aa</t>
  </si>
  <si>
    <t>b6103d31-94c2-4070-877a-bf3051f404eb</t>
  </si>
  <si>
    <t>b6103d31-94c2-4070-877a-bf3051f404eb_1791260343802</t>
  </si>
  <si>
    <t>MOL KOPI (DAHLIA MUSTAKIM)</t>
  </si>
  <si>
    <t>https://fasih-sm.bps.go.id/app/assignment/fd68e454-ba45-4b85-8205-f3bf777ded24/b6103d31-94c2-4070-877a-bf3051f404eb</t>
  </si>
  <si>
    <t>bc7f01c1-f006-4737-b61d-73a2eeff6867</t>
  </si>
  <si>
    <t>bc7f01c1-f006-4737-b61d-73a2eeff6867_1790087109977</t>
  </si>
  <si>
    <t>https://fasih-sm.bps.go.id/app/assignment/fd68e454-ba45-4b85-8205-f3bf777ded24/bc7f01c1-f006-4737-b61d-73a2eeff6867</t>
  </si>
  <si>
    <t>c2356439-9620-480d-bcd6-5651ca402922</t>
  </si>
  <si>
    <t>c2356439-9620-480d-bcd6-5651ca402922_1784560805945</t>
  </si>
  <si>
    <t>UD PENGGILINGAN PADI(YOHANES KASARUA KERANS)</t>
  </si>
  <si>
    <t>https://fasih-sm.bps.go.id/app/assignment/fd68e454-ba45-4b85-8205-f3bf777ded24/c2356439-9620-480d-bcd6-5651ca402922</t>
  </si>
  <si>
    <t>c39da1c6-2ddb-4f20-a5fc-c03f4e456adb</t>
  </si>
  <si>
    <t>c39da1c6-2ddb-4f20-a5fc-c03f4e456adb_1784666533152</t>
  </si>
  <si>
    <t>PENGGILINGAN PADI RAFAEL SANG KOTEN</t>
  </si>
  <si>
    <t>https://fasih-sm.bps.go.id/app/assignment/fd68e454-ba45-4b85-8205-f3bf777ded24/c39da1c6-2ddb-4f20-a5fc-c03f4e456adb</t>
  </si>
  <si>
    <t>c46d8626-3ea8-4278-a4d9-ef8b7a66de8f</t>
  </si>
  <si>
    <t>c46d8626-3ea8-4278-a4d9-ef8b7a66de8f_1782960294842</t>
  </si>
  <si>
    <t>MESIN GILING (FLORIANUS PANDANG)</t>
  </si>
  <si>
    <t>https://fasih-sm.bps.go.id/app/assignment/fd68e454-ba45-4b85-8205-f3bf777ded24/c46d8626-3ea8-4278-a4d9-ef8b7a66de8f</t>
  </si>
  <si>
    <t>ce75b1ce-a743-4a9a-a600-8f51f7686e61</t>
  </si>
  <si>
    <t>ce75b1ce-a743-4a9a-a600-8f51f7686e61_1790562541238</t>
  </si>
  <si>
    <t>PENGGILINGAN PADI (TERESIA HITON HAYON)</t>
  </si>
  <si>
    <t>https://fasih-sm.bps.go.id/app/assignment/fd68e454-ba45-4b85-8205-f3bf777ded24/ce75b1ce-a743-4a9a-a600-8f51f7686e61</t>
  </si>
  <si>
    <t>d483206a-2599-46f2-a240-3e0098e94ca0</t>
  </si>
  <si>
    <t>d483206a-2599-46f2-a240-3e0098e94ca0_1790559986312</t>
  </si>
  <si>
    <t>USAHA PENGILINGAN PADI( JOHAN URAN)</t>
  </si>
  <si>
    <t>https://fasih-sm.bps.go.id/app/assignment/fd68e454-ba45-4b85-8205-f3bf777ded24/d483206a-2599-46f2-a240-3e0098e94ca0</t>
  </si>
  <si>
    <t>d4cba927-5f45-4d64-b94c-56e88abb9ccf</t>
  </si>
  <si>
    <t>d4cba927-5f45-4d64-b94c-56e88abb9ccf_1789598970589</t>
  </si>
  <si>
    <t>PENGILINGAN PADI(ELISABET TAPO KEDANG)</t>
  </si>
  <si>
    <t>https://fasih-sm.bps.go.id/app/assignment/fd68e454-ba45-4b85-8205-f3bf777ded24/d4cba927-5f45-4d64-b94c-56e88abb9ccf</t>
  </si>
  <si>
    <t>d7de1f61-b18c-40b8-8fd7-2659f18aa86d</t>
  </si>
  <si>
    <t>d7de1f61-b18c-40b8-8fd7-2659f18aa86d_1788647556112</t>
  </si>
  <si>
    <t>PENGGILINGAN PADI OM KANOOR</t>
  </si>
  <si>
    <t>-0,25</t>
  </si>
  <si>
    <t>https://fasih-sm.bps.go.id/app/assignment/fd68e454-ba45-4b85-8205-f3bf777ded24/d7de1f61-b18c-40b8-8fd7-2659f18aa86d</t>
  </si>
  <si>
    <t>e3b5b1c8-4a2c-4f6e-b85a-87195d61c251</t>
  </si>
  <si>
    <t>e3b5b1c8-4a2c-4f6e-b85a-87195d61c251_1784418349486</t>
  </si>
  <si>
    <t>UTP PENGGILINGAN PADI ( BAPAK LODO)</t>
  </si>
  <si>
    <t>https://fasih-sm.bps.go.id/app/assignment/fd68e454-ba45-4b85-8205-f3bf777ded24/e3b5b1c8-4a2c-4f6e-b85a-87195d61c251</t>
  </si>
  <si>
    <t>e4e975d3-0f4e-4b87-a76b-6f5ab9ca81a6</t>
  </si>
  <si>
    <t>e4e975d3-0f4e-4b87-a76b-6f5ab9ca81a6_1792634141687</t>
  </si>
  <si>
    <t>https://fasih-sm.bps.go.id/app/assignment/fd68e454-ba45-4b85-8205-f3bf777ded24/e4e975d3-0f4e-4b87-a76b-6f5ab9ca81a6</t>
  </si>
  <si>
    <t>eea88026-09f1-4b54-8070-27fb49d9da1c</t>
  </si>
  <si>
    <t>eea88026-09f1-4b54-8070-27fb49d9da1c_1786681595167</t>
  </si>
  <si>
    <t>PENGGILINGAN PADI (MARKUS WOLO URAN)</t>
  </si>
  <si>
    <t>https://fasih-sm.bps.go.id/app/assignment/fd68e454-ba45-4b85-8205-f3bf777ded24/eea88026-09f1-4b54-8070-27fb49d9da1c</t>
  </si>
  <si>
    <t>f1d28646-1c58-486a-bb07-d1e1f8eb8793</t>
  </si>
  <si>
    <t>f1d28646-1c58-486a-bb07-d1e1f8eb8793_1789661952779</t>
  </si>
  <si>
    <t>PENGILINGAN PADI (DAMIANUS GATONG WERANG)</t>
  </si>
  <si>
    <t>https://fasih-sm.bps.go.id/app/assignment/fd68e454-ba45-4b85-8205-f3bf777ded24/f1d28646-1c58-486a-bb07-d1e1f8eb8793</t>
  </si>
  <si>
    <t>7d8bcce2-38d5-40d6-a44a-bdbad15c21a4</t>
  </si>
  <si>
    <t>7d8bcce2-38d5-40d6-a44a-bdbad15c21a4_1791180808076</t>
  </si>
  <si>
    <t>Usaha produksi jagung titi</t>
  </si>
  <si>
    <t>https://fasih-sm.bps.go.id/app/assignment/fd68e454-ba45-4b85-8205-f3bf777ded24/7d8bcce2-38d5-40d6-a44a-bdbad15c21a4</t>
  </si>
  <si>
    <t>9bf84321-3525-4582-9457-133e39762b8c</t>
  </si>
  <si>
    <t>9bf84321-3525-4582-9457-133e39762b8c_1791202376786</t>
  </si>
  <si>
    <t>INDUSTRI PENGGILINGAN JAGUNG</t>
  </si>
  <si>
    <t>https://fasih-sm.bps.go.id/app/assignment/fd68e454-ba45-4b85-8205-f3bf777ded24/9bf84321-3525-4582-9457-133e39762b8c</t>
  </si>
  <si>
    <t>b6569fb9-92ba-450d-ae32-dc208ffb77e6</t>
  </si>
  <si>
    <t>b6569fb9-92ba-450d-ae32-dc208ffb77e6_1792655915040</t>
  </si>
  <si>
    <t>Produksi jagung titi</t>
  </si>
  <si>
    <t>https://fasih-sm.bps.go.id/app/assignment/fd68e454-ba45-4b85-8205-f3bf777ded24/b6569fb9-92ba-450d-ae32-dc208ffb77e6</t>
  </si>
  <si>
    <t>c283add2-6c8b-4e00-947a-8bb64b2dd6df</t>
  </si>
  <si>
    <t>c283add2-6c8b-4e00-947a-8bb64b2dd6df_1790562542607</t>
  </si>
  <si>
    <t>TITI JAGUNG</t>
  </si>
  <si>
    <t>https://fasih-sm.bps.go.id/app/assignment/fd68e454-ba45-4b85-8205-f3bf777ded24/c283add2-6c8b-4e00-947a-8bb64b2dd6df</t>
  </si>
  <si>
    <t>042ed423-866a-4ddc-b4d4-7fa46c6b3c0d</t>
  </si>
  <si>
    <t>042ed423-866a-4ddc-b4d4-7fa46c6b3c0d_1791052358682</t>
  </si>
  <si>
    <t>USAHA KUE IBU MARTINA</t>
  </si>
  <si>
    <t>https://fasih-sm.bps.go.id/app/assignment/fd68e454-ba45-4b85-8205-f3bf777ded24/042ed423-866a-4ddc-b4d4-7fa46c6b3c0d</t>
  </si>
  <si>
    <t>1619459e-c077-4145-b16f-9ca7c4058a25</t>
  </si>
  <si>
    <t>1619459e-c077-4145-b16f-9ca7c4058a25_1791061837823</t>
  </si>
  <si>
    <t>USAHA JUALAN ANEKA KUE ( ASMA ULHUSNA)</t>
  </si>
  <si>
    <t>https://fasih-sm.bps.go.id/app/assignment/fd68e454-ba45-4b85-8205-f3bf777ded24/1619459e-c077-4145-b16f-9ca7c4058a25</t>
  </si>
  <si>
    <t>270c2d42-05ee-4b85-b935-a58aa0db5f4d</t>
  </si>
  <si>
    <t>270c2d42-05ee-4b85-b935-a58aa0db5f4d_1791070635007</t>
  </si>
  <si>
    <t>INDUSTRI BAKERY &lt;ADRINA LETEK HOKOR&gt;</t>
  </si>
  <si>
    <t>https://fasih-sm.bps.go.id/app/assignment/fd68e454-ba45-4b85-8205-f3bf777ded24/270c2d42-05ee-4b85-b935-a58aa0db5f4d</t>
  </si>
  <si>
    <t>2cb7336f-4ec1-431a-9217-948e59031c74</t>
  </si>
  <si>
    <t>2cb7336f-4ec1-431a-9217-948e59031c74_1791073664174</t>
  </si>
  <si>
    <t>JUAL KUE&lt;SYAMSIA LIPAT SUBAN&gt;</t>
  </si>
  <si>
    <t>https://fasih-sm.bps.go.id/app/assignment/fd68e454-ba45-4b85-8205-f3bf777ded24/2cb7336f-4ec1-431a-9217-948e59031c74</t>
  </si>
  <si>
    <t>3c4daa4f-db6b-4ce7-a291-43f583e6539e</t>
  </si>
  <si>
    <t>3c4daa4f-db6b-4ce7-a291-43f583e6539e_1791082132579</t>
  </si>
  <si>
    <t>JUAL KUE&lt;HASNAH MUKHTAR&gt;</t>
  </si>
  <si>
    <t>https://fasih-sm.bps.go.id/app/assignment/fd68e454-ba45-4b85-8205-f3bf777ded24/3c4daa4f-db6b-4ce7-a291-43f583e6539e</t>
  </si>
  <si>
    <t>3df3f6cc-504c-4c3f-80e4-755f1c2ac782</t>
  </si>
  <si>
    <t>3df3f6cc-504c-4c3f-80e4-755f1c2ac782_1791082786858</t>
  </si>
  <si>
    <t>USAHA KUE</t>
  </si>
  <si>
    <t>https://fasih-sm.bps.go.id/app/assignment/fd68e454-ba45-4b85-8205-f3bf777ded24/3df3f6cc-504c-4c3f-80e4-755f1c2ac782</t>
  </si>
  <si>
    <t>43ce2bbb-1bb2-4999-8387-1e86281b0614</t>
  </si>
  <si>
    <t>43ce2bbb-1bb2-4999-8387-1e86281b0614_1791085520612</t>
  </si>
  <si>
    <t>USAHA PEMBUATAN KUE(UBALDUS WAYONG)</t>
  </si>
  <si>
    <t>https://fasih-sm.bps.go.id/app/assignment/fd68e454-ba45-4b85-8205-f3bf777ded24/43ce2bbb-1bb2-4999-8387-1e86281b0614</t>
  </si>
  <si>
    <t>494d7222-c67b-4a92-808a-d8b3cee43856</t>
  </si>
  <si>
    <t>494d7222-c67b-4a92-808a-d8b3cee43856_1791112183157</t>
  </si>
  <si>
    <t>USAHA PENJUALAN KUE CUCUR</t>
  </si>
  <si>
    <t>https://fasih-sm.bps.go.id/app/assignment/fd68e454-ba45-4b85-8205-f3bf777ded24/494d7222-c67b-4a92-808a-d8b3cee43856</t>
  </si>
  <si>
    <t>523e90b7-7e23-4372-b7a3-2b5c08c22442</t>
  </si>
  <si>
    <t>523e90b7-7e23-4372-b7a3-2b5c08c22442_1791116829421</t>
  </si>
  <si>
    <t>INDUSTRI ROTI DAN KUE LAINNYA</t>
  </si>
  <si>
    <t>https://fasih-sm.bps.go.id/app/assignment/fd68e454-ba45-4b85-8205-f3bf777ded24/523e90b7-7e23-4372-b7a3-2b5c08c22442</t>
  </si>
  <si>
    <t>5a609efa-4de4-43c7-892c-662cfaf3089e</t>
  </si>
  <si>
    <t>5a609efa-4de4-43c7-892c-662cfaf3089e_1791121093677</t>
  </si>
  <si>
    <t>USAHA KUE / ROTI</t>
  </si>
  <si>
    <t>https://fasih-sm.bps.go.id/app/assignment/fd68e454-ba45-4b85-8205-f3bf777ded24/5a609efa-4de4-43c7-892c-662cfaf3089e</t>
  </si>
  <si>
    <t>5d4b379f-3721-4dcd-8276-21e25b2b7623</t>
  </si>
  <si>
    <t>5d4b379f-3721-4dcd-8276-21e25b2b7623_1791122655427</t>
  </si>
  <si>
    <t>JUAL KUE&lt;NURSA TEROMPO&gt;</t>
  </si>
  <si>
    <t>https://fasih-sm.bps.go.id/app/assignment/fd68e454-ba45-4b85-8205-f3bf777ded24/5d4b379f-3721-4dcd-8276-21e25b2b7623</t>
  </si>
  <si>
    <t>605315d6-85fb-4fd9-b2f3-ccb55599bde1</t>
  </si>
  <si>
    <t>605315d6-85fb-4fd9-b2f3-ccb55599bde1_1791124258993</t>
  </si>
  <si>
    <t>JUAL KUE (YOHANA BULU ASSAN)</t>
  </si>
  <si>
    <t>https://fasih-sm.bps.go.id/app/assignment/fd68e454-ba45-4b85-8205-f3bf777ded24/605315d6-85fb-4fd9-b2f3-ccb55599bde1</t>
  </si>
  <si>
    <t>611951bb-2545-4346-a6b1-cca647f24028</t>
  </si>
  <si>
    <t>611951bb-2545-4346-a6b1-cca647f24028_1791124635069</t>
  </si>
  <si>
    <t>USAHA ANEKA KUE (MARIA KIRE HIKON)</t>
  </si>
  <si>
    <t>https://fasih-sm.bps.go.id/app/assignment/fd68e454-ba45-4b85-8205-f3bf777ded24/611951bb-2545-4346-a6b1-cca647f24028</t>
  </si>
  <si>
    <t>626f0d8a-2eb7-4283-865e-d9467e047b79</t>
  </si>
  <si>
    <t>626f0d8a-2eb7-4283-865e-d9467e047b79_1791125213530</t>
  </si>
  <si>
    <t>JUALAN KUE (KATHARINA NINA KEBA)</t>
  </si>
  <si>
    <t>https://fasih-sm.bps.go.id/app/assignment/fd68e454-ba45-4b85-8205-f3bf777ded24/626f0d8a-2eb7-4283-865e-d9467e047b79</t>
  </si>
  <si>
    <t>64cb4485-eec5-4e4b-ae41-49df891b8437</t>
  </si>
  <si>
    <t>64cb4485-eec5-4e4b-ae41-49df891b8437_1791126164267</t>
  </si>
  <si>
    <t>JUAL KUE KELILING (ASMAWATI MALANG)</t>
  </si>
  <si>
    <t>https://fasih-sm.bps.go.id/app/assignment/fd68e454-ba45-4b85-8205-f3bf777ded24/64cb4485-eec5-4e4b-ae41-49df891b8437</t>
  </si>
  <si>
    <t>65164302-b354-4af6-9168-88b828a3bd75</t>
  </si>
  <si>
    <t>65164302-b354-4af6-9168-88b828a3bd75_1791126280681</t>
  </si>
  <si>
    <t>JUAL KUE (MAGDALENA EDA SOGE)</t>
  </si>
  <si>
    <t>https://fasih-sm.bps.go.id/app/assignment/fd68e454-ba45-4b85-8205-f3bf777ded24/65164302-b354-4af6-9168-88b828a3bd75</t>
  </si>
  <si>
    <t>6ab3f9ce-c905-4223-8873-73e4f1158ba7</t>
  </si>
  <si>
    <t>6ab3f9ce-c905-4223-8873-73e4f1158ba7_1791171721787</t>
  </si>
  <si>
    <t>JUALAN KUE ONLINE ARI DIAZ</t>
  </si>
  <si>
    <t>https://fasih-sm.bps.go.id/app/assignment/fd68e454-ba45-4b85-8205-f3bf777ded24/6ab3f9ce-c905-4223-8873-73e4f1158ba7</t>
  </si>
  <si>
    <t>749efa59-0ace-4c38-897b-c04c1ac51735</t>
  </si>
  <si>
    <t>749efa59-0ace-4c38-897b-c04c1ac51735_1791176331219</t>
  </si>
  <si>
    <t>USAHA BAKERY ANDREANY NGATIANINGSIH</t>
  </si>
  <si>
    <t>https://fasih-sm.bps.go.id/app/assignment/fd68e454-ba45-4b85-8205-f3bf777ded24/749efa59-0ace-4c38-897b-c04c1ac51735</t>
  </si>
  <si>
    <t>74fa3357-ddd1-44a4-810c-e3ca2d0f9a6f</t>
  </si>
  <si>
    <t>74fa3357-ddd1-44a4-810c-e3ca2d0f9a6f_1791176519880</t>
  </si>
  <si>
    <t>INDUSTRI PRODUK ROTI DAN KUE &lt;YOHANA S.PERADA&gt;</t>
  </si>
  <si>
    <t>https://fasih-sm.bps.go.id/app/assignment/fd68e454-ba45-4b85-8205-f3bf777ded24/74fa3357-ddd1-44a4-810c-e3ca2d0f9a6f</t>
  </si>
  <si>
    <t>7f31cfef-9a23-41ec-bec8-68584bcedfd7</t>
  </si>
  <si>
    <t>7f31cfef-9a23-41ec-bec8-68584bcedfd7_1791181605568</t>
  </si>
  <si>
    <t>USAHA KUE (MARDIA LUKMAN)</t>
  </si>
  <si>
    <t>https://fasih-sm.bps.go.id/app/assignment/fd68e454-ba45-4b85-8205-f3bf777ded24/7f31cfef-9a23-41ec-bec8-68584bcedfd7</t>
  </si>
  <si>
    <t>8d68ae25-1a27-4bad-af66-9ef9e64a3fba</t>
  </si>
  <si>
    <t>8d68ae25-1a27-4bad-af66-9ef9e64a3fba_1791194795209</t>
  </si>
  <si>
    <t>JUAL KUE &lt;SUSANTI MAHARANI&gt;</t>
  </si>
  <si>
    <t>https://fasih-sm.bps.go.id/app/assignment/fd68e454-ba45-4b85-8205-f3bf777ded24/8d68ae25-1a27-4bad-af66-9ef9e64a3fba</t>
  </si>
  <si>
    <t>90306955-cdd6-4cd6-aabb-3bc0effa76df</t>
  </si>
  <si>
    <t>90306955-cdd6-4cd6-aabb-3bc0effa76df_1791196236149</t>
  </si>
  <si>
    <t>INDUSTRI KUE&lt;SANIAH AHMAD&gt;</t>
  </si>
  <si>
    <t>https://fasih-sm.bps.go.id/app/assignment/fd68e454-ba45-4b85-8205-f3bf777ded24/90306955-cdd6-4cd6-aabb-3bc0effa76df</t>
  </si>
  <si>
    <t>91bdf8a2-8bf8-4eda-9cd7-46921e04d431</t>
  </si>
  <si>
    <t>91bdf8a2-8bf8-4eda-9cd7-46921e04d431_1791197030915</t>
  </si>
  <si>
    <t>INDUSTRI BAKERY (HELENA LENA SOGEN)</t>
  </si>
  <si>
    <t>https://fasih-sm.bps.go.id/app/assignment/fd68e454-ba45-4b85-8205-f3bf777ded24/91bdf8a2-8bf8-4eda-9cd7-46921e04d431</t>
  </si>
  <si>
    <t>a1ba2e3c-ea8f-4177-8625-f3eb74460409</t>
  </si>
  <si>
    <t>a1ba2e3c-ea8f-4177-8625-f3eb74460409_1791205643013</t>
  </si>
  <si>
    <t>USAHA KUE ROTI IBU BERIBIN</t>
  </si>
  <si>
    <t>https://fasih-sm.bps.go.id/app/assignment/fd68e454-ba45-4b85-8205-f3bf777ded24/a1ba2e3c-ea8f-4177-8625-f3eb74460409</t>
  </si>
  <si>
    <t>a25938d0-69c3-4dcd-9ac3-ed66fcc25fc4</t>
  </si>
  <si>
    <t>a25938d0-69c3-4dcd-9ac3-ed66fcc25fc4_1791205919577</t>
  </si>
  <si>
    <t>JUALAN KUE (MARIA LIPAT)</t>
  </si>
  <si>
    <t>https://fasih-sm.bps.go.id/app/assignment/fd68e454-ba45-4b85-8205-f3bf777ded24/a25938d0-69c3-4dcd-9ac3-ed66fcc25fc4</t>
  </si>
  <si>
    <t>ad9c7fde-062b-4023-b8b6-77d5acc2215c</t>
  </si>
  <si>
    <t>ad9c7fde-062b-4023-b8b6-77d5acc2215c_1791211111849</t>
  </si>
  <si>
    <t>UTP JUALAN ANEKA KUE ( BENEDIKTUS BATA HEWEN)</t>
  </si>
  <si>
    <t>https://fasih-sm.bps.go.id/app/assignment/fd68e454-ba45-4b85-8205-f3bf777ded24/ad9c7fde-062b-4023-b8b6-77d5acc2215c</t>
  </si>
  <si>
    <t>b0211d85-4423-4774-9d77-88ee8387d5b3</t>
  </si>
  <si>
    <t>b0211d85-4423-4774-9d77-88ee8387d5b3_1791257268573</t>
  </si>
  <si>
    <t>USAHA KUE (ELISABETH KUE KERANS)</t>
  </si>
  <si>
    <t>https://fasih-sm.bps.go.id/app/assignment/fd68e454-ba45-4b85-8205-f3bf777ded24/b0211d85-4423-4774-9d77-88ee8387d5b3</t>
  </si>
  <si>
    <t>b5d55434-d941-431b-9e24-f869b7bbfa50</t>
  </si>
  <si>
    <t>b5d55434-d941-431b-9e24-f869b7bbfa50_1791260303255</t>
  </si>
  <si>
    <t>JUAL KUE&lt;HAJAR NUENG KASIM&gt;</t>
  </si>
  <si>
    <t>https://fasih-sm.bps.go.id/app/assignment/fd68e454-ba45-4b85-8205-f3bf777ded24/b5d55434-d941-431b-9e24-f869b7bbfa50</t>
  </si>
  <si>
    <t>0,9625</t>
  </si>
  <si>
    <t>0,115</t>
  </si>
  <si>
    <t>0,971429</t>
  </si>
  <si>
    <t>0,875</t>
  </si>
  <si>
    <t>0,625</t>
  </si>
  <si>
    <t>0,933333</t>
  </si>
  <si>
    <t>0,867857</t>
  </si>
  <si>
    <t>0,918605</t>
  </si>
  <si>
    <t>0,924</t>
  </si>
  <si>
    <t>0,78125</t>
  </si>
  <si>
    <t>0,932692</t>
  </si>
  <si>
    <t>0,926316</t>
  </si>
  <si>
    <t>0,689922</t>
  </si>
  <si>
    <t>0,916667</t>
  </si>
  <si>
    <t>0,666667</t>
  </si>
  <si>
    <t>0,952941</t>
  </si>
  <si>
    <t>0,982301</t>
  </si>
  <si>
    <t>0,965789</t>
  </si>
  <si>
    <t>0,898186</t>
  </si>
  <si>
    <t>0,903304</t>
  </si>
  <si>
    <t>0,942857</t>
  </si>
  <si>
    <t>0,780822</t>
  </si>
  <si>
    <t>0,645833</t>
  </si>
  <si>
    <t>0,902778</t>
  </si>
  <si>
    <t>0,95214</t>
  </si>
  <si>
    <t>0,854167</t>
  </si>
  <si>
    <t>0,91119</t>
  </si>
  <si>
    <t>https://fasih-sm.bps.go.id/app/assignment/fd68e454-ba45-4b85-8205-f3bf777ded24/de0c00fb-4a8d-422a-8c4b-49ff331f61ab</t>
  </si>
  <si>
    <t>0,886621</t>
  </si>
  <si>
    <t>0,956</t>
  </si>
  <si>
    <t>0,92284</t>
  </si>
  <si>
    <t>0,9375</t>
  </si>
  <si>
    <t>0,941176</t>
  </si>
  <si>
    <t>0,788462</t>
  </si>
  <si>
    <t>0,958333</t>
  </si>
  <si>
    <t>0,961905</t>
  </si>
  <si>
    <t>https://fasih-sm.bps.go.id/app/assignment/fd68e454-ba45-4b85-8205-f3bf777ded24/de524029-e555-4248-97d0-2573a185b8c1</t>
  </si>
  <si>
    <t>0,941667</t>
  </si>
  <si>
    <t>0,946154</t>
  </si>
  <si>
    <t>0,612903</t>
  </si>
  <si>
    <t>0,913386</t>
  </si>
  <si>
    <t>0,964286</t>
  </si>
  <si>
    <t>0,669492</t>
  </si>
  <si>
    <t>0,857143</t>
  </si>
  <si>
    <t>0,72619</t>
  </si>
  <si>
    <t>0,962406</t>
  </si>
  <si>
    <t>0,903226</t>
  </si>
  <si>
    <t>0,915556</t>
  </si>
  <si>
    <t>0,948529</t>
  </si>
  <si>
    <t>0,761905</t>
  </si>
  <si>
    <t>0,095238</t>
  </si>
  <si>
    <t>0,925</t>
  </si>
  <si>
    <t>0,921667</t>
  </si>
  <si>
    <t>0,678571</t>
  </si>
  <si>
    <t>0,927835</t>
  </si>
  <si>
    <t>0,972826</t>
  </si>
  <si>
    <t>0,888889</t>
  </si>
  <si>
    <t>0,923611</t>
  </si>
  <si>
    <t>0,858824</t>
  </si>
  <si>
    <t>0,975</t>
  </si>
  <si>
    <t>0,744565</t>
  </si>
  <si>
    <t>0,670782</t>
  </si>
  <si>
    <t>0,797454</t>
  </si>
  <si>
    <t>0,929577</t>
  </si>
  <si>
    <t>0,922619</t>
  </si>
  <si>
    <t>0,9875</t>
  </si>
  <si>
    <t>0,800926</t>
  </si>
  <si>
    <t>0,944444</t>
  </si>
  <si>
    <t>0,922222</t>
  </si>
  <si>
    <t>0,866667</t>
  </si>
  <si>
    <t>0,972603</t>
  </si>
  <si>
    <t>0,936</t>
  </si>
  <si>
    <t>0,925439</t>
  </si>
  <si>
    <t>0,8</t>
  </si>
  <si>
    <t>0,954887</t>
  </si>
  <si>
    <t>https://fasih-sm.bps.go.id/app/assignment/fd68e454-ba45-4b85-8205-f3bf777ded24/e238273b-e9ed-412a-a7cd-24e73d9ccb03</t>
  </si>
  <si>
    <t>0,95122</t>
  </si>
  <si>
    <t>0,997129</t>
  </si>
  <si>
    <t>0,747475</t>
  </si>
  <si>
    <t>0,953112</t>
  </si>
  <si>
    <t>0,636364</t>
  </si>
  <si>
    <t>0,958974</t>
  </si>
  <si>
    <t>0,974138</t>
  </si>
  <si>
    <t>0,965714</t>
  </si>
  <si>
    <t>0,923077</t>
  </si>
  <si>
    <t>0,761111</t>
  </si>
  <si>
    <t>0,904762</t>
  </si>
  <si>
    <t>0,940217</t>
  </si>
  <si>
    <t>0,84127</t>
  </si>
  <si>
    <t>0,966667</t>
  </si>
  <si>
    <t>0,945513</t>
  </si>
  <si>
    <t>0,92233</t>
  </si>
  <si>
    <t>0,97619</t>
  </si>
  <si>
    <t>0,986667</t>
  </si>
  <si>
    <t>0,869231</t>
  </si>
  <si>
    <t>0,741667</t>
  </si>
  <si>
    <t>0,960959</t>
  </si>
  <si>
    <t>0,945</t>
  </si>
  <si>
    <t>https://fasih-sm.bps.go.id/app/assignment/fd68e454-ba45-4b85-8205-f3bf777ded24/e51e3c3a-d2e4-4373-a292-b92d6a595cbe</t>
  </si>
  <si>
    <t>0,922078</t>
  </si>
  <si>
    <t>0,945833</t>
  </si>
  <si>
    <t>0,829268</t>
  </si>
  <si>
    <t>0,976974</t>
  </si>
  <si>
    <t>0,754902</t>
  </si>
  <si>
    <t>0,939815</t>
  </si>
  <si>
    <t>0,777778</t>
  </si>
  <si>
    <t>0,832278</t>
  </si>
  <si>
    <t>0,964706</t>
  </si>
  <si>
    <t>0,921875</t>
  </si>
  <si>
    <t>0,927273</t>
  </si>
  <si>
    <t>0,93913</t>
  </si>
  <si>
    <t>0,756098</t>
  </si>
  <si>
    <t>0,951923</t>
  </si>
  <si>
    <t>0,764286</t>
  </si>
  <si>
    <t>0,745455</t>
  </si>
  <si>
    <t>0,1</t>
  </si>
  <si>
    <t>0,9</t>
  </si>
  <si>
    <t>0,766667</t>
  </si>
  <si>
    <t>0,903628</t>
  </si>
  <si>
    <t>0,880952</t>
  </si>
  <si>
    <t>0,893617</t>
  </si>
  <si>
    <t>0,947917</t>
  </si>
  <si>
    <t>0,908046</t>
  </si>
  <si>
    <t>0,897674</t>
  </si>
  <si>
    <t>0,863971</t>
  </si>
  <si>
    <t>-0,055556</t>
  </si>
  <si>
    <t>0,958824</t>
  </si>
  <si>
    <t>0,961111</t>
  </si>
  <si>
    <t>0,972727</t>
  </si>
  <si>
    <t>0,738095</t>
  </si>
  <si>
    <t>0,9746</t>
  </si>
  <si>
    <t>0,929483</t>
  </si>
  <si>
    <t>0,745833</t>
  </si>
  <si>
    <t>0,855072</t>
  </si>
  <si>
    <t>0,973545</t>
  </si>
  <si>
    <t>0,833333</t>
  </si>
  <si>
    <t>0,782609</t>
  </si>
  <si>
    <t>0,797619</t>
  </si>
  <si>
    <t>0,908333</t>
  </si>
  <si>
    <t>0,8125</t>
  </si>
  <si>
    <t>0,858586</t>
  </si>
  <si>
    <t>0,929167</t>
  </si>
  <si>
    <t>0,6875</t>
  </si>
  <si>
    <t>0,909091</t>
  </si>
  <si>
    <t>0,9895</t>
  </si>
  <si>
    <t>0,965517</t>
  </si>
  <si>
    <t>0,733333</t>
  </si>
  <si>
    <t>0,736217</t>
  </si>
  <si>
    <t>0,722222</t>
  </si>
  <si>
    <t>0,730769</t>
  </si>
  <si>
    <t>0,972308</t>
  </si>
  <si>
    <t>0,642857</t>
  </si>
  <si>
    <t>0,917526</t>
  </si>
  <si>
    <t>0,84375</t>
  </si>
  <si>
    <t>0,966154</t>
  </si>
  <si>
    <t>0,960064</t>
  </si>
  <si>
    <t>0,685714</t>
  </si>
  <si>
    <t>0,759657</t>
  </si>
  <si>
    <t>0,980952</t>
  </si>
  <si>
    <t>0,929487</t>
  </si>
  <si>
    <t>0,951754</t>
  </si>
  <si>
    <t>0,821429</t>
  </si>
  <si>
    <t>0,785714</t>
  </si>
  <si>
    <t>0,962963</t>
  </si>
  <si>
    <t>0,944882</t>
  </si>
  <si>
    <t>0,876204</t>
  </si>
  <si>
    <t>https://fasih-sm.bps.go.id/app/assignment/fd68e454-ba45-4b85-8205-f3bf777ded24/eb1e9b3b-5111-40f4-adb1-6aa41e6b23d1</t>
  </si>
  <si>
    <t>0,774194</t>
  </si>
  <si>
    <t>0,983766</t>
  </si>
  <si>
    <t>0,946108</t>
  </si>
  <si>
    <t>0,984848</t>
  </si>
  <si>
    <t>0,971264</t>
  </si>
  <si>
    <t>0,927778</t>
  </si>
  <si>
    <t>0,839286</t>
  </si>
  <si>
    <t>0,988095</t>
  </si>
  <si>
    <t>0,68125</t>
  </si>
  <si>
    <t>0,920833</t>
  </si>
  <si>
    <t>0,960952</t>
  </si>
  <si>
    <t>0,878049</t>
  </si>
  <si>
    <t>0,964516</t>
  </si>
  <si>
    <t>0,999955</t>
  </si>
  <si>
    <t>0,970238</t>
  </si>
  <si>
    <t>0,863636</t>
  </si>
  <si>
    <t>0,924138</t>
  </si>
  <si>
    <t>-0,142857</t>
  </si>
  <si>
    <t>0,885417</t>
  </si>
  <si>
    <t>0,940476</t>
  </si>
  <si>
    <t>0,94697</t>
  </si>
  <si>
    <t>0,952381</t>
  </si>
  <si>
    <t>0,874759</t>
  </si>
  <si>
    <t>0,9125</t>
  </si>
  <si>
    <t>0,965278</t>
  </si>
  <si>
    <t>0,613527</t>
  </si>
  <si>
    <t>0,953846</t>
  </si>
  <si>
    <t>0,741176</t>
  </si>
  <si>
    <t>0,743132</t>
  </si>
  <si>
    <t>0,887821</t>
  </si>
  <si>
    <t>0,94902</t>
  </si>
  <si>
    <t>0,973485</t>
  </si>
  <si>
    <t>0,970588</t>
  </si>
  <si>
    <t>0,953333</t>
  </si>
  <si>
    <t>0,638333</t>
  </si>
  <si>
    <t>0,927114</t>
  </si>
  <si>
    <t>0,876033</t>
  </si>
  <si>
    <t>0,973958</t>
  </si>
  <si>
    <t>0,983333</t>
  </si>
  <si>
    <t>0,655556</t>
  </si>
  <si>
    <t>0,930556</t>
  </si>
  <si>
    <t>0,755</t>
  </si>
  <si>
    <t>0,991667</t>
  </si>
  <si>
    <t>0,91875</t>
  </si>
  <si>
    <t>0,855556</t>
  </si>
  <si>
    <t>0,895833</t>
  </si>
  <si>
    <t>0,746032</t>
  </si>
  <si>
    <t>0,907216</t>
  </si>
  <si>
    <t>0,789474</t>
  </si>
  <si>
    <t>0,948333</t>
  </si>
  <si>
    <t>0,974057</t>
  </si>
  <si>
    <t>0,963504</t>
  </si>
  <si>
    <t>0,928571</t>
  </si>
  <si>
    <t>0,957143</t>
  </si>
  <si>
    <t>0,802632</t>
  </si>
  <si>
    <t>0,801653</t>
  </si>
  <si>
    <t>0,923333</t>
  </si>
  <si>
    <t>0,947059</t>
  </si>
  <si>
    <t>0,961485</t>
  </si>
  <si>
    <t>0,931481</t>
  </si>
  <si>
    <t>0,929204</t>
  </si>
  <si>
    <t>0,105263</t>
  </si>
  <si>
    <t>0,926282</t>
  </si>
  <si>
    <t>0,905263</t>
  </si>
  <si>
    <t>0,919355</t>
  </si>
  <si>
    <t>0,728814</t>
  </si>
  <si>
    <t>0,767857</t>
  </si>
  <si>
    <t>0,945455</t>
  </si>
  <si>
    <t>0,930124</t>
  </si>
  <si>
    <t>0,649942</t>
  </si>
  <si>
    <t>0,83125</t>
  </si>
  <si>
    <t>0,911765</t>
  </si>
  <si>
    <t>0,977778</t>
  </si>
  <si>
    <t>0,878698</t>
  </si>
  <si>
    <t>0,946667</t>
  </si>
  <si>
    <t>0,876923</t>
  </si>
  <si>
    <t>0,795833</t>
  </si>
  <si>
    <t>0,900662</t>
  </si>
  <si>
    <t>0,921053</t>
  </si>
  <si>
    <t>0,746875</t>
  </si>
  <si>
    <t>0,804167</t>
  </si>
  <si>
    <t>0,785256</t>
  </si>
  <si>
    <t>0,7825</t>
  </si>
  <si>
    <t>0,877778</t>
  </si>
  <si>
    <t>0,757353</t>
  </si>
  <si>
    <t>0,904</t>
  </si>
  <si>
    <t>0,802372</t>
  </si>
  <si>
    <t>0,827957</t>
  </si>
  <si>
    <t>0,864706</t>
  </si>
  <si>
    <t>0,849735</t>
  </si>
  <si>
    <t>0,943548</t>
  </si>
  <si>
    <t>0,889706</t>
  </si>
  <si>
    <t>0,982673</t>
  </si>
  <si>
    <t>0,653333</t>
  </si>
  <si>
    <t>0,917787</t>
  </si>
  <si>
    <t>0,970833</t>
  </si>
  <si>
    <t>0,779762</t>
  </si>
  <si>
    <t>0,872727</t>
  </si>
  <si>
    <t>0,746154</t>
  </si>
  <si>
    <t>0,88125</t>
  </si>
  <si>
    <t>0,969388</t>
  </si>
  <si>
    <t>0,975207</t>
  </si>
  <si>
    <t>0,976563</t>
  </si>
  <si>
    <t>0,861111</t>
  </si>
  <si>
    <t>0,914286</t>
  </si>
  <si>
    <t>0,97931</t>
  </si>
  <si>
    <t>0,968254</t>
  </si>
  <si>
    <t>0,972264</t>
  </si>
  <si>
    <t>0,955556</t>
  </si>
  <si>
    <t>0,764516</t>
  </si>
  <si>
    <t>0,617188</t>
  </si>
  <si>
    <t>0,97017</t>
  </si>
  <si>
    <t>0,931507</t>
  </si>
  <si>
    <t>0,910256</t>
  </si>
  <si>
    <t>0,70625</t>
  </si>
  <si>
    <t>0,907514</t>
  </si>
  <si>
    <t>0,985577</t>
  </si>
  <si>
    <t>0,911111</t>
  </si>
  <si>
    <t>0,940972</t>
  </si>
  <si>
    <t>0,964158</t>
  </si>
  <si>
    <t>0,904337</t>
  </si>
  <si>
    <t>0,89011</t>
  </si>
  <si>
    <t>0,714286</t>
  </si>
  <si>
    <t>0,657143</t>
  </si>
  <si>
    <t>0,908759</t>
  </si>
  <si>
    <t>0,901467</t>
  </si>
  <si>
    <t>0,867725</t>
  </si>
  <si>
    <t>0,982143</t>
  </si>
  <si>
    <t>0,791667</t>
  </si>
  <si>
    <t>0,868421</t>
  </si>
  <si>
    <t>0,793103</t>
  </si>
  <si>
    <t>0,924812</t>
  </si>
  <si>
    <t>0,811111</t>
  </si>
  <si>
    <t>0,142857</t>
  </si>
  <si>
    <t>0,955752</t>
  </si>
  <si>
    <t>0,960833</t>
  </si>
  <si>
    <t>0,715789</t>
  </si>
  <si>
    <t>0,7625</t>
  </si>
  <si>
    <t>0,939394</t>
  </si>
  <si>
    <t>0,994444</t>
  </si>
  <si>
    <t>0,846591</t>
  </si>
  <si>
    <t>0,942308</t>
  </si>
  <si>
    <t>0,633333</t>
  </si>
  <si>
    <t>0,899083</t>
  </si>
  <si>
    <t>0,815</t>
  </si>
  <si>
    <t>0,972441</t>
  </si>
  <si>
    <t>0,954167</t>
  </si>
  <si>
    <t>0,844444</t>
  </si>
  <si>
    <t>0,808333</t>
  </si>
  <si>
    <t>0,825</t>
  </si>
  <si>
    <t>0,682353</t>
  </si>
  <si>
    <t>0,783333</t>
  </si>
  <si>
    <t>0,632381</t>
  </si>
  <si>
    <t>0,967742</t>
  </si>
  <si>
    <t>0,052941</t>
  </si>
  <si>
    <t>0,114583</t>
  </si>
  <si>
    <t>0,7</t>
  </si>
  <si>
    <t>0,694</t>
  </si>
  <si>
    <t>0,9165</t>
  </si>
  <si>
    <t>-0,2</t>
  </si>
  <si>
    <t>0,912281</t>
  </si>
  <si>
    <t>0,895</t>
  </si>
  <si>
    <t>0,804737</t>
  </si>
  <si>
    <t>0,615385</t>
  </si>
  <si>
    <t>0,862069</t>
  </si>
  <si>
    <t>0,97037</t>
  </si>
  <si>
    <t>0,896552</t>
  </si>
  <si>
    <t>0,778788</t>
  </si>
  <si>
    <t>0,873016</t>
  </si>
  <si>
    <t>0,988333</t>
  </si>
  <si>
    <t>0,851852</t>
  </si>
  <si>
    <t>0,856</t>
  </si>
  <si>
    <t>0,906927</t>
  </si>
  <si>
    <t>0,703333</t>
  </si>
  <si>
    <t>-0,833333</t>
  </si>
  <si>
    <t>0,133333</t>
  </si>
  <si>
    <t>0,816667</t>
  </si>
  <si>
    <t>0,8136</t>
  </si>
  <si>
    <t>0,945205</t>
  </si>
  <si>
    <t>0,656667</t>
  </si>
  <si>
    <t>-0,09375</t>
  </si>
  <si>
    <t>0,746667</t>
  </si>
  <si>
    <t>-2,8</t>
  </si>
  <si>
    <t>0,694444</t>
  </si>
  <si>
    <t>0,648649</t>
  </si>
  <si>
    <t>0,074675</t>
  </si>
  <si>
    <t>0,999539</t>
  </si>
  <si>
    <t>0,715385</t>
  </si>
  <si>
    <t>0,658333</t>
  </si>
  <si>
    <t>0,918182</t>
  </si>
  <si>
    <t>0,71831</t>
  </si>
  <si>
    <t>0,638889</t>
  </si>
  <si>
    <t>0,795918</t>
  </si>
  <si>
    <t>0,117284</t>
  </si>
  <si>
    <t>0,762188</t>
  </si>
  <si>
    <t>0,09375</t>
  </si>
  <si>
    <t>0,699074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</si>
  <si>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</si>
  <si>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</si>
  <si>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</si>
  <si>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</si>
  <si>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</si>
  <si>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</si>
  <si>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kategori_rekomendasi</t>
  </si>
  <si>
    <t>kategori_rekomendasi_desc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</si>
  <si>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</si>
  <si>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</si>
  <si>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</si>
  <si>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</si>
  <si>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</si>
  <si>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kategori_baru</t>
  </si>
  <si>
    <t>kode_kbli_baru</t>
  </si>
  <si>
    <t>komentar</t>
  </si>
  <si>
    <t>baris_lama</t>
  </si>
  <si>
    <t>diag</t>
  </si>
  <si>
    <t>Output-NTB</t>
  </si>
  <si>
    <t>NTB Baru</t>
  </si>
  <si>
    <t>Output-NTB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</si>
</sst>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E5CFF2"/>
      <name val="Calibri"/>
      <family val="2"/>
      <scheme val="minor"/>
    </font>
    <font>
      <sz val="11"/>
      <color rgb="FFD4EDB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36C0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A3286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vertical="center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3" xfId="0" applyFill="1" applyBorder="1" applyAlignment="1">
      <alignment horizontal="right" wrapText="1"/>
    </xf>
    <xf numFmtId="47" fontId="0" fillId="6" borderId="3" xfId="0" applyNumberFormat="1" applyFill="1" applyBorder="1" applyAlignment="1">
      <alignment wrapText="1"/>
    </xf>
    <xf numFmtId="0" fontId="5" fillId="6" borderId="3" xfId="1" applyFill="1" applyBorder="1" applyAlignment="1">
      <alignment wrapText="1"/>
    </xf>
    <xf numFmtId="3" fontId="0" fillId="6" borderId="3" xfId="0" applyNumberFormat="1" applyFill="1" applyBorder="1" applyAlignment="1">
      <alignment horizontal="right" wrapText="1"/>
    </xf>
    <xf numFmtId="22" fontId="0" fillId="6" borderId="3" xfId="0" applyNumberFormat="1" applyFill="1" applyBorder="1" applyAlignment="1">
      <alignment wrapText="1"/>
    </xf>
    <xf numFmtId="11" fontId="0" fillId="6" borderId="3" xfId="0" applyNumberFormat="1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3" xfId="0" applyFill="1" applyBorder="1" applyAlignment="1">
      <alignment horizontal="right" wrapText="1"/>
    </xf>
    <xf numFmtId="47" fontId="0" fillId="7" borderId="3" xfId="0" applyNumberFormat="1" applyFill="1" applyBorder="1" applyAlignment="1">
      <alignment wrapText="1"/>
    </xf>
    <xf numFmtId="0" fontId="5" fillId="7" borderId="3" xfId="1" applyFill="1" applyBorder="1" applyAlignment="1">
      <alignment wrapText="1"/>
    </xf>
    <xf numFmtId="0" fontId="6" fillId="0" borderId="0" xfId="0" applyFont="1"/>
    <xf numFmtId="0" fontId="2" fillId="2" borderId="0" xfId="0" applyFont="1" applyFill="1" applyBorder="1" applyAlignment="1">
      <alignment vertical="center"/>
    </xf>
    <xf numFmtId="0" fontId="0" fillId="7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asih-sm.bps.go.id/app/assignment/fd68e454-ba45-4b85-8205-f3bf777ded24/dd0593c1-c545-4282-aa41-618535707b79" TargetMode="External"/><Relationship Id="rId170" Type="http://schemas.openxmlformats.org/officeDocument/2006/relationships/hyperlink" Target="https://fasih-sm.bps.go.id/app/assignment/fd68e454-ba45-4b85-8205-f3bf777ded24/e7ec6408-c201-4735-8af7-5b92ab0fc9af" TargetMode="External"/><Relationship Id="rId268" Type="http://schemas.openxmlformats.org/officeDocument/2006/relationships/hyperlink" Target="https://fasih-sm.bps.go.id/app/assignment/fd68e454-ba45-4b85-8205-f3bf777ded24/eea334ef-20e7-42b1-8719-33b98d50ba95" TargetMode="External"/><Relationship Id="rId475" Type="http://schemas.openxmlformats.org/officeDocument/2006/relationships/hyperlink" Target="https://fasih-sm.bps.go.id/app/assignment/fd68e454-ba45-4b85-8205-f3bf777ded24/9624f714-8f4e-4922-9c41-40c979523cb8" TargetMode="External"/><Relationship Id="rId682" Type="http://schemas.openxmlformats.org/officeDocument/2006/relationships/hyperlink" Target="https://fasih-sm.bps.go.id/app/assignment/fd68e454-ba45-4b85-8205-f3bf777ded24/e46f8704-62f1-4a7d-b7f1-fb4954051c2e" TargetMode="External"/><Relationship Id="rId128" Type="http://schemas.openxmlformats.org/officeDocument/2006/relationships/hyperlink" Target="https://fasih-sm.bps.go.id/app/assignment/fd68e454-ba45-4b85-8205-f3bf777ded24/e5d5a5e5-88e2-4ae2-9e3d-b62a44e8b99f" TargetMode="External"/><Relationship Id="rId335" Type="http://schemas.openxmlformats.org/officeDocument/2006/relationships/hyperlink" Target="https://fasih-sm.bps.go.id/app/assignment/fd68e454-ba45-4b85-8205-f3bf777ded24/f4ccdb10-3f21-400e-bcb9-ce4ddd27c3ca" TargetMode="External"/><Relationship Id="rId542" Type="http://schemas.openxmlformats.org/officeDocument/2006/relationships/hyperlink" Target="https://fasih-sm.bps.go.id/app/assignment/fd68e454-ba45-4b85-8205-f3bf777ded24/b6569fb9-92ba-450d-ae32-dc208ffb77e6" TargetMode="External"/><Relationship Id="rId987" Type="http://schemas.openxmlformats.org/officeDocument/2006/relationships/hyperlink" Target="https://fasih-sm.bps.go.id/app/assignment/fd68e454-ba45-4b85-8205-f3bf777ded24/fbde9d69-39a3-4b56-a84b-13224b84d46f" TargetMode="External"/><Relationship Id="rId402" Type="http://schemas.openxmlformats.org/officeDocument/2006/relationships/hyperlink" Target="https://fasih-sm.bps.go.id/app/assignment/fd68e454-ba45-4b85-8205-f3bf777ded24/fa7ffae2-2798-45fa-a9d3-fbd657878da7" TargetMode="External"/><Relationship Id="rId847" Type="http://schemas.openxmlformats.org/officeDocument/2006/relationships/hyperlink" Target="https://fasih-sm.bps.go.id/app/assignment/fd68e454-ba45-4b85-8205-f3bf777ded24/ef65ba3b-7fbe-45a5-8470-d09d9fa6a4ae" TargetMode="External"/><Relationship Id="rId1032" Type="http://schemas.openxmlformats.org/officeDocument/2006/relationships/hyperlink" Target="https://fasih-sm.bps.go.id/app/assignment/fd68e454-ba45-4b85-8205-f3bf777ded24/ff570a2f-9752-45f0-a5f4-f9eac9e11643" TargetMode="External"/><Relationship Id="rId707" Type="http://schemas.openxmlformats.org/officeDocument/2006/relationships/hyperlink" Target="https://fasih-sm.bps.go.id/app/assignment/fd68e454-ba45-4b85-8205-f3bf777ded24/e634a15a-f15d-4adf-b316-d284e8f0875c" TargetMode="External"/><Relationship Id="rId914" Type="http://schemas.openxmlformats.org/officeDocument/2006/relationships/hyperlink" Target="https://fasih-sm.bps.go.id/app/assignment/fd68e454-ba45-4b85-8205-f3bf777ded24/f56a693f-bc64-4fa5-a3f8-3046a50119c5" TargetMode="External"/><Relationship Id="rId43" Type="http://schemas.openxmlformats.org/officeDocument/2006/relationships/hyperlink" Target="https://fasih-sm.bps.go.id/app/assignment/fd68e454-ba45-4b85-8205-f3bf777ded24/de8cb384-e59d-491d-a65e-cd6e86e3a70a" TargetMode="External"/><Relationship Id="rId192" Type="http://schemas.openxmlformats.org/officeDocument/2006/relationships/hyperlink" Target="https://fasih-sm.bps.go.id/app/assignment/fd68e454-ba45-4b85-8205-f3bf777ded24/e8f0aa04-a498-479b-ab72-fc13768c30fb" TargetMode="External"/><Relationship Id="rId497" Type="http://schemas.openxmlformats.org/officeDocument/2006/relationships/hyperlink" Target="https://fasih-sm.bps.go.id/app/assignment/fd68e454-ba45-4b85-8205-f3bf777ded24/5ca8c0e8-8ce3-4a79-aec6-793fcb9741e6" TargetMode="External"/><Relationship Id="rId357" Type="http://schemas.openxmlformats.org/officeDocument/2006/relationships/hyperlink" Target="https://fasih-sm.bps.go.id/app/assignment/fd68e454-ba45-4b85-8205-f3bf777ded24/f62aac2f-ae8a-43df-bfe1-db15f85c46d1" TargetMode="External"/><Relationship Id="rId217" Type="http://schemas.openxmlformats.org/officeDocument/2006/relationships/hyperlink" Target="https://fasih-sm.bps.go.id/app/assignment/fd68e454-ba45-4b85-8205-f3bf777ded24/eaaa7032-73b5-4790-9c63-4d9e991a0d0b" TargetMode="External"/><Relationship Id="rId564" Type="http://schemas.openxmlformats.org/officeDocument/2006/relationships/hyperlink" Target="https://fasih-sm.bps.go.id/app/assignment/fd68e454-ba45-4b85-8205-f3bf777ded24/8d68ae25-1a27-4bad-af66-9ef9e64a3fba" TargetMode="External"/><Relationship Id="rId771" Type="http://schemas.openxmlformats.org/officeDocument/2006/relationships/hyperlink" Target="https://fasih-sm.bps.go.id/app/assignment/fd68e454-ba45-4b85-8205-f3bf777ded24/e98fde0e-2dcf-4b79-88f0-80dd9f83f868" TargetMode="External"/><Relationship Id="rId869" Type="http://schemas.openxmlformats.org/officeDocument/2006/relationships/hyperlink" Target="https://fasih-sm.bps.go.id/app/assignment/fd68e454-ba45-4b85-8205-f3bf777ded24/f1118d91-c147-47b9-9154-4d4ef25ede38" TargetMode="External"/><Relationship Id="rId424" Type="http://schemas.openxmlformats.org/officeDocument/2006/relationships/hyperlink" Target="https://fasih-sm.bps.go.id/app/assignment/fd68e454-ba45-4b85-8205-f3bf777ded24/fc8643cd-9c30-44ff-8882-0f1cf88738ee" TargetMode="External"/><Relationship Id="rId631" Type="http://schemas.openxmlformats.org/officeDocument/2006/relationships/hyperlink" Target="https://fasih-sm.bps.go.id/app/assignment/fd68e454-ba45-4b85-8205-f3bf777ded24/dfd58217-31d8-492e-9751-29d886f0265b" TargetMode="External"/><Relationship Id="rId729" Type="http://schemas.openxmlformats.org/officeDocument/2006/relationships/hyperlink" Target="https://fasih-sm.bps.go.id/app/assignment/fd68e454-ba45-4b85-8205-f3bf777ded24/e74a781b-bbe1-4009-bdfb-8eae96dc4ff6" TargetMode="External"/><Relationship Id="rId1054" Type="http://schemas.openxmlformats.org/officeDocument/2006/relationships/hyperlink" Target="https://fasih-sm.bps.go.id/app/assignment/fd68e454-ba45-4b85-8205-f3bf777ded24/18dbe402-17d3-443d-95c0-bd2095b3da21" TargetMode="External"/><Relationship Id="rId936" Type="http://schemas.openxmlformats.org/officeDocument/2006/relationships/hyperlink" Target="https://fasih-sm.bps.go.id/app/assignment/fd68e454-ba45-4b85-8205-f3bf777ded24/f6a06079-bbd5-467c-99d4-1fac05043ad1" TargetMode="External"/><Relationship Id="rId1121" Type="http://schemas.openxmlformats.org/officeDocument/2006/relationships/hyperlink" Target="https://fasih-sm.bps.go.id/app/assignment/fd68e454-ba45-4b85-8205-f3bf777ded24/43ce2bbb-1bb2-4999-8387-1e86281b0614" TargetMode="External"/><Relationship Id="rId65" Type="http://schemas.openxmlformats.org/officeDocument/2006/relationships/hyperlink" Target="https://fasih-sm.bps.go.id/app/assignment/fd68e454-ba45-4b85-8205-f3bf777ded24/e01635ab-3d9d-4b7c-9782-802d05cddb39" TargetMode="External"/><Relationship Id="rId281" Type="http://schemas.openxmlformats.org/officeDocument/2006/relationships/hyperlink" Target="https://fasih-sm.bps.go.id/app/assignment/fd68e454-ba45-4b85-8205-f3bf777ded24/ef99d7b6-ddad-4c45-ad5d-56558cb512c7" TargetMode="External"/><Relationship Id="rId141" Type="http://schemas.openxmlformats.org/officeDocument/2006/relationships/hyperlink" Target="https://fasih-sm.bps.go.id/app/assignment/fd68e454-ba45-4b85-8205-f3bf777ded24/e67f9c8d-ef22-4d2e-83f8-e9a216161d26" TargetMode="External"/><Relationship Id="rId379" Type="http://schemas.openxmlformats.org/officeDocument/2006/relationships/hyperlink" Target="https://fasih-sm.bps.go.id/app/assignment/fd68e454-ba45-4b85-8205-f3bf777ded24/f8254ae9-58da-45df-be92-81c49be9f88c" TargetMode="External"/><Relationship Id="rId586" Type="http://schemas.openxmlformats.org/officeDocument/2006/relationships/hyperlink" Target="https://fasih-sm.bps.go.id/app/assignment/fd68e454-ba45-4b85-8205-f3bf777ded24/dc83cf61-fac9-43e7-bd81-4875174022e3" TargetMode="External"/><Relationship Id="rId793" Type="http://schemas.openxmlformats.org/officeDocument/2006/relationships/hyperlink" Target="https://fasih-sm.bps.go.id/app/assignment/fd68e454-ba45-4b85-8205-f3bf777ded24/eb1e9b3b-5111-40f4-adb1-6aa41e6b23d1" TargetMode="External"/><Relationship Id="rId7" Type="http://schemas.openxmlformats.org/officeDocument/2006/relationships/hyperlink" Target="https://fasih-sm.bps.go.id/app/assignment/fd68e454-ba45-4b85-8205-f3bf777ded24/db75a822-2b44-45ff-8905-7dbdaeee79fa" TargetMode="External"/><Relationship Id="rId239" Type="http://schemas.openxmlformats.org/officeDocument/2006/relationships/hyperlink" Target="https://fasih-sm.bps.go.id/app/assignment/fd68e454-ba45-4b85-8205-f3bf777ded24/ec42714f-1840-45d7-91d0-861072f16be5" TargetMode="External"/><Relationship Id="rId446" Type="http://schemas.openxmlformats.org/officeDocument/2006/relationships/hyperlink" Target="https://fasih-sm.bps.go.id/app/assignment/fd68e454-ba45-4b85-8205-f3bf777ded24/fe32d362-bffd-4349-9736-f39451b38dae" TargetMode="External"/><Relationship Id="rId653" Type="http://schemas.openxmlformats.org/officeDocument/2006/relationships/hyperlink" Target="https://fasih-sm.bps.go.id/app/assignment/fd68e454-ba45-4b85-8205-f3bf777ded24/e1e3698e-4c5f-47a1-9372-e5512dd8a7b1" TargetMode="External"/><Relationship Id="rId1076" Type="http://schemas.openxmlformats.org/officeDocument/2006/relationships/hyperlink" Target="https://fasih-sm.bps.go.id/app/assignment/fd68e454-ba45-4b85-8205-f3bf777ded24/663feee6-9e41-4f6a-9e1a-9f86212c21ef" TargetMode="External"/><Relationship Id="rId306" Type="http://schemas.openxmlformats.org/officeDocument/2006/relationships/hyperlink" Target="https://fasih-sm.bps.go.id/app/assignment/fd68e454-ba45-4b85-8205-f3bf777ded24/f1b55c2f-7e9a-4297-ae10-ae5e0d1274b5" TargetMode="External"/><Relationship Id="rId860" Type="http://schemas.openxmlformats.org/officeDocument/2006/relationships/hyperlink" Target="https://fasih-sm.bps.go.id/app/assignment/fd68e454-ba45-4b85-8205-f3bf777ded24/f0251a9a-d7b3-4ba0-91bd-7cde3207bbd0" TargetMode="External"/><Relationship Id="rId958" Type="http://schemas.openxmlformats.org/officeDocument/2006/relationships/hyperlink" Target="https://fasih-sm.bps.go.id/app/assignment/fd68e454-ba45-4b85-8205-f3bf777ded24/f8d10189-c03c-43cc-85ff-27478bc62aa0" TargetMode="External"/><Relationship Id="rId87" Type="http://schemas.openxmlformats.org/officeDocument/2006/relationships/hyperlink" Target="https://fasih-sm.bps.go.id/app/assignment/fd68e454-ba45-4b85-8205-f3bf777ded24/e229e677-06f4-4261-82d2-e25172cbc0fd" TargetMode="External"/><Relationship Id="rId513" Type="http://schemas.openxmlformats.org/officeDocument/2006/relationships/hyperlink" Target="https://fasih-sm.bps.go.id/app/assignment/fd68e454-ba45-4b85-8205-f3bf777ded24/857d01d2-00d5-4ad9-a231-3b6aa78db49b" TargetMode="External"/><Relationship Id="rId720" Type="http://schemas.openxmlformats.org/officeDocument/2006/relationships/hyperlink" Target="https://fasih-sm.bps.go.id/app/assignment/fd68e454-ba45-4b85-8205-f3bf777ded24/e6ec1e36-0c79-4c9d-9cec-90fdb74b5162" TargetMode="External"/><Relationship Id="rId818" Type="http://schemas.openxmlformats.org/officeDocument/2006/relationships/hyperlink" Target="https://fasih-sm.bps.go.id/app/assignment/fd68e454-ba45-4b85-8205-f3bf777ded24/ed049ce8-b9ed-45a4-9963-9bfc0765a203" TargetMode="External"/><Relationship Id="rId1003" Type="http://schemas.openxmlformats.org/officeDocument/2006/relationships/hyperlink" Target="https://fasih-sm.bps.go.id/app/assignment/fd68e454-ba45-4b85-8205-f3bf777ded24/fd02890b-c155-442f-884e-aead480c987f" TargetMode="External"/><Relationship Id="rId14" Type="http://schemas.openxmlformats.org/officeDocument/2006/relationships/hyperlink" Target="https://fasih-sm.bps.go.id/app/assignment/fd68e454-ba45-4b85-8205-f3bf777ded24/dc79a387-2be9-411b-ad04-b40e0060ca53" TargetMode="External"/><Relationship Id="rId163" Type="http://schemas.openxmlformats.org/officeDocument/2006/relationships/hyperlink" Target="https://fasih-sm.bps.go.id/app/assignment/fd68e454-ba45-4b85-8205-f3bf777ded24/e791428c-1e5b-41a9-a245-468b880f70c7" TargetMode="External"/><Relationship Id="rId370" Type="http://schemas.openxmlformats.org/officeDocument/2006/relationships/hyperlink" Target="https://fasih-sm.bps.go.id/app/assignment/fd68e454-ba45-4b85-8205-f3bf777ded24/f719ce96-3562-4aef-9da4-23a255623610" TargetMode="External"/><Relationship Id="rId230" Type="http://schemas.openxmlformats.org/officeDocument/2006/relationships/hyperlink" Target="https://fasih-sm.bps.go.id/app/assignment/fd68e454-ba45-4b85-8205-f3bf777ded24/eba86352-7668-43bc-a21a-ddacf676bfd4" TargetMode="External"/><Relationship Id="rId468" Type="http://schemas.openxmlformats.org/officeDocument/2006/relationships/hyperlink" Target="https://fasih-sm.bps.go.id/app/assignment/fd68e454-ba45-4b85-8205-f3bf777ded24/ffbfa51f-827b-4b39-a70e-cfc9cab50231" TargetMode="External"/><Relationship Id="rId675" Type="http://schemas.openxmlformats.org/officeDocument/2006/relationships/hyperlink" Target="https://fasih-sm.bps.go.id/app/assignment/fd68e454-ba45-4b85-8205-f3bf777ded24/e3511df3-fc44-4b1d-939b-3ed1d53086f4" TargetMode="External"/><Relationship Id="rId882" Type="http://schemas.openxmlformats.org/officeDocument/2006/relationships/hyperlink" Target="https://fasih-sm.bps.go.id/app/assignment/fd68e454-ba45-4b85-8205-f3bf777ded24/f2416fee-fe0b-49db-a5b5-6c9c08df77f7" TargetMode="External"/><Relationship Id="rId1098" Type="http://schemas.openxmlformats.org/officeDocument/2006/relationships/hyperlink" Target="https://fasih-sm.bps.go.id/app/assignment/fd68e454-ba45-4b85-8205-f3bf777ded24/b6103d31-94c2-4070-877a-bf3051f404eb" TargetMode="External"/><Relationship Id="rId328" Type="http://schemas.openxmlformats.org/officeDocument/2006/relationships/hyperlink" Target="https://fasih-sm.bps.go.id/app/assignment/fd68e454-ba45-4b85-8205-f3bf777ded24/f425ae67-b16c-4314-af88-54186c0aea9f" TargetMode="External"/><Relationship Id="rId535" Type="http://schemas.openxmlformats.org/officeDocument/2006/relationships/hyperlink" Target="https://fasih-sm.bps.go.id/app/assignment/fd68e454-ba45-4b85-8205-f3bf777ded24/d7de1f61-b18c-40b8-8fd7-2659f18aa86d" TargetMode="External"/><Relationship Id="rId742" Type="http://schemas.openxmlformats.org/officeDocument/2006/relationships/hyperlink" Target="https://fasih-sm.bps.go.id/app/assignment/fd68e454-ba45-4b85-8205-f3bf777ded24/e7f12a87-9c15-4e86-8fb1-a760c31002ad" TargetMode="External"/><Relationship Id="rId602" Type="http://schemas.openxmlformats.org/officeDocument/2006/relationships/hyperlink" Target="https://fasih-sm.bps.go.id/app/assignment/fd68e454-ba45-4b85-8205-f3bf777ded24/de0c00fb-4a8d-422a-8c4b-49ff331f61ab" TargetMode="External"/><Relationship Id="rId1025" Type="http://schemas.openxmlformats.org/officeDocument/2006/relationships/hyperlink" Target="https://fasih-sm.bps.go.id/app/assignment/fd68e454-ba45-4b85-8205-f3bf777ded24/feb0953d-0ea9-45ff-9551-3f4fcdb687d0" TargetMode="External"/><Relationship Id="rId907" Type="http://schemas.openxmlformats.org/officeDocument/2006/relationships/hyperlink" Target="https://fasih-sm.bps.go.id/app/assignment/fd68e454-ba45-4b85-8205-f3bf777ded24/f4d6de29-c8d1-41d8-bd42-af16657de059" TargetMode="External"/><Relationship Id="rId36" Type="http://schemas.openxmlformats.org/officeDocument/2006/relationships/hyperlink" Target="https://fasih-sm.bps.go.id/app/assignment/fd68e454-ba45-4b85-8205-f3bf777ded24/de2de3f0-6f7e-4804-a779-6a207c07ddac" TargetMode="External"/><Relationship Id="rId101" Type="http://schemas.openxmlformats.org/officeDocument/2006/relationships/hyperlink" Target="https://fasih-sm.bps.go.id/app/assignment/fd68e454-ba45-4b85-8205-f3bf777ded24/e326c8b1-7104-4174-8701-d4279ff4a3f9" TargetMode="External"/><Relationship Id="rId185" Type="http://schemas.openxmlformats.org/officeDocument/2006/relationships/hyperlink" Target="https://fasih-sm.bps.go.id/app/assignment/fd68e454-ba45-4b85-8205-f3bf777ded24/e8b9a724-71c2-42c9-918f-f721698f87f9" TargetMode="External"/><Relationship Id="rId406" Type="http://schemas.openxmlformats.org/officeDocument/2006/relationships/hyperlink" Target="https://fasih-sm.bps.go.id/app/assignment/fd68e454-ba45-4b85-8205-f3bf777ded24/fad3676e-3766-4788-bbec-db3f1a6c706a" TargetMode="External"/><Relationship Id="rId960" Type="http://schemas.openxmlformats.org/officeDocument/2006/relationships/hyperlink" Target="https://fasih-sm.bps.go.id/app/assignment/fd68e454-ba45-4b85-8205-f3bf777ded24/f8ebdbdc-5c60-4909-b270-20aee32f2e1d" TargetMode="External"/><Relationship Id="rId1036" Type="http://schemas.openxmlformats.org/officeDocument/2006/relationships/hyperlink" Target="https://fasih-sm.bps.go.id/app/assignment/fd68e454-ba45-4b85-8205-f3bf777ded24/ff6cbd1e-2129-47be-97a4-2059de91674c" TargetMode="External"/><Relationship Id="rId392" Type="http://schemas.openxmlformats.org/officeDocument/2006/relationships/hyperlink" Target="https://fasih-sm.bps.go.id/app/assignment/fd68e454-ba45-4b85-8205-f3bf777ded24/f9a7e514-337d-4801-837c-7909a0c0ee22" TargetMode="External"/><Relationship Id="rId613" Type="http://schemas.openxmlformats.org/officeDocument/2006/relationships/hyperlink" Target="https://fasih-sm.bps.go.id/app/assignment/fd68e454-ba45-4b85-8205-f3bf777ded24/de8a4956-622e-45b3-9aa9-b6081600060b" TargetMode="External"/><Relationship Id="rId697" Type="http://schemas.openxmlformats.org/officeDocument/2006/relationships/hyperlink" Target="https://fasih-sm.bps.go.id/app/assignment/fd68e454-ba45-4b85-8205-f3bf777ded24/e5ad439d-e4fc-403a-b403-a000a6b6f323" TargetMode="External"/><Relationship Id="rId820" Type="http://schemas.openxmlformats.org/officeDocument/2006/relationships/hyperlink" Target="https://fasih-sm.bps.go.id/app/assignment/fd68e454-ba45-4b85-8205-f3bf777ded24/ed26d478-c1d9-417f-8a82-31da0629f647" TargetMode="External"/><Relationship Id="rId918" Type="http://schemas.openxmlformats.org/officeDocument/2006/relationships/hyperlink" Target="https://fasih-sm.bps.go.id/app/assignment/fd68e454-ba45-4b85-8205-f3bf777ded24/f5d764e8-e291-483a-ae6e-30ff68929a89" TargetMode="External"/><Relationship Id="rId252" Type="http://schemas.openxmlformats.org/officeDocument/2006/relationships/hyperlink" Target="https://fasih-sm.bps.go.id/app/assignment/fd68e454-ba45-4b85-8205-f3bf777ded24/ed7c69df-51df-40f2-8461-61aade7da53f" TargetMode="External"/><Relationship Id="rId1103" Type="http://schemas.openxmlformats.org/officeDocument/2006/relationships/hyperlink" Target="https://fasih-sm.bps.go.id/app/assignment/fd68e454-ba45-4b85-8205-f3bf777ded24/ce75b1ce-a743-4a9a-a600-8f51f7686e61" TargetMode="External"/><Relationship Id="rId47" Type="http://schemas.openxmlformats.org/officeDocument/2006/relationships/hyperlink" Target="https://fasih-sm.bps.go.id/app/assignment/fd68e454-ba45-4b85-8205-f3bf777ded24/debfa10d-38ea-425c-a3d6-90690880f78c" TargetMode="External"/><Relationship Id="rId112" Type="http://schemas.openxmlformats.org/officeDocument/2006/relationships/hyperlink" Target="https://fasih-sm.bps.go.id/app/assignment/fd68e454-ba45-4b85-8205-f3bf777ded24/e4772494-4797-485a-98ab-d07973f8d354" TargetMode="External"/><Relationship Id="rId557" Type="http://schemas.openxmlformats.org/officeDocument/2006/relationships/hyperlink" Target="https://fasih-sm.bps.go.id/app/assignment/fd68e454-ba45-4b85-8205-f3bf777ded24/626f0d8a-2eb7-4283-865e-d9467e047b79" TargetMode="External"/><Relationship Id="rId764" Type="http://schemas.openxmlformats.org/officeDocument/2006/relationships/hyperlink" Target="https://fasih-sm.bps.go.id/app/assignment/fd68e454-ba45-4b85-8205-f3bf777ded24/e8fce74f-89f9-4b16-a132-3257a6365f9d" TargetMode="External"/><Relationship Id="rId971" Type="http://schemas.openxmlformats.org/officeDocument/2006/relationships/hyperlink" Target="https://fasih-sm.bps.go.id/app/assignment/fd68e454-ba45-4b85-8205-f3bf777ded24/fa77a54f-7043-427c-9373-f3f28c31f467" TargetMode="External"/><Relationship Id="rId196" Type="http://schemas.openxmlformats.org/officeDocument/2006/relationships/hyperlink" Target="https://fasih-sm.bps.go.id/app/assignment/fd68e454-ba45-4b85-8205-f3bf777ded24/e94411d8-09f0-4027-8782-67ffdac81e26" TargetMode="External"/><Relationship Id="rId417" Type="http://schemas.openxmlformats.org/officeDocument/2006/relationships/hyperlink" Target="https://fasih-sm.bps.go.id/app/assignment/fd68e454-ba45-4b85-8205-f3bf777ded24/fc08a600-25e9-4521-a76c-42938889913a" TargetMode="External"/><Relationship Id="rId624" Type="http://schemas.openxmlformats.org/officeDocument/2006/relationships/hyperlink" Target="https://fasih-sm.bps.go.id/app/assignment/fd68e454-ba45-4b85-8205-f3bf777ded24/df215d00-b3cf-41e1-afba-d46fce31382e" TargetMode="External"/><Relationship Id="rId831" Type="http://schemas.openxmlformats.org/officeDocument/2006/relationships/hyperlink" Target="https://fasih-sm.bps.go.id/app/assignment/fd68e454-ba45-4b85-8205-f3bf777ded24/edf31ded-7098-4013-8f58-a65f10210c9a" TargetMode="External"/><Relationship Id="rId1047" Type="http://schemas.openxmlformats.org/officeDocument/2006/relationships/hyperlink" Target="https://fasih-sm.bps.go.id/app/assignment/fd68e454-ba45-4b85-8205-f3bf777ded24/9d7cd246-df91-484e-98f0-570a43aaf1cb" TargetMode="External"/><Relationship Id="rId263" Type="http://schemas.openxmlformats.org/officeDocument/2006/relationships/hyperlink" Target="https://fasih-sm.bps.go.id/app/assignment/fd68e454-ba45-4b85-8205-f3bf777ded24/ee02ed5a-3609-434b-b002-e10373bec889" TargetMode="External"/><Relationship Id="rId470" Type="http://schemas.openxmlformats.org/officeDocument/2006/relationships/hyperlink" Target="https://fasih-sm.bps.go.id/app/assignment/fd68e454-ba45-4b85-8205-f3bf777ded24/70e62aea-100a-4e20-beb7-42ca06268b71" TargetMode="External"/><Relationship Id="rId929" Type="http://schemas.openxmlformats.org/officeDocument/2006/relationships/hyperlink" Target="https://fasih-sm.bps.go.id/app/assignment/fd68e454-ba45-4b85-8205-f3bf777ded24/f6303ef6-b12d-4720-b670-8055046b48eb" TargetMode="External"/><Relationship Id="rId1114" Type="http://schemas.openxmlformats.org/officeDocument/2006/relationships/hyperlink" Target="https://fasih-sm.bps.go.id/app/assignment/fd68e454-ba45-4b85-8205-f3bf777ded24/c283add2-6c8b-4e00-947a-8bb64b2dd6df" TargetMode="External"/><Relationship Id="rId58" Type="http://schemas.openxmlformats.org/officeDocument/2006/relationships/hyperlink" Target="https://fasih-sm.bps.go.id/app/assignment/fd68e454-ba45-4b85-8205-f3bf777ded24/dfbdf316-0b1f-4e15-a95f-fcbde0d3a2ea" TargetMode="External"/><Relationship Id="rId123" Type="http://schemas.openxmlformats.org/officeDocument/2006/relationships/hyperlink" Target="https://fasih-sm.bps.go.id/app/assignment/fd68e454-ba45-4b85-8205-f3bf777ded24/e575aab3-6abb-4d4a-bfee-d8baa5342b31" TargetMode="External"/><Relationship Id="rId330" Type="http://schemas.openxmlformats.org/officeDocument/2006/relationships/hyperlink" Target="https://fasih-sm.bps.go.id/app/assignment/fd68e454-ba45-4b85-8205-f3bf777ded24/f4500536-e6cc-4d1f-8b95-2fbb422b5e78" TargetMode="External"/><Relationship Id="rId568" Type="http://schemas.openxmlformats.org/officeDocument/2006/relationships/hyperlink" Target="https://fasih-sm.bps.go.id/app/assignment/fd68e454-ba45-4b85-8205-f3bf777ded24/a25938d0-69c3-4dcd-9ac3-ed66fcc25fc4" TargetMode="External"/><Relationship Id="rId775" Type="http://schemas.openxmlformats.org/officeDocument/2006/relationships/hyperlink" Target="https://fasih-sm.bps.go.id/app/assignment/fd68e454-ba45-4b85-8205-f3bf777ded24/ea0d3577-33f1-4d24-b387-9146a31044ba" TargetMode="External"/><Relationship Id="rId982" Type="http://schemas.openxmlformats.org/officeDocument/2006/relationships/hyperlink" Target="https://fasih-sm.bps.go.id/app/assignment/fd68e454-ba45-4b85-8205-f3bf777ded24/fb450bfa-927e-441a-be97-f34cbaac93e4" TargetMode="External"/><Relationship Id="rId428" Type="http://schemas.openxmlformats.org/officeDocument/2006/relationships/hyperlink" Target="https://fasih-sm.bps.go.id/app/assignment/fd68e454-ba45-4b85-8205-f3bf777ded24/fcd72b18-a386-4561-9da3-f25fbbbdb939" TargetMode="External"/><Relationship Id="rId635" Type="http://schemas.openxmlformats.org/officeDocument/2006/relationships/hyperlink" Target="https://fasih-sm.bps.go.id/app/assignment/fd68e454-ba45-4b85-8205-f3bf777ded24/e003be48-f3e9-4278-ab7e-47b6bc5fc8b5" TargetMode="External"/><Relationship Id="rId842" Type="http://schemas.openxmlformats.org/officeDocument/2006/relationships/hyperlink" Target="https://fasih-sm.bps.go.id/app/assignment/fd68e454-ba45-4b85-8205-f3bf777ded24/eeb4ebaf-8c2f-4768-b2a6-8050b6c39eb7" TargetMode="External"/><Relationship Id="rId1058" Type="http://schemas.openxmlformats.org/officeDocument/2006/relationships/hyperlink" Target="https://fasih-sm.bps.go.id/app/assignment/fd68e454-ba45-4b85-8205-f3bf777ded24/1e73c893-481d-46a3-ad29-d8f8e8f7161f" TargetMode="External"/><Relationship Id="rId274" Type="http://schemas.openxmlformats.org/officeDocument/2006/relationships/hyperlink" Target="https://fasih-sm.bps.go.id/app/assignment/fd68e454-ba45-4b85-8205-f3bf777ded24/ef0dbcd7-411a-43e3-bd4d-7ab713698f54" TargetMode="External"/><Relationship Id="rId481" Type="http://schemas.openxmlformats.org/officeDocument/2006/relationships/hyperlink" Target="https://fasih-sm.bps.go.id/app/assignment/fd68e454-ba45-4b85-8205-f3bf777ded24/04e7a0a0-a4e9-408b-a506-8439efab8c09" TargetMode="External"/><Relationship Id="rId702" Type="http://schemas.openxmlformats.org/officeDocument/2006/relationships/hyperlink" Target="https://fasih-sm.bps.go.id/app/assignment/fd68e454-ba45-4b85-8205-f3bf777ded24/e60e43f8-cccb-4385-8745-620d35ff9197" TargetMode="External"/><Relationship Id="rId1125" Type="http://schemas.openxmlformats.org/officeDocument/2006/relationships/hyperlink" Target="https://fasih-sm.bps.go.id/app/assignment/fd68e454-ba45-4b85-8205-f3bf777ded24/5d4b379f-3721-4dcd-8276-21e25b2b7623" TargetMode="External"/><Relationship Id="rId69" Type="http://schemas.openxmlformats.org/officeDocument/2006/relationships/hyperlink" Target="https://fasih-sm.bps.go.id/app/assignment/fd68e454-ba45-4b85-8205-f3bf777ded24/e078b223-316b-403b-ac2f-80214bb1a3b3" TargetMode="External"/><Relationship Id="rId134" Type="http://schemas.openxmlformats.org/officeDocument/2006/relationships/hyperlink" Target="https://fasih-sm.bps.go.id/app/assignment/fd68e454-ba45-4b85-8205-f3bf777ded24/e6225972-f229-4a0f-8384-ce86de33c24c" TargetMode="External"/><Relationship Id="rId579" Type="http://schemas.openxmlformats.org/officeDocument/2006/relationships/hyperlink" Target="https://fasih-sm.bps.go.id/app/assignment/fd68e454-ba45-4b85-8205-f3bf777ded24/db8428f8-3fb9-4ebf-803f-88a2fb4a7085" TargetMode="External"/><Relationship Id="rId786" Type="http://schemas.openxmlformats.org/officeDocument/2006/relationships/hyperlink" Target="https://fasih-sm.bps.go.id/app/assignment/fd68e454-ba45-4b85-8205-f3bf777ded24/ea90256e-7e47-4334-b752-1d02293ed81a" TargetMode="External"/><Relationship Id="rId993" Type="http://schemas.openxmlformats.org/officeDocument/2006/relationships/hyperlink" Target="https://fasih-sm.bps.go.id/app/assignment/fd68e454-ba45-4b85-8205-f3bf777ded24/fc612093-6639-4114-b709-20c54d41e1f4" TargetMode="External"/><Relationship Id="rId341" Type="http://schemas.openxmlformats.org/officeDocument/2006/relationships/hyperlink" Target="https://fasih-sm.bps.go.id/app/assignment/fd68e454-ba45-4b85-8205-f3bf777ded24/f54acfb0-08da-448b-8b28-e2fefe11bb3c" TargetMode="External"/><Relationship Id="rId439" Type="http://schemas.openxmlformats.org/officeDocument/2006/relationships/hyperlink" Target="https://fasih-sm.bps.go.id/app/assignment/fd68e454-ba45-4b85-8205-f3bf777ded24/fd702535-cd26-42c8-b1b9-cf08fde40310" TargetMode="External"/><Relationship Id="rId646" Type="http://schemas.openxmlformats.org/officeDocument/2006/relationships/hyperlink" Target="https://fasih-sm.bps.go.id/app/assignment/fd68e454-ba45-4b85-8205-f3bf777ded24/e0ddd687-755a-4b72-a936-2daec107ea56" TargetMode="External"/><Relationship Id="rId1069" Type="http://schemas.openxmlformats.org/officeDocument/2006/relationships/hyperlink" Target="https://fasih-sm.bps.go.id/app/assignment/fd68e454-ba45-4b85-8205-f3bf777ded24/5d7c2c39-c565-4b7d-93ee-6d5f42736bbc" TargetMode="External"/><Relationship Id="rId201" Type="http://schemas.openxmlformats.org/officeDocument/2006/relationships/hyperlink" Target="https://fasih-sm.bps.go.id/app/assignment/fd68e454-ba45-4b85-8205-f3bf777ded24/e9abd02e-8936-4d83-95c5-588e19f3e4a7" TargetMode="External"/><Relationship Id="rId285" Type="http://schemas.openxmlformats.org/officeDocument/2006/relationships/hyperlink" Target="https://fasih-sm.bps.go.id/app/assignment/fd68e454-ba45-4b85-8205-f3bf777ded24/eff64e7a-139b-48ea-b713-8a300c10f526" TargetMode="External"/><Relationship Id="rId506" Type="http://schemas.openxmlformats.org/officeDocument/2006/relationships/hyperlink" Target="https://fasih-sm.bps.go.id/app/assignment/fd68e454-ba45-4b85-8205-f3bf777ded24/6bafb3fd-e463-451e-81d5-a0c388e391ab" TargetMode="External"/><Relationship Id="rId853" Type="http://schemas.openxmlformats.org/officeDocument/2006/relationships/hyperlink" Target="https://fasih-sm.bps.go.id/app/assignment/fd68e454-ba45-4b85-8205-f3bf777ded24/efd47bdc-4ae3-41e9-8a6a-004bfee1da1d" TargetMode="External"/><Relationship Id="rId1136" Type="http://schemas.openxmlformats.org/officeDocument/2006/relationships/hyperlink" Target="https://fasih-sm.bps.go.id/app/assignment/fd68e454-ba45-4b85-8205-f3bf777ded24/90306955-cdd6-4cd6-aabb-3bc0effa76df" TargetMode="External"/><Relationship Id="rId492" Type="http://schemas.openxmlformats.org/officeDocument/2006/relationships/hyperlink" Target="https://fasih-sm.bps.go.id/app/assignment/fd68e454-ba45-4b85-8205-f3bf777ded24/3ed21529-f9c8-4112-ad50-36efb8977f95" TargetMode="External"/><Relationship Id="rId713" Type="http://schemas.openxmlformats.org/officeDocument/2006/relationships/hyperlink" Target="https://fasih-sm.bps.go.id/app/assignment/fd68e454-ba45-4b85-8205-f3bf777ded24/e6813b65-0a98-4ef1-8e9c-f3bcea6f245b" TargetMode="External"/><Relationship Id="rId797" Type="http://schemas.openxmlformats.org/officeDocument/2006/relationships/hyperlink" Target="https://fasih-sm.bps.go.id/app/assignment/fd68e454-ba45-4b85-8205-f3bf777ded24/eb627ea1-e7ff-4dfa-a871-7ab11b1ae934" TargetMode="External"/><Relationship Id="rId920" Type="http://schemas.openxmlformats.org/officeDocument/2006/relationships/hyperlink" Target="https://fasih-sm.bps.go.id/app/assignment/fd68e454-ba45-4b85-8205-f3bf777ded24/f5e31d01-47f2-45f9-af77-3b52c79e7857" TargetMode="External"/><Relationship Id="rId145" Type="http://schemas.openxmlformats.org/officeDocument/2006/relationships/hyperlink" Target="https://fasih-sm.bps.go.id/app/assignment/fd68e454-ba45-4b85-8205-f3bf777ded24/e6b905f8-f750-410d-a037-4a79ee69b1be" TargetMode="External"/><Relationship Id="rId352" Type="http://schemas.openxmlformats.org/officeDocument/2006/relationships/hyperlink" Target="https://fasih-sm.bps.go.id/app/assignment/fd68e454-ba45-4b85-8205-f3bf777ded24/f602cc30-4488-421b-8a6f-41a17325519e" TargetMode="External"/><Relationship Id="rId212" Type="http://schemas.openxmlformats.org/officeDocument/2006/relationships/hyperlink" Target="https://fasih-sm.bps.go.id/app/assignment/fd68e454-ba45-4b85-8205-f3bf777ded24/ea6ee646-91a2-4fe6-8412-710bd155042d" TargetMode="External"/><Relationship Id="rId657" Type="http://schemas.openxmlformats.org/officeDocument/2006/relationships/hyperlink" Target="https://fasih-sm.bps.go.id/app/assignment/fd68e454-ba45-4b85-8205-f3bf777ded24/e220b515-2497-46b6-9538-a395b07a869a" TargetMode="External"/><Relationship Id="rId864" Type="http://schemas.openxmlformats.org/officeDocument/2006/relationships/hyperlink" Target="https://fasih-sm.bps.go.id/app/assignment/fd68e454-ba45-4b85-8205-f3bf777ded24/f0c44fcd-c8bc-40cf-94f3-a4763f8ec34b" TargetMode="External"/><Relationship Id="rId296" Type="http://schemas.openxmlformats.org/officeDocument/2006/relationships/hyperlink" Target="https://fasih-sm.bps.go.id/app/assignment/fd68e454-ba45-4b85-8205-f3bf777ded24/f0ece0b1-735f-4434-844f-dab4c57e5a78" TargetMode="External"/><Relationship Id="rId517" Type="http://schemas.openxmlformats.org/officeDocument/2006/relationships/hyperlink" Target="https://fasih-sm.bps.go.id/app/assignment/fd68e454-ba45-4b85-8205-f3bf777ded24/90644c30-33b0-47b6-9104-644837ed59cf" TargetMode="External"/><Relationship Id="rId724" Type="http://schemas.openxmlformats.org/officeDocument/2006/relationships/hyperlink" Target="https://fasih-sm.bps.go.id/app/assignment/fd68e454-ba45-4b85-8205-f3bf777ded24/e7064545-28bb-4103-8212-191c0f3fe04f" TargetMode="External"/><Relationship Id="rId931" Type="http://schemas.openxmlformats.org/officeDocument/2006/relationships/hyperlink" Target="https://fasih-sm.bps.go.id/app/assignment/fd68e454-ba45-4b85-8205-f3bf777ded24/f63988cd-a37a-4a43-aacb-21bfd1af81a5" TargetMode="External"/><Relationship Id="rId60" Type="http://schemas.openxmlformats.org/officeDocument/2006/relationships/hyperlink" Target="https://fasih-sm.bps.go.id/app/assignment/fd68e454-ba45-4b85-8205-f3bf777ded24/dfd58217-31d8-492e-9751-29d886f0265b" TargetMode="External"/><Relationship Id="rId156" Type="http://schemas.openxmlformats.org/officeDocument/2006/relationships/hyperlink" Target="https://fasih-sm.bps.go.id/app/assignment/fd68e454-ba45-4b85-8205-f3bf777ded24/e7287b9c-dfdb-4216-a7bd-f31f8de904b8" TargetMode="External"/><Relationship Id="rId363" Type="http://schemas.openxmlformats.org/officeDocument/2006/relationships/hyperlink" Target="https://fasih-sm.bps.go.id/app/assignment/fd68e454-ba45-4b85-8205-f3bf777ded24/f6990f11-c672-4135-9e22-2cabaf118533" TargetMode="External"/><Relationship Id="rId570" Type="http://schemas.openxmlformats.org/officeDocument/2006/relationships/hyperlink" Target="https://fasih-sm.bps.go.id/app/assignment/fd68e454-ba45-4b85-8205-f3bf777ded24/b0211d85-4423-4774-9d77-88ee8387d5b3" TargetMode="External"/><Relationship Id="rId1007" Type="http://schemas.openxmlformats.org/officeDocument/2006/relationships/hyperlink" Target="https://fasih-sm.bps.go.id/app/assignment/fd68e454-ba45-4b85-8205-f3bf777ded24/fd5f12d2-5155-417c-8e4e-80f025aca40a" TargetMode="External"/><Relationship Id="rId223" Type="http://schemas.openxmlformats.org/officeDocument/2006/relationships/hyperlink" Target="https://fasih-sm.bps.go.id/app/assignment/fd68e454-ba45-4b85-8205-f3bf777ded24/eb2226b1-c82f-4855-b3c7-bfce3bfd4efa" TargetMode="External"/><Relationship Id="rId430" Type="http://schemas.openxmlformats.org/officeDocument/2006/relationships/hyperlink" Target="https://fasih-sm.bps.go.id/app/assignment/fd68e454-ba45-4b85-8205-f3bf777ded24/fceb1ad1-ecf2-419c-8073-57a6cc609b73" TargetMode="External"/><Relationship Id="rId668" Type="http://schemas.openxmlformats.org/officeDocument/2006/relationships/hyperlink" Target="https://fasih-sm.bps.go.id/app/assignment/fd68e454-ba45-4b85-8205-f3bf777ded24/e2e8a158-b741-4099-be84-82174369fc4c" TargetMode="External"/><Relationship Id="rId875" Type="http://schemas.openxmlformats.org/officeDocument/2006/relationships/hyperlink" Target="https://fasih-sm.bps.go.id/app/assignment/fd68e454-ba45-4b85-8205-f3bf777ded24/f174a37f-90fb-4571-9c17-1b3d3d7dbd81" TargetMode="External"/><Relationship Id="rId1060" Type="http://schemas.openxmlformats.org/officeDocument/2006/relationships/hyperlink" Target="https://fasih-sm.bps.go.id/app/assignment/fd68e454-ba45-4b85-8205-f3bf777ded24/27737230-cccb-4f2d-8b50-8ca8598d0142" TargetMode="External"/><Relationship Id="rId18" Type="http://schemas.openxmlformats.org/officeDocument/2006/relationships/hyperlink" Target="https://fasih-sm.bps.go.id/app/assignment/fd68e454-ba45-4b85-8205-f3bf777ded24/dccf0a22-ced4-4f2b-a775-2463dc4d9fc6" TargetMode="External"/><Relationship Id="rId528" Type="http://schemas.openxmlformats.org/officeDocument/2006/relationships/hyperlink" Target="https://fasih-sm.bps.go.id/app/assignment/fd68e454-ba45-4b85-8205-f3bf777ded24/bc7f01c1-f006-4737-b61d-73a2eeff6867" TargetMode="External"/><Relationship Id="rId735" Type="http://schemas.openxmlformats.org/officeDocument/2006/relationships/hyperlink" Target="https://fasih-sm.bps.go.id/app/assignment/fd68e454-ba45-4b85-8205-f3bf777ded24/e79da31c-7574-4b7d-8e89-241acaaf4c28" TargetMode="External"/><Relationship Id="rId942" Type="http://schemas.openxmlformats.org/officeDocument/2006/relationships/hyperlink" Target="https://fasih-sm.bps.go.id/app/assignment/fd68e454-ba45-4b85-8205-f3bf777ded24/f729a6e2-618f-4e79-a1bb-250dab1312d5" TargetMode="External"/><Relationship Id="rId167" Type="http://schemas.openxmlformats.org/officeDocument/2006/relationships/hyperlink" Target="https://fasih-sm.bps.go.id/app/assignment/fd68e454-ba45-4b85-8205-f3bf777ded24/e7bd13ff-172a-4aec-be3b-89333cd89e2f" TargetMode="External"/><Relationship Id="rId374" Type="http://schemas.openxmlformats.org/officeDocument/2006/relationships/hyperlink" Target="https://fasih-sm.bps.go.id/app/assignment/fd68e454-ba45-4b85-8205-f3bf777ded24/f7f41255-b5dc-42ea-bdf9-6855529b6dd1" TargetMode="External"/><Relationship Id="rId581" Type="http://schemas.openxmlformats.org/officeDocument/2006/relationships/hyperlink" Target="https://fasih-sm.bps.go.id/app/assignment/fd68e454-ba45-4b85-8205-f3bf777ded24/dc2f49f6-9501-4661-a127-d11da86343e2" TargetMode="External"/><Relationship Id="rId1018" Type="http://schemas.openxmlformats.org/officeDocument/2006/relationships/hyperlink" Target="https://fasih-sm.bps.go.id/app/assignment/fd68e454-ba45-4b85-8205-f3bf777ded24/fe4cb175-3d4c-4e0c-bde8-a30bc93bd1eb" TargetMode="External"/><Relationship Id="rId71" Type="http://schemas.openxmlformats.org/officeDocument/2006/relationships/hyperlink" Target="https://fasih-sm.bps.go.id/app/assignment/fd68e454-ba45-4b85-8205-f3bf777ded24/e0940408-4c68-43d8-bbd6-80efd90d8ad0" TargetMode="External"/><Relationship Id="rId234" Type="http://schemas.openxmlformats.org/officeDocument/2006/relationships/hyperlink" Target="https://fasih-sm.bps.go.id/app/assignment/fd68e454-ba45-4b85-8205-f3bf777ded24/ebf459fe-3f86-4fbd-b8d7-3f9edbbb49ea" TargetMode="External"/><Relationship Id="rId679" Type="http://schemas.openxmlformats.org/officeDocument/2006/relationships/hyperlink" Target="https://fasih-sm.bps.go.id/app/assignment/fd68e454-ba45-4b85-8205-f3bf777ded24/e39a4f03-6937-4631-a1f2-77c18399edf2" TargetMode="External"/><Relationship Id="rId802" Type="http://schemas.openxmlformats.org/officeDocument/2006/relationships/hyperlink" Target="https://fasih-sm.bps.go.id/app/assignment/fd68e454-ba45-4b85-8205-f3bf777ded24/ebc603cc-0eb9-4096-a411-4a0cead83a74" TargetMode="External"/><Relationship Id="rId886" Type="http://schemas.openxmlformats.org/officeDocument/2006/relationships/hyperlink" Target="https://fasih-sm.bps.go.id/app/assignment/fd68e454-ba45-4b85-8205-f3bf777ded24/f2d74255-07c7-4edf-b149-c849f0f725ea" TargetMode="External"/><Relationship Id="rId2" Type="http://schemas.openxmlformats.org/officeDocument/2006/relationships/hyperlink" Target="https://fasih-sm.bps.go.id/app/assignment/fd68e454-ba45-4b85-8205-f3bf777ded24/dacd1b8c-43f8-43da-90c5-913c4707b530" TargetMode="External"/><Relationship Id="rId29" Type="http://schemas.openxmlformats.org/officeDocument/2006/relationships/hyperlink" Target="https://fasih-sm.bps.go.id/app/assignment/fd68e454-ba45-4b85-8205-f3bf777ded24/ddd0edc6-f67e-4d15-8ed0-85e5d78d2a77" TargetMode="External"/><Relationship Id="rId441" Type="http://schemas.openxmlformats.org/officeDocument/2006/relationships/hyperlink" Target="https://fasih-sm.bps.go.id/app/assignment/fd68e454-ba45-4b85-8205-f3bf777ded24/fd82df47-eb63-4e7b-a12a-f9b68c987c01" TargetMode="External"/><Relationship Id="rId539" Type="http://schemas.openxmlformats.org/officeDocument/2006/relationships/hyperlink" Target="https://fasih-sm.bps.go.id/app/assignment/fd68e454-ba45-4b85-8205-f3bf777ded24/f1d28646-1c58-486a-bb07-d1e1f8eb8793" TargetMode="External"/><Relationship Id="rId746" Type="http://schemas.openxmlformats.org/officeDocument/2006/relationships/hyperlink" Target="https://fasih-sm.bps.go.id/app/assignment/fd68e454-ba45-4b85-8205-f3bf777ded24/e843cc46-ea98-4f27-8c0f-8e068cf62de5" TargetMode="External"/><Relationship Id="rId1071" Type="http://schemas.openxmlformats.org/officeDocument/2006/relationships/hyperlink" Target="https://fasih-sm.bps.go.id/app/assignment/fd68e454-ba45-4b85-8205-f3bf777ded24/61669ae3-da13-4013-8419-8cd2be1fc5c8" TargetMode="External"/><Relationship Id="rId178" Type="http://schemas.openxmlformats.org/officeDocument/2006/relationships/hyperlink" Target="https://fasih-sm.bps.go.id/app/assignment/fd68e454-ba45-4b85-8205-f3bf777ded24/e866e478-d5e6-45c7-b1b0-76597ada6b6d" TargetMode="External"/><Relationship Id="rId301" Type="http://schemas.openxmlformats.org/officeDocument/2006/relationships/hyperlink" Target="https://fasih-sm.bps.go.id/app/assignment/fd68e454-ba45-4b85-8205-f3bf777ded24/f14700d5-0268-4882-bdab-f294470dba99" TargetMode="External"/><Relationship Id="rId953" Type="http://schemas.openxmlformats.org/officeDocument/2006/relationships/hyperlink" Target="https://fasih-sm.bps.go.id/app/assignment/fd68e454-ba45-4b85-8205-f3bf777ded24/f8885e9a-829e-4fde-b085-12b21a423628" TargetMode="External"/><Relationship Id="rId1029" Type="http://schemas.openxmlformats.org/officeDocument/2006/relationships/hyperlink" Target="https://fasih-sm.bps.go.id/app/assignment/fd68e454-ba45-4b85-8205-f3bf777ded24/ff1eb27c-7899-4b23-abb1-24678a298a2b" TargetMode="External"/><Relationship Id="rId82" Type="http://schemas.openxmlformats.org/officeDocument/2006/relationships/hyperlink" Target="https://fasih-sm.bps.go.id/app/assignment/fd68e454-ba45-4b85-8205-f3bf777ded24/e1e3698e-4c5f-47a1-9372-e5512dd8a7b1" TargetMode="External"/><Relationship Id="rId385" Type="http://schemas.openxmlformats.org/officeDocument/2006/relationships/hyperlink" Target="https://fasih-sm.bps.go.id/app/assignment/fd68e454-ba45-4b85-8205-f3bf777ded24/f8aec111-9087-4bb7-aa2a-da60830e4f00" TargetMode="External"/><Relationship Id="rId592" Type="http://schemas.openxmlformats.org/officeDocument/2006/relationships/hyperlink" Target="https://fasih-sm.bps.go.id/app/assignment/fd68e454-ba45-4b85-8205-f3bf777ded24/dd0593c1-c545-4282-aa41-618535707b79" TargetMode="External"/><Relationship Id="rId606" Type="http://schemas.openxmlformats.org/officeDocument/2006/relationships/hyperlink" Target="https://fasih-sm.bps.go.id/app/assignment/fd68e454-ba45-4b85-8205-f3bf777ded24/de28dfda-0327-4424-8581-be9860f98853" TargetMode="External"/><Relationship Id="rId813" Type="http://schemas.openxmlformats.org/officeDocument/2006/relationships/hyperlink" Target="https://fasih-sm.bps.go.id/app/assignment/fd68e454-ba45-4b85-8205-f3bf777ded24/ec78f439-fd80-4f11-918e-a4a233d608dd" TargetMode="External"/><Relationship Id="rId245" Type="http://schemas.openxmlformats.org/officeDocument/2006/relationships/hyperlink" Target="https://fasih-sm.bps.go.id/app/assignment/fd68e454-ba45-4b85-8205-f3bf777ded24/ecde720a-28a1-4f0e-bfb7-764a9814a939" TargetMode="External"/><Relationship Id="rId452" Type="http://schemas.openxmlformats.org/officeDocument/2006/relationships/hyperlink" Target="https://fasih-sm.bps.go.id/app/assignment/fd68e454-ba45-4b85-8205-f3bf777ded24/fe87b5b1-a6b5-4688-8edb-fdf6d5f183de" TargetMode="External"/><Relationship Id="rId897" Type="http://schemas.openxmlformats.org/officeDocument/2006/relationships/hyperlink" Target="https://fasih-sm.bps.go.id/app/assignment/fd68e454-ba45-4b85-8205-f3bf777ded24/f3fd1317-d674-4b0f-bdf5-285ec1a65ac1" TargetMode="External"/><Relationship Id="rId1082" Type="http://schemas.openxmlformats.org/officeDocument/2006/relationships/hyperlink" Target="https://fasih-sm.bps.go.id/app/assignment/fd68e454-ba45-4b85-8205-f3bf777ded24/7cd97166-cc5d-4426-84a1-de05b638658f" TargetMode="External"/><Relationship Id="rId105" Type="http://schemas.openxmlformats.org/officeDocument/2006/relationships/hyperlink" Target="https://fasih-sm.bps.go.id/app/assignment/fd68e454-ba45-4b85-8205-f3bf777ded24/e35bbe28-70fb-4103-8664-21d61388ed6a" TargetMode="External"/><Relationship Id="rId312" Type="http://schemas.openxmlformats.org/officeDocument/2006/relationships/hyperlink" Target="https://fasih-sm.bps.go.id/app/assignment/fd68e454-ba45-4b85-8205-f3bf777ded24/f27258ad-987b-4470-a87e-c1361cd86d5f" TargetMode="External"/><Relationship Id="rId757" Type="http://schemas.openxmlformats.org/officeDocument/2006/relationships/hyperlink" Target="https://fasih-sm.bps.go.id/app/assignment/fd68e454-ba45-4b85-8205-f3bf777ded24/e8c0f6b8-1b83-470b-8415-3d0d6ac65559" TargetMode="External"/><Relationship Id="rId964" Type="http://schemas.openxmlformats.org/officeDocument/2006/relationships/hyperlink" Target="https://fasih-sm.bps.go.id/app/assignment/fd68e454-ba45-4b85-8205-f3bf777ded24/f9cf7c3e-95f1-46fb-b2d0-3d96cddb0bd1" TargetMode="External"/><Relationship Id="rId93" Type="http://schemas.openxmlformats.org/officeDocument/2006/relationships/hyperlink" Target="https://fasih-sm.bps.go.id/app/assignment/fd68e454-ba45-4b85-8205-f3bf777ded24/e29b7f5d-615f-4a76-8c35-3dac6e3c622e" TargetMode="External"/><Relationship Id="rId189" Type="http://schemas.openxmlformats.org/officeDocument/2006/relationships/hyperlink" Target="https://fasih-sm.bps.go.id/app/assignment/fd68e454-ba45-4b85-8205-f3bf777ded24/e8ddafd6-1679-4b83-bc42-b1cb30c64f1f" TargetMode="External"/><Relationship Id="rId396" Type="http://schemas.openxmlformats.org/officeDocument/2006/relationships/hyperlink" Target="https://fasih-sm.bps.go.id/app/assignment/fd68e454-ba45-4b85-8205-f3bf777ded24/fa0d5c03-ed97-453a-ab4d-072619f798eb" TargetMode="External"/><Relationship Id="rId617" Type="http://schemas.openxmlformats.org/officeDocument/2006/relationships/hyperlink" Target="https://fasih-sm.bps.go.id/app/assignment/fd68e454-ba45-4b85-8205-f3bf777ded24/deb72454-49d0-4a01-a9df-d85b1f128cfb" TargetMode="External"/><Relationship Id="rId824" Type="http://schemas.openxmlformats.org/officeDocument/2006/relationships/hyperlink" Target="https://fasih-sm.bps.go.id/app/assignment/fd68e454-ba45-4b85-8205-f3bf777ded24/ed8774a3-ae92-472c-9052-03726988d3f8" TargetMode="External"/><Relationship Id="rId256" Type="http://schemas.openxmlformats.org/officeDocument/2006/relationships/hyperlink" Target="https://fasih-sm.bps.go.id/app/assignment/fd68e454-ba45-4b85-8205-f3bf777ded24/eddc8c42-715e-4855-bacb-b9883aa678df" TargetMode="External"/><Relationship Id="rId463" Type="http://schemas.openxmlformats.org/officeDocument/2006/relationships/hyperlink" Target="https://fasih-sm.bps.go.id/app/assignment/fd68e454-ba45-4b85-8205-f3bf777ded24/ff6ae8ef-a2bd-499e-9740-e30629022c4d" TargetMode="External"/><Relationship Id="rId670" Type="http://schemas.openxmlformats.org/officeDocument/2006/relationships/hyperlink" Target="https://fasih-sm.bps.go.id/app/assignment/fd68e454-ba45-4b85-8205-f3bf777ded24/e3190bd4-2d37-423c-b518-7509c188b60f" TargetMode="External"/><Relationship Id="rId1093" Type="http://schemas.openxmlformats.org/officeDocument/2006/relationships/hyperlink" Target="https://fasih-sm.bps.go.id/app/assignment/fd68e454-ba45-4b85-8205-f3bf777ded24/9f6a90bd-c8f5-450c-8f70-7cd7b513618c" TargetMode="External"/><Relationship Id="rId1107" Type="http://schemas.openxmlformats.org/officeDocument/2006/relationships/hyperlink" Target="https://fasih-sm.bps.go.id/app/assignment/fd68e454-ba45-4b85-8205-f3bf777ded24/e3b5b1c8-4a2c-4f6e-b85a-87195d61c251" TargetMode="External"/><Relationship Id="rId116" Type="http://schemas.openxmlformats.org/officeDocument/2006/relationships/hyperlink" Target="https://fasih-sm.bps.go.id/app/assignment/fd68e454-ba45-4b85-8205-f3bf777ded24/e4d0c193-0aad-46d4-a99e-80366328d079" TargetMode="External"/><Relationship Id="rId323" Type="http://schemas.openxmlformats.org/officeDocument/2006/relationships/hyperlink" Target="https://fasih-sm.bps.go.id/app/assignment/fd68e454-ba45-4b85-8205-f3bf777ded24/f3cb1598-c7b5-4c04-86ab-c4c2d4304f5d" TargetMode="External"/><Relationship Id="rId530" Type="http://schemas.openxmlformats.org/officeDocument/2006/relationships/hyperlink" Target="https://fasih-sm.bps.go.id/app/assignment/fd68e454-ba45-4b85-8205-f3bf777ded24/c39da1c6-2ddb-4f20-a5fc-c03f4e456adb" TargetMode="External"/><Relationship Id="rId768" Type="http://schemas.openxmlformats.org/officeDocument/2006/relationships/hyperlink" Target="https://fasih-sm.bps.go.id/app/assignment/fd68e454-ba45-4b85-8205-f3bf777ded24/e9504973-9f08-4bd6-b729-46df0a31bdf6" TargetMode="External"/><Relationship Id="rId975" Type="http://schemas.openxmlformats.org/officeDocument/2006/relationships/hyperlink" Target="https://fasih-sm.bps.go.id/app/assignment/fd68e454-ba45-4b85-8205-f3bf777ded24/faba4bfd-1513-4db2-b634-1896714c912e" TargetMode="External"/><Relationship Id="rId20" Type="http://schemas.openxmlformats.org/officeDocument/2006/relationships/hyperlink" Target="https://fasih-sm.bps.go.id/app/assignment/fd68e454-ba45-4b85-8205-f3bf777ded24/dceeafe3-d000-429c-a79c-e5bee5a9f0f1" TargetMode="External"/><Relationship Id="rId628" Type="http://schemas.openxmlformats.org/officeDocument/2006/relationships/hyperlink" Target="https://fasih-sm.bps.go.id/app/assignment/fd68e454-ba45-4b85-8205-f3bf777ded24/df92ecea-533f-43f2-ae71-180debf3ba13" TargetMode="External"/><Relationship Id="rId835" Type="http://schemas.openxmlformats.org/officeDocument/2006/relationships/hyperlink" Target="https://fasih-sm.bps.go.id/app/assignment/fd68e454-ba45-4b85-8205-f3bf777ded24/ee0ef72d-dd15-4cef-9577-b7e62bd271ea" TargetMode="External"/><Relationship Id="rId267" Type="http://schemas.openxmlformats.org/officeDocument/2006/relationships/hyperlink" Target="https://fasih-sm.bps.go.id/app/assignment/fd68e454-ba45-4b85-8205-f3bf777ded24/ee96e9f3-7d99-4616-99a1-5a41be5c50be" TargetMode="External"/><Relationship Id="rId474" Type="http://schemas.openxmlformats.org/officeDocument/2006/relationships/hyperlink" Target="https://fasih-sm.bps.go.id/app/assignment/fd68e454-ba45-4b85-8205-f3bf777ded24/935cde56-cef6-4fcd-9597-286d3e766dbe" TargetMode="External"/><Relationship Id="rId1020" Type="http://schemas.openxmlformats.org/officeDocument/2006/relationships/hyperlink" Target="https://fasih-sm.bps.go.id/app/assignment/fd68e454-ba45-4b85-8205-f3bf777ded24/fe7acad4-43fe-47ef-ada7-809f590fa892" TargetMode="External"/><Relationship Id="rId1118" Type="http://schemas.openxmlformats.org/officeDocument/2006/relationships/hyperlink" Target="https://fasih-sm.bps.go.id/app/assignment/fd68e454-ba45-4b85-8205-f3bf777ded24/2cb7336f-4ec1-431a-9217-948e59031c74" TargetMode="External"/><Relationship Id="rId127" Type="http://schemas.openxmlformats.org/officeDocument/2006/relationships/hyperlink" Target="https://fasih-sm.bps.go.id/app/assignment/fd68e454-ba45-4b85-8205-f3bf777ded24/e5b6da09-1dfa-434d-aa97-7cf2e644b554" TargetMode="External"/><Relationship Id="rId681" Type="http://schemas.openxmlformats.org/officeDocument/2006/relationships/hyperlink" Target="https://fasih-sm.bps.go.id/app/assignment/fd68e454-ba45-4b85-8205-f3bf777ded24/e41c0b0c-f45a-4c8b-a152-c6e0aa1b78cd" TargetMode="External"/><Relationship Id="rId779" Type="http://schemas.openxmlformats.org/officeDocument/2006/relationships/hyperlink" Target="https://fasih-sm.bps.go.id/app/assignment/fd68e454-ba45-4b85-8205-f3bf777ded24/ea3d1c56-d378-4174-a9ad-e3cb21a8249f" TargetMode="External"/><Relationship Id="rId902" Type="http://schemas.openxmlformats.org/officeDocument/2006/relationships/hyperlink" Target="https://fasih-sm.bps.go.id/app/assignment/fd68e454-ba45-4b85-8205-f3bf777ded24/f4541a2c-18a1-4bc5-9b1b-0257cf455961" TargetMode="External"/><Relationship Id="rId986" Type="http://schemas.openxmlformats.org/officeDocument/2006/relationships/hyperlink" Target="https://fasih-sm.bps.go.id/app/assignment/fd68e454-ba45-4b85-8205-f3bf777ded24/fbdd3441-f281-48f2-9436-5e5716ffc628" TargetMode="External"/><Relationship Id="rId31" Type="http://schemas.openxmlformats.org/officeDocument/2006/relationships/hyperlink" Target="https://fasih-sm.bps.go.id/app/assignment/fd68e454-ba45-4b85-8205-f3bf777ded24/de0c00fb-4a8d-422a-8c4b-49ff331f61ab" TargetMode="External"/><Relationship Id="rId334" Type="http://schemas.openxmlformats.org/officeDocument/2006/relationships/hyperlink" Target="https://fasih-sm.bps.go.id/app/assignment/fd68e454-ba45-4b85-8205-f3bf777ded24/f4c042f0-49d6-48c3-899f-4feadae0e274" TargetMode="External"/><Relationship Id="rId541" Type="http://schemas.openxmlformats.org/officeDocument/2006/relationships/hyperlink" Target="https://fasih-sm.bps.go.id/app/assignment/fd68e454-ba45-4b85-8205-f3bf777ded24/9bf84321-3525-4582-9457-133e39762b8c" TargetMode="External"/><Relationship Id="rId639" Type="http://schemas.openxmlformats.org/officeDocument/2006/relationships/hyperlink" Target="https://fasih-sm.bps.go.id/app/assignment/fd68e454-ba45-4b85-8205-f3bf777ded24/e05b8105-f685-4c26-a78a-de58052d1f8b" TargetMode="External"/><Relationship Id="rId180" Type="http://schemas.openxmlformats.org/officeDocument/2006/relationships/hyperlink" Target="https://fasih-sm.bps.go.id/app/assignment/fd68e454-ba45-4b85-8205-f3bf777ded24/e86fa943-d584-48c0-8f09-497b4282c12d" TargetMode="External"/><Relationship Id="rId278" Type="http://schemas.openxmlformats.org/officeDocument/2006/relationships/hyperlink" Target="https://fasih-sm.bps.go.id/app/assignment/fd68e454-ba45-4b85-8205-f3bf777ded24/ef77e917-cd34-42d4-b844-d686fe75dfd3" TargetMode="External"/><Relationship Id="rId401" Type="http://schemas.openxmlformats.org/officeDocument/2006/relationships/hyperlink" Target="https://fasih-sm.bps.go.id/app/assignment/fd68e454-ba45-4b85-8205-f3bf777ded24/fa7f5e7e-9e54-46d4-8844-25bb08c4c1ef" TargetMode="External"/><Relationship Id="rId846" Type="http://schemas.openxmlformats.org/officeDocument/2006/relationships/hyperlink" Target="https://fasih-sm.bps.go.id/app/assignment/fd68e454-ba45-4b85-8205-f3bf777ded24/ef53eb73-a3c7-4d4b-a7f3-31afe51df91c" TargetMode="External"/><Relationship Id="rId1031" Type="http://schemas.openxmlformats.org/officeDocument/2006/relationships/hyperlink" Target="https://fasih-sm.bps.go.id/app/assignment/fd68e454-ba45-4b85-8205-f3bf777ded24/ff2b7ca3-dffa-474e-b758-e61e9f2ac769" TargetMode="External"/><Relationship Id="rId1129" Type="http://schemas.openxmlformats.org/officeDocument/2006/relationships/hyperlink" Target="https://fasih-sm.bps.go.id/app/assignment/fd68e454-ba45-4b85-8205-f3bf777ded24/64cb4485-eec5-4e4b-ae41-49df891b8437" TargetMode="External"/><Relationship Id="rId485" Type="http://schemas.openxmlformats.org/officeDocument/2006/relationships/hyperlink" Target="https://fasih-sm.bps.go.id/app/assignment/fd68e454-ba45-4b85-8205-f3bf777ded24/1cb0a392-cbf9-4f12-801a-6c28866185dc" TargetMode="External"/><Relationship Id="rId692" Type="http://schemas.openxmlformats.org/officeDocument/2006/relationships/hyperlink" Target="https://fasih-sm.bps.go.id/app/assignment/fd68e454-ba45-4b85-8205-f3bf777ded24/e5438864-ec86-439e-9479-3d67f67318d6" TargetMode="External"/><Relationship Id="rId706" Type="http://schemas.openxmlformats.org/officeDocument/2006/relationships/hyperlink" Target="https://fasih-sm.bps.go.id/app/assignment/fd68e454-ba45-4b85-8205-f3bf777ded24/e62469c8-ad16-4d79-a4d9-f6dbd7ffe494" TargetMode="External"/><Relationship Id="rId913" Type="http://schemas.openxmlformats.org/officeDocument/2006/relationships/hyperlink" Target="https://fasih-sm.bps.go.id/app/assignment/fd68e454-ba45-4b85-8205-f3bf777ded24/f55e7214-e2c0-4165-ae1d-a5cf3adcd8d8" TargetMode="External"/><Relationship Id="rId42" Type="http://schemas.openxmlformats.org/officeDocument/2006/relationships/hyperlink" Target="https://fasih-sm.bps.go.id/app/assignment/fd68e454-ba45-4b85-8205-f3bf777ded24/de8a4956-622e-45b3-9aa9-b6081600060b" TargetMode="External"/><Relationship Id="rId138" Type="http://schemas.openxmlformats.org/officeDocument/2006/relationships/hyperlink" Target="https://fasih-sm.bps.go.id/app/assignment/fd68e454-ba45-4b85-8205-f3bf777ded24/e6519768-bbcb-4f18-bd55-52600f66d3b3" TargetMode="External"/><Relationship Id="rId345" Type="http://schemas.openxmlformats.org/officeDocument/2006/relationships/hyperlink" Target="https://fasih-sm.bps.go.id/app/assignment/fd68e454-ba45-4b85-8205-f3bf777ded24/f58ba1da-c045-4e55-affe-fed774424964" TargetMode="External"/><Relationship Id="rId552" Type="http://schemas.openxmlformats.org/officeDocument/2006/relationships/hyperlink" Target="https://fasih-sm.bps.go.id/app/assignment/fd68e454-ba45-4b85-8205-f3bf777ded24/523e90b7-7e23-4372-b7a3-2b5c08c22442" TargetMode="External"/><Relationship Id="rId997" Type="http://schemas.openxmlformats.org/officeDocument/2006/relationships/hyperlink" Target="https://fasih-sm.bps.go.id/app/assignment/fd68e454-ba45-4b85-8205-f3bf777ded24/fc9b4a48-d0df-4aaa-959c-5a63fe6982bf" TargetMode="External"/><Relationship Id="rId191" Type="http://schemas.openxmlformats.org/officeDocument/2006/relationships/hyperlink" Target="https://fasih-sm.bps.go.id/app/assignment/fd68e454-ba45-4b85-8205-f3bf777ded24/e8e842cf-30d1-4872-aec7-49b8d3083805" TargetMode="External"/><Relationship Id="rId205" Type="http://schemas.openxmlformats.org/officeDocument/2006/relationships/hyperlink" Target="https://fasih-sm.bps.go.id/app/assignment/fd68e454-ba45-4b85-8205-f3bf777ded24/ea18bb93-5f9d-4378-b807-5d26fecf2ca8" TargetMode="External"/><Relationship Id="rId412" Type="http://schemas.openxmlformats.org/officeDocument/2006/relationships/hyperlink" Target="https://fasih-sm.bps.go.id/app/assignment/fd68e454-ba45-4b85-8205-f3bf777ded24/fb893d22-80b4-4644-a8d1-1f2fcd2d4cec" TargetMode="External"/><Relationship Id="rId857" Type="http://schemas.openxmlformats.org/officeDocument/2006/relationships/hyperlink" Target="https://fasih-sm.bps.go.id/app/assignment/fd68e454-ba45-4b85-8205-f3bf777ded24/f0058522-c69c-457e-9a25-af142254fc8f" TargetMode="External"/><Relationship Id="rId1042" Type="http://schemas.openxmlformats.org/officeDocument/2006/relationships/hyperlink" Target="https://fasih-sm.bps.go.id/app/assignment/fd68e454-ba45-4b85-8205-f3bf777ded24/73217d07-48f6-4c73-9952-b2bec3a9473d" TargetMode="External"/><Relationship Id="rId289" Type="http://schemas.openxmlformats.org/officeDocument/2006/relationships/hyperlink" Target="https://fasih-sm.bps.go.id/app/assignment/fd68e454-ba45-4b85-8205-f3bf777ded24/f0251a9a-d7b3-4ba0-91bd-7cde3207bbd0" TargetMode="External"/><Relationship Id="rId496" Type="http://schemas.openxmlformats.org/officeDocument/2006/relationships/hyperlink" Target="https://fasih-sm.bps.go.id/app/assignment/fd68e454-ba45-4b85-8205-f3bf777ded24/514ae7b8-21d7-4f2f-9a00-3ea8c19c6e9c" TargetMode="External"/><Relationship Id="rId717" Type="http://schemas.openxmlformats.org/officeDocument/2006/relationships/hyperlink" Target="https://fasih-sm.bps.go.id/app/assignment/fd68e454-ba45-4b85-8205-f3bf777ded24/e6c2cc6d-58b9-4699-ae71-87c8932b6c30" TargetMode="External"/><Relationship Id="rId924" Type="http://schemas.openxmlformats.org/officeDocument/2006/relationships/hyperlink" Target="https://fasih-sm.bps.go.id/app/assignment/fd68e454-ba45-4b85-8205-f3bf777ded24/f60636de-ea96-4c85-b913-c6f5d2605b74" TargetMode="External"/><Relationship Id="rId53" Type="http://schemas.openxmlformats.org/officeDocument/2006/relationships/hyperlink" Target="https://fasih-sm.bps.go.id/app/assignment/fd68e454-ba45-4b85-8205-f3bf777ded24/df215d00-b3cf-41e1-afba-d46fce31382e" TargetMode="External"/><Relationship Id="rId149" Type="http://schemas.openxmlformats.org/officeDocument/2006/relationships/hyperlink" Target="https://fasih-sm.bps.go.id/app/assignment/fd68e454-ba45-4b85-8205-f3bf777ded24/e6ec1e36-0c79-4c9d-9cec-90fdb74b5162" TargetMode="External"/><Relationship Id="rId356" Type="http://schemas.openxmlformats.org/officeDocument/2006/relationships/hyperlink" Target="https://fasih-sm.bps.go.id/app/assignment/fd68e454-ba45-4b85-8205-f3bf777ded24/f6292dbe-17f5-4267-abc3-419e1f4e77f9" TargetMode="External"/><Relationship Id="rId563" Type="http://schemas.openxmlformats.org/officeDocument/2006/relationships/hyperlink" Target="https://fasih-sm.bps.go.id/app/assignment/fd68e454-ba45-4b85-8205-f3bf777ded24/7f31cfef-9a23-41ec-bec8-68584bcedfd7" TargetMode="External"/><Relationship Id="rId770" Type="http://schemas.openxmlformats.org/officeDocument/2006/relationships/hyperlink" Target="https://fasih-sm.bps.go.id/app/assignment/fd68e454-ba45-4b85-8205-f3bf777ded24/e98f1806-71e2-482d-942d-4445d09daa6a" TargetMode="External"/><Relationship Id="rId216" Type="http://schemas.openxmlformats.org/officeDocument/2006/relationships/hyperlink" Target="https://fasih-sm.bps.go.id/app/assignment/fd68e454-ba45-4b85-8205-f3bf777ded24/eaa24589-6e8e-451b-9aeb-7f9107efd9d7" TargetMode="External"/><Relationship Id="rId423" Type="http://schemas.openxmlformats.org/officeDocument/2006/relationships/hyperlink" Target="https://fasih-sm.bps.go.id/app/assignment/fd68e454-ba45-4b85-8205-f3bf777ded24/fc703170-cee9-4546-878b-531ee21447ef" TargetMode="External"/><Relationship Id="rId868" Type="http://schemas.openxmlformats.org/officeDocument/2006/relationships/hyperlink" Target="https://fasih-sm.bps.go.id/app/assignment/fd68e454-ba45-4b85-8205-f3bf777ded24/f10c2042-eb08-4a63-bb1a-11d3c8c8ba17" TargetMode="External"/><Relationship Id="rId1053" Type="http://schemas.openxmlformats.org/officeDocument/2006/relationships/hyperlink" Target="https://fasih-sm.bps.go.id/app/assignment/fd68e454-ba45-4b85-8205-f3bf777ded24/17f0c767-b537-4da8-b746-258f8a5a3c5e" TargetMode="External"/><Relationship Id="rId630" Type="http://schemas.openxmlformats.org/officeDocument/2006/relationships/hyperlink" Target="https://fasih-sm.bps.go.id/app/assignment/fd68e454-ba45-4b85-8205-f3bf777ded24/dfcfc12e-429d-4055-9ac6-748539457ead" TargetMode="External"/><Relationship Id="rId728" Type="http://schemas.openxmlformats.org/officeDocument/2006/relationships/hyperlink" Target="https://fasih-sm.bps.go.id/app/assignment/fd68e454-ba45-4b85-8205-f3bf777ded24/e7418d2e-1395-4064-a5a7-8aa5104e0753" TargetMode="External"/><Relationship Id="rId935" Type="http://schemas.openxmlformats.org/officeDocument/2006/relationships/hyperlink" Target="https://fasih-sm.bps.go.id/app/assignment/fd68e454-ba45-4b85-8205-f3bf777ded24/f69d5a22-66ea-48ec-97b8-354cba3229af" TargetMode="External"/><Relationship Id="rId64" Type="http://schemas.openxmlformats.org/officeDocument/2006/relationships/hyperlink" Target="https://fasih-sm.bps.go.id/app/assignment/fd68e454-ba45-4b85-8205-f3bf777ded24/e003be48-f3e9-4278-ab7e-47b6bc5fc8b5" TargetMode="External"/><Relationship Id="rId367" Type="http://schemas.openxmlformats.org/officeDocument/2006/relationships/hyperlink" Target="https://fasih-sm.bps.go.id/app/assignment/fd68e454-ba45-4b85-8205-f3bf777ded24/f6ddd5c2-9226-404a-a392-79e84248a797" TargetMode="External"/><Relationship Id="rId574" Type="http://schemas.openxmlformats.org/officeDocument/2006/relationships/hyperlink" Target="https://fasih-sm.bps.go.id/app/assignment/fd68e454-ba45-4b85-8205-f3bf777ded24/daed60cf-ccba-4ea2-b30c-f4079a85817a" TargetMode="External"/><Relationship Id="rId1120" Type="http://schemas.openxmlformats.org/officeDocument/2006/relationships/hyperlink" Target="https://fasih-sm.bps.go.id/app/assignment/fd68e454-ba45-4b85-8205-f3bf777ded24/3df3f6cc-504c-4c3f-80e4-755f1c2ac782" TargetMode="External"/><Relationship Id="rId227" Type="http://schemas.openxmlformats.org/officeDocument/2006/relationships/hyperlink" Target="https://fasih-sm.bps.go.id/app/assignment/fd68e454-ba45-4b85-8205-f3bf777ded24/eb68fa7b-3890-4ae9-b057-3b7bb39bd589" TargetMode="External"/><Relationship Id="rId781" Type="http://schemas.openxmlformats.org/officeDocument/2006/relationships/hyperlink" Target="https://fasih-sm.bps.go.id/app/assignment/fd68e454-ba45-4b85-8205-f3bf777ded24/ea5e6a80-e630-46c4-a97f-30fee7869d01" TargetMode="External"/><Relationship Id="rId879" Type="http://schemas.openxmlformats.org/officeDocument/2006/relationships/hyperlink" Target="https://fasih-sm.bps.go.id/app/assignment/fd68e454-ba45-4b85-8205-f3bf777ded24/f1e7715e-5fca-43ca-b415-f14d3dbca552" TargetMode="External"/><Relationship Id="rId434" Type="http://schemas.openxmlformats.org/officeDocument/2006/relationships/hyperlink" Target="https://fasih-sm.bps.go.id/app/assignment/fd68e454-ba45-4b85-8205-f3bf777ded24/fd412c6e-c5b2-4eb7-b7a5-48126fe6102a" TargetMode="External"/><Relationship Id="rId641" Type="http://schemas.openxmlformats.org/officeDocument/2006/relationships/hyperlink" Target="https://fasih-sm.bps.go.id/app/assignment/fd68e454-ba45-4b85-8205-f3bf777ded24/e0846627-09e9-408e-b4e1-1ceed4c3076a" TargetMode="External"/><Relationship Id="rId739" Type="http://schemas.openxmlformats.org/officeDocument/2006/relationships/hyperlink" Target="https://fasih-sm.bps.go.id/app/assignment/fd68e454-ba45-4b85-8205-f3bf777ded24/e7ddfe35-0e4d-4275-ab2c-383f8a3ee4bf" TargetMode="External"/><Relationship Id="rId1064" Type="http://schemas.openxmlformats.org/officeDocument/2006/relationships/hyperlink" Target="https://fasih-sm.bps.go.id/app/assignment/fd68e454-ba45-4b85-8205-f3bf777ded24/3f8ebe7c-3557-4b54-833a-3f2edc159ee2" TargetMode="External"/><Relationship Id="rId280" Type="http://schemas.openxmlformats.org/officeDocument/2006/relationships/hyperlink" Target="https://fasih-sm.bps.go.id/app/assignment/fd68e454-ba45-4b85-8205-f3bf777ded24/ef910fe2-7293-4949-8702-30a8ef70303b" TargetMode="External"/><Relationship Id="rId501" Type="http://schemas.openxmlformats.org/officeDocument/2006/relationships/hyperlink" Target="https://fasih-sm.bps.go.id/app/assignment/fd68e454-ba45-4b85-8205-f3bf777ded24/634b8faf-9028-4a28-b85a-1f89ed53e75f" TargetMode="External"/><Relationship Id="rId946" Type="http://schemas.openxmlformats.org/officeDocument/2006/relationships/hyperlink" Target="https://fasih-sm.bps.go.id/app/assignment/fd68e454-ba45-4b85-8205-f3bf777ded24/f7fb10ed-5d6a-4879-934a-777d22a6f052" TargetMode="External"/><Relationship Id="rId1131" Type="http://schemas.openxmlformats.org/officeDocument/2006/relationships/hyperlink" Target="https://fasih-sm.bps.go.id/app/assignment/fd68e454-ba45-4b85-8205-f3bf777ded24/6ab3f9ce-c905-4223-8873-73e4f1158ba7" TargetMode="External"/><Relationship Id="rId75" Type="http://schemas.openxmlformats.org/officeDocument/2006/relationships/hyperlink" Target="https://fasih-sm.bps.go.id/app/assignment/fd68e454-ba45-4b85-8205-f3bf777ded24/e0ddd687-755a-4b72-a936-2daec107ea56" TargetMode="External"/><Relationship Id="rId140" Type="http://schemas.openxmlformats.org/officeDocument/2006/relationships/hyperlink" Target="https://fasih-sm.bps.go.id/app/assignment/fd68e454-ba45-4b85-8205-f3bf777ded24/e67cd3ab-c34a-4838-8ece-20d7e9bb6729" TargetMode="External"/><Relationship Id="rId378" Type="http://schemas.openxmlformats.org/officeDocument/2006/relationships/hyperlink" Target="https://fasih-sm.bps.go.id/app/assignment/fd68e454-ba45-4b85-8205-f3bf777ded24/f8227f03-e261-42b7-928c-268326f9ace4" TargetMode="External"/><Relationship Id="rId585" Type="http://schemas.openxmlformats.org/officeDocument/2006/relationships/hyperlink" Target="https://fasih-sm.bps.go.id/app/assignment/fd68e454-ba45-4b85-8205-f3bf777ded24/dc79a387-2be9-411b-ad04-b40e0060ca53" TargetMode="External"/><Relationship Id="rId792" Type="http://schemas.openxmlformats.org/officeDocument/2006/relationships/hyperlink" Target="https://fasih-sm.bps.go.id/app/assignment/fd68e454-ba45-4b85-8205-f3bf777ded24/eb041dd9-8ab8-40aa-aff8-fa1eb0f996bd" TargetMode="External"/><Relationship Id="rId806" Type="http://schemas.openxmlformats.org/officeDocument/2006/relationships/hyperlink" Target="https://fasih-sm.bps.go.id/app/assignment/fd68e454-ba45-4b85-8205-f3bf777ded24/ec0c1a90-026d-43c3-9d46-74e4df0be7e4" TargetMode="External"/><Relationship Id="rId6" Type="http://schemas.openxmlformats.org/officeDocument/2006/relationships/hyperlink" Target="https://fasih-sm.bps.go.id/app/assignment/fd68e454-ba45-4b85-8205-f3bf777ded24/db5e8119-599b-41ab-b060-1d207c7a17a0" TargetMode="External"/><Relationship Id="rId238" Type="http://schemas.openxmlformats.org/officeDocument/2006/relationships/hyperlink" Target="https://fasih-sm.bps.go.id/app/assignment/fd68e454-ba45-4b85-8205-f3bf777ded24/ec28be3c-a835-4e39-9b07-07c3dcde913d" TargetMode="External"/><Relationship Id="rId445" Type="http://schemas.openxmlformats.org/officeDocument/2006/relationships/hyperlink" Target="https://fasih-sm.bps.go.id/app/assignment/fd68e454-ba45-4b85-8205-f3bf777ded24/fe1cf5bd-b835-49b1-b12f-b996ff353d35" TargetMode="External"/><Relationship Id="rId652" Type="http://schemas.openxmlformats.org/officeDocument/2006/relationships/hyperlink" Target="https://fasih-sm.bps.go.id/app/assignment/fd68e454-ba45-4b85-8205-f3bf777ded24/e1d38074-0e05-44e0-9434-15e729453c9c" TargetMode="External"/><Relationship Id="rId1075" Type="http://schemas.openxmlformats.org/officeDocument/2006/relationships/hyperlink" Target="https://fasih-sm.bps.go.id/app/assignment/fd68e454-ba45-4b85-8205-f3bf777ded24/653cba0b-e33e-440c-a777-5352388f2497" TargetMode="External"/><Relationship Id="rId291" Type="http://schemas.openxmlformats.org/officeDocument/2006/relationships/hyperlink" Target="https://fasih-sm.bps.go.id/app/assignment/fd68e454-ba45-4b85-8205-f3bf777ded24/f038a038-8410-4954-8128-436767c36764" TargetMode="External"/><Relationship Id="rId305" Type="http://schemas.openxmlformats.org/officeDocument/2006/relationships/hyperlink" Target="https://fasih-sm.bps.go.id/app/assignment/fd68e454-ba45-4b85-8205-f3bf777ded24/f19336e3-0019-4552-a4fb-50d71a5dcc0a" TargetMode="External"/><Relationship Id="rId512" Type="http://schemas.openxmlformats.org/officeDocument/2006/relationships/hyperlink" Target="https://fasih-sm.bps.go.id/app/assignment/fd68e454-ba45-4b85-8205-f3bf777ded24/7da6cbc8-771f-4eec-a375-842501d5e5a8" TargetMode="External"/><Relationship Id="rId957" Type="http://schemas.openxmlformats.org/officeDocument/2006/relationships/hyperlink" Target="https://fasih-sm.bps.go.id/app/assignment/fd68e454-ba45-4b85-8205-f3bf777ded24/f8c875c5-1292-429d-b724-0006ce4d28fd" TargetMode="External"/><Relationship Id="rId1142" Type="http://schemas.openxmlformats.org/officeDocument/2006/relationships/hyperlink" Target="https://fasih-sm.bps.go.id/app/assignment/fd68e454-ba45-4b85-8205-f3bf777ded24/b5d55434-d941-431b-9e24-f869b7bbfa50" TargetMode="External"/><Relationship Id="rId86" Type="http://schemas.openxmlformats.org/officeDocument/2006/relationships/hyperlink" Target="https://fasih-sm.bps.go.id/app/assignment/fd68e454-ba45-4b85-8205-f3bf777ded24/e220b515-2497-46b6-9538-a395b07a869a" TargetMode="External"/><Relationship Id="rId151" Type="http://schemas.openxmlformats.org/officeDocument/2006/relationships/hyperlink" Target="https://fasih-sm.bps.go.id/app/assignment/fd68e454-ba45-4b85-8205-f3bf777ded24/e6ef140d-8faf-4909-94d1-980d4d89cfe1" TargetMode="External"/><Relationship Id="rId389" Type="http://schemas.openxmlformats.org/officeDocument/2006/relationships/hyperlink" Target="https://fasih-sm.bps.go.id/app/assignment/fd68e454-ba45-4b85-8205-f3bf777ded24/f8ebdbdc-5c60-4909-b270-20aee32f2e1d" TargetMode="External"/><Relationship Id="rId596" Type="http://schemas.openxmlformats.org/officeDocument/2006/relationships/hyperlink" Target="https://fasih-sm.bps.go.id/app/assignment/fd68e454-ba45-4b85-8205-f3bf777ded24/dd4eac1b-4cd4-4a19-92b3-5ab24fbf34ed" TargetMode="External"/><Relationship Id="rId817" Type="http://schemas.openxmlformats.org/officeDocument/2006/relationships/hyperlink" Target="https://fasih-sm.bps.go.id/app/assignment/fd68e454-ba45-4b85-8205-f3bf777ded24/ecf04317-3105-4c52-8059-709eb7721a1b" TargetMode="External"/><Relationship Id="rId1002" Type="http://schemas.openxmlformats.org/officeDocument/2006/relationships/hyperlink" Target="https://fasih-sm.bps.go.id/app/assignment/fd68e454-ba45-4b85-8205-f3bf777ded24/fcfc7f80-3f10-4fd3-93ff-536e7b9332c9" TargetMode="External"/><Relationship Id="rId249" Type="http://schemas.openxmlformats.org/officeDocument/2006/relationships/hyperlink" Target="https://fasih-sm.bps.go.id/app/assignment/fd68e454-ba45-4b85-8205-f3bf777ded24/ed26d478-c1d9-417f-8a82-31da0629f647" TargetMode="External"/><Relationship Id="rId456" Type="http://schemas.openxmlformats.org/officeDocument/2006/relationships/hyperlink" Target="https://fasih-sm.bps.go.id/app/assignment/fd68e454-ba45-4b85-8205-f3bf777ded24/fecb5b92-6b96-4a42-b2b8-9f6bef57e35d" TargetMode="External"/><Relationship Id="rId663" Type="http://schemas.openxmlformats.org/officeDocument/2006/relationships/hyperlink" Target="https://fasih-sm.bps.go.id/app/assignment/fd68e454-ba45-4b85-8205-f3bf777ded24/e29084d7-1eb8-4058-a48c-be6aee3d4ac7" TargetMode="External"/><Relationship Id="rId870" Type="http://schemas.openxmlformats.org/officeDocument/2006/relationships/hyperlink" Target="https://fasih-sm.bps.go.id/app/assignment/fd68e454-ba45-4b85-8205-f3bf777ded24/f122523a-f753-4747-b1e0-1f5f48289280" TargetMode="External"/><Relationship Id="rId1086" Type="http://schemas.openxmlformats.org/officeDocument/2006/relationships/hyperlink" Target="https://fasih-sm.bps.go.id/app/assignment/fd68e454-ba45-4b85-8205-f3bf777ded24/8d172718-60f5-4231-b49a-f0811cd69021" TargetMode="External"/><Relationship Id="rId13" Type="http://schemas.openxmlformats.org/officeDocument/2006/relationships/hyperlink" Target="https://fasih-sm.bps.go.id/app/assignment/fd68e454-ba45-4b85-8205-f3bf777ded24/dc48b20b-dfb1-4ee4-b0d6-1a1deed0adf2" TargetMode="External"/><Relationship Id="rId109" Type="http://schemas.openxmlformats.org/officeDocument/2006/relationships/hyperlink" Target="https://fasih-sm.bps.go.id/app/assignment/fd68e454-ba45-4b85-8205-f3bf777ded24/e3cf5d96-0507-4f51-b662-3503c1b0880d" TargetMode="External"/><Relationship Id="rId316" Type="http://schemas.openxmlformats.org/officeDocument/2006/relationships/hyperlink" Target="https://fasih-sm.bps.go.id/app/assignment/fd68e454-ba45-4b85-8205-f3bf777ded24/f2e25890-10cb-447e-8805-652acdbfe640" TargetMode="External"/><Relationship Id="rId523" Type="http://schemas.openxmlformats.org/officeDocument/2006/relationships/hyperlink" Target="https://fasih-sm.bps.go.id/app/assignment/fd68e454-ba45-4b85-8205-f3bf777ded24/a119d9d9-aae6-4d2b-b8c7-cd5098487d2d" TargetMode="External"/><Relationship Id="rId968" Type="http://schemas.openxmlformats.org/officeDocument/2006/relationships/hyperlink" Target="https://fasih-sm.bps.go.id/app/assignment/fd68e454-ba45-4b85-8205-f3bf777ded24/fa39a383-7adb-48a9-84ac-e18ec8695d61" TargetMode="External"/><Relationship Id="rId97" Type="http://schemas.openxmlformats.org/officeDocument/2006/relationships/hyperlink" Target="https://fasih-sm.bps.go.id/app/assignment/fd68e454-ba45-4b85-8205-f3bf777ded24/e2e8a158-b741-4099-be84-82174369fc4c" TargetMode="External"/><Relationship Id="rId730" Type="http://schemas.openxmlformats.org/officeDocument/2006/relationships/hyperlink" Target="https://fasih-sm.bps.go.id/app/assignment/fd68e454-ba45-4b85-8205-f3bf777ded24/e7783f2a-ed96-4737-bd19-36468e0c104f" TargetMode="External"/><Relationship Id="rId828" Type="http://schemas.openxmlformats.org/officeDocument/2006/relationships/hyperlink" Target="https://fasih-sm.bps.go.id/app/assignment/fd68e454-ba45-4b85-8205-f3bf777ded24/edeb8795-8834-4bd0-9a69-4eb3293b78ae" TargetMode="External"/><Relationship Id="rId1013" Type="http://schemas.openxmlformats.org/officeDocument/2006/relationships/hyperlink" Target="https://fasih-sm.bps.go.id/app/assignment/fd68e454-ba45-4b85-8205-f3bf777ded24/fdd103d6-719c-4b65-b6d9-a2ccfd85b833" TargetMode="External"/><Relationship Id="rId162" Type="http://schemas.openxmlformats.org/officeDocument/2006/relationships/hyperlink" Target="https://fasih-sm.bps.go.id/app/assignment/fd68e454-ba45-4b85-8205-f3bf777ded24/e78a5635-0b72-4716-a1e0-1159fad309e7" TargetMode="External"/><Relationship Id="rId467" Type="http://schemas.openxmlformats.org/officeDocument/2006/relationships/hyperlink" Target="https://fasih-sm.bps.go.id/app/assignment/fd68e454-ba45-4b85-8205-f3bf777ded24/ff908f1a-1326-4cd7-8b16-01c0e6965560" TargetMode="External"/><Relationship Id="rId1097" Type="http://schemas.openxmlformats.org/officeDocument/2006/relationships/hyperlink" Target="https://fasih-sm.bps.go.id/app/assignment/fd68e454-ba45-4b85-8205-f3bf777ded24/ad0393c4-11c7-4392-a80d-7903dfdf73aa" TargetMode="External"/><Relationship Id="rId674" Type="http://schemas.openxmlformats.org/officeDocument/2006/relationships/hyperlink" Target="https://fasih-sm.bps.go.id/app/assignment/fd68e454-ba45-4b85-8205-f3bf777ded24/e32917dd-2bf2-44ad-a13d-a9dde621dfa7" TargetMode="External"/><Relationship Id="rId881" Type="http://schemas.openxmlformats.org/officeDocument/2006/relationships/hyperlink" Target="https://fasih-sm.bps.go.id/app/assignment/fd68e454-ba45-4b85-8205-f3bf777ded24/f21ca41b-b4c6-45e8-a44a-d62cd04a06be" TargetMode="External"/><Relationship Id="rId979" Type="http://schemas.openxmlformats.org/officeDocument/2006/relationships/hyperlink" Target="https://fasih-sm.bps.go.id/app/assignment/fd68e454-ba45-4b85-8205-f3bf777ded24/fb1d89bf-c03b-4146-8142-7c9970529786" TargetMode="External"/><Relationship Id="rId24" Type="http://schemas.openxmlformats.org/officeDocument/2006/relationships/hyperlink" Target="https://fasih-sm.bps.go.id/app/assignment/fd68e454-ba45-4b85-8205-f3bf777ded24/dd27982e-e22c-4256-b00c-a91d1c230c64" TargetMode="External"/><Relationship Id="rId327" Type="http://schemas.openxmlformats.org/officeDocument/2006/relationships/hyperlink" Target="https://fasih-sm.bps.go.id/app/assignment/fd68e454-ba45-4b85-8205-f3bf777ded24/f3fd1317-d674-4b0f-bdf5-285ec1a65ac1" TargetMode="External"/><Relationship Id="rId534" Type="http://schemas.openxmlformats.org/officeDocument/2006/relationships/hyperlink" Target="https://fasih-sm.bps.go.id/app/assignment/fd68e454-ba45-4b85-8205-f3bf777ded24/d4cba927-5f45-4d64-b94c-56e88abb9ccf" TargetMode="External"/><Relationship Id="rId741" Type="http://schemas.openxmlformats.org/officeDocument/2006/relationships/hyperlink" Target="https://fasih-sm.bps.go.id/app/assignment/fd68e454-ba45-4b85-8205-f3bf777ded24/e7ec6408-c201-4735-8af7-5b92ab0fc9af" TargetMode="External"/><Relationship Id="rId839" Type="http://schemas.openxmlformats.org/officeDocument/2006/relationships/hyperlink" Target="https://fasih-sm.bps.go.id/app/assignment/fd68e454-ba45-4b85-8205-f3bf777ded24/eea334ef-20e7-42b1-8719-33b98d50ba95" TargetMode="External"/><Relationship Id="rId173" Type="http://schemas.openxmlformats.org/officeDocument/2006/relationships/hyperlink" Target="https://fasih-sm.bps.go.id/app/assignment/fd68e454-ba45-4b85-8205-f3bf777ded24/e80800d5-dece-484c-85f2-bfd167e53f10" TargetMode="External"/><Relationship Id="rId380" Type="http://schemas.openxmlformats.org/officeDocument/2006/relationships/hyperlink" Target="https://fasih-sm.bps.go.id/app/assignment/fd68e454-ba45-4b85-8205-f3bf777ded24/f82fda9c-14b7-48f5-b4ce-744bb76beb24" TargetMode="External"/><Relationship Id="rId601" Type="http://schemas.openxmlformats.org/officeDocument/2006/relationships/hyperlink" Target="https://fasih-sm.bps.go.id/app/assignment/fd68e454-ba45-4b85-8205-f3bf777ded24/de01defd-38ea-40bc-8781-439fd7fb69ac" TargetMode="External"/><Relationship Id="rId1024" Type="http://schemas.openxmlformats.org/officeDocument/2006/relationships/hyperlink" Target="https://fasih-sm.bps.go.id/app/assignment/fd68e454-ba45-4b85-8205-f3bf777ded24/fe965f1e-8a15-4da6-ac19-60ee58d23032" TargetMode="External"/><Relationship Id="rId240" Type="http://schemas.openxmlformats.org/officeDocument/2006/relationships/hyperlink" Target="https://fasih-sm.bps.go.id/app/assignment/fd68e454-ba45-4b85-8205-f3bf777ded24/ec5c3764-abd3-475e-a2ab-52b663b55ab3" TargetMode="External"/><Relationship Id="rId478" Type="http://schemas.openxmlformats.org/officeDocument/2006/relationships/hyperlink" Target="https://fasih-sm.bps.go.id/app/assignment/fd68e454-ba45-4b85-8205-f3bf777ded24/e0e2faae-d37a-4801-9b1b-66dadab7a3bf" TargetMode="External"/><Relationship Id="rId685" Type="http://schemas.openxmlformats.org/officeDocument/2006/relationships/hyperlink" Target="https://fasih-sm.bps.go.id/app/assignment/fd68e454-ba45-4b85-8205-f3bf777ded24/e4817a77-e6fc-4117-a445-bb699ff78116" TargetMode="External"/><Relationship Id="rId892" Type="http://schemas.openxmlformats.org/officeDocument/2006/relationships/hyperlink" Target="https://fasih-sm.bps.go.id/app/assignment/fd68e454-ba45-4b85-8205-f3bf777ded24/f364f122-dc37-4ea2-80e8-c5572557af84" TargetMode="External"/><Relationship Id="rId906" Type="http://schemas.openxmlformats.org/officeDocument/2006/relationships/hyperlink" Target="https://fasih-sm.bps.go.id/app/assignment/fd68e454-ba45-4b85-8205-f3bf777ded24/f4ccdb10-3f21-400e-bcb9-ce4ddd27c3ca" TargetMode="External"/><Relationship Id="rId35" Type="http://schemas.openxmlformats.org/officeDocument/2006/relationships/hyperlink" Target="https://fasih-sm.bps.go.id/app/assignment/fd68e454-ba45-4b85-8205-f3bf777ded24/de28dfda-0327-4424-8581-be9860f98853" TargetMode="External"/><Relationship Id="rId100" Type="http://schemas.openxmlformats.org/officeDocument/2006/relationships/hyperlink" Target="https://fasih-sm.bps.go.id/app/assignment/fd68e454-ba45-4b85-8205-f3bf777ded24/e3221083-f0f6-4a3a-9978-e68b22b732f5" TargetMode="External"/><Relationship Id="rId338" Type="http://schemas.openxmlformats.org/officeDocument/2006/relationships/hyperlink" Target="https://fasih-sm.bps.go.id/app/assignment/fd68e454-ba45-4b85-8205-f3bf777ded24/f4fa71aa-2e2d-492f-857d-361644ebdf0a" TargetMode="External"/><Relationship Id="rId545" Type="http://schemas.openxmlformats.org/officeDocument/2006/relationships/hyperlink" Target="https://fasih-sm.bps.go.id/app/assignment/fd68e454-ba45-4b85-8205-f3bf777ded24/1619459e-c077-4145-b16f-9ca7c4058a25" TargetMode="External"/><Relationship Id="rId752" Type="http://schemas.openxmlformats.org/officeDocument/2006/relationships/hyperlink" Target="https://fasih-sm.bps.go.id/app/assignment/fd68e454-ba45-4b85-8205-f3bf777ded24/e87127cd-f93c-41f8-bbea-608390010c33" TargetMode="External"/><Relationship Id="rId184" Type="http://schemas.openxmlformats.org/officeDocument/2006/relationships/hyperlink" Target="https://fasih-sm.bps.go.id/app/assignment/fd68e454-ba45-4b85-8205-f3bf777ded24/e8a450df-ac3c-401d-98b5-45c2af0aab89" TargetMode="External"/><Relationship Id="rId391" Type="http://schemas.openxmlformats.org/officeDocument/2006/relationships/hyperlink" Target="https://fasih-sm.bps.go.id/app/assignment/fd68e454-ba45-4b85-8205-f3bf777ded24/f92cbfcd-e901-4ce1-89db-ddef3c40fee2" TargetMode="External"/><Relationship Id="rId405" Type="http://schemas.openxmlformats.org/officeDocument/2006/relationships/hyperlink" Target="https://fasih-sm.bps.go.id/app/assignment/fd68e454-ba45-4b85-8205-f3bf777ded24/facbfe54-f01e-40cf-8f5e-448a1c9f0389" TargetMode="External"/><Relationship Id="rId612" Type="http://schemas.openxmlformats.org/officeDocument/2006/relationships/hyperlink" Target="https://fasih-sm.bps.go.id/app/assignment/fd68e454-ba45-4b85-8205-f3bf777ded24/de5bd721-13ed-4d87-814a-dc1f2d81e29f" TargetMode="External"/><Relationship Id="rId1035" Type="http://schemas.openxmlformats.org/officeDocument/2006/relationships/hyperlink" Target="https://fasih-sm.bps.go.id/app/assignment/fd68e454-ba45-4b85-8205-f3bf777ded24/ff6b4a69-ce1c-4e46-b1ef-c91ab4ad6724" TargetMode="External"/><Relationship Id="rId251" Type="http://schemas.openxmlformats.org/officeDocument/2006/relationships/hyperlink" Target="https://fasih-sm.bps.go.id/app/assignment/fd68e454-ba45-4b85-8205-f3bf777ded24/ed7280e4-b265-4d00-a3bb-363d341d3926" TargetMode="External"/><Relationship Id="rId489" Type="http://schemas.openxmlformats.org/officeDocument/2006/relationships/hyperlink" Target="https://fasih-sm.bps.go.id/app/assignment/fd68e454-ba45-4b85-8205-f3bf777ded24/27737230-cccb-4f2d-8b50-8ca8598d0142" TargetMode="External"/><Relationship Id="rId696" Type="http://schemas.openxmlformats.org/officeDocument/2006/relationships/hyperlink" Target="https://fasih-sm.bps.go.id/app/assignment/fd68e454-ba45-4b85-8205-f3bf777ded24/e5aa457d-abfd-463b-8d55-b886fb1ceb0d" TargetMode="External"/><Relationship Id="rId917" Type="http://schemas.openxmlformats.org/officeDocument/2006/relationships/hyperlink" Target="https://fasih-sm.bps.go.id/app/assignment/fd68e454-ba45-4b85-8205-f3bf777ded24/f5a42fec-470e-4e60-a5a1-3168251fefae" TargetMode="External"/><Relationship Id="rId1102" Type="http://schemas.openxmlformats.org/officeDocument/2006/relationships/hyperlink" Target="https://fasih-sm.bps.go.id/app/assignment/fd68e454-ba45-4b85-8205-f3bf777ded24/c46d8626-3ea8-4278-a4d9-ef8b7a66de8f" TargetMode="External"/><Relationship Id="rId46" Type="http://schemas.openxmlformats.org/officeDocument/2006/relationships/hyperlink" Target="https://fasih-sm.bps.go.id/app/assignment/fd68e454-ba45-4b85-8205-f3bf777ded24/deb72454-49d0-4a01-a9df-d85b1f128cfb" TargetMode="External"/><Relationship Id="rId349" Type="http://schemas.openxmlformats.org/officeDocument/2006/relationships/hyperlink" Target="https://fasih-sm.bps.go.id/app/assignment/fd68e454-ba45-4b85-8205-f3bf777ded24/f5e31d01-47f2-45f9-af77-3b52c79e7857" TargetMode="External"/><Relationship Id="rId556" Type="http://schemas.openxmlformats.org/officeDocument/2006/relationships/hyperlink" Target="https://fasih-sm.bps.go.id/app/assignment/fd68e454-ba45-4b85-8205-f3bf777ded24/611951bb-2545-4346-a6b1-cca647f24028" TargetMode="External"/><Relationship Id="rId763" Type="http://schemas.openxmlformats.org/officeDocument/2006/relationships/hyperlink" Target="https://fasih-sm.bps.go.id/app/assignment/fd68e454-ba45-4b85-8205-f3bf777ded24/e8f0aa04-a498-479b-ab72-fc13768c30fb" TargetMode="External"/><Relationship Id="rId111" Type="http://schemas.openxmlformats.org/officeDocument/2006/relationships/hyperlink" Target="https://fasih-sm.bps.go.id/app/assignment/fd68e454-ba45-4b85-8205-f3bf777ded24/e46f8704-62f1-4a7d-b7f1-fb4954051c2e" TargetMode="External"/><Relationship Id="rId195" Type="http://schemas.openxmlformats.org/officeDocument/2006/relationships/hyperlink" Target="https://fasih-sm.bps.go.id/app/assignment/fd68e454-ba45-4b85-8205-f3bf777ded24/e9302af9-72ce-4e98-a533-347edf2528f9" TargetMode="External"/><Relationship Id="rId209" Type="http://schemas.openxmlformats.org/officeDocument/2006/relationships/hyperlink" Target="https://fasih-sm.bps.go.id/app/assignment/fd68e454-ba45-4b85-8205-f3bf777ded24/ea4ed21d-4eea-4693-9e78-bc54d2235168" TargetMode="External"/><Relationship Id="rId416" Type="http://schemas.openxmlformats.org/officeDocument/2006/relationships/hyperlink" Target="https://fasih-sm.bps.go.id/app/assignment/fd68e454-ba45-4b85-8205-f3bf777ded24/fbde9d69-39a3-4b56-a84b-13224b84d46f" TargetMode="External"/><Relationship Id="rId970" Type="http://schemas.openxmlformats.org/officeDocument/2006/relationships/hyperlink" Target="https://fasih-sm.bps.go.id/app/assignment/fd68e454-ba45-4b85-8205-f3bf777ded24/fa77a54f-7043-427c-9373-f3f28c31f467" TargetMode="External"/><Relationship Id="rId1046" Type="http://schemas.openxmlformats.org/officeDocument/2006/relationships/hyperlink" Target="https://fasih-sm.bps.go.id/app/assignment/fd68e454-ba45-4b85-8205-f3bf777ded24/9624f714-8f4e-4922-9c41-40c979523cb8" TargetMode="External"/><Relationship Id="rId623" Type="http://schemas.openxmlformats.org/officeDocument/2006/relationships/hyperlink" Target="https://fasih-sm.bps.go.id/app/assignment/fd68e454-ba45-4b85-8205-f3bf777ded24/df0fc486-9de7-4940-8a35-2e4a0c676ff9" TargetMode="External"/><Relationship Id="rId830" Type="http://schemas.openxmlformats.org/officeDocument/2006/relationships/hyperlink" Target="https://fasih-sm.bps.go.id/app/assignment/fd68e454-ba45-4b85-8205-f3bf777ded24/edf29b68-62cb-4f91-bbee-8457bc89d60e" TargetMode="External"/><Relationship Id="rId928" Type="http://schemas.openxmlformats.org/officeDocument/2006/relationships/hyperlink" Target="https://fasih-sm.bps.go.id/app/assignment/fd68e454-ba45-4b85-8205-f3bf777ded24/f62aac2f-ae8a-43df-bfe1-db15f85c46d1" TargetMode="External"/><Relationship Id="rId57" Type="http://schemas.openxmlformats.org/officeDocument/2006/relationships/hyperlink" Target="https://fasih-sm.bps.go.id/app/assignment/fd68e454-ba45-4b85-8205-f3bf777ded24/df92ecea-533f-43f2-ae71-180debf3ba13" TargetMode="External"/><Relationship Id="rId262" Type="http://schemas.openxmlformats.org/officeDocument/2006/relationships/hyperlink" Target="https://fasih-sm.bps.go.id/app/assignment/fd68e454-ba45-4b85-8205-f3bf777ded24/edff2e40-18ff-4ac6-b2dd-af050c9ffe4e" TargetMode="External"/><Relationship Id="rId567" Type="http://schemas.openxmlformats.org/officeDocument/2006/relationships/hyperlink" Target="https://fasih-sm.bps.go.id/app/assignment/fd68e454-ba45-4b85-8205-f3bf777ded24/a1ba2e3c-ea8f-4177-8625-f3eb74460409" TargetMode="External"/><Relationship Id="rId1113" Type="http://schemas.openxmlformats.org/officeDocument/2006/relationships/hyperlink" Target="https://fasih-sm.bps.go.id/app/assignment/fd68e454-ba45-4b85-8205-f3bf777ded24/b6569fb9-92ba-450d-ae32-dc208ffb77e6" TargetMode="External"/><Relationship Id="rId122" Type="http://schemas.openxmlformats.org/officeDocument/2006/relationships/hyperlink" Target="https://fasih-sm.bps.go.id/app/assignment/fd68e454-ba45-4b85-8205-f3bf777ded24/e55f506c-f510-4132-bc4e-5f5458c8342a" TargetMode="External"/><Relationship Id="rId774" Type="http://schemas.openxmlformats.org/officeDocument/2006/relationships/hyperlink" Target="https://fasih-sm.bps.go.id/app/assignment/fd68e454-ba45-4b85-8205-f3bf777ded24/ea071513-32de-49fc-8e8e-c5b8a051fcea" TargetMode="External"/><Relationship Id="rId981" Type="http://schemas.openxmlformats.org/officeDocument/2006/relationships/hyperlink" Target="https://fasih-sm.bps.go.id/app/assignment/fd68e454-ba45-4b85-8205-f3bf777ded24/fb3df6ff-1e7e-40b3-b865-1e6a358cfab9" TargetMode="External"/><Relationship Id="rId1057" Type="http://schemas.openxmlformats.org/officeDocument/2006/relationships/hyperlink" Target="https://fasih-sm.bps.go.id/app/assignment/fd68e454-ba45-4b85-8205-f3bf777ded24/1e395480-9b93-48cf-b86d-33029f21d183" TargetMode="External"/><Relationship Id="rId427" Type="http://schemas.openxmlformats.org/officeDocument/2006/relationships/hyperlink" Target="https://fasih-sm.bps.go.id/app/assignment/fd68e454-ba45-4b85-8205-f3bf777ded24/fcc6a833-9b93-485c-b499-40fbe5f36d49" TargetMode="External"/><Relationship Id="rId634" Type="http://schemas.openxmlformats.org/officeDocument/2006/relationships/hyperlink" Target="https://fasih-sm.bps.go.id/app/assignment/fd68e454-ba45-4b85-8205-f3bf777ded24/dff2ab19-552b-40bc-90e7-657f3713228b" TargetMode="External"/><Relationship Id="rId841" Type="http://schemas.openxmlformats.org/officeDocument/2006/relationships/hyperlink" Target="https://fasih-sm.bps.go.id/app/assignment/fd68e454-ba45-4b85-8205-f3bf777ded24/eeb32eff-3345-40af-b094-4a8c9023a32c" TargetMode="External"/><Relationship Id="rId273" Type="http://schemas.openxmlformats.org/officeDocument/2006/relationships/hyperlink" Target="https://fasih-sm.bps.go.id/app/assignment/fd68e454-ba45-4b85-8205-f3bf777ded24/eedfcfe6-dce7-4fdf-994b-0aeccc21d149" TargetMode="External"/><Relationship Id="rId480" Type="http://schemas.openxmlformats.org/officeDocument/2006/relationships/hyperlink" Target="https://fasih-sm.bps.go.id/app/assignment/fd68e454-ba45-4b85-8205-f3bf777ded24/1f9da299-a45e-459d-80de-dc5e0c9c37dd" TargetMode="External"/><Relationship Id="rId701" Type="http://schemas.openxmlformats.org/officeDocument/2006/relationships/hyperlink" Target="https://fasih-sm.bps.go.id/app/assignment/fd68e454-ba45-4b85-8205-f3bf777ded24/e60cd32a-fd1b-400c-a86b-e4c4adc256d8" TargetMode="External"/><Relationship Id="rId939" Type="http://schemas.openxmlformats.org/officeDocument/2006/relationships/hyperlink" Target="https://fasih-sm.bps.go.id/app/assignment/fd68e454-ba45-4b85-8205-f3bf777ded24/f6fb4cb6-f654-4265-a71f-53715bd4ef4a" TargetMode="External"/><Relationship Id="rId1124" Type="http://schemas.openxmlformats.org/officeDocument/2006/relationships/hyperlink" Target="https://fasih-sm.bps.go.id/app/assignment/fd68e454-ba45-4b85-8205-f3bf777ded24/5a609efa-4de4-43c7-892c-662cfaf3089e" TargetMode="External"/><Relationship Id="rId68" Type="http://schemas.openxmlformats.org/officeDocument/2006/relationships/hyperlink" Target="https://fasih-sm.bps.go.id/app/assignment/fd68e454-ba45-4b85-8205-f3bf777ded24/e05b8105-f685-4c26-a78a-de58052d1f8b" TargetMode="External"/><Relationship Id="rId133" Type="http://schemas.openxmlformats.org/officeDocument/2006/relationships/hyperlink" Target="https://fasih-sm.bps.go.id/app/assignment/fd68e454-ba45-4b85-8205-f3bf777ded24/e61e745d-53b2-4f8c-8cec-3f2d7f9e5a47" TargetMode="External"/><Relationship Id="rId340" Type="http://schemas.openxmlformats.org/officeDocument/2006/relationships/hyperlink" Target="https://fasih-sm.bps.go.id/app/assignment/fd68e454-ba45-4b85-8205-f3bf777ded24/f5333361-83ef-49b7-a2a2-c6a0f64a87da" TargetMode="External"/><Relationship Id="rId578" Type="http://schemas.openxmlformats.org/officeDocument/2006/relationships/hyperlink" Target="https://fasih-sm.bps.go.id/app/assignment/fd68e454-ba45-4b85-8205-f3bf777ded24/db75a822-2b44-45ff-8905-7dbdaeee79fa" TargetMode="External"/><Relationship Id="rId785" Type="http://schemas.openxmlformats.org/officeDocument/2006/relationships/hyperlink" Target="https://fasih-sm.bps.go.id/app/assignment/fd68e454-ba45-4b85-8205-f3bf777ded24/ea8f8030-88b4-4ab3-a1b2-9881a8d031d5" TargetMode="External"/><Relationship Id="rId992" Type="http://schemas.openxmlformats.org/officeDocument/2006/relationships/hyperlink" Target="https://fasih-sm.bps.go.id/app/assignment/fd68e454-ba45-4b85-8205-f3bf777ded24/fc505013-b578-43a1-97ad-f022780569bc" TargetMode="External"/><Relationship Id="rId200" Type="http://schemas.openxmlformats.org/officeDocument/2006/relationships/hyperlink" Target="https://fasih-sm.bps.go.id/app/assignment/fd68e454-ba45-4b85-8205-f3bf777ded24/e98fde0e-2dcf-4b79-88f0-80dd9f83f868" TargetMode="External"/><Relationship Id="rId438" Type="http://schemas.openxmlformats.org/officeDocument/2006/relationships/hyperlink" Target="https://fasih-sm.bps.go.id/app/assignment/fd68e454-ba45-4b85-8205-f3bf777ded24/fd6577b9-4e6c-492a-8f7f-a3035b1a7432" TargetMode="External"/><Relationship Id="rId645" Type="http://schemas.openxmlformats.org/officeDocument/2006/relationships/hyperlink" Target="https://fasih-sm.bps.go.id/app/assignment/fd68e454-ba45-4b85-8205-f3bf777ded24/e0dc79f1-93b2-4a1a-9d10-d81322b40004" TargetMode="External"/><Relationship Id="rId852" Type="http://schemas.openxmlformats.org/officeDocument/2006/relationships/hyperlink" Target="https://fasih-sm.bps.go.id/app/assignment/fd68e454-ba45-4b85-8205-f3bf777ded24/ef99d7b6-ddad-4c45-ad5d-56558cb512c7" TargetMode="External"/><Relationship Id="rId1068" Type="http://schemas.openxmlformats.org/officeDocument/2006/relationships/hyperlink" Target="https://fasih-sm.bps.go.id/app/assignment/fd68e454-ba45-4b85-8205-f3bf777ded24/5ca8c0e8-8ce3-4a79-aec6-793fcb9741e6" TargetMode="External"/><Relationship Id="rId284" Type="http://schemas.openxmlformats.org/officeDocument/2006/relationships/hyperlink" Target="https://fasih-sm.bps.go.id/app/assignment/fd68e454-ba45-4b85-8205-f3bf777ded24/efee5be2-9215-4008-b791-8fba76a8025a" TargetMode="External"/><Relationship Id="rId491" Type="http://schemas.openxmlformats.org/officeDocument/2006/relationships/hyperlink" Target="https://fasih-sm.bps.go.id/app/assignment/fd68e454-ba45-4b85-8205-f3bf777ded24/3570a88d-3112-443e-875e-94a7ae23fb56" TargetMode="External"/><Relationship Id="rId505" Type="http://schemas.openxmlformats.org/officeDocument/2006/relationships/hyperlink" Target="https://fasih-sm.bps.go.id/app/assignment/fd68e454-ba45-4b85-8205-f3bf777ded24/663feee6-9e41-4f6a-9e1a-9f86212c21ef" TargetMode="External"/><Relationship Id="rId712" Type="http://schemas.openxmlformats.org/officeDocument/2006/relationships/hyperlink" Target="https://fasih-sm.bps.go.id/app/assignment/fd68e454-ba45-4b85-8205-f3bf777ded24/e67f9c8d-ef22-4d2e-83f8-e9a216161d26" TargetMode="External"/><Relationship Id="rId1135" Type="http://schemas.openxmlformats.org/officeDocument/2006/relationships/hyperlink" Target="https://fasih-sm.bps.go.id/app/assignment/fd68e454-ba45-4b85-8205-f3bf777ded24/8d68ae25-1a27-4bad-af66-9ef9e64a3fba" TargetMode="External"/><Relationship Id="rId79" Type="http://schemas.openxmlformats.org/officeDocument/2006/relationships/hyperlink" Target="https://fasih-sm.bps.go.id/app/assignment/fd68e454-ba45-4b85-8205-f3bf777ded24/e1a0a4f0-7a4a-4eb9-87d6-bcdb1cc8c09d" TargetMode="External"/><Relationship Id="rId144" Type="http://schemas.openxmlformats.org/officeDocument/2006/relationships/hyperlink" Target="https://fasih-sm.bps.go.id/app/assignment/fd68e454-ba45-4b85-8205-f3bf777ded24/e6ae27aa-f6ca-4e32-b323-4dd388c2ce0d" TargetMode="External"/><Relationship Id="rId589" Type="http://schemas.openxmlformats.org/officeDocument/2006/relationships/hyperlink" Target="https://fasih-sm.bps.go.id/app/assignment/fd68e454-ba45-4b85-8205-f3bf777ded24/dccf0a22-ced4-4f2b-a775-2463dc4d9fc6" TargetMode="External"/><Relationship Id="rId796" Type="http://schemas.openxmlformats.org/officeDocument/2006/relationships/hyperlink" Target="https://fasih-sm.bps.go.id/app/assignment/fd68e454-ba45-4b85-8205-f3bf777ded24/eb4889fa-a633-48fd-82c2-5f96bd062684" TargetMode="External"/><Relationship Id="rId351" Type="http://schemas.openxmlformats.org/officeDocument/2006/relationships/hyperlink" Target="https://fasih-sm.bps.go.id/app/assignment/fd68e454-ba45-4b85-8205-f3bf777ded24/f601b02f-7a9f-48d4-9a66-1a60bab7c2af" TargetMode="External"/><Relationship Id="rId449" Type="http://schemas.openxmlformats.org/officeDocument/2006/relationships/hyperlink" Target="https://fasih-sm.bps.go.id/app/assignment/fd68e454-ba45-4b85-8205-f3bf777ded24/fe7acad4-43fe-47ef-ada7-809f590fa892" TargetMode="External"/><Relationship Id="rId656" Type="http://schemas.openxmlformats.org/officeDocument/2006/relationships/hyperlink" Target="https://fasih-sm.bps.go.id/app/assignment/fd68e454-ba45-4b85-8205-f3bf777ded24/e201f06c-c564-44af-bb99-bc6d76e3be9a" TargetMode="External"/><Relationship Id="rId863" Type="http://schemas.openxmlformats.org/officeDocument/2006/relationships/hyperlink" Target="https://fasih-sm.bps.go.id/app/assignment/fd68e454-ba45-4b85-8205-f3bf777ded24/f052d59f-6b9d-472b-9be0-083d77911341" TargetMode="External"/><Relationship Id="rId1079" Type="http://schemas.openxmlformats.org/officeDocument/2006/relationships/hyperlink" Target="https://fasih-sm.bps.go.id/app/assignment/fd68e454-ba45-4b85-8205-f3bf777ded24/704b2ad9-ba41-4d9a-a6cb-a8eb1f2c952c" TargetMode="External"/><Relationship Id="rId211" Type="http://schemas.openxmlformats.org/officeDocument/2006/relationships/hyperlink" Target="https://fasih-sm.bps.go.id/app/assignment/fd68e454-ba45-4b85-8205-f3bf777ded24/ea609196-1c5e-4e86-adab-764daa10282f" TargetMode="External"/><Relationship Id="rId295" Type="http://schemas.openxmlformats.org/officeDocument/2006/relationships/hyperlink" Target="https://fasih-sm.bps.go.id/app/assignment/fd68e454-ba45-4b85-8205-f3bf777ded24/f0c87b25-b21d-49a9-ab47-8023a59c8ecd" TargetMode="External"/><Relationship Id="rId309" Type="http://schemas.openxmlformats.org/officeDocument/2006/relationships/hyperlink" Target="https://fasih-sm.bps.go.id/app/assignment/fd68e454-ba45-4b85-8205-f3bf777ded24/f1fa5694-09f7-4f2f-88d9-0b9c631310ad" TargetMode="External"/><Relationship Id="rId516" Type="http://schemas.openxmlformats.org/officeDocument/2006/relationships/hyperlink" Target="https://fasih-sm.bps.go.id/app/assignment/fd68e454-ba45-4b85-8205-f3bf777ded24/8e7938d2-e5b2-42f3-9c18-8d64ad3fad1b" TargetMode="External"/><Relationship Id="rId723" Type="http://schemas.openxmlformats.org/officeDocument/2006/relationships/hyperlink" Target="https://fasih-sm.bps.go.id/app/assignment/fd68e454-ba45-4b85-8205-f3bf777ded24/e700d18e-fdc8-41e0-81c1-2ddebbc3c2f0" TargetMode="External"/><Relationship Id="rId930" Type="http://schemas.openxmlformats.org/officeDocument/2006/relationships/hyperlink" Target="https://fasih-sm.bps.go.id/app/assignment/fd68e454-ba45-4b85-8205-f3bf777ded24/f6358a33-ef30-4cc9-a8a5-fe1bd665cd43" TargetMode="External"/><Relationship Id="rId1006" Type="http://schemas.openxmlformats.org/officeDocument/2006/relationships/hyperlink" Target="https://fasih-sm.bps.go.id/app/assignment/fd68e454-ba45-4b85-8205-f3bf777ded24/fd419560-0ef3-42ba-b85d-a767ba6a8e3e" TargetMode="External"/><Relationship Id="rId155" Type="http://schemas.openxmlformats.org/officeDocument/2006/relationships/hyperlink" Target="https://fasih-sm.bps.go.id/app/assignment/fd68e454-ba45-4b85-8205-f3bf777ded24/e71e8225-d823-4385-a152-ddde4484ad81" TargetMode="External"/><Relationship Id="rId362" Type="http://schemas.openxmlformats.org/officeDocument/2006/relationships/hyperlink" Target="https://fasih-sm.bps.go.id/app/assignment/fd68e454-ba45-4b85-8205-f3bf777ded24/f68f795f-e4bd-43ec-9165-88b92c46f419" TargetMode="External"/><Relationship Id="rId222" Type="http://schemas.openxmlformats.org/officeDocument/2006/relationships/hyperlink" Target="https://fasih-sm.bps.go.id/app/assignment/fd68e454-ba45-4b85-8205-f3bf777ded24/eb1e9b3b-5111-40f4-adb1-6aa41e6b23d1" TargetMode="External"/><Relationship Id="rId667" Type="http://schemas.openxmlformats.org/officeDocument/2006/relationships/hyperlink" Target="https://fasih-sm.bps.go.id/app/assignment/fd68e454-ba45-4b85-8205-f3bf777ded24/e2dde351-702e-4720-a953-ebbf1b92ae6b" TargetMode="External"/><Relationship Id="rId874" Type="http://schemas.openxmlformats.org/officeDocument/2006/relationships/hyperlink" Target="https://fasih-sm.bps.go.id/app/assignment/fd68e454-ba45-4b85-8205-f3bf777ded24/f16d19fd-a412-400f-b131-c7ec49d4591b" TargetMode="External"/><Relationship Id="rId17" Type="http://schemas.openxmlformats.org/officeDocument/2006/relationships/hyperlink" Target="https://fasih-sm.bps.go.id/app/assignment/fd68e454-ba45-4b85-8205-f3bf777ded24/dcaf026f-352e-49e8-8d69-480a6e3b3940" TargetMode="External"/><Relationship Id="rId527" Type="http://schemas.openxmlformats.org/officeDocument/2006/relationships/hyperlink" Target="https://fasih-sm.bps.go.id/app/assignment/fd68e454-ba45-4b85-8205-f3bf777ded24/b6103d31-94c2-4070-877a-bf3051f404eb" TargetMode="External"/><Relationship Id="rId734" Type="http://schemas.openxmlformats.org/officeDocument/2006/relationships/hyperlink" Target="https://fasih-sm.bps.go.id/app/assignment/fd68e454-ba45-4b85-8205-f3bf777ded24/e791428c-1e5b-41a9-a245-468b880f70c7" TargetMode="External"/><Relationship Id="rId941" Type="http://schemas.openxmlformats.org/officeDocument/2006/relationships/hyperlink" Target="https://fasih-sm.bps.go.id/app/assignment/fd68e454-ba45-4b85-8205-f3bf777ded24/f719ce96-3562-4aef-9da4-23a255623610" TargetMode="External"/><Relationship Id="rId70" Type="http://schemas.openxmlformats.org/officeDocument/2006/relationships/hyperlink" Target="https://fasih-sm.bps.go.id/app/assignment/fd68e454-ba45-4b85-8205-f3bf777ded24/e0846627-09e9-408e-b4e1-1ceed4c3076a" TargetMode="External"/><Relationship Id="rId166" Type="http://schemas.openxmlformats.org/officeDocument/2006/relationships/hyperlink" Target="https://fasih-sm.bps.go.id/app/assignment/fd68e454-ba45-4b85-8205-f3bf777ded24/e7b8024d-d254-4643-9db3-f375d75e2078" TargetMode="External"/><Relationship Id="rId373" Type="http://schemas.openxmlformats.org/officeDocument/2006/relationships/hyperlink" Target="https://fasih-sm.bps.go.id/app/assignment/fd68e454-ba45-4b85-8205-f3bf777ded24/f7ad0982-477f-4840-aa06-639433fdb533" TargetMode="External"/><Relationship Id="rId580" Type="http://schemas.openxmlformats.org/officeDocument/2006/relationships/hyperlink" Target="https://fasih-sm.bps.go.id/app/assignment/fd68e454-ba45-4b85-8205-f3bf777ded24/dbc2aa22-26c9-4178-878a-66aa32c29205" TargetMode="External"/><Relationship Id="rId801" Type="http://schemas.openxmlformats.org/officeDocument/2006/relationships/hyperlink" Target="https://fasih-sm.bps.go.id/app/assignment/fd68e454-ba45-4b85-8205-f3bf777ded24/eba86352-7668-43bc-a21a-ddacf676bfd4" TargetMode="External"/><Relationship Id="rId1017" Type="http://schemas.openxmlformats.org/officeDocument/2006/relationships/hyperlink" Target="https://fasih-sm.bps.go.id/app/assignment/fd68e454-ba45-4b85-8205-f3bf777ded24/fe32d362-bffd-4349-9736-f39451b38dae" TargetMode="External"/><Relationship Id="rId1" Type="http://schemas.openxmlformats.org/officeDocument/2006/relationships/hyperlink" Target="https://fasih-sm.bps.go.id/app/assignment/fd68e454-ba45-4b85-8205-f3bf777ded24/da9dc88a-e154-4724-bb07-2100ed1fc06e" TargetMode="External"/><Relationship Id="rId233" Type="http://schemas.openxmlformats.org/officeDocument/2006/relationships/hyperlink" Target="https://fasih-sm.bps.go.id/app/assignment/fd68e454-ba45-4b85-8205-f3bf777ded24/ebeeaec8-6c3f-4a43-84b3-bdd9a0580251" TargetMode="External"/><Relationship Id="rId440" Type="http://schemas.openxmlformats.org/officeDocument/2006/relationships/hyperlink" Target="https://fasih-sm.bps.go.id/app/assignment/fd68e454-ba45-4b85-8205-f3bf777ded24/fd7b35a5-13b3-4ed9-a949-628eddca6708" TargetMode="External"/><Relationship Id="rId678" Type="http://schemas.openxmlformats.org/officeDocument/2006/relationships/hyperlink" Target="https://fasih-sm.bps.go.id/app/assignment/fd68e454-ba45-4b85-8205-f3bf777ded24/e3746b5f-c996-48ce-acee-af1bcaf3e85a" TargetMode="External"/><Relationship Id="rId885" Type="http://schemas.openxmlformats.org/officeDocument/2006/relationships/hyperlink" Target="https://fasih-sm.bps.go.id/app/assignment/fd68e454-ba45-4b85-8205-f3bf777ded24/f296d1cd-1df7-4334-aeab-cea784db4cd5" TargetMode="External"/><Relationship Id="rId1070" Type="http://schemas.openxmlformats.org/officeDocument/2006/relationships/hyperlink" Target="https://fasih-sm.bps.go.id/app/assignment/fd68e454-ba45-4b85-8205-f3bf777ded24/5da8fcb0-a6b4-417f-80d9-e99fc517d91d" TargetMode="External"/><Relationship Id="rId28" Type="http://schemas.openxmlformats.org/officeDocument/2006/relationships/hyperlink" Target="https://fasih-sm.bps.go.id/app/assignment/fd68e454-ba45-4b85-8205-f3bf777ded24/ddb8278f-83a6-4b03-aef8-b4eebc577864" TargetMode="External"/><Relationship Id="rId300" Type="http://schemas.openxmlformats.org/officeDocument/2006/relationships/hyperlink" Target="https://fasih-sm.bps.go.id/app/assignment/fd68e454-ba45-4b85-8205-f3bf777ded24/f135d60d-4bb2-4338-9327-e0296be24d83" TargetMode="External"/><Relationship Id="rId538" Type="http://schemas.openxmlformats.org/officeDocument/2006/relationships/hyperlink" Target="https://fasih-sm.bps.go.id/app/assignment/fd68e454-ba45-4b85-8205-f3bf777ded24/eea88026-09f1-4b54-8070-27fb49d9da1c" TargetMode="External"/><Relationship Id="rId745" Type="http://schemas.openxmlformats.org/officeDocument/2006/relationships/hyperlink" Target="https://fasih-sm.bps.go.id/app/assignment/fd68e454-ba45-4b85-8205-f3bf777ded24/e8390118-c571-4029-aa2f-30fecd67df3e" TargetMode="External"/><Relationship Id="rId952" Type="http://schemas.openxmlformats.org/officeDocument/2006/relationships/hyperlink" Target="https://fasih-sm.bps.go.id/app/assignment/fd68e454-ba45-4b85-8205-f3bf777ded24/f835dd15-69e8-4ee4-b31b-ed1d58655112" TargetMode="External"/><Relationship Id="rId81" Type="http://schemas.openxmlformats.org/officeDocument/2006/relationships/hyperlink" Target="https://fasih-sm.bps.go.id/app/assignment/fd68e454-ba45-4b85-8205-f3bf777ded24/e1d38074-0e05-44e0-9434-15e729453c9c" TargetMode="External"/><Relationship Id="rId177" Type="http://schemas.openxmlformats.org/officeDocument/2006/relationships/hyperlink" Target="https://fasih-sm.bps.go.id/app/assignment/fd68e454-ba45-4b85-8205-f3bf777ded24/e861cd92-afb6-45ac-a482-a190fb1ca779" TargetMode="External"/><Relationship Id="rId384" Type="http://schemas.openxmlformats.org/officeDocument/2006/relationships/hyperlink" Target="https://fasih-sm.bps.go.id/app/assignment/fd68e454-ba45-4b85-8205-f3bf777ded24/f88ee133-e7a0-4b38-8828-b1c5aab95d3d" TargetMode="External"/><Relationship Id="rId591" Type="http://schemas.openxmlformats.org/officeDocument/2006/relationships/hyperlink" Target="https://fasih-sm.bps.go.id/app/assignment/fd68e454-ba45-4b85-8205-f3bf777ded24/dceeafe3-d000-429c-a79c-e5bee5a9f0f1" TargetMode="External"/><Relationship Id="rId605" Type="http://schemas.openxmlformats.org/officeDocument/2006/relationships/hyperlink" Target="https://fasih-sm.bps.go.id/app/assignment/fd68e454-ba45-4b85-8205-f3bf777ded24/de24b882-b345-4f69-8d5b-48c035df6bd8" TargetMode="External"/><Relationship Id="rId812" Type="http://schemas.openxmlformats.org/officeDocument/2006/relationships/hyperlink" Target="https://fasih-sm.bps.go.id/app/assignment/fd68e454-ba45-4b85-8205-f3bf777ded24/ec72693b-56cc-4450-989d-59eb14b78112" TargetMode="External"/><Relationship Id="rId1028" Type="http://schemas.openxmlformats.org/officeDocument/2006/relationships/hyperlink" Target="https://fasih-sm.bps.go.id/app/assignment/fd68e454-ba45-4b85-8205-f3bf777ded24/feff24ff-9d0b-4163-bf51-e353fa058eb3" TargetMode="External"/><Relationship Id="rId244" Type="http://schemas.openxmlformats.org/officeDocument/2006/relationships/hyperlink" Target="https://fasih-sm.bps.go.id/app/assignment/fd68e454-ba45-4b85-8205-f3bf777ded24/ec9baff1-420d-4136-af37-942bb77d872c" TargetMode="External"/><Relationship Id="rId689" Type="http://schemas.openxmlformats.org/officeDocument/2006/relationships/hyperlink" Target="https://fasih-sm.bps.go.id/app/assignment/fd68e454-ba45-4b85-8205-f3bf777ded24/e4f4dfad-f4e9-440b-a1fb-dbda041f8a80" TargetMode="External"/><Relationship Id="rId896" Type="http://schemas.openxmlformats.org/officeDocument/2006/relationships/hyperlink" Target="https://fasih-sm.bps.go.id/app/assignment/fd68e454-ba45-4b85-8205-f3bf777ded24/f3ea58f3-c4b7-4181-8f40-e7fdc4aca07a" TargetMode="External"/><Relationship Id="rId1081" Type="http://schemas.openxmlformats.org/officeDocument/2006/relationships/hyperlink" Target="https://fasih-sm.bps.go.id/app/assignment/fd68e454-ba45-4b85-8205-f3bf777ded24/79f2bb64-e692-4044-8977-ac23da017b35" TargetMode="External"/><Relationship Id="rId39" Type="http://schemas.openxmlformats.org/officeDocument/2006/relationships/hyperlink" Target="https://fasih-sm.bps.go.id/app/assignment/fd68e454-ba45-4b85-8205-f3bf777ded24/de4d919b-086e-40af-b46e-bb5c216b5428" TargetMode="External"/><Relationship Id="rId451" Type="http://schemas.openxmlformats.org/officeDocument/2006/relationships/hyperlink" Target="https://fasih-sm.bps.go.id/app/assignment/fd68e454-ba45-4b85-8205-f3bf777ded24/fe863518-90a3-4d30-858e-281be9434481" TargetMode="External"/><Relationship Id="rId549" Type="http://schemas.openxmlformats.org/officeDocument/2006/relationships/hyperlink" Target="https://fasih-sm.bps.go.id/app/assignment/fd68e454-ba45-4b85-8205-f3bf777ded24/3df3f6cc-504c-4c3f-80e4-755f1c2ac782" TargetMode="External"/><Relationship Id="rId756" Type="http://schemas.openxmlformats.org/officeDocument/2006/relationships/hyperlink" Target="https://fasih-sm.bps.go.id/app/assignment/fd68e454-ba45-4b85-8205-f3bf777ded24/e8b9a724-71c2-42c9-918f-f721698f87f9" TargetMode="External"/><Relationship Id="rId104" Type="http://schemas.openxmlformats.org/officeDocument/2006/relationships/hyperlink" Target="https://fasih-sm.bps.go.id/app/assignment/fd68e454-ba45-4b85-8205-f3bf777ded24/e3511df3-fc44-4b1d-939b-3ed1d53086f4" TargetMode="External"/><Relationship Id="rId188" Type="http://schemas.openxmlformats.org/officeDocument/2006/relationships/hyperlink" Target="https://fasih-sm.bps.go.id/app/assignment/fd68e454-ba45-4b85-8205-f3bf777ded24/e8d5c727-1646-4afa-b110-40690afda27a" TargetMode="External"/><Relationship Id="rId311" Type="http://schemas.openxmlformats.org/officeDocument/2006/relationships/hyperlink" Target="https://fasih-sm.bps.go.id/app/assignment/fd68e454-ba45-4b85-8205-f3bf777ded24/f2416fee-fe0b-49db-a5b5-6c9c08df77f7" TargetMode="External"/><Relationship Id="rId395" Type="http://schemas.openxmlformats.org/officeDocument/2006/relationships/hyperlink" Target="https://fasih-sm.bps.go.id/app/assignment/fd68e454-ba45-4b85-8205-f3bf777ded24/f9d9bb31-20c7-4154-aec0-11f980aa0660" TargetMode="External"/><Relationship Id="rId409" Type="http://schemas.openxmlformats.org/officeDocument/2006/relationships/hyperlink" Target="https://fasih-sm.bps.go.id/app/assignment/fd68e454-ba45-4b85-8205-f3bf777ded24/fb3c6485-7210-4442-b86e-82cfdebec7dc" TargetMode="External"/><Relationship Id="rId963" Type="http://schemas.openxmlformats.org/officeDocument/2006/relationships/hyperlink" Target="https://fasih-sm.bps.go.id/app/assignment/fd68e454-ba45-4b85-8205-f3bf777ded24/f9a7e514-337d-4801-837c-7909a0c0ee22" TargetMode="External"/><Relationship Id="rId1039" Type="http://schemas.openxmlformats.org/officeDocument/2006/relationships/hyperlink" Target="https://fasih-sm.bps.go.id/app/assignment/fd68e454-ba45-4b85-8205-f3bf777ded24/ffbfa51f-827b-4b39-a70e-cfc9cab50231" TargetMode="External"/><Relationship Id="rId92" Type="http://schemas.openxmlformats.org/officeDocument/2006/relationships/hyperlink" Target="https://fasih-sm.bps.go.id/app/assignment/fd68e454-ba45-4b85-8205-f3bf777ded24/e29084d7-1eb8-4058-a48c-be6aee3d4ac7" TargetMode="External"/><Relationship Id="rId616" Type="http://schemas.openxmlformats.org/officeDocument/2006/relationships/hyperlink" Target="https://fasih-sm.bps.go.id/app/assignment/fd68e454-ba45-4b85-8205-f3bf777ded24/dea572df-2aef-405f-b76b-827342bc3a5f" TargetMode="External"/><Relationship Id="rId823" Type="http://schemas.openxmlformats.org/officeDocument/2006/relationships/hyperlink" Target="https://fasih-sm.bps.go.id/app/assignment/fd68e454-ba45-4b85-8205-f3bf777ded24/ed7c69df-51df-40f2-8461-61aade7da53f" TargetMode="External"/><Relationship Id="rId255" Type="http://schemas.openxmlformats.org/officeDocument/2006/relationships/hyperlink" Target="https://fasih-sm.bps.go.id/app/assignment/fd68e454-ba45-4b85-8205-f3bf777ded24/edb5f190-b189-43ee-97f6-072ff701e8fc" TargetMode="External"/><Relationship Id="rId462" Type="http://schemas.openxmlformats.org/officeDocument/2006/relationships/hyperlink" Target="https://fasih-sm.bps.go.id/app/assignment/fd68e454-ba45-4b85-8205-f3bf777ded24/ff676c8e-c1a7-4c94-a2eb-8e4342c49b3f" TargetMode="External"/><Relationship Id="rId1092" Type="http://schemas.openxmlformats.org/officeDocument/2006/relationships/hyperlink" Target="https://fasih-sm.bps.go.id/app/assignment/fd68e454-ba45-4b85-8205-f3bf777ded24/9c32f5e8-7f9e-440a-8812-2725e2712620" TargetMode="External"/><Relationship Id="rId1106" Type="http://schemas.openxmlformats.org/officeDocument/2006/relationships/hyperlink" Target="https://fasih-sm.bps.go.id/app/assignment/fd68e454-ba45-4b85-8205-f3bf777ded24/d7de1f61-b18c-40b8-8fd7-2659f18aa86d" TargetMode="External"/><Relationship Id="rId115" Type="http://schemas.openxmlformats.org/officeDocument/2006/relationships/hyperlink" Target="https://fasih-sm.bps.go.id/app/assignment/fd68e454-ba45-4b85-8205-f3bf777ded24/e483bab2-1857-4404-a8f0-638ae0285f9f" TargetMode="External"/><Relationship Id="rId322" Type="http://schemas.openxmlformats.org/officeDocument/2006/relationships/hyperlink" Target="https://fasih-sm.bps.go.id/app/assignment/fd68e454-ba45-4b85-8205-f3bf777ded24/f3a2f16e-8bd4-4386-b2c3-6c1c424839b7" TargetMode="External"/><Relationship Id="rId767" Type="http://schemas.openxmlformats.org/officeDocument/2006/relationships/hyperlink" Target="https://fasih-sm.bps.go.id/app/assignment/fd68e454-ba45-4b85-8205-f3bf777ded24/e94411d8-09f0-4027-8782-67ffdac81e26" TargetMode="External"/><Relationship Id="rId974" Type="http://schemas.openxmlformats.org/officeDocument/2006/relationships/hyperlink" Target="https://fasih-sm.bps.go.id/app/assignment/fd68e454-ba45-4b85-8205-f3bf777ded24/faaede9e-8600-46c9-8da7-a5bfbd9405d5" TargetMode="External"/><Relationship Id="rId199" Type="http://schemas.openxmlformats.org/officeDocument/2006/relationships/hyperlink" Target="https://fasih-sm.bps.go.id/app/assignment/fd68e454-ba45-4b85-8205-f3bf777ded24/e98f1806-71e2-482d-942d-4445d09daa6a" TargetMode="External"/><Relationship Id="rId627" Type="http://schemas.openxmlformats.org/officeDocument/2006/relationships/hyperlink" Target="https://fasih-sm.bps.go.id/app/assignment/fd68e454-ba45-4b85-8205-f3bf777ded24/df89d0b3-1f90-4200-9862-cfdc39703a62" TargetMode="External"/><Relationship Id="rId834" Type="http://schemas.openxmlformats.org/officeDocument/2006/relationships/hyperlink" Target="https://fasih-sm.bps.go.id/app/assignment/fd68e454-ba45-4b85-8205-f3bf777ded24/ee02ed5a-3609-434b-b002-e10373bec889" TargetMode="External"/><Relationship Id="rId266" Type="http://schemas.openxmlformats.org/officeDocument/2006/relationships/hyperlink" Target="https://fasih-sm.bps.go.id/app/assignment/fd68e454-ba45-4b85-8205-f3bf777ded24/ee5b080a-ff2d-46de-b1b6-57499abf26d1" TargetMode="External"/><Relationship Id="rId473" Type="http://schemas.openxmlformats.org/officeDocument/2006/relationships/hyperlink" Target="https://fasih-sm.bps.go.id/app/assignment/fd68e454-ba45-4b85-8205-f3bf777ded24/91c5bd77-47a1-4402-8123-9a00f479c55f" TargetMode="External"/><Relationship Id="rId680" Type="http://schemas.openxmlformats.org/officeDocument/2006/relationships/hyperlink" Target="https://fasih-sm.bps.go.id/app/assignment/fd68e454-ba45-4b85-8205-f3bf777ded24/e3cf5d96-0507-4f51-b662-3503c1b0880d" TargetMode="External"/><Relationship Id="rId901" Type="http://schemas.openxmlformats.org/officeDocument/2006/relationships/hyperlink" Target="https://fasih-sm.bps.go.id/app/assignment/fd68e454-ba45-4b85-8205-f3bf777ded24/f4500536-e6cc-4d1f-8b95-2fbb422b5e78" TargetMode="External"/><Relationship Id="rId1117" Type="http://schemas.openxmlformats.org/officeDocument/2006/relationships/hyperlink" Target="https://fasih-sm.bps.go.id/app/assignment/fd68e454-ba45-4b85-8205-f3bf777ded24/270c2d42-05ee-4b85-b935-a58aa0db5f4d" TargetMode="External"/><Relationship Id="rId30" Type="http://schemas.openxmlformats.org/officeDocument/2006/relationships/hyperlink" Target="https://fasih-sm.bps.go.id/app/assignment/fd68e454-ba45-4b85-8205-f3bf777ded24/de01defd-38ea-40bc-8781-439fd7fb69ac" TargetMode="External"/><Relationship Id="rId126" Type="http://schemas.openxmlformats.org/officeDocument/2006/relationships/hyperlink" Target="https://fasih-sm.bps.go.id/app/assignment/fd68e454-ba45-4b85-8205-f3bf777ded24/e5ad439d-e4fc-403a-b403-a000a6b6f323" TargetMode="External"/><Relationship Id="rId333" Type="http://schemas.openxmlformats.org/officeDocument/2006/relationships/hyperlink" Target="https://fasih-sm.bps.go.id/app/assignment/fd68e454-ba45-4b85-8205-f3bf777ded24/f4b3f5b4-77e0-4aef-bbfc-da4439de4364" TargetMode="External"/><Relationship Id="rId540" Type="http://schemas.openxmlformats.org/officeDocument/2006/relationships/hyperlink" Target="https://fasih-sm.bps.go.id/app/assignment/fd68e454-ba45-4b85-8205-f3bf777ded24/7d8bcce2-38d5-40d6-a44a-bdbad15c21a4" TargetMode="External"/><Relationship Id="rId778" Type="http://schemas.openxmlformats.org/officeDocument/2006/relationships/hyperlink" Target="https://fasih-sm.bps.go.id/app/assignment/fd68e454-ba45-4b85-8205-f3bf777ded24/ea2a9ebd-5ca9-4af3-bcce-28f8b063ef1b" TargetMode="External"/><Relationship Id="rId985" Type="http://schemas.openxmlformats.org/officeDocument/2006/relationships/hyperlink" Target="https://fasih-sm.bps.go.id/app/assignment/fd68e454-ba45-4b85-8205-f3bf777ded24/fbc98d89-7b00-4151-95a3-f9271c745425" TargetMode="External"/><Relationship Id="rId638" Type="http://schemas.openxmlformats.org/officeDocument/2006/relationships/hyperlink" Target="https://fasih-sm.bps.go.id/app/assignment/fd68e454-ba45-4b85-8205-f3bf777ded24/e0507d8d-d8d1-4026-9c89-2bcefc2a3029" TargetMode="External"/><Relationship Id="rId845" Type="http://schemas.openxmlformats.org/officeDocument/2006/relationships/hyperlink" Target="https://fasih-sm.bps.go.id/app/assignment/fd68e454-ba45-4b85-8205-f3bf777ded24/ef0dbcd7-411a-43e3-bd4d-7ab713698f54" TargetMode="External"/><Relationship Id="rId1030" Type="http://schemas.openxmlformats.org/officeDocument/2006/relationships/hyperlink" Target="https://fasih-sm.bps.go.id/app/assignment/fd68e454-ba45-4b85-8205-f3bf777ded24/ff26ebce-1013-4a0f-8399-518b14505a59" TargetMode="External"/><Relationship Id="rId277" Type="http://schemas.openxmlformats.org/officeDocument/2006/relationships/hyperlink" Target="https://fasih-sm.bps.go.id/app/assignment/fd68e454-ba45-4b85-8205-f3bf777ded24/ef73516a-ae28-451f-9ac1-1dbe6e9d5d79" TargetMode="External"/><Relationship Id="rId400" Type="http://schemas.openxmlformats.org/officeDocument/2006/relationships/hyperlink" Target="https://fasih-sm.bps.go.id/app/assignment/fd68e454-ba45-4b85-8205-f3bf777ded24/fa77a54f-7043-427c-9373-f3f28c31f467" TargetMode="External"/><Relationship Id="rId484" Type="http://schemas.openxmlformats.org/officeDocument/2006/relationships/hyperlink" Target="https://fasih-sm.bps.go.id/app/assignment/fd68e454-ba45-4b85-8205-f3bf777ded24/18f675a7-163a-41e7-a05b-47e9771b9ddc" TargetMode="External"/><Relationship Id="rId705" Type="http://schemas.openxmlformats.org/officeDocument/2006/relationships/hyperlink" Target="https://fasih-sm.bps.go.id/app/assignment/fd68e454-ba45-4b85-8205-f3bf777ded24/e6225972-f229-4a0f-8384-ce86de33c24c" TargetMode="External"/><Relationship Id="rId1128" Type="http://schemas.openxmlformats.org/officeDocument/2006/relationships/hyperlink" Target="https://fasih-sm.bps.go.id/app/assignment/fd68e454-ba45-4b85-8205-f3bf777ded24/626f0d8a-2eb7-4283-865e-d9467e047b79" TargetMode="External"/><Relationship Id="rId137" Type="http://schemas.openxmlformats.org/officeDocument/2006/relationships/hyperlink" Target="https://fasih-sm.bps.go.id/app/assignment/fd68e454-ba45-4b85-8205-f3bf777ded24/e63f0959-483f-4df9-a767-5de9c8ce17a4" TargetMode="External"/><Relationship Id="rId344" Type="http://schemas.openxmlformats.org/officeDocument/2006/relationships/hyperlink" Target="https://fasih-sm.bps.go.id/app/assignment/fd68e454-ba45-4b85-8205-f3bf777ded24/f57a94ae-d79e-4d66-a703-cdd933ada2d2" TargetMode="External"/><Relationship Id="rId691" Type="http://schemas.openxmlformats.org/officeDocument/2006/relationships/hyperlink" Target="https://fasih-sm.bps.go.id/app/assignment/fd68e454-ba45-4b85-8205-f3bf777ded24/e5217b8a-7612-4755-acfc-34b68279b74f" TargetMode="External"/><Relationship Id="rId789" Type="http://schemas.openxmlformats.org/officeDocument/2006/relationships/hyperlink" Target="https://fasih-sm.bps.go.id/app/assignment/fd68e454-ba45-4b85-8205-f3bf777ded24/eab787fc-a028-4a0d-8ee4-cb478df5be63" TargetMode="External"/><Relationship Id="rId912" Type="http://schemas.openxmlformats.org/officeDocument/2006/relationships/hyperlink" Target="https://fasih-sm.bps.go.id/app/assignment/fd68e454-ba45-4b85-8205-f3bf777ded24/f54acfb0-08da-448b-8b28-e2fefe11bb3c" TargetMode="External"/><Relationship Id="rId996" Type="http://schemas.openxmlformats.org/officeDocument/2006/relationships/hyperlink" Target="https://fasih-sm.bps.go.id/app/assignment/fd68e454-ba45-4b85-8205-f3bf777ded24/fc8a0222-a873-4230-b131-99bc0c20aee3" TargetMode="External"/><Relationship Id="rId41" Type="http://schemas.openxmlformats.org/officeDocument/2006/relationships/hyperlink" Target="https://fasih-sm.bps.go.id/app/assignment/fd68e454-ba45-4b85-8205-f3bf777ded24/de5bd721-13ed-4d87-814a-dc1f2d81e29f" TargetMode="External"/><Relationship Id="rId551" Type="http://schemas.openxmlformats.org/officeDocument/2006/relationships/hyperlink" Target="https://fasih-sm.bps.go.id/app/assignment/fd68e454-ba45-4b85-8205-f3bf777ded24/494d7222-c67b-4a92-808a-d8b3cee43856" TargetMode="External"/><Relationship Id="rId649" Type="http://schemas.openxmlformats.org/officeDocument/2006/relationships/hyperlink" Target="https://fasih-sm.bps.go.id/app/assignment/fd68e454-ba45-4b85-8205-f3bf777ded24/e132ea21-48ec-4a84-8fd3-598ed0399662" TargetMode="External"/><Relationship Id="rId856" Type="http://schemas.openxmlformats.org/officeDocument/2006/relationships/hyperlink" Target="https://fasih-sm.bps.go.id/app/assignment/fd68e454-ba45-4b85-8205-f3bf777ded24/eff64e7a-139b-48ea-b713-8a300c10f526" TargetMode="External"/><Relationship Id="rId190" Type="http://schemas.openxmlformats.org/officeDocument/2006/relationships/hyperlink" Target="https://fasih-sm.bps.go.id/app/assignment/fd68e454-ba45-4b85-8205-f3bf777ded24/e8e274ab-83df-4f0f-bca0-6df6b559fb7c" TargetMode="External"/><Relationship Id="rId204" Type="http://schemas.openxmlformats.org/officeDocument/2006/relationships/hyperlink" Target="https://fasih-sm.bps.go.id/app/assignment/fd68e454-ba45-4b85-8205-f3bf777ded24/ea0d3577-33f1-4d24-b387-9146a31044ba" TargetMode="External"/><Relationship Id="rId288" Type="http://schemas.openxmlformats.org/officeDocument/2006/relationships/hyperlink" Target="https://fasih-sm.bps.go.id/app/assignment/fd68e454-ba45-4b85-8205-f3bf777ded24/f00eb4b0-257e-4d77-ae21-f2ad6da594d6" TargetMode="External"/><Relationship Id="rId411" Type="http://schemas.openxmlformats.org/officeDocument/2006/relationships/hyperlink" Target="https://fasih-sm.bps.go.id/app/assignment/fd68e454-ba45-4b85-8205-f3bf777ded24/fb450bfa-927e-441a-be97-f34cbaac93e4" TargetMode="External"/><Relationship Id="rId509" Type="http://schemas.openxmlformats.org/officeDocument/2006/relationships/hyperlink" Target="https://fasih-sm.bps.go.id/app/assignment/fd68e454-ba45-4b85-8205-f3bf777ded24/74ebf425-7235-4195-a851-8c84af39c909" TargetMode="External"/><Relationship Id="rId1041" Type="http://schemas.openxmlformats.org/officeDocument/2006/relationships/hyperlink" Target="https://fasih-sm.bps.go.id/app/assignment/fd68e454-ba45-4b85-8205-f3bf777ded24/70e62aea-100a-4e20-beb7-42ca06268b71" TargetMode="External"/><Relationship Id="rId1139" Type="http://schemas.openxmlformats.org/officeDocument/2006/relationships/hyperlink" Target="https://fasih-sm.bps.go.id/app/assignment/fd68e454-ba45-4b85-8205-f3bf777ded24/a25938d0-69c3-4dcd-9ac3-ed66fcc25fc4" TargetMode="External"/><Relationship Id="rId495" Type="http://schemas.openxmlformats.org/officeDocument/2006/relationships/hyperlink" Target="https://fasih-sm.bps.go.id/app/assignment/fd68e454-ba45-4b85-8205-f3bf777ded24/4db6c690-e990-4ad3-b841-1fedb2b04797" TargetMode="External"/><Relationship Id="rId716" Type="http://schemas.openxmlformats.org/officeDocument/2006/relationships/hyperlink" Target="https://fasih-sm.bps.go.id/app/assignment/fd68e454-ba45-4b85-8205-f3bf777ded24/e6b905f8-f750-410d-a037-4a79ee69b1be" TargetMode="External"/><Relationship Id="rId923" Type="http://schemas.openxmlformats.org/officeDocument/2006/relationships/hyperlink" Target="https://fasih-sm.bps.go.id/app/assignment/fd68e454-ba45-4b85-8205-f3bf777ded24/f602cc30-4488-421b-8a6f-41a17325519e" TargetMode="External"/><Relationship Id="rId52" Type="http://schemas.openxmlformats.org/officeDocument/2006/relationships/hyperlink" Target="https://fasih-sm.bps.go.id/app/assignment/fd68e454-ba45-4b85-8205-f3bf777ded24/df0fc486-9de7-4940-8a35-2e4a0c676ff9" TargetMode="External"/><Relationship Id="rId148" Type="http://schemas.openxmlformats.org/officeDocument/2006/relationships/hyperlink" Target="https://fasih-sm.bps.go.id/app/assignment/fd68e454-ba45-4b85-8205-f3bf777ded24/e6ce2a3d-9369-4ece-9953-c32ad862a670" TargetMode="External"/><Relationship Id="rId355" Type="http://schemas.openxmlformats.org/officeDocument/2006/relationships/hyperlink" Target="https://fasih-sm.bps.go.id/app/assignment/fd68e454-ba45-4b85-8205-f3bf777ded24/f626ef16-5590-4904-a0b4-2280805f715b" TargetMode="External"/><Relationship Id="rId562" Type="http://schemas.openxmlformats.org/officeDocument/2006/relationships/hyperlink" Target="https://fasih-sm.bps.go.id/app/assignment/fd68e454-ba45-4b85-8205-f3bf777ded24/74fa3357-ddd1-44a4-810c-e3ca2d0f9a6f" TargetMode="External"/><Relationship Id="rId215" Type="http://schemas.openxmlformats.org/officeDocument/2006/relationships/hyperlink" Target="https://fasih-sm.bps.go.id/app/assignment/fd68e454-ba45-4b85-8205-f3bf777ded24/ea90256e-7e47-4334-b752-1d02293ed81a" TargetMode="External"/><Relationship Id="rId422" Type="http://schemas.openxmlformats.org/officeDocument/2006/relationships/hyperlink" Target="https://fasih-sm.bps.go.id/app/assignment/fd68e454-ba45-4b85-8205-f3bf777ded24/fc612093-6639-4114-b709-20c54d41e1f4" TargetMode="External"/><Relationship Id="rId867" Type="http://schemas.openxmlformats.org/officeDocument/2006/relationships/hyperlink" Target="https://fasih-sm.bps.go.id/app/assignment/fd68e454-ba45-4b85-8205-f3bf777ded24/f0ece0b1-735f-4434-844f-dab4c57e5a78" TargetMode="External"/><Relationship Id="rId1052" Type="http://schemas.openxmlformats.org/officeDocument/2006/relationships/hyperlink" Target="https://fasih-sm.bps.go.id/app/assignment/fd68e454-ba45-4b85-8205-f3bf777ded24/04e7a0a0-a4e9-408b-a506-8439efab8c09" TargetMode="External"/><Relationship Id="rId299" Type="http://schemas.openxmlformats.org/officeDocument/2006/relationships/hyperlink" Target="https://fasih-sm.bps.go.id/app/assignment/fd68e454-ba45-4b85-8205-f3bf777ded24/f122523a-f753-4747-b1e0-1f5f48289280" TargetMode="External"/><Relationship Id="rId727" Type="http://schemas.openxmlformats.org/officeDocument/2006/relationships/hyperlink" Target="https://fasih-sm.bps.go.id/app/assignment/fd68e454-ba45-4b85-8205-f3bf777ded24/e7287b9c-dfdb-4216-a7bd-f31f8de904b8" TargetMode="External"/><Relationship Id="rId934" Type="http://schemas.openxmlformats.org/officeDocument/2006/relationships/hyperlink" Target="https://fasih-sm.bps.go.id/app/assignment/fd68e454-ba45-4b85-8205-f3bf777ded24/f6990f11-c672-4135-9e22-2cabaf118533" TargetMode="External"/><Relationship Id="rId63" Type="http://schemas.openxmlformats.org/officeDocument/2006/relationships/hyperlink" Target="https://fasih-sm.bps.go.id/app/assignment/fd68e454-ba45-4b85-8205-f3bf777ded24/dff2ab19-552b-40bc-90e7-657f3713228b" TargetMode="External"/><Relationship Id="rId159" Type="http://schemas.openxmlformats.org/officeDocument/2006/relationships/hyperlink" Target="https://fasih-sm.bps.go.id/app/assignment/fd68e454-ba45-4b85-8205-f3bf777ded24/e7783f2a-ed96-4737-bd19-36468e0c104f" TargetMode="External"/><Relationship Id="rId366" Type="http://schemas.openxmlformats.org/officeDocument/2006/relationships/hyperlink" Target="https://fasih-sm.bps.go.id/app/assignment/fd68e454-ba45-4b85-8205-f3bf777ded24/f6c97438-15d6-435f-87b4-5cddee81f6ce" TargetMode="External"/><Relationship Id="rId573" Type="http://schemas.openxmlformats.org/officeDocument/2006/relationships/hyperlink" Target="https://fasih-sm.bps.go.id/app/assignment/fd68e454-ba45-4b85-8205-f3bf777ded24/dacd1b8c-43f8-43da-90c5-913c4707b530" TargetMode="External"/><Relationship Id="rId780" Type="http://schemas.openxmlformats.org/officeDocument/2006/relationships/hyperlink" Target="https://fasih-sm.bps.go.id/app/assignment/fd68e454-ba45-4b85-8205-f3bf777ded24/ea4ed21d-4eea-4693-9e78-bc54d2235168" TargetMode="External"/><Relationship Id="rId226" Type="http://schemas.openxmlformats.org/officeDocument/2006/relationships/hyperlink" Target="https://fasih-sm.bps.go.id/app/assignment/fd68e454-ba45-4b85-8205-f3bf777ded24/eb627ea1-e7ff-4dfa-a871-7ab11b1ae934" TargetMode="External"/><Relationship Id="rId433" Type="http://schemas.openxmlformats.org/officeDocument/2006/relationships/hyperlink" Target="https://fasih-sm.bps.go.id/app/assignment/fd68e454-ba45-4b85-8205-f3bf777ded24/fd3bdeb9-357b-422a-92c5-6a7f40c5ca7d" TargetMode="External"/><Relationship Id="rId878" Type="http://schemas.openxmlformats.org/officeDocument/2006/relationships/hyperlink" Target="https://fasih-sm.bps.go.id/app/assignment/fd68e454-ba45-4b85-8205-f3bf777ded24/f1d0273f-7e63-42f3-82a0-2f31931f9278" TargetMode="External"/><Relationship Id="rId1063" Type="http://schemas.openxmlformats.org/officeDocument/2006/relationships/hyperlink" Target="https://fasih-sm.bps.go.id/app/assignment/fd68e454-ba45-4b85-8205-f3bf777ded24/3ed21529-f9c8-4112-ad50-36efb8977f95" TargetMode="External"/><Relationship Id="rId640" Type="http://schemas.openxmlformats.org/officeDocument/2006/relationships/hyperlink" Target="https://fasih-sm.bps.go.id/app/assignment/fd68e454-ba45-4b85-8205-f3bf777ded24/e078b223-316b-403b-ac2f-80214bb1a3b3" TargetMode="External"/><Relationship Id="rId738" Type="http://schemas.openxmlformats.org/officeDocument/2006/relationships/hyperlink" Target="https://fasih-sm.bps.go.id/app/assignment/fd68e454-ba45-4b85-8205-f3bf777ded24/e7bd13ff-172a-4aec-be3b-89333cd89e2f" TargetMode="External"/><Relationship Id="rId945" Type="http://schemas.openxmlformats.org/officeDocument/2006/relationships/hyperlink" Target="https://fasih-sm.bps.go.id/app/assignment/fd68e454-ba45-4b85-8205-f3bf777ded24/f7f41255-b5dc-42ea-bdf9-6855529b6dd1" TargetMode="External"/><Relationship Id="rId74" Type="http://schemas.openxmlformats.org/officeDocument/2006/relationships/hyperlink" Target="https://fasih-sm.bps.go.id/app/assignment/fd68e454-ba45-4b85-8205-f3bf777ded24/e0dc79f1-93b2-4a1a-9d10-d81322b40004" TargetMode="External"/><Relationship Id="rId377" Type="http://schemas.openxmlformats.org/officeDocument/2006/relationships/hyperlink" Target="https://fasih-sm.bps.go.id/app/assignment/fd68e454-ba45-4b85-8205-f3bf777ded24/f819bf0b-03ec-49b6-a223-1e60b49bc468" TargetMode="External"/><Relationship Id="rId500" Type="http://schemas.openxmlformats.org/officeDocument/2006/relationships/hyperlink" Target="https://fasih-sm.bps.go.id/app/assignment/fd68e454-ba45-4b85-8205-f3bf777ded24/61669ae3-da13-4013-8419-8cd2be1fc5c8" TargetMode="External"/><Relationship Id="rId584" Type="http://schemas.openxmlformats.org/officeDocument/2006/relationships/hyperlink" Target="https://fasih-sm.bps.go.id/app/assignment/fd68e454-ba45-4b85-8205-f3bf777ded24/dc48b20b-dfb1-4ee4-b0d6-1a1deed0adf2" TargetMode="External"/><Relationship Id="rId805" Type="http://schemas.openxmlformats.org/officeDocument/2006/relationships/hyperlink" Target="https://fasih-sm.bps.go.id/app/assignment/fd68e454-ba45-4b85-8205-f3bf777ded24/ebf459fe-3f86-4fbd-b8d7-3f9edbbb49ea" TargetMode="External"/><Relationship Id="rId1130" Type="http://schemas.openxmlformats.org/officeDocument/2006/relationships/hyperlink" Target="https://fasih-sm.bps.go.id/app/assignment/fd68e454-ba45-4b85-8205-f3bf777ded24/65164302-b354-4af6-9168-88b828a3bd75" TargetMode="External"/><Relationship Id="rId5" Type="http://schemas.openxmlformats.org/officeDocument/2006/relationships/hyperlink" Target="https://fasih-sm.bps.go.id/app/assignment/fd68e454-ba45-4b85-8205-f3bf777ded24/db3b534f-ae26-40e6-b659-b65596f48484" TargetMode="External"/><Relationship Id="rId237" Type="http://schemas.openxmlformats.org/officeDocument/2006/relationships/hyperlink" Target="https://fasih-sm.bps.go.id/app/assignment/fd68e454-ba45-4b85-8205-f3bf777ded24/ec1c95b1-62ec-4431-b4c0-da9874608a59" TargetMode="External"/><Relationship Id="rId791" Type="http://schemas.openxmlformats.org/officeDocument/2006/relationships/hyperlink" Target="https://fasih-sm.bps.go.id/app/assignment/fd68e454-ba45-4b85-8205-f3bf777ded24/eae3501a-d0e2-4729-8774-aa2c3eca78c8" TargetMode="External"/><Relationship Id="rId889" Type="http://schemas.openxmlformats.org/officeDocument/2006/relationships/hyperlink" Target="https://fasih-sm.bps.go.id/app/assignment/fd68e454-ba45-4b85-8205-f3bf777ded24/f2eac54d-bfa2-425f-90ee-d8449c3ffd74" TargetMode="External"/><Relationship Id="rId1074" Type="http://schemas.openxmlformats.org/officeDocument/2006/relationships/hyperlink" Target="https://fasih-sm.bps.go.id/app/assignment/fd68e454-ba45-4b85-8205-f3bf777ded24/63bda6ea-0da6-42a0-b15e-c9a1e811d228" TargetMode="External"/><Relationship Id="rId444" Type="http://schemas.openxmlformats.org/officeDocument/2006/relationships/hyperlink" Target="https://fasih-sm.bps.go.id/app/assignment/fd68e454-ba45-4b85-8205-f3bf777ded24/fde9a06a-4e58-4078-8a18-e35d86313ed6" TargetMode="External"/><Relationship Id="rId651" Type="http://schemas.openxmlformats.org/officeDocument/2006/relationships/hyperlink" Target="https://fasih-sm.bps.go.id/app/assignment/fd68e454-ba45-4b85-8205-f3bf777ded24/e1b256cd-f9ce-4361-ab0a-cd1a9e3f268c" TargetMode="External"/><Relationship Id="rId749" Type="http://schemas.openxmlformats.org/officeDocument/2006/relationships/hyperlink" Target="https://fasih-sm.bps.go.id/app/assignment/fd68e454-ba45-4b85-8205-f3bf777ded24/e866e478-d5e6-45c7-b1b0-76597ada6b6d" TargetMode="External"/><Relationship Id="rId290" Type="http://schemas.openxmlformats.org/officeDocument/2006/relationships/hyperlink" Target="https://fasih-sm.bps.go.id/app/assignment/fd68e454-ba45-4b85-8205-f3bf777ded24/f0285702-9025-4d72-9439-46dbc9e998b2" TargetMode="External"/><Relationship Id="rId304" Type="http://schemas.openxmlformats.org/officeDocument/2006/relationships/hyperlink" Target="https://fasih-sm.bps.go.id/app/assignment/fd68e454-ba45-4b85-8205-f3bf777ded24/f174a37f-90fb-4571-9c17-1b3d3d7dbd81" TargetMode="External"/><Relationship Id="rId388" Type="http://schemas.openxmlformats.org/officeDocument/2006/relationships/hyperlink" Target="https://fasih-sm.bps.go.id/app/assignment/fd68e454-ba45-4b85-8205-f3bf777ded24/f8e7f606-77f6-464f-8fd9-e3ef174e72b3" TargetMode="External"/><Relationship Id="rId511" Type="http://schemas.openxmlformats.org/officeDocument/2006/relationships/hyperlink" Target="https://fasih-sm.bps.go.id/app/assignment/fd68e454-ba45-4b85-8205-f3bf777ded24/7cd97166-cc5d-4426-84a1-de05b638658f" TargetMode="External"/><Relationship Id="rId609" Type="http://schemas.openxmlformats.org/officeDocument/2006/relationships/hyperlink" Target="https://fasih-sm.bps.go.id/app/assignment/fd68e454-ba45-4b85-8205-f3bf777ded24/de3e28d4-c107-4b76-89ee-db3ab9ac9571" TargetMode="External"/><Relationship Id="rId956" Type="http://schemas.openxmlformats.org/officeDocument/2006/relationships/hyperlink" Target="https://fasih-sm.bps.go.id/app/assignment/fd68e454-ba45-4b85-8205-f3bf777ded24/f8aec111-9087-4bb7-aa2a-da60830e4f00" TargetMode="External"/><Relationship Id="rId1141" Type="http://schemas.openxmlformats.org/officeDocument/2006/relationships/hyperlink" Target="https://fasih-sm.bps.go.id/app/assignment/fd68e454-ba45-4b85-8205-f3bf777ded24/b0211d85-4423-4774-9d77-88ee8387d5b3" TargetMode="External"/><Relationship Id="rId85" Type="http://schemas.openxmlformats.org/officeDocument/2006/relationships/hyperlink" Target="https://fasih-sm.bps.go.id/app/assignment/fd68e454-ba45-4b85-8205-f3bf777ded24/e201f06c-c564-44af-bb99-bc6d76e3be9a" TargetMode="External"/><Relationship Id="rId150" Type="http://schemas.openxmlformats.org/officeDocument/2006/relationships/hyperlink" Target="https://fasih-sm.bps.go.id/app/assignment/fd68e454-ba45-4b85-8205-f3bf777ded24/e6eec71e-5d3c-4138-9b9e-51965b905921" TargetMode="External"/><Relationship Id="rId595" Type="http://schemas.openxmlformats.org/officeDocument/2006/relationships/hyperlink" Target="https://fasih-sm.bps.go.id/app/assignment/fd68e454-ba45-4b85-8205-f3bf777ded24/dd27982e-e22c-4256-b00c-a91d1c230c64" TargetMode="External"/><Relationship Id="rId816" Type="http://schemas.openxmlformats.org/officeDocument/2006/relationships/hyperlink" Target="https://fasih-sm.bps.go.id/app/assignment/fd68e454-ba45-4b85-8205-f3bf777ded24/ecde720a-28a1-4f0e-bfb7-764a9814a939" TargetMode="External"/><Relationship Id="rId1001" Type="http://schemas.openxmlformats.org/officeDocument/2006/relationships/hyperlink" Target="https://fasih-sm.bps.go.id/app/assignment/fd68e454-ba45-4b85-8205-f3bf777ded24/fceb1ad1-ecf2-419c-8073-57a6cc609b73" TargetMode="External"/><Relationship Id="rId248" Type="http://schemas.openxmlformats.org/officeDocument/2006/relationships/hyperlink" Target="https://fasih-sm.bps.go.id/app/assignment/fd68e454-ba45-4b85-8205-f3bf777ded24/ed1d857b-b58a-41e4-8acf-ad11c0b35e0c" TargetMode="External"/><Relationship Id="rId455" Type="http://schemas.openxmlformats.org/officeDocument/2006/relationships/hyperlink" Target="https://fasih-sm.bps.go.id/app/assignment/fd68e454-ba45-4b85-8205-f3bf777ded24/feb6b124-d62e-43be-93ee-713c2e026a1d" TargetMode="External"/><Relationship Id="rId662" Type="http://schemas.openxmlformats.org/officeDocument/2006/relationships/hyperlink" Target="https://fasih-sm.bps.go.id/app/assignment/fd68e454-ba45-4b85-8205-f3bf777ded24/e28f988c-51fe-4ae8-ab12-325550cbc7a1" TargetMode="External"/><Relationship Id="rId1085" Type="http://schemas.openxmlformats.org/officeDocument/2006/relationships/hyperlink" Target="https://fasih-sm.bps.go.id/app/assignment/fd68e454-ba45-4b85-8205-f3bf777ded24/88313ef3-f89a-4091-8bb4-6aeebbe3418a" TargetMode="External"/><Relationship Id="rId12" Type="http://schemas.openxmlformats.org/officeDocument/2006/relationships/hyperlink" Target="https://fasih-sm.bps.go.id/app/assignment/fd68e454-ba45-4b85-8205-f3bf777ded24/dc36461d-3a71-4913-b0e8-54f7134bb9f7" TargetMode="External"/><Relationship Id="rId108" Type="http://schemas.openxmlformats.org/officeDocument/2006/relationships/hyperlink" Target="https://fasih-sm.bps.go.id/app/assignment/fd68e454-ba45-4b85-8205-f3bf777ded24/e39a4f03-6937-4631-a1f2-77c18399edf2" TargetMode="External"/><Relationship Id="rId315" Type="http://schemas.openxmlformats.org/officeDocument/2006/relationships/hyperlink" Target="https://fasih-sm.bps.go.id/app/assignment/fd68e454-ba45-4b85-8205-f3bf777ded24/f2d74255-07c7-4edf-b149-c849f0f725ea" TargetMode="External"/><Relationship Id="rId522" Type="http://schemas.openxmlformats.org/officeDocument/2006/relationships/hyperlink" Target="https://fasih-sm.bps.go.id/app/assignment/fd68e454-ba45-4b85-8205-f3bf777ded24/9f6a90bd-c8f5-450c-8f70-7cd7b513618c" TargetMode="External"/><Relationship Id="rId967" Type="http://schemas.openxmlformats.org/officeDocument/2006/relationships/hyperlink" Target="https://fasih-sm.bps.go.id/app/assignment/fd68e454-ba45-4b85-8205-f3bf777ded24/fa0d5c03-ed97-453a-ab4d-072619f798eb" TargetMode="External"/><Relationship Id="rId96" Type="http://schemas.openxmlformats.org/officeDocument/2006/relationships/hyperlink" Target="https://fasih-sm.bps.go.id/app/assignment/fd68e454-ba45-4b85-8205-f3bf777ded24/e2dde351-702e-4720-a953-ebbf1b92ae6b" TargetMode="External"/><Relationship Id="rId161" Type="http://schemas.openxmlformats.org/officeDocument/2006/relationships/hyperlink" Target="https://fasih-sm.bps.go.id/app/assignment/fd68e454-ba45-4b85-8205-f3bf777ded24/e78582ac-f0cb-4fc7-9906-9e4949281a11" TargetMode="External"/><Relationship Id="rId399" Type="http://schemas.openxmlformats.org/officeDocument/2006/relationships/hyperlink" Target="https://fasih-sm.bps.go.id/app/assignment/fd68e454-ba45-4b85-8205-f3bf777ded24/fa77a54f-7043-427c-9373-f3f28c31f467" TargetMode="External"/><Relationship Id="rId827" Type="http://schemas.openxmlformats.org/officeDocument/2006/relationships/hyperlink" Target="https://fasih-sm.bps.go.id/app/assignment/fd68e454-ba45-4b85-8205-f3bf777ded24/eddc8c42-715e-4855-bacb-b9883aa678df" TargetMode="External"/><Relationship Id="rId1012" Type="http://schemas.openxmlformats.org/officeDocument/2006/relationships/hyperlink" Target="https://fasih-sm.bps.go.id/app/assignment/fd68e454-ba45-4b85-8205-f3bf777ded24/fd82df47-eb63-4e7b-a12a-f9b68c987c01" TargetMode="External"/><Relationship Id="rId259" Type="http://schemas.openxmlformats.org/officeDocument/2006/relationships/hyperlink" Target="https://fasih-sm.bps.go.id/app/assignment/fd68e454-ba45-4b85-8205-f3bf777ded24/edf29b68-62cb-4f91-bbee-8457bc89d60e" TargetMode="External"/><Relationship Id="rId466" Type="http://schemas.openxmlformats.org/officeDocument/2006/relationships/hyperlink" Target="https://fasih-sm.bps.go.id/app/assignment/fd68e454-ba45-4b85-8205-f3bf777ded24/ff8896f1-69d4-4b74-a5df-a014943ff060" TargetMode="External"/><Relationship Id="rId673" Type="http://schemas.openxmlformats.org/officeDocument/2006/relationships/hyperlink" Target="https://fasih-sm.bps.go.id/app/assignment/fd68e454-ba45-4b85-8205-f3bf777ded24/e327b026-b84f-4c90-9bbf-486e198b70bb" TargetMode="External"/><Relationship Id="rId880" Type="http://schemas.openxmlformats.org/officeDocument/2006/relationships/hyperlink" Target="https://fasih-sm.bps.go.id/app/assignment/fd68e454-ba45-4b85-8205-f3bf777ded24/f1fa5694-09f7-4f2f-88d9-0b9c631310ad" TargetMode="External"/><Relationship Id="rId1096" Type="http://schemas.openxmlformats.org/officeDocument/2006/relationships/hyperlink" Target="https://fasih-sm.bps.go.id/app/assignment/fd68e454-ba45-4b85-8205-f3bf777ded24/abbfcc4f-e52b-417b-b691-bf73eab8edc5" TargetMode="External"/><Relationship Id="rId23" Type="http://schemas.openxmlformats.org/officeDocument/2006/relationships/hyperlink" Target="https://fasih-sm.bps.go.id/app/assignment/fd68e454-ba45-4b85-8205-f3bf777ded24/dd275136-fd5d-406f-9e7a-5d92d5e4abf6" TargetMode="External"/><Relationship Id="rId119" Type="http://schemas.openxmlformats.org/officeDocument/2006/relationships/hyperlink" Target="https://fasih-sm.bps.go.id/app/assignment/fd68e454-ba45-4b85-8205-f3bf777ded24/e51e3c3a-d2e4-4373-a292-b92d6a595cbe" TargetMode="External"/><Relationship Id="rId326" Type="http://schemas.openxmlformats.org/officeDocument/2006/relationships/hyperlink" Target="https://fasih-sm.bps.go.id/app/assignment/fd68e454-ba45-4b85-8205-f3bf777ded24/f3fd1317-d674-4b0f-bdf5-285ec1a65ac1" TargetMode="External"/><Relationship Id="rId533" Type="http://schemas.openxmlformats.org/officeDocument/2006/relationships/hyperlink" Target="https://fasih-sm.bps.go.id/app/assignment/fd68e454-ba45-4b85-8205-f3bf777ded24/d483206a-2599-46f2-a240-3e0098e94ca0" TargetMode="External"/><Relationship Id="rId978" Type="http://schemas.openxmlformats.org/officeDocument/2006/relationships/hyperlink" Target="https://fasih-sm.bps.go.id/app/assignment/fd68e454-ba45-4b85-8205-f3bf777ded24/faeab723-73d2-453e-9b9d-0445100953f5" TargetMode="External"/><Relationship Id="rId740" Type="http://schemas.openxmlformats.org/officeDocument/2006/relationships/hyperlink" Target="https://fasih-sm.bps.go.id/app/assignment/fd68e454-ba45-4b85-8205-f3bf777ded24/e7e8c133-99a7-4d00-8c96-e9d1ab48d78f" TargetMode="External"/><Relationship Id="rId838" Type="http://schemas.openxmlformats.org/officeDocument/2006/relationships/hyperlink" Target="https://fasih-sm.bps.go.id/app/assignment/fd68e454-ba45-4b85-8205-f3bf777ded24/ee96e9f3-7d99-4616-99a1-5a41be5c50be" TargetMode="External"/><Relationship Id="rId1023" Type="http://schemas.openxmlformats.org/officeDocument/2006/relationships/hyperlink" Target="https://fasih-sm.bps.go.id/app/assignment/fd68e454-ba45-4b85-8205-f3bf777ded24/fe87b5b1-a6b5-4688-8edb-fdf6d5f183de" TargetMode="External"/><Relationship Id="rId172" Type="http://schemas.openxmlformats.org/officeDocument/2006/relationships/hyperlink" Target="https://fasih-sm.bps.go.id/app/assignment/fd68e454-ba45-4b85-8205-f3bf777ded24/e7fa4458-68f6-4d78-a72d-9ebd06d12835" TargetMode="External"/><Relationship Id="rId477" Type="http://schemas.openxmlformats.org/officeDocument/2006/relationships/hyperlink" Target="https://fasih-sm.bps.go.id/app/assignment/fd68e454-ba45-4b85-8205-f3bf777ded24/a46341bd-9997-403b-84ee-f3412e59cb53" TargetMode="External"/><Relationship Id="rId600" Type="http://schemas.openxmlformats.org/officeDocument/2006/relationships/hyperlink" Target="https://fasih-sm.bps.go.id/app/assignment/fd68e454-ba45-4b85-8205-f3bf777ded24/ddd0edc6-f67e-4d15-8ed0-85e5d78d2a77" TargetMode="External"/><Relationship Id="rId684" Type="http://schemas.openxmlformats.org/officeDocument/2006/relationships/hyperlink" Target="https://fasih-sm.bps.go.id/app/assignment/fd68e454-ba45-4b85-8205-f3bf777ded24/e4799f81-4b46-4ace-a09a-5a3eb14032af" TargetMode="External"/><Relationship Id="rId337" Type="http://schemas.openxmlformats.org/officeDocument/2006/relationships/hyperlink" Target="https://fasih-sm.bps.go.id/app/assignment/fd68e454-ba45-4b85-8205-f3bf777ded24/f4ef34f7-ec9d-4117-a19a-7fcbdbde508a" TargetMode="External"/><Relationship Id="rId891" Type="http://schemas.openxmlformats.org/officeDocument/2006/relationships/hyperlink" Target="https://fasih-sm.bps.go.id/app/assignment/fd68e454-ba45-4b85-8205-f3bf777ded24/f32191fc-6f1c-49e0-bc7d-0900084fafe0" TargetMode="External"/><Relationship Id="rId905" Type="http://schemas.openxmlformats.org/officeDocument/2006/relationships/hyperlink" Target="https://fasih-sm.bps.go.id/app/assignment/fd68e454-ba45-4b85-8205-f3bf777ded24/f4c042f0-49d6-48c3-899f-4feadae0e274" TargetMode="External"/><Relationship Id="rId989" Type="http://schemas.openxmlformats.org/officeDocument/2006/relationships/hyperlink" Target="https://fasih-sm.bps.go.id/app/assignment/fd68e454-ba45-4b85-8205-f3bf777ded24/fc0a3c92-16f8-4cb9-9d32-f195940f83d9" TargetMode="External"/><Relationship Id="rId34" Type="http://schemas.openxmlformats.org/officeDocument/2006/relationships/hyperlink" Target="https://fasih-sm.bps.go.id/app/assignment/fd68e454-ba45-4b85-8205-f3bf777ded24/de24b882-b345-4f69-8d5b-48c035df6bd8" TargetMode="External"/><Relationship Id="rId544" Type="http://schemas.openxmlformats.org/officeDocument/2006/relationships/hyperlink" Target="https://fasih-sm.bps.go.id/app/assignment/fd68e454-ba45-4b85-8205-f3bf777ded24/042ed423-866a-4ddc-b4d4-7fa46c6b3c0d" TargetMode="External"/><Relationship Id="rId751" Type="http://schemas.openxmlformats.org/officeDocument/2006/relationships/hyperlink" Target="https://fasih-sm.bps.go.id/app/assignment/fd68e454-ba45-4b85-8205-f3bf777ded24/e86fa943-d584-48c0-8f09-497b4282c12d" TargetMode="External"/><Relationship Id="rId849" Type="http://schemas.openxmlformats.org/officeDocument/2006/relationships/hyperlink" Target="https://fasih-sm.bps.go.id/app/assignment/fd68e454-ba45-4b85-8205-f3bf777ded24/ef77e917-cd34-42d4-b844-d686fe75dfd3" TargetMode="External"/><Relationship Id="rId183" Type="http://schemas.openxmlformats.org/officeDocument/2006/relationships/hyperlink" Target="https://fasih-sm.bps.go.id/app/assignment/fd68e454-ba45-4b85-8205-f3bf777ded24/e88f036a-4a70-409d-9801-354cf6ead966" TargetMode="External"/><Relationship Id="rId390" Type="http://schemas.openxmlformats.org/officeDocument/2006/relationships/hyperlink" Target="https://fasih-sm.bps.go.id/app/assignment/fd68e454-ba45-4b85-8205-f3bf777ded24/f919907d-7ee3-4c17-be28-07ee8d75c477" TargetMode="External"/><Relationship Id="rId404" Type="http://schemas.openxmlformats.org/officeDocument/2006/relationships/hyperlink" Target="https://fasih-sm.bps.go.id/app/assignment/fd68e454-ba45-4b85-8205-f3bf777ded24/faba4bfd-1513-4db2-b634-1896714c912e" TargetMode="External"/><Relationship Id="rId611" Type="http://schemas.openxmlformats.org/officeDocument/2006/relationships/hyperlink" Target="https://fasih-sm.bps.go.id/app/assignment/fd68e454-ba45-4b85-8205-f3bf777ded24/de524029-e555-4248-97d0-2573a185b8c1" TargetMode="External"/><Relationship Id="rId1034" Type="http://schemas.openxmlformats.org/officeDocument/2006/relationships/hyperlink" Target="https://fasih-sm.bps.go.id/app/assignment/fd68e454-ba45-4b85-8205-f3bf777ded24/ff6ae8ef-a2bd-499e-9740-e30629022c4d" TargetMode="External"/><Relationship Id="rId250" Type="http://schemas.openxmlformats.org/officeDocument/2006/relationships/hyperlink" Target="https://fasih-sm.bps.go.id/app/assignment/fd68e454-ba45-4b85-8205-f3bf777ded24/ed4a8fae-8f9f-4f10-967f-719e299282f7" TargetMode="External"/><Relationship Id="rId488" Type="http://schemas.openxmlformats.org/officeDocument/2006/relationships/hyperlink" Target="https://fasih-sm.bps.go.id/app/assignment/fd68e454-ba45-4b85-8205-f3bf777ded24/256b37ba-ea8b-47f3-a378-c0ef01e0fffb" TargetMode="External"/><Relationship Id="rId695" Type="http://schemas.openxmlformats.org/officeDocument/2006/relationships/hyperlink" Target="https://fasih-sm.bps.go.id/app/assignment/fd68e454-ba45-4b85-8205-f3bf777ded24/e5795f3b-64ed-49a9-8927-bbd3d99d7742" TargetMode="External"/><Relationship Id="rId709" Type="http://schemas.openxmlformats.org/officeDocument/2006/relationships/hyperlink" Target="https://fasih-sm.bps.go.id/app/assignment/fd68e454-ba45-4b85-8205-f3bf777ded24/e6519768-bbcb-4f18-bd55-52600f66d3b3" TargetMode="External"/><Relationship Id="rId916" Type="http://schemas.openxmlformats.org/officeDocument/2006/relationships/hyperlink" Target="https://fasih-sm.bps.go.id/app/assignment/fd68e454-ba45-4b85-8205-f3bf777ded24/f58ba1da-c045-4e55-affe-fed774424964" TargetMode="External"/><Relationship Id="rId1101" Type="http://schemas.openxmlformats.org/officeDocument/2006/relationships/hyperlink" Target="https://fasih-sm.bps.go.id/app/assignment/fd68e454-ba45-4b85-8205-f3bf777ded24/c39da1c6-2ddb-4f20-a5fc-c03f4e456adb" TargetMode="External"/><Relationship Id="rId45" Type="http://schemas.openxmlformats.org/officeDocument/2006/relationships/hyperlink" Target="https://fasih-sm.bps.go.id/app/assignment/fd68e454-ba45-4b85-8205-f3bf777ded24/dea572df-2aef-405f-b76b-827342bc3a5f" TargetMode="External"/><Relationship Id="rId110" Type="http://schemas.openxmlformats.org/officeDocument/2006/relationships/hyperlink" Target="https://fasih-sm.bps.go.id/app/assignment/fd68e454-ba45-4b85-8205-f3bf777ded24/e41c0b0c-f45a-4c8b-a152-c6e0aa1b78cd" TargetMode="External"/><Relationship Id="rId348" Type="http://schemas.openxmlformats.org/officeDocument/2006/relationships/hyperlink" Target="https://fasih-sm.bps.go.id/app/assignment/fd68e454-ba45-4b85-8205-f3bf777ded24/f5d7f5ab-44ff-4aae-8126-975b7659a1dd" TargetMode="External"/><Relationship Id="rId555" Type="http://schemas.openxmlformats.org/officeDocument/2006/relationships/hyperlink" Target="https://fasih-sm.bps.go.id/app/assignment/fd68e454-ba45-4b85-8205-f3bf777ded24/605315d6-85fb-4fd9-b2f3-ccb55599bde1" TargetMode="External"/><Relationship Id="rId762" Type="http://schemas.openxmlformats.org/officeDocument/2006/relationships/hyperlink" Target="https://fasih-sm.bps.go.id/app/assignment/fd68e454-ba45-4b85-8205-f3bf777ded24/e8e842cf-30d1-4872-aec7-49b8d3083805" TargetMode="External"/><Relationship Id="rId194" Type="http://schemas.openxmlformats.org/officeDocument/2006/relationships/hyperlink" Target="https://fasih-sm.bps.go.id/app/assignment/fd68e454-ba45-4b85-8205-f3bf777ded24/e917ee90-b01e-4852-a837-37be1c3ce628" TargetMode="External"/><Relationship Id="rId208" Type="http://schemas.openxmlformats.org/officeDocument/2006/relationships/hyperlink" Target="https://fasih-sm.bps.go.id/app/assignment/fd68e454-ba45-4b85-8205-f3bf777ded24/ea3d1c56-d378-4174-a9ad-e3cb21a8249f" TargetMode="External"/><Relationship Id="rId415" Type="http://schemas.openxmlformats.org/officeDocument/2006/relationships/hyperlink" Target="https://fasih-sm.bps.go.id/app/assignment/fd68e454-ba45-4b85-8205-f3bf777ded24/fbdd3441-f281-48f2-9436-5e5716ffc628" TargetMode="External"/><Relationship Id="rId622" Type="http://schemas.openxmlformats.org/officeDocument/2006/relationships/hyperlink" Target="https://fasih-sm.bps.go.id/app/assignment/fd68e454-ba45-4b85-8205-f3bf777ded24/df0ad837-b718-4902-ae78-b695f2ebe594" TargetMode="External"/><Relationship Id="rId1045" Type="http://schemas.openxmlformats.org/officeDocument/2006/relationships/hyperlink" Target="https://fasih-sm.bps.go.id/app/assignment/fd68e454-ba45-4b85-8205-f3bf777ded24/935cde56-cef6-4fcd-9597-286d3e766dbe" TargetMode="External"/><Relationship Id="rId261" Type="http://schemas.openxmlformats.org/officeDocument/2006/relationships/hyperlink" Target="https://fasih-sm.bps.go.id/app/assignment/fd68e454-ba45-4b85-8205-f3bf777ded24/edfe51f4-b890-4204-9c2a-bc4474a67289" TargetMode="External"/><Relationship Id="rId499" Type="http://schemas.openxmlformats.org/officeDocument/2006/relationships/hyperlink" Target="https://fasih-sm.bps.go.id/app/assignment/fd68e454-ba45-4b85-8205-f3bf777ded24/5da8fcb0-a6b4-417f-80d9-e99fc517d91d" TargetMode="External"/><Relationship Id="rId927" Type="http://schemas.openxmlformats.org/officeDocument/2006/relationships/hyperlink" Target="https://fasih-sm.bps.go.id/app/assignment/fd68e454-ba45-4b85-8205-f3bf777ded24/f6292dbe-17f5-4267-abc3-419e1f4e77f9" TargetMode="External"/><Relationship Id="rId1112" Type="http://schemas.openxmlformats.org/officeDocument/2006/relationships/hyperlink" Target="https://fasih-sm.bps.go.id/app/assignment/fd68e454-ba45-4b85-8205-f3bf777ded24/9bf84321-3525-4582-9457-133e39762b8c" TargetMode="External"/><Relationship Id="rId56" Type="http://schemas.openxmlformats.org/officeDocument/2006/relationships/hyperlink" Target="https://fasih-sm.bps.go.id/app/assignment/fd68e454-ba45-4b85-8205-f3bf777ded24/df89d0b3-1f90-4200-9862-cfdc39703a62" TargetMode="External"/><Relationship Id="rId359" Type="http://schemas.openxmlformats.org/officeDocument/2006/relationships/hyperlink" Target="https://fasih-sm.bps.go.id/app/assignment/fd68e454-ba45-4b85-8205-f3bf777ded24/f6358a33-ef30-4cc9-a8a5-fe1bd665cd43" TargetMode="External"/><Relationship Id="rId566" Type="http://schemas.openxmlformats.org/officeDocument/2006/relationships/hyperlink" Target="https://fasih-sm.bps.go.id/app/assignment/fd68e454-ba45-4b85-8205-f3bf777ded24/91bdf8a2-8bf8-4eda-9cd7-46921e04d431" TargetMode="External"/><Relationship Id="rId773" Type="http://schemas.openxmlformats.org/officeDocument/2006/relationships/hyperlink" Target="https://fasih-sm.bps.go.id/app/assignment/fd68e454-ba45-4b85-8205-f3bf777ded24/e9e08199-912b-470f-a44a-034e6d864553" TargetMode="External"/><Relationship Id="rId121" Type="http://schemas.openxmlformats.org/officeDocument/2006/relationships/hyperlink" Target="https://fasih-sm.bps.go.id/app/assignment/fd68e454-ba45-4b85-8205-f3bf777ded24/e5438864-ec86-439e-9479-3d67f67318d6" TargetMode="External"/><Relationship Id="rId219" Type="http://schemas.openxmlformats.org/officeDocument/2006/relationships/hyperlink" Target="https://fasih-sm.bps.go.id/app/assignment/fd68e454-ba45-4b85-8205-f3bf777ded24/ead136f9-2fdf-4d15-af9d-9f94081c7288" TargetMode="External"/><Relationship Id="rId426" Type="http://schemas.openxmlformats.org/officeDocument/2006/relationships/hyperlink" Target="https://fasih-sm.bps.go.id/app/assignment/fd68e454-ba45-4b85-8205-f3bf777ded24/fc9b4a48-d0df-4aaa-959c-5a63fe6982bf" TargetMode="External"/><Relationship Id="rId633" Type="http://schemas.openxmlformats.org/officeDocument/2006/relationships/hyperlink" Target="https://fasih-sm.bps.go.id/app/assignment/fd68e454-ba45-4b85-8205-f3bf777ded24/dfee7536-7d00-4d93-a0da-91173d756503" TargetMode="External"/><Relationship Id="rId980" Type="http://schemas.openxmlformats.org/officeDocument/2006/relationships/hyperlink" Target="https://fasih-sm.bps.go.id/app/assignment/fd68e454-ba45-4b85-8205-f3bf777ded24/fb3c6485-7210-4442-b86e-82cfdebec7dc" TargetMode="External"/><Relationship Id="rId1056" Type="http://schemas.openxmlformats.org/officeDocument/2006/relationships/hyperlink" Target="https://fasih-sm.bps.go.id/app/assignment/fd68e454-ba45-4b85-8205-f3bf777ded24/1cb0a392-cbf9-4f12-801a-6c28866185dc" TargetMode="External"/><Relationship Id="rId840" Type="http://schemas.openxmlformats.org/officeDocument/2006/relationships/hyperlink" Target="https://fasih-sm.bps.go.id/app/assignment/fd68e454-ba45-4b85-8205-f3bf777ded24/eeb2654e-4971-42c9-bb7b-7779782fdfa7" TargetMode="External"/><Relationship Id="rId938" Type="http://schemas.openxmlformats.org/officeDocument/2006/relationships/hyperlink" Target="https://fasih-sm.bps.go.id/app/assignment/fd68e454-ba45-4b85-8205-f3bf777ded24/f6ddd5c2-9226-404a-a392-79e84248a797" TargetMode="External"/><Relationship Id="rId67" Type="http://schemas.openxmlformats.org/officeDocument/2006/relationships/hyperlink" Target="https://fasih-sm.bps.go.id/app/assignment/fd68e454-ba45-4b85-8205-f3bf777ded24/e0507d8d-d8d1-4026-9c89-2bcefc2a3029" TargetMode="External"/><Relationship Id="rId272" Type="http://schemas.openxmlformats.org/officeDocument/2006/relationships/hyperlink" Target="https://fasih-sm.bps.go.id/app/assignment/fd68e454-ba45-4b85-8205-f3bf777ded24/eeba4d09-31e8-4201-a51c-8dba80d8bde5" TargetMode="External"/><Relationship Id="rId577" Type="http://schemas.openxmlformats.org/officeDocument/2006/relationships/hyperlink" Target="https://fasih-sm.bps.go.id/app/assignment/fd68e454-ba45-4b85-8205-f3bf777ded24/db5e8119-599b-41ab-b060-1d207c7a17a0" TargetMode="External"/><Relationship Id="rId700" Type="http://schemas.openxmlformats.org/officeDocument/2006/relationships/hyperlink" Target="https://fasih-sm.bps.go.id/app/assignment/fd68e454-ba45-4b85-8205-f3bf777ded24/e5eed3f6-095e-4d3e-895a-2c9db7ba50cb" TargetMode="External"/><Relationship Id="rId1123" Type="http://schemas.openxmlformats.org/officeDocument/2006/relationships/hyperlink" Target="https://fasih-sm.bps.go.id/app/assignment/fd68e454-ba45-4b85-8205-f3bf777ded24/523e90b7-7e23-4372-b7a3-2b5c08c22442" TargetMode="External"/><Relationship Id="rId132" Type="http://schemas.openxmlformats.org/officeDocument/2006/relationships/hyperlink" Target="https://fasih-sm.bps.go.id/app/assignment/fd68e454-ba45-4b85-8205-f3bf777ded24/e61cd3df-7c8b-4db2-a327-955cf863315e" TargetMode="External"/><Relationship Id="rId784" Type="http://schemas.openxmlformats.org/officeDocument/2006/relationships/hyperlink" Target="https://fasih-sm.bps.go.id/app/assignment/fd68e454-ba45-4b85-8205-f3bf777ded24/ea8a7eb0-5931-4118-89c0-89620127596d" TargetMode="External"/><Relationship Id="rId991" Type="http://schemas.openxmlformats.org/officeDocument/2006/relationships/hyperlink" Target="https://fasih-sm.bps.go.id/app/assignment/fd68e454-ba45-4b85-8205-f3bf777ded24/fc3886a5-65c0-4ac5-8c15-b0e17df17161" TargetMode="External"/><Relationship Id="rId1067" Type="http://schemas.openxmlformats.org/officeDocument/2006/relationships/hyperlink" Target="https://fasih-sm.bps.go.id/app/assignment/fd68e454-ba45-4b85-8205-f3bf777ded24/514ae7b8-21d7-4f2f-9a00-3ea8c19c6e9c" TargetMode="External"/><Relationship Id="rId437" Type="http://schemas.openxmlformats.org/officeDocument/2006/relationships/hyperlink" Target="https://fasih-sm.bps.go.id/app/assignment/fd68e454-ba45-4b85-8205-f3bf777ded24/fd607122-9d0a-40cd-b349-e0a3ad1c7931" TargetMode="External"/><Relationship Id="rId644" Type="http://schemas.openxmlformats.org/officeDocument/2006/relationships/hyperlink" Target="https://fasih-sm.bps.go.id/app/assignment/fd68e454-ba45-4b85-8205-f3bf777ded24/e0d18ed7-c9b9-4c56-93c0-56d624ef13e2" TargetMode="External"/><Relationship Id="rId851" Type="http://schemas.openxmlformats.org/officeDocument/2006/relationships/hyperlink" Target="https://fasih-sm.bps.go.id/app/assignment/fd68e454-ba45-4b85-8205-f3bf777ded24/ef910fe2-7293-4949-8702-30a8ef70303b" TargetMode="External"/><Relationship Id="rId283" Type="http://schemas.openxmlformats.org/officeDocument/2006/relationships/hyperlink" Target="https://fasih-sm.bps.go.id/app/assignment/fd68e454-ba45-4b85-8205-f3bf777ded24/efd94660-c5bc-49fe-abf8-5ab59f3cc523" TargetMode="External"/><Relationship Id="rId490" Type="http://schemas.openxmlformats.org/officeDocument/2006/relationships/hyperlink" Target="https://fasih-sm.bps.go.id/app/assignment/fd68e454-ba45-4b85-8205-f3bf777ded24/2ca2d7b3-e08b-4dfb-a4a4-b7d53e5df9c6" TargetMode="External"/><Relationship Id="rId504" Type="http://schemas.openxmlformats.org/officeDocument/2006/relationships/hyperlink" Target="https://fasih-sm.bps.go.id/app/assignment/fd68e454-ba45-4b85-8205-f3bf777ded24/653cba0b-e33e-440c-a777-5352388f2497" TargetMode="External"/><Relationship Id="rId711" Type="http://schemas.openxmlformats.org/officeDocument/2006/relationships/hyperlink" Target="https://fasih-sm.bps.go.id/app/assignment/fd68e454-ba45-4b85-8205-f3bf777ded24/e67cd3ab-c34a-4838-8ece-20d7e9bb6729" TargetMode="External"/><Relationship Id="rId949" Type="http://schemas.openxmlformats.org/officeDocument/2006/relationships/hyperlink" Target="https://fasih-sm.bps.go.id/app/assignment/fd68e454-ba45-4b85-8205-f3bf777ded24/f8227f03-e261-42b7-928c-268326f9ace4" TargetMode="External"/><Relationship Id="rId1134" Type="http://schemas.openxmlformats.org/officeDocument/2006/relationships/hyperlink" Target="https://fasih-sm.bps.go.id/app/assignment/fd68e454-ba45-4b85-8205-f3bf777ded24/7f31cfef-9a23-41ec-bec8-68584bcedfd7" TargetMode="External"/><Relationship Id="rId78" Type="http://schemas.openxmlformats.org/officeDocument/2006/relationships/hyperlink" Target="https://fasih-sm.bps.go.id/app/assignment/fd68e454-ba45-4b85-8205-f3bf777ded24/e132ea21-48ec-4a84-8fd3-598ed0399662" TargetMode="External"/><Relationship Id="rId143" Type="http://schemas.openxmlformats.org/officeDocument/2006/relationships/hyperlink" Target="https://fasih-sm.bps.go.id/app/assignment/fd68e454-ba45-4b85-8205-f3bf777ded24/e6993e30-46a3-419f-8c30-f83652731dbf" TargetMode="External"/><Relationship Id="rId350" Type="http://schemas.openxmlformats.org/officeDocument/2006/relationships/hyperlink" Target="https://fasih-sm.bps.go.id/app/assignment/fd68e454-ba45-4b85-8205-f3bf777ded24/f5f80386-60a8-4aa7-bb6c-de1faea86d39" TargetMode="External"/><Relationship Id="rId588" Type="http://schemas.openxmlformats.org/officeDocument/2006/relationships/hyperlink" Target="https://fasih-sm.bps.go.id/app/assignment/fd68e454-ba45-4b85-8205-f3bf777ded24/dcaf026f-352e-49e8-8d69-480a6e3b3940" TargetMode="External"/><Relationship Id="rId795" Type="http://schemas.openxmlformats.org/officeDocument/2006/relationships/hyperlink" Target="https://fasih-sm.bps.go.id/app/assignment/fd68e454-ba45-4b85-8205-f3bf777ded24/eb255fb1-6f24-4180-b9e6-ce3e016239e0" TargetMode="External"/><Relationship Id="rId809" Type="http://schemas.openxmlformats.org/officeDocument/2006/relationships/hyperlink" Target="https://fasih-sm.bps.go.id/app/assignment/fd68e454-ba45-4b85-8205-f3bf777ded24/ec28be3c-a835-4e39-9b07-07c3dcde913d" TargetMode="External"/><Relationship Id="rId9" Type="http://schemas.openxmlformats.org/officeDocument/2006/relationships/hyperlink" Target="https://fasih-sm.bps.go.id/app/assignment/fd68e454-ba45-4b85-8205-f3bf777ded24/dbc2aa22-26c9-4178-878a-66aa32c29205" TargetMode="External"/><Relationship Id="rId210" Type="http://schemas.openxmlformats.org/officeDocument/2006/relationships/hyperlink" Target="https://fasih-sm.bps.go.id/app/assignment/fd68e454-ba45-4b85-8205-f3bf777ded24/ea5e6a80-e630-46c4-a97f-30fee7869d01" TargetMode="External"/><Relationship Id="rId448" Type="http://schemas.openxmlformats.org/officeDocument/2006/relationships/hyperlink" Target="https://fasih-sm.bps.go.id/app/assignment/fd68e454-ba45-4b85-8205-f3bf777ded24/fe59a3c1-400d-42f1-9362-0b7ce776f41f" TargetMode="External"/><Relationship Id="rId655" Type="http://schemas.openxmlformats.org/officeDocument/2006/relationships/hyperlink" Target="https://fasih-sm.bps.go.id/app/assignment/fd68e454-ba45-4b85-8205-f3bf777ded24/e1f7130f-3756-4c2d-b55e-dfb7a28317cf" TargetMode="External"/><Relationship Id="rId862" Type="http://schemas.openxmlformats.org/officeDocument/2006/relationships/hyperlink" Target="https://fasih-sm.bps.go.id/app/assignment/fd68e454-ba45-4b85-8205-f3bf777ded24/f038a038-8410-4954-8128-436767c36764" TargetMode="External"/><Relationship Id="rId1078" Type="http://schemas.openxmlformats.org/officeDocument/2006/relationships/hyperlink" Target="https://fasih-sm.bps.go.id/app/assignment/fd68e454-ba45-4b85-8205-f3bf777ded24/6ee974b8-d195-4631-a310-af94f416189c" TargetMode="External"/><Relationship Id="rId294" Type="http://schemas.openxmlformats.org/officeDocument/2006/relationships/hyperlink" Target="https://fasih-sm.bps.go.id/app/assignment/fd68e454-ba45-4b85-8205-f3bf777ded24/f0c641c1-04bc-49dd-8dc1-4ed5202a1d7e" TargetMode="External"/><Relationship Id="rId308" Type="http://schemas.openxmlformats.org/officeDocument/2006/relationships/hyperlink" Target="https://fasih-sm.bps.go.id/app/assignment/fd68e454-ba45-4b85-8205-f3bf777ded24/f1e7715e-5fca-43ca-b415-f14d3dbca552" TargetMode="External"/><Relationship Id="rId515" Type="http://schemas.openxmlformats.org/officeDocument/2006/relationships/hyperlink" Target="https://fasih-sm.bps.go.id/app/assignment/fd68e454-ba45-4b85-8205-f3bf777ded24/8d172718-60f5-4231-b49a-f0811cd69021" TargetMode="External"/><Relationship Id="rId722" Type="http://schemas.openxmlformats.org/officeDocument/2006/relationships/hyperlink" Target="https://fasih-sm.bps.go.id/app/assignment/fd68e454-ba45-4b85-8205-f3bf777ded24/e6ef140d-8faf-4909-94d1-980d4d89cfe1" TargetMode="External"/><Relationship Id="rId89" Type="http://schemas.openxmlformats.org/officeDocument/2006/relationships/hyperlink" Target="https://fasih-sm.bps.go.id/app/assignment/fd68e454-ba45-4b85-8205-f3bf777ded24/e238273b-e9ed-412a-a7cd-24e73d9ccb03" TargetMode="External"/><Relationship Id="rId154" Type="http://schemas.openxmlformats.org/officeDocument/2006/relationships/hyperlink" Target="https://fasih-sm.bps.go.id/app/assignment/fd68e454-ba45-4b85-8205-f3bf777ded24/e70cb1b5-6bfe-4bf8-9cff-7b55098a8da5" TargetMode="External"/><Relationship Id="rId361" Type="http://schemas.openxmlformats.org/officeDocument/2006/relationships/hyperlink" Target="https://fasih-sm.bps.go.id/app/assignment/fd68e454-ba45-4b85-8205-f3bf777ded24/f67003a4-f0c8-4807-b221-4df5376501a7" TargetMode="External"/><Relationship Id="rId599" Type="http://schemas.openxmlformats.org/officeDocument/2006/relationships/hyperlink" Target="https://fasih-sm.bps.go.id/app/assignment/fd68e454-ba45-4b85-8205-f3bf777ded24/ddb8278f-83a6-4b03-aef8-b4eebc577864" TargetMode="External"/><Relationship Id="rId1005" Type="http://schemas.openxmlformats.org/officeDocument/2006/relationships/hyperlink" Target="https://fasih-sm.bps.go.id/app/assignment/fd68e454-ba45-4b85-8205-f3bf777ded24/fd412c6e-c5b2-4eb7-b7a5-48126fe6102a" TargetMode="External"/><Relationship Id="rId459" Type="http://schemas.openxmlformats.org/officeDocument/2006/relationships/hyperlink" Target="https://fasih-sm.bps.go.id/app/assignment/fd68e454-ba45-4b85-8205-f3bf777ded24/ff26ebce-1013-4a0f-8399-518b14505a59" TargetMode="External"/><Relationship Id="rId666" Type="http://schemas.openxmlformats.org/officeDocument/2006/relationships/hyperlink" Target="https://fasih-sm.bps.go.id/app/assignment/fd68e454-ba45-4b85-8205-f3bf777ded24/e2ada05c-d7c8-4766-89b2-e7cb68351c87" TargetMode="External"/><Relationship Id="rId873" Type="http://schemas.openxmlformats.org/officeDocument/2006/relationships/hyperlink" Target="https://fasih-sm.bps.go.id/app/assignment/fd68e454-ba45-4b85-8205-f3bf777ded24/f147a823-78d4-49a2-b898-a9f3899c6679" TargetMode="External"/><Relationship Id="rId1089" Type="http://schemas.openxmlformats.org/officeDocument/2006/relationships/hyperlink" Target="https://fasih-sm.bps.go.id/app/assignment/fd68e454-ba45-4b85-8205-f3bf777ded24/94624c83-e717-4528-80ca-f284c78ef80c" TargetMode="External"/><Relationship Id="rId16" Type="http://schemas.openxmlformats.org/officeDocument/2006/relationships/hyperlink" Target="https://fasih-sm.bps.go.id/app/assignment/fd68e454-ba45-4b85-8205-f3bf777ded24/dc9457fa-8fda-40f2-adc4-fe2843229144" TargetMode="External"/><Relationship Id="rId221" Type="http://schemas.openxmlformats.org/officeDocument/2006/relationships/hyperlink" Target="https://fasih-sm.bps.go.id/app/assignment/fd68e454-ba45-4b85-8205-f3bf777ded24/eb041dd9-8ab8-40aa-aff8-fa1eb0f996bd" TargetMode="External"/><Relationship Id="rId319" Type="http://schemas.openxmlformats.org/officeDocument/2006/relationships/hyperlink" Target="https://fasih-sm.bps.go.id/app/assignment/fd68e454-ba45-4b85-8205-f3bf777ded24/f30dfeb3-5454-49f6-8b1e-4f6bf9274901" TargetMode="External"/><Relationship Id="rId526" Type="http://schemas.openxmlformats.org/officeDocument/2006/relationships/hyperlink" Target="https://fasih-sm.bps.go.id/app/assignment/fd68e454-ba45-4b85-8205-f3bf777ded24/ad0393c4-11c7-4392-a80d-7903dfdf73aa" TargetMode="External"/><Relationship Id="rId733" Type="http://schemas.openxmlformats.org/officeDocument/2006/relationships/hyperlink" Target="https://fasih-sm.bps.go.id/app/assignment/fd68e454-ba45-4b85-8205-f3bf777ded24/e78a5635-0b72-4716-a1e0-1159fad309e7" TargetMode="External"/><Relationship Id="rId940" Type="http://schemas.openxmlformats.org/officeDocument/2006/relationships/hyperlink" Target="https://fasih-sm.bps.go.id/app/assignment/fd68e454-ba45-4b85-8205-f3bf777ded24/f70159f9-2a4a-4e06-a3f4-c5d0387264c5" TargetMode="External"/><Relationship Id="rId1016" Type="http://schemas.openxmlformats.org/officeDocument/2006/relationships/hyperlink" Target="https://fasih-sm.bps.go.id/app/assignment/fd68e454-ba45-4b85-8205-f3bf777ded24/fe1cf5bd-b835-49b1-b12f-b996ff353d35" TargetMode="External"/><Relationship Id="rId165" Type="http://schemas.openxmlformats.org/officeDocument/2006/relationships/hyperlink" Target="https://fasih-sm.bps.go.id/app/assignment/fd68e454-ba45-4b85-8205-f3bf777ded24/e79dda10-90bb-4da5-a4eb-be35c8b434d9" TargetMode="External"/><Relationship Id="rId372" Type="http://schemas.openxmlformats.org/officeDocument/2006/relationships/hyperlink" Target="https://fasih-sm.bps.go.id/app/assignment/fd68e454-ba45-4b85-8205-f3bf777ded24/f730f914-70ac-441c-81fd-ad4c953542d5" TargetMode="External"/><Relationship Id="rId677" Type="http://schemas.openxmlformats.org/officeDocument/2006/relationships/hyperlink" Target="https://fasih-sm.bps.go.id/app/assignment/fd68e454-ba45-4b85-8205-f3bf777ded24/e35ec936-7335-4c31-9ee5-5055ad8466c0" TargetMode="External"/><Relationship Id="rId800" Type="http://schemas.openxmlformats.org/officeDocument/2006/relationships/hyperlink" Target="https://fasih-sm.bps.go.id/app/assignment/fd68e454-ba45-4b85-8205-f3bf777ded24/eba3ff15-5a12-4efe-8318-4ff68151393c" TargetMode="External"/><Relationship Id="rId232" Type="http://schemas.openxmlformats.org/officeDocument/2006/relationships/hyperlink" Target="https://fasih-sm.bps.go.id/app/assignment/fd68e454-ba45-4b85-8205-f3bf777ded24/ebd08da5-29e0-456f-ad80-ebc2e8f957fe" TargetMode="External"/><Relationship Id="rId884" Type="http://schemas.openxmlformats.org/officeDocument/2006/relationships/hyperlink" Target="https://fasih-sm.bps.go.id/app/assignment/fd68e454-ba45-4b85-8205-f3bf777ded24/f2912837-2fbb-464c-a624-4101b77b718d" TargetMode="External"/><Relationship Id="rId27" Type="http://schemas.openxmlformats.org/officeDocument/2006/relationships/hyperlink" Target="https://fasih-sm.bps.go.id/app/assignment/fd68e454-ba45-4b85-8205-f3bf777ded24/dd64ef62-655d-464a-9ade-69f7373c849e" TargetMode="External"/><Relationship Id="rId537" Type="http://schemas.openxmlformats.org/officeDocument/2006/relationships/hyperlink" Target="https://fasih-sm.bps.go.id/app/assignment/fd68e454-ba45-4b85-8205-f3bf777ded24/e4e975d3-0f4e-4b87-a76b-6f5ab9ca81a6" TargetMode="External"/><Relationship Id="rId744" Type="http://schemas.openxmlformats.org/officeDocument/2006/relationships/hyperlink" Target="https://fasih-sm.bps.go.id/app/assignment/fd68e454-ba45-4b85-8205-f3bf777ded24/e80800d5-dece-484c-85f2-bfd167e53f10" TargetMode="External"/><Relationship Id="rId951" Type="http://schemas.openxmlformats.org/officeDocument/2006/relationships/hyperlink" Target="https://fasih-sm.bps.go.id/app/assignment/fd68e454-ba45-4b85-8205-f3bf777ded24/f82fda9c-14b7-48f5-b4ce-744bb76beb24" TargetMode="External"/><Relationship Id="rId80" Type="http://schemas.openxmlformats.org/officeDocument/2006/relationships/hyperlink" Target="https://fasih-sm.bps.go.id/app/assignment/fd68e454-ba45-4b85-8205-f3bf777ded24/e1b256cd-f9ce-4361-ab0a-cd1a9e3f268c" TargetMode="External"/><Relationship Id="rId176" Type="http://schemas.openxmlformats.org/officeDocument/2006/relationships/hyperlink" Target="https://fasih-sm.bps.go.id/app/assignment/fd68e454-ba45-4b85-8205-f3bf777ded24/e85d5936-56f2-4932-b16d-6001ae33d52b" TargetMode="External"/><Relationship Id="rId383" Type="http://schemas.openxmlformats.org/officeDocument/2006/relationships/hyperlink" Target="https://fasih-sm.bps.go.id/app/assignment/fd68e454-ba45-4b85-8205-f3bf777ded24/f88ee133-e7a0-4b38-8828-b1c5aab95d3d" TargetMode="External"/><Relationship Id="rId590" Type="http://schemas.openxmlformats.org/officeDocument/2006/relationships/hyperlink" Target="https://fasih-sm.bps.go.id/app/assignment/fd68e454-ba45-4b85-8205-f3bf777ded24/dceda477-32da-475a-a58c-3bb58e2674c2" TargetMode="External"/><Relationship Id="rId604" Type="http://schemas.openxmlformats.org/officeDocument/2006/relationships/hyperlink" Target="https://fasih-sm.bps.go.id/app/assignment/fd68e454-ba45-4b85-8205-f3bf777ded24/de1a3235-0b51-43b1-8e88-863736c5296d" TargetMode="External"/><Relationship Id="rId811" Type="http://schemas.openxmlformats.org/officeDocument/2006/relationships/hyperlink" Target="https://fasih-sm.bps.go.id/app/assignment/fd68e454-ba45-4b85-8205-f3bf777ded24/ec5c3764-abd3-475e-a2ab-52b663b55ab3" TargetMode="External"/><Relationship Id="rId1027" Type="http://schemas.openxmlformats.org/officeDocument/2006/relationships/hyperlink" Target="https://fasih-sm.bps.go.id/app/assignment/fd68e454-ba45-4b85-8205-f3bf777ded24/fecb5b92-6b96-4a42-b2b8-9f6bef57e35d" TargetMode="External"/><Relationship Id="rId243" Type="http://schemas.openxmlformats.org/officeDocument/2006/relationships/hyperlink" Target="https://fasih-sm.bps.go.id/app/assignment/fd68e454-ba45-4b85-8205-f3bf777ded24/ec845350-0772-4cc5-8e64-e15db55b143a" TargetMode="External"/><Relationship Id="rId450" Type="http://schemas.openxmlformats.org/officeDocument/2006/relationships/hyperlink" Target="https://fasih-sm.bps.go.id/app/assignment/fd68e454-ba45-4b85-8205-f3bf777ded24/fe84418e-e36e-423a-9019-64280ed8f458" TargetMode="External"/><Relationship Id="rId688" Type="http://schemas.openxmlformats.org/officeDocument/2006/relationships/hyperlink" Target="https://fasih-sm.bps.go.id/app/assignment/fd68e454-ba45-4b85-8205-f3bf777ded24/e4ed3feb-c67a-4990-88ce-01bd9c98b9de" TargetMode="External"/><Relationship Id="rId895" Type="http://schemas.openxmlformats.org/officeDocument/2006/relationships/hyperlink" Target="https://fasih-sm.bps.go.id/app/assignment/fd68e454-ba45-4b85-8205-f3bf777ded24/f3cc17fe-2b98-4685-9b3f-c1d168c90278" TargetMode="External"/><Relationship Id="rId909" Type="http://schemas.openxmlformats.org/officeDocument/2006/relationships/hyperlink" Target="https://fasih-sm.bps.go.id/app/assignment/fd68e454-ba45-4b85-8205-f3bf777ded24/f4fa71aa-2e2d-492f-857d-361644ebdf0a" TargetMode="External"/><Relationship Id="rId1080" Type="http://schemas.openxmlformats.org/officeDocument/2006/relationships/hyperlink" Target="https://fasih-sm.bps.go.id/app/assignment/fd68e454-ba45-4b85-8205-f3bf777ded24/74ebf425-7235-4195-a851-8c84af39c909" TargetMode="External"/><Relationship Id="rId38" Type="http://schemas.openxmlformats.org/officeDocument/2006/relationships/hyperlink" Target="https://fasih-sm.bps.go.id/app/assignment/fd68e454-ba45-4b85-8205-f3bf777ded24/de3e28d4-c107-4b76-89ee-db3ab9ac9571" TargetMode="External"/><Relationship Id="rId103" Type="http://schemas.openxmlformats.org/officeDocument/2006/relationships/hyperlink" Target="https://fasih-sm.bps.go.id/app/assignment/fd68e454-ba45-4b85-8205-f3bf777ded24/e32917dd-2bf2-44ad-a13d-a9dde621dfa7" TargetMode="External"/><Relationship Id="rId310" Type="http://schemas.openxmlformats.org/officeDocument/2006/relationships/hyperlink" Target="https://fasih-sm.bps.go.id/app/assignment/fd68e454-ba45-4b85-8205-f3bf777ded24/f21ca41b-b4c6-45e8-a44a-d62cd04a06be" TargetMode="External"/><Relationship Id="rId548" Type="http://schemas.openxmlformats.org/officeDocument/2006/relationships/hyperlink" Target="https://fasih-sm.bps.go.id/app/assignment/fd68e454-ba45-4b85-8205-f3bf777ded24/3c4daa4f-db6b-4ce7-a291-43f583e6539e" TargetMode="External"/><Relationship Id="rId755" Type="http://schemas.openxmlformats.org/officeDocument/2006/relationships/hyperlink" Target="https://fasih-sm.bps.go.id/app/assignment/fd68e454-ba45-4b85-8205-f3bf777ded24/e8a450df-ac3c-401d-98b5-45c2af0aab89" TargetMode="External"/><Relationship Id="rId962" Type="http://schemas.openxmlformats.org/officeDocument/2006/relationships/hyperlink" Target="https://fasih-sm.bps.go.id/app/assignment/fd68e454-ba45-4b85-8205-f3bf777ded24/f92cbfcd-e901-4ce1-89db-ddef3c40fee2" TargetMode="External"/><Relationship Id="rId91" Type="http://schemas.openxmlformats.org/officeDocument/2006/relationships/hyperlink" Target="https://fasih-sm.bps.go.id/app/assignment/fd68e454-ba45-4b85-8205-f3bf777ded24/e28f988c-51fe-4ae8-ab12-325550cbc7a1" TargetMode="External"/><Relationship Id="rId187" Type="http://schemas.openxmlformats.org/officeDocument/2006/relationships/hyperlink" Target="https://fasih-sm.bps.go.id/app/assignment/fd68e454-ba45-4b85-8205-f3bf777ded24/e8c9c418-465e-4c9e-a6ae-ebf280dbc6cb" TargetMode="External"/><Relationship Id="rId394" Type="http://schemas.openxmlformats.org/officeDocument/2006/relationships/hyperlink" Target="https://fasih-sm.bps.go.id/app/assignment/fd68e454-ba45-4b85-8205-f3bf777ded24/f9d09c1f-f87c-4bb3-bc03-d49cb8cf36f6" TargetMode="External"/><Relationship Id="rId408" Type="http://schemas.openxmlformats.org/officeDocument/2006/relationships/hyperlink" Target="https://fasih-sm.bps.go.id/app/assignment/fd68e454-ba45-4b85-8205-f3bf777ded24/fb1d89bf-c03b-4146-8142-7c9970529786" TargetMode="External"/><Relationship Id="rId615" Type="http://schemas.openxmlformats.org/officeDocument/2006/relationships/hyperlink" Target="https://fasih-sm.bps.go.id/app/assignment/fd68e454-ba45-4b85-8205-f3bf777ded24/dea05093-1a3f-42d3-83c1-78751df6ea79" TargetMode="External"/><Relationship Id="rId822" Type="http://schemas.openxmlformats.org/officeDocument/2006/relationships/hyperlink" Target="https://fasih-sm.bps.go.id/app/assignment/fd68e454-ba45-4b85-8205-f3bf777ded24/ed7280e4-b265-4d00-a3bb-363d341d3926" TargetMode="External"/><Relationship Id="rId1038" Type="http://schemas.openxmlformats.org/officeDocument/2006/relationships/hyperlink" Target="https://fasih-sm.bps.go.id/app/assignment/fd68e454-ba45-4b85-8205-f3bf777ded24/ff908f1a-1326-4cd7-8b16-01c0e6965560" TargetMode="External"/><Relationship Id="rId254" Type="http://schemas.openxmlformats.org/officeDocument/2006/relationships/hyperlink" Target="https://fasih-sm.bps.go.id/app/assignment/fd68e454-ba45-4b85-8205-f3bf777ded24/ed92eb45-de26-4eac-b5ac-a6b9b747bbef" TargetMode="External"/><Relationship Id="rId699" Type="http://schemas.openxmlformats.org/officeDocument/2006/relationships/hyperlink" Target="https://fasih-sm.bps.go.id/app/assignment/fd68e454-ba45-4b85-8205-f3bf777ded24/e5d5a5e5-88e2-4ae2-9e3d-b62a44e8b99f" TargetMode="External"/><Relationship Id="rId1091" Type="http://schemas.openxmlformats.org/officeDocument/2006/relationships/hyperlink" Target="https://fasih-sm.bps.go.id/app/assignment/fd68e454-ba45-4b85-8205-f3bf777ded24/985ef3bf-79ce-47e3-aec3-d38689710669" TargetMode="External"/><Relationship Id="rId1105" Type="http://schemas.openxmlformats.org/officeDocument/2006/relationships/hyperlink" Target="https://fasih-sm.bps.go.id/app/assignment/fd68e454-ba45-4b85-8205-f3bf777ded24/d4cba927-5f45-4d64-b94c-56e88abb9ccf" TargetMode="External"/><Relationship Id="rId49" Type="http://schemas.openxmlformats.org/officeDocument/2006/relationships/hyperlink" Target="https://fasih-sm.bps.go.id/app/assignment/fd68e454-ba45-4b85-8205-f3bf777ded24/def73c3c-38b9-4062-9d81-07db98c3b050" TargetMode="External"/><Relationship Id="rId114" Type="http://schemas.openxmlformats.org/officeDocument/2006/relationships/hyperlink" Target="https://fasih-sm.bps.go.id/app/assignment/fd68e454-ba45-4b85-8205-f3bf777ded24/e4817a77-e6fc-4117-a445-bb699ff78116" TargetMode="External"/><Relationship Id="rId461" Type="http://schemas.openxmlformats.org/officeDocument/2006/relationships/hyperlink" Target="https://fasih-sm.bps.go.id/app/assignment/fd68e454-ba45-4b85-8205-f3bf777ded24/ff570a2f-9752-45f0-a5f4-f9eac9e11643" TargetMode="External"/><Relationship Id="rId559" Type="http://schemas.openxmlformats.org/officeDocument/2006/relationships/hyperlink" Target="https://fasih-sm.bps.go.id/app/assignment/fd68e454-ba45-4b85-8205-f3bf777ded24/65164302-b354-4af6-9168-88b828a3bd75" TargetMode="External"/><Relationship Id="rId766" Type="http://schemas.openxmlformats.org/officeDocument/2006/relationships/hyperlink" Target="https://fasih-sm.bps.go.id/app/assignment/fd68e454-ba45-4b85-8205-f3bf777ded24/e9302af9-72ce-4e98-a533-347edf2528f9" TargetMode="External"/><Relationship Id="rId198" Type="http://schemas.openxmlformats.org/officeDocument/2006/relationships/hyperlink" Target="https://fasih-sm.bps.go.id/app/assignment/fd68e454-ba45-4b85-8205-f3bf777ded24/e95ef7b2-f150-459d-aa91-5ad0f960ae24" TargetMode="External"/><Relationship Id="rId321" Type="http://schemas.openxmlformats.org/officeDocument/2006/relationships/hyperlink" Target="https://fasih-sm.bps.go.id/app/assignment/fd68e454-ba45-4b85-8205-f3bf777ded24/f364f122-dc37-4ea2-80e8-c5572557af84" TargetMode="External"/><Relationship Id="rId419" Type="http://schemas.openxmlformats.org/officeDocument/2006/relationships/hyperlink" Target="https://fasih-sm.bps.go.id/app/assignment/fd68e454-ba45-4b85-8205-f3bf777ded24/fc1a74f1-b607-460c-9454-4589ec0d3ac6" TargetMode="External"/><Relationship Id="rId626" Type="http://schemas.openxmlformats.org/officeDocument/2006/relationships/hyperlink" Target="https://fasih-sm.bps.go.id/app/assignment/fd68e454-ba45-4b85-8205-f3bf777ded24/df537e27-bbd0-4db8-b29e-9c99f11779cf" TargetMode="External"/><Relationship Id="rId973" Type="http://schemas.openxmlformats.org/officeDocument/2006/relationships/hyperlink" Target="https://fasih-sm.bps.go.id/app/assignment/fd68e454-ba45-4b85-8205-f3bf777ded24/fa7ffae2-2798-45fa-a9d3-fbd657878da7" TargetMode="External"/><Relationship Id="rId1049" Type="http://schemas.openxmlformats.org/officeDocument/2006/relationships/hyperlink" Target="https://fasih-sm.bps.go.id/app/assignment/fd68e454-ba45-4b85-8205-f3bf777ded24/e0e2faae-d37a-4801-9b1b-66dadab7a3bf" TargetMode="External"/><Relationship Id="rId833" Type="http://schemas.openxmlformats.org/officeDocument/2006/relationships/hyperlink" Target="https://fasih-sm.bps.go.id/app/assignment/fd68e454-ba45-4b85-8205-f3bf777ded24/edff2e40-18ff-4ac6-b2dd-af050c9ffe4e" TargetMode="External"/><Relationship Id="rId1116" Type="http://schemas.openxmlformats.org/officeDocument/2006/relationships/hyperlink" Target="https://fasih-sm.bps.go.id/app/assignment/fd68e454-ba45-4b85-8205-f3bf777ded24/1619459e-c077-4145-b16f-9ca7c4058a25" TargetMode="External"/><Relationship Id="rId265" Type="http://schemas.openxmlformats.org/officeDocument/2006/relationships/hyperlink" Target="https://fasih-sm.bps.go.id/app/assignment/fd68e454-ba45-4b85-8205-f3bf777ded24/ee37d886-4d15-43d6-90fa-a6c3988eeaa5" TargetMode="External"/><Relationship Id="rId472" Type="http://schemas.openxmlformats.org/officeDocument/2006/relationships/hyperlink" Target="https://fasih-sm.bps.go.id/app/assignment/fd68e454-ba45-4b85-8205-f3bf777ded24/8e8b09e7-d0f9-4d23-b5ea-230b396d582b" TargetMode="External"/><Relationship Id="rId900" Type="http://schemas.openxmlformats.org/officeDocument/2006/relationships/hyperlink" Target="https://fasih-sm.bps.go.id/app/assignment/fd68e454-ba45-4b85-8205-f3bf777ded24/f448bd35-b8a5-48a1-bb4d-bcf617070c2c" TargetMode="External"/><Relationship Id="rId125" Type="http://schemas.openxmlformats.org/officeDocument/2006/relationships/hyperlink" Target="https://fasih-sm.bps.go.id/app/assignment/fd68e454-ba45-4b85-8205-f3bf777ded24/e5aa457d-abfd-463b-8d55-b886fb1ceb0d" TargetMode="External"/><Relationship Id="rId332" Type="http://schemas.openxmlformats.org/officeDocument/2006/relationships/hyperlink" Target="https://fasih-sm.bps.go.id/app/assignment/fd68e454-ba45-4b85-8205-f3bf777ded24/f4735e35-ddac-4160-a91f-6f6ca44ec266" TargetMode="External"/><Relationship Id="rId777" Type="http://schemas.openxmlformats.org/officeDocument/2006/relationships/hyperlink" Target="https://fasih-sm.bps.go.id/app/assignment/fd68e454-ba45-4b85-8205-f3bf777ded24/ea27df16-9c5f-46e3-9ee7-815e6e515ad9" TargetMode="External"/><Relationship Id="rId984" Type="http://schemas.openxmlformats.org/officeDocument/2006/relationships/hyperlink" Target="https://fasih-sm.bps.go.id/app/assignment/fd68e454-ba45-4b85-8205-f3bf777ded24/fbad6b32-e163-4255-aab3-62259c84bc61" TargetMode="External"/><Relationship Id="rId637" Type="http://schemas.openxmlformats.org/officeDocument/2006/relationships/hyperlink" Target="https://fasih-sm.bps.go.id/app/assignment/fd68e454-ba45-4b85-8205-f3bf777ded24/e0271df1-e0b2-407b-83da-87fa6bfb5926" TargetMode="External"/><Relationship Id="rId844" Type="http://schemas.openxmlformats.org/officeDocument/2006/relationships/hyperlink" Target="https://fasih-sm.bps.go.id/app/assignment/fd68e454-ba45-4b85-8205-f3bf777ded24/eedfcfe6-dce7-4fdf-994b-0aeccc21d149" TargetMode="External"/><Relationship Id="rId276" Type="http://schemas.openxmlformats.org/officeDocument/2006/relationships/hyperlink" Target="https://fasih-sm.bps.go.id/app/assignment/fd68e454-ba45-4b85-8205-f3bf777ded24/ef65ba3b-7fbe-45a5-8470-d09d9fa6a4ae" TargetMode="External"/><Relationship Id="rId483" Type="http://schemas.openxmlformats.org/officeDocument/2006/relationships/hyperlink" Target="https://fasih-sm.bps.go.id/app/assignment/fd68e454-ba45-4b85-8205-f3bf777ded24/18dbe402-17d3-443d-95c0-bd2095b3da21" TargetMode="External"/><Relationship Id="rId690" Type="http://schemas.openxmlformats.org/officeDocument/2006/relationships/hyperlink" Target="https://fasih-sm.bps.go.id/app/assignment/fd68e454-ba45-4b85-8205-f3bf777ded24/e51e3c3a-d2e4-4373-a292-b92d6a595cbe" TargetMode="External"/><Relationship Id="rId704" Type="http://schemas.openxmlformats.org/officeDocument/2006/relationships/hyperlink" Target="https://fasih-sm.bps.go.id/app/assignment/fd68e454-ba45-4b85-8205-f3bf777ded24/e61e745d-53b2-4f8c-8cec-3f2d7f9e5a47" TargetMode="External"/><Relationship Id="rId911" Type="http://schemas.openxmlformats.org/officeDocument/2006/relationships/hyperlink" Target="https://fasih-sm.bps.go.id/app/assignment/fd68e454-ba45-4b85-8205-f3bf777ded24/f5333361-83ef-49b7-a2a2-c6a0f64a87da" TargetMode="External"/><Relationship Id="rId1127" Type="http://schemas.openxmlformats.org/officeDocument/2006/relationships/hyperlink" Target="https://fasih-sm.bps.go.id/app/assignment/fd68e454-ba45-4b85-8205-f3bf777ded24/611951bb-2545-4346-a6b1-cca647f24028" TargetMode="External"/><Relationship Id="rId40" Type="http://schemas.openxmlformats.org/officeDocument/2006/relationships/hyperlink" Target="https://fasih-sm.bps.go.id/app/assignment/fd68e454-ba45-4b85-8205-f3bf777ded24/de524029-e555-4248-97d0-2573a185b8c1" TargetMode="External"/><Relationship Id="rId136" Type="http://schemas.openxmlformats.org/officeDocument/2006/relationships/hyperlink" Target="https://fasih-sm.bps.go.id/app/assignment/fd68e454-ba45-4b85-8205-f3bf777ded24/e634a15a-f15d-4adf-b316-d284e8f0875c" TargetMode="External"/><Relationship Id="rId343" Type="http://schemas.openxmlformats.org/officeDocument/2006/relationships/hyperlink" Target="https://fasih-sm.bps.go.id/app/assignment/fd68e454-ba45-4b85-8205-f3bf777ded24/f56a693f-bc64-4fa5-a3f8-3046a50119c5" TargetMode="External"/><Relationship Id="rId550" Type="http://schemas.openxmlformats.org/officeDocument/2006/relationships/hyperlink" Target="https://fasih-sm.bps.go.id/app/assignment/fd68e454-ba45-4b85-8205-f3bf777ded24/43ce2bbb-1bb2-4999-8387-1e86281b0614" TargetMode="External"/><Relationship Id="rId788" Type="http://schemas.openxmlformats.org/officeDocument/2006/relationships/hyperlink" Target="https://fasih-sm.bps.go.id/app/assignment/fd68e454-ba45-4b85-8205-f3bf777ded24/eaaa7032-73b5-4790-9c63-4d9e991a0d0b" TargetMode="External"/><Relationship Id="rId995" Type="http://schemas.openxmlformats.org/officeDocument/2006/relationships/hyperlink" Target="https://fasih-sm.bps.go.id/app/assignment/fd68e454-ba45-4b85-8205-f3bf777ded24/fc8643cd-9c30-44ff-8882-0f1cf88738ee" TargetMode="External"/><Relationship Id="rId203" Type="http://schemas.openxmlformats.org/officeDocument/2006/relationships/hyperlink" Target="https://fasih-sm.bps.go.id/app/assignment/fd68e454-ba45-4b85-8205-f3bf777ded24/ea071513-32de-49fc-8e8e-c5b8a051fcea" TargetMode="External"/><Relationship Id="rId648" Type="http://schemas.openxmlformats.org/officeDocument/2006/relationships/hyperlink" Target="https://fasih-sm.bps.go.id/app/assignment/fd68e454-ba45-4b85-8205-f3bf777ded24/e1307611-9734-4f62-b574-8a3632c25206" TargetMode="External"/><Relationship Id="rId855" Type="http://schemas.openxmlformats.org/officeDocument/2006/relationships/hyperlink" Target="https://fasih-sm.bps.go.id/app/assignment/fd68e454-ba45-4b85-8205-f3bf777ded24/efee5be2-9215-4008-b791-8fba76a8025a" TargetMode="External"/><Relationship Id="rId1040" Type="http://schemas.openxmlformats.org/officeDocument/2006/relationships/hyperlink" Target="https://fasih-sm.bps.go.id/app/assignment/fd68e454-ba45-4b85-8205-f3bf777ded24/ffc8c5bf-0c61-4e3b-ad88-3ae05c9a491a" TargetMode="External"/><Relationship Id="rId287" Type="http://schemas.openxmlformats.org/officeDocument/2006/relationships/hyperlink" Target="https://fasih-sm.bps.go.id/app/assignment/fd68e454-ba45-4b85-8205-f3bf777ded24/f005cd22-6914-4eb7-993c-6aacbbee7e01" TargetMode="External"/><Relationship Id="rId410" Type="http://schemas.openxmlformats.org/officeDocument/2006/relationships/hyperlink" Target="https://fasih-sm.bps.go.id/app/assignment/fd68e454-ba45-4b85-8205-f3bf777ded24/fb3df6ff-1e7e-40b3-b865-1e6a358cfab9" TargetMode="External"/><Relationship Id="rId494" Type="http://schemas.openxmlformats.org/officeDocument/2006/relationships/hyperlink" Target="https://fasih-sm.bps.go.id/app/assignment/fd68e454-ba45-4b85-8205-f3bf777ded24/480bd4ba-44a7-4e7e-a0ad-9ddbff5d344d" TargetMode="External"/><Relationship Id="rId508" Type="http://schemas.openxmlformats.org/officeDocument/2006/relationships/hyperlink" Target="https://fasih-sm.bps.go.id/app/assignment/fd68e454-ba45-4b85-8205-f3bf777ded24/704b2ad9-ba41-4d9a-a6cb-a8eb1f2c952c" TargetMode="External"/><Relationship Id="rId715" Type="http://schemas.openxmlformats.org/officeDocument/2006/relationships/hyperlink" Target="https://fasih-sm.bps.go.id/app/assignment/fd68e454-ba45-4b85-8205-f3bf777ded24/e6ae27aa-f6ca-4e32-b323-4dd388c2ce0d" TargetMode="External"/><Relationship Id="rId922" Type="http://schemas.openxmlformats.org/officeDocument/2006/relationships/hyperlink" Target="https://fasih-sm.bps.go.id/app/assignment/fd68e454-ba45-4b85-8205-f3bf777ded24/f601b02f-7a9f-48d4-9a66-1a60bab7c2af" TargetMode="External"/><Relationship Id="rId1138" Type="http://schemas.openxmlformats.org/officeDocument/2006/relationships/hyperlink" Target="https://fasih-sm.bps.go.id/app/assignment/fd68e454-ba45-4b85-8205-f3bf777ded24/a1ba2e3c-ea8f-4177-8625-f3eb74460409" TargetMode="External"/><Relationship Id="rId147" Type="http://schemas.openxmlformats.org/officeDocument/2006/relationships/hyperlink" Target="https://fasih-sm.bps.go.id/app/assignment/fd68e454-ba45-4b85-8205-f3bf777ded24/e6cb244c-4a87-4359-8006-3712fe348bc2" TargetMode="External"/><Relationship Id="rId354" Type="http://schemas.openxmlformats.org/officeDocument/2006/relationships/hyperlink" Target="https://fasih-sm.bps.go.id/app/assignment/fd68e454-ba45-4b85-8205-f3bf777ded24/f60636de-ea96-4c85-b913-c6f5d2605b74" TargetMode="External"/><Relationship Id="rId799" Type="http://schemas.openxmlformats.org/officeDocument/2006/relationships/hyperlink" Target="https://fasih-sm.bps.go.id/app/assignment/fd68e454-ba45-4b85-8205-f3bf777ded24/eb694af1-01b6-420b-933b-8957f5dbdddf" TargetMode="External"/><Relationship Id="rId51" Type="http://schemas.openxmlformats.org/officeDocument/2006/relationships/hyperlink" Target="https://fasih-sm.bps.go.id/app/assignment/fd68e454-ba45-4b85-8205-f3bf777ded24/df0ad837-b718-4902-ae78-b695f2ebe594" TargetMode="External"/><Relationship Id="rId561" Type="http://schemas.openxmlformats.org/officeDocument/2006/relationships/hyperlink" Target="https://fasih-sm.bps.go.id/app/assignment/fd68e454-ba45-4b85-8205-f3bf777ded24/749efa59-0ace-4c38-897b-c04c1ac51735" TargetMode="External"/><Relationship Id="rId659" Type="http://schemas.openxmlformats.org/officeDocument/2006/relationships/hyperlink" Target="https://fasih-sm.bps.go.id/app/assignment/fd68e454-ba45-4b85-8205-f3bf777ded24/e23126cc-c93b-453b-889a-c446dcf6b97c" TargetMode="External"/><Relationship Id="rId866" Type="http://schemas.openxmlformats.org/officeDocument/2006/relationships/hyperlink" Target="https://fasih-sm.bps.go.id/app/assignment/fd68e454-ba45-4b85-8205-f3bf777ded24/f0c87b25-b21d-49a9-ab47-8023a59c8ecd" TargetMode="External"/><Relationship Id="rId214" Type="http://schemas.openxmlformats.org/officeDocument/2006/relationships/hyperlink" Target="https://fasih-sm.bps.go.id/app/assignment/fd68e454-ba45-4b85-8205-f3bf777ded24/ea8f8030-88b4-4ab3-a1b2-9881a8d031d5" TargetMode="External"/><Relationship Id="rId298" Type="http://schemas.openxmlformats.org/officeDocument/2006/relationships/hyperlink" Target="https://fasih-sm.bps.go.id/app/assignment/fd68e454-ba45-4b85-8205-f3bf777ded24/f1118d91-c147-47b9-9154-4d4ef25ede38" TargetMode="External"/><Relationship Id="rId421" Type="http://schemas.openxmlformats.org/officeDocument/2006/relationships/hyperlink" Target="https://fasih-sm.bps.go.id/app/assignment/fd68e454-ba45-4b85-8205-f3bf777ded24/fc505013-b578-43a1-97ad-f022780569bc" TargetMode="External"/><Relationship Id="rId519" Type="http://schemas.openxmlformats.org/officeDocument/2006/relationships/hyperlink" Target="https://fasih-sm.bps.go.id/app/assignment/fd68e454-ba45-4b85-8205-f3bf777ded24/9728f732-5e0a-47fa-8483-c8dd1621942a" TargetMode="External"/><Relationship Id="rId1051" Type="http://schemas.openxmlformats.org/officeDocument/2006/relationships/hyperlink" Target="https://fasih-sm.bps.go.id/app/assignment/fd68e454-ba45-4b85-8205-f3bf777ded24/1f9da299-a45e-459d-80de-dc5e0c9c37dd" TargetMode="External"/><Relationship Id="rId158" Type="http://schemas.openxmlformats.org/officeDocument/2006/relationships/hyperlink" Target="https://fasih-sm.bps.go.id/app/assignment/fd68e454-ba45-4b85-8205-f3bf777ded24/e74a781b-bbe1-4009-bdfb-8eae96dc4ff6" TargetMode="External"/><Relationship Id="rId726" Type="http://schemas.openxmlformats.org/officeDocument/2006/relationships/hyperlink" Target="https://fasih-sm.bps.go.id/app/assignment/fd68e454-ba45-4b85-8205-f3bf777ded24/e71e8225-d823-4385-a152-ddde4484ad81" TargetMode="External"/><Relationship Id="rId933" Type="http://schemas.openxmlformats.org/officeDocument/2006/relationships/hyperlink" Target="https://fasih-sm.bps.go.id/app/assignment/fd68e454-ba45-4b85-8205-f3bf777ded24/f68f795f-e4bd-43ec-9165-88b92c46f419" TargetMode="External"/><Relationship Id="rId1009" Type="http://schemas.openxmlformats.org/officeDocument/2006/relationships/hyperlink" Target="https://fasih-sm.bps.go.id/app/assignment/fd68e454-ba45-4b85-8205-f3bf777ded24/fd6577b9-4e6c-492a-8f7f-a3035b1a7432" TargetMode="External"/><Relationship Id="rId62" Type="http://schemas.openxmlformats.org/officeDocument/2006/relationships/hyperlink" Target="https://fasih-sm.bps.go.id/app/assignment/fd68e454-ba45-4b85-8205-f3bf777ded24/dfee7536-7d00-4d93-a0da-91173d756503" TargetMode="External"/><Relationship Id="rId365" Type="http://schemas.openxmlformats.org/officeDocument/2006/relationships/hyperlink" Target="https://fasih-sm.bps.go.id/app/assignment/fd68e454-ba45-4b85-8205-f3bf777ded24/f6a06079-bbd5-467c-99d4-1fac05043ad1" TargetMode="External"/><Relationship Id="rId572" Type="http://schemas.openxmlformats.org/officeDocument/2006/relationships/hyperlink" Target="https://fasih-sm.bps.go.id/app/assignment/fd68e454-ba45-4b85-8205-f3bf777ded24/da9dc88a-e154-4724-bb07-2100ed1fc06e" TargetMode="External"/><Relationship Id="rId225" Type="http://schemas.openxmlformats.org/officeDocument/2006/relationships/hyperlink" Target="https://fasih-sm.bps.go.id/app/assignment/fd68e454-ba45-4b85-8205-f3bf777ded24/eb4889fa-a633-48fd-82c2-5f96bd062684" TargetMode="External"/><Relationship Id="rId432" Type="http://schemas.openxmlformats.org/officeDocument/2006/relationships/hyperlink" Target="https://fasih-sm.bps.go.id/app/assignment/fd68e454-ba45-4b85-8205-f3bf777ded24/fd02890b-c155-442f-884e-aead480c987f" TargetMode="External"/><Relationship Id="rId877" Type="http://schemas.openxmlformats.org/officeDocument/2006/relationships/hyperlink" Target="https://fasih-sm.bps.go.id/app/assignment/fd68e454-ba45-4b85-8205-f3bf777ded24/f1b55c2f-7e9a-4297-ae10-ae5e0d1274b5" TargetMode="External"/><Relationship Id="rId1062" Type="http://schemas.openxmlformats.org/officeDocument/2006/relationships/hyperlink" Target="https://fasih-sm.bps.go.id/app/assignment/fd68e454-ba45-4b85-8205-f3bf777ded24/3570a88d-3112-443e-875e-94a7ae23fb56" TargetMode="External"/><Relationship Id="rId737" Type="http://schemas.openxmlformats.org/officeDocument/2006/relationships/hyperlink" Target="https://fasih-sm.bps.go.id/app/assignment/fd68e454-ba45-4b85-8205-f3bf777ded24/e7b8024d-d254-4643-9db3-f375d75e2078" TargetMode="External"/><Relationship Id="rId944" Type="http://schemas.openxmlformats.org/officeDocument/2006/relationships/hyperlink" Target="https://fasih-sm.bps.go.id/app/assignment/fd68e454-ba45-4b85-8205-f3bf777ded24/f7ad0982-477f-4840-aa06-639433fdb533" TargetMode="External"/><Relationship Id="rId73" Type="http://schemas.openxmlformats.org/officeDocument/2006/relationships/hyperlink" Target="https://fasih-sm.bps.go.id/app/assignment/fd68e454-ba45-4b85-8205-f3bf777ded24/e0d18ed7-c9b9-4c56-93c0-56d624ef13e2" TargetMode="External"/><Relationship Id="rId169" Type="http://schemas.openxmlformats.org/officeDocument/2006/relationships/hyperlink" Target="https://fasih-sm.bps.go.id/app/assignment/fd68e454-ba45-4b85-8205-f3bf777ded24/e7e8c133-99a7-4d00-8c96-e9d1ab48d78f" TargetMode="External"/><Relationship Id="rId376" Type="http://schemas.openxmlformats.org/officeDocument/2006/relationships/hyperlink" Target="https://fasih-sm.bps.go.id/app/assignment/fd68e454-ba45-4b85-8205-f3bf777ded24/f8013566-528f-472c-b8a1-73f561dcd7a6" TargetMode="External"/><Relationship Id="rId583" Type="http://schemas.openxmlformats.org/officeDocument/2006/relationships/hyperlink" Target="https://fasih-sm.bps.go.id/app/assignment/fd68e454-ba45-4b85-8205-f3bf777ded24/dc36461d-3a71-4913-b0e8-54f7134bb9f7" TargetMode="External"/><Relationship Id="rId790" Type="http://schemas.openxmlformats.org/officeDocument/2006/relationships/hyperlink" Target="https://fasih-sm.bps.go.id/app/assignment/fd68e454-ba45-4b85-8205-f3bf777ded24/ead136f9-2fdf-4d15-af9d-9f94081c7288" TargetMode="External"/><Relationship Id="rId804" Type="http://schemas.openxmlformats.org/officeDocument/2006/relationships/hyperlink" Target="https://fasih-sm.bps.go.id/app/assignment/fd68e454-ba45-4b85-8205-f3bf777ded24/ebeeaec8-6c3f-4a43-84b3-bdd9a0580251" TargetMode="External"/><Relationship Id="rId4" Type="http://schemas.openxmlformats.org/officeDocument/2006/relationships/hyperlink" Target="https://fasih-sm.bps.go.id/app/assignment/fd68e454-ba45-4b85-8205-f3bf777ded24/db0927a3-ce16-4beb-bcee-f1c2df79b62b" TargetMode="External"/><Relationship Id="rId236" Type="http://schemas.openxmlformats.org/officeDocument/2006/relationships/hyperlink" Target="https://fasih-sm.bps.go.id/app/assignment/fd68e454-ba45-4b85-8205-f3bf777ded24/ec179c5e-9ee8-482c-99dd-06801187f680" TargetMode="External"/><Relationship Id="rId443" Type="http://schemas.openxmlformats.org/officeDocument/2006/relationships/hyperlink" Target="https://fasih-sm.bps.go.id/app/assignment/fd68e454-ba45-4b85-8205-f3bf777ded24/fde97b8b-8717-425c-988b-0c37f3863939" TargetMode="External"/><Relationship Id="rId650" Type="http://schemas.openxmlformats.org/officeDocument/2006/relationships/hyperlink" Target="https://fasih-sm.bps.go.id/app/assignment/fd68e454-ba45-4b85-8205-f3bf777ded24/e1a0a4f0-7a4a-4eb9-87d6-bcdb1cc8c09d" TargetMode="External"/><Relationship Id="rId888" Type="http://schemas.openxmlformats.org/officeDocument/2006/relationships/hyperlink" Target="https://fasih-sm.bps.go.id/app/assignment/fd68e454-ba45-4b85-8205-f3bf777ded24/f2e82da4-28e1-4eb8-ae43-4fa91ae84d96" TargetMode="External"/><Relationship Id="rId1073" Type="http://schemas.openxmlformats.org/officeDocument/2006/relationships/hyperlink" Target="https://fasih-sm.bps.go.id/app/assignment/fd68e454-ba45-4b85-8205-f3bf777ded24/63baabea-ad62-417c-980d-6888b0190c2b" TargetMode="External"/><Relationship Id="rId303" Type="http://schemas.openxmlformats.org/officeDocument/2006/relationships/hyperlink" Target="https://fasih-sm.bps.go.id/app/assignment/fd68e454-ba45-4b85-8205-f3bf777ded24/f16d19fd-a412-400f-b131-c7ec49d4591b" TargetMode="External"/><Relationship Id="rId748" Type="http://schemas.openxmlformats.org/officeDocument/2006/relationships/hyperlink" Target="https://fasih-sm.bps.go.id/app/assignment/fd68e454-ba45-4b85-8205-f3bf777ded24/e861cd92-afb6-45ac-a482-a190fb1ca779" TargetMode="External"/><Relationship Id="rId955" Type="http://schemas.openxmlformats.org/officeDocument/2006/relationships/hyperlink" Target="https://fasih-sm.bps.go.id/app/assignment/fd68e454-ba45-4b85-8205-f3bf777ded24/f88ee133-e7a0-4b38-8828-b1c5aab95d3d" TargetMode="External"/><Relationship Id="rId1140" Type="http://schemas.openxmlformats.org/officeDocument/2006/relationships/hyperlink" Target="https://fasih-sm.bps.go.id/app/assignment/fd68e454-ba45-4b85-8205-f3bf777ded24/ad9c7fde-062b-4023-b8b6-77d5acc2215c" TargetMode="External"/><Relationship Id="rId84" Type="http://schemas.openxmlformats.org/officeDocument/2006/relationships/hyperlink" Target="https://fasih-sm.bps.go.id/app/assignment/fd68e454-ba45-4b85-8205-f3bf777ded24/e1f7130f-3756-4c2d-b55e-dfb7a28317cf" TargetMode="External"/><Relationship Id="rId387" Type="http://schemas.openxmlformats.org/officeDocument/2006/relationships/hyperlink" Target="https://fasih-sm.bps.go.id/app/assignment/fd68e454-ba45-4b85-8205-f3bf777ded24/f8d10189-c03c-43cc-85ff-27478bc62aa0" TargetMode="External"/><Relationship Id="rId510" Type="http://schemas.openxmlformats.org/officeDocument/2006/relationships/hyperlink" Target="https://fasih-sm.bps.go.id/app/assignment/fd68e454-ba45-4b85-8205-f3bf777ded24/79f2bb64-e692-4044-8977-ac23da017b35" TargetMode="External"/><Relationship Id="rId594" Type="http://schemas.openxmlformats.org/officeDocument/2006/relationships/hyperlink" Target="https://fasih-sm.bps.go.id/app/assignment/fd68e454-ba45-4b85-8205-f3bf777ded24/dd275136-fd5d-406f-9e7a-5d92d5e4abf6" TargetMode="External"/><Relationship Id="rId608" Type="http://schemas.openxmlformats.org/officeDocument/2006/relationships/hyperlink" Target="https://fasih-sm.bps.go.id/app/assignment/fd68e454-ba45-4b85-8205-f3bf777ded24/de377741-09be-40c6-849a-fd28c7308ab2" TargetMode="External"/><Relationship Id="rId815" Type="http://schemas.openxmlformats.org/officeDocument/2006/relationships/hyperlink" Target="https://fasih-sm.bps.go.id/app/assignment/fd68e454-ba45-4b85-8205-f3bf777ded24/ec9baff1-420d-4136-af37-942bb77d872c" TargetMode="External"/><Relationship Id="rId247" Type="http://schemas.openxmlformats.org/officeDocument/2006/relationships/hyperlink" Target="https://fasih-sm.bps.go.id/app/assignment/fd68e454-ba45-4b85-8205-f3bf777ded24/ed049ce8-b9ed-45a4-9963-9bfc0765a203" TargetMode="External"/><Relationship Id="rId899" Type="http://schemas.openxmlformats.org/officeDocument/2006/relationships/hyperlink" Target="https://fasih-sm.bps.go.id/app/assignment/fd68e454-ba45-4b85-8205-f3bf777ded24/f425ae67-b16c-4314-af88-54186c0aea9f" TargetMode="External"/><Relationship Id="rId1000" Type="http://schemas.openxmlformats.org/officeDocument/2006/relationships/hyperlink" Target="https://fasih-sm.bps.go.id/app/assignment/fd68e454-ba45-4b85-8205-f3bf777ded24/fcd72b18-a386-4561-9da3-f25fbbbdb939" TargetMode="External"/><Relationship Id="rId1084" Type="http://schemas.openxmlformats.org/officeDocument/2006/relationships/hyperlink" Target="https://fasih-sm.bps.go.id/app/assignment/fd68e454-ba45-4b85-8205-f3bf777ded24/857d01d2-00d5-4ad9-a231-3b6aa78db49b" TargetMode="External"/><Relationship Id="rId107" Type="http://schemas.openxmlformats.org/officeDocument/2006/relationships/hyperlink" Target="https://fasih-sm.bps.go.id/app/assignment/fd68e454-ba45-4b85-8205-f3bf777ded24/e3746b5f-c996-48ce-acee-af1bcaf3e85a" TargetMode="External"/><Relationship Id="rId454" Type="http://schemas.openxmlformats.org/officeDocument/2006/relationships/hyperlink" Target="https://fasih-sm.bps.go.id/app/assignment/fd68e454-ba45-4b85-8205-f3bf777ded24/feb0953d-0ea9-45ff-9551-3f4fcdb687d0" TargetMode="External"/><Relationship Id="rId661" Type="http://schemas.openxmlformats.org/officeDocument/2006/relationships/hyperlink" Target="https://fasih-sm.bps.go.id/app/assignment/fd68e454-ba45-4b85-8205-f3bf777ded24/e26ce431-dade-4d30-bb7a-803b4d9b97e2" TargetMode="External"/><Relationship Id="rId759" Type="http://schemas.openxmlformats.org/officeDocument/2006/relationships/hyperlink" Target="https://fasih-sm.bps.go.id/app/assignment/fd68e454-ba45-4b85-8205-f3bf777ded24/e8d5c727-1646-4afa-b110-40690afda27a" TargetMode="External"/><Relationship Id="rId966" Type="http://schemas.openxmlformats.org/officeDocument/2006/relationships/hyperlink" Target="https://fasih-sm.bps.go.id/app/assignment/fd68e454-ba45-4b85-8205-f3bf777ded24/f9d9bb31-20c7-4154-aec0-11f980aa0660" TargetMode="External"/><Relationship Id="rId11" Type="http://schemas.openxmlformats.org/officeDocument/2006/relationships/hyperlink" Target="https://fasih-sm.bps.go.id/app/assignment/fd68e454-ba45-4b85-8205-f3bf777ded24/dc30dcd9-1d9a-4aec-ab66-548cc24f3724" TargetMode="External"/><Relationship Id="rId314" Type="http://schemas.openxmlformats.org/officeDocument/2006/relationships/hyperlink" Target="https://fasih-sm.bps.go.id/app/assignment/fd68e454-ba45-4b85-8205-f3bf777ded24/f296d1cd-1df7-4334-aeab-cea784db4cd5" TargetMode="External"/><Relationship Id="rId398" Type="http://schemas.openxmlformats.org/officeDocument/2006/relationships/hyperlink" Target="https://fasih-sm.bps.go.id/app/assignment/fd68e454-ba45-4b85-8205-f3bf777ded24/fa6ac808-d940-4877-978c-2c7ba32cfb7d" TargetMode="External"/><Relationship Id="rId521" Type="http://schemas.openxmlformats.org/officeDocument/2006/relationships/hyperlink" Target="https://fasih-sm.bps.go.id/app/assignment/fd68e454-ba45-4b85-8205-f3bf777ded24/9c32f5e8-7f9e-440a-8812-2725e2712620" TargetMode="External"/><Relationship Id="rId619" Type="http://schemas.openxmlformats.org/officeDocument/2006/relationships/hyperlink" Target="https://fasih-sm.bps.go.id/app/assignment/fd68e454-ba45-4b85-8205-f3bf777ded24/dedcd57d-c8d0-478e-b321-b21d200f13e8" TargetMode="External"/><Relationship Id="rId95" Type="http://schemas.openxmlformats.org/officeDocument/2006/relationships/hyperlink" Target="https://fasih-sm.bps.go.id/app/assignment/fd68e454-ba45-4b85-8205-f3bf777ded24/e2ada05c-d7c8-4766-89b2-e7cb68351c87" TargetMode="External"/><Relationship Id="rId160" Type="http://schemas.openxmlformats.org/officeDocument/2006/relationships/hyperlink" Target="https://fasih-sm.bps.go.id/app/assignment/fd68e454-ba45-4b85-8205-f3bf777ded24/e7821c8a-3b57-48f0-831d-fef57460f534" TargetMode="External"/><Relationship Id="rId826" Type="http://schemas.openxmlformats.org/officeDocument/2006/relationships/hyperlink" Target="https://fasih-sm.bps.go.id/app/assignment/fd68e454-ba45-4b85-8205-f3bf777ded24/edb5f190-b189-43ee-97f6-072ff701e8fc" TargetMode="External"/><Relationship Id="rId1011" Type="http://schemas.openxmlformats.org/officeDocument/2006/relationships/hyperlink" Target="https://fasih-sm.bps.go.id/app/assignment/fd68e454-ba45-4b85-8205-f3bf777ded24/fd7b35a5-13b3-4ed9-a949-628eddca6708" TargetMode="External"/><Relationship Id="rId1109" Type="http://schemas.openxmlformats.org/officeDocument/2006/relationships/hyperlink" Target="https://fasih-sm.bps.go.id/app/assignment/fd68e454-ba45-4b85-8205-f3bf777ded24/eea88026-09f1-4b54-8070-27fb49d9da1c" TargetMode="External"/><Relationship Id="rId258" Type="http://schemas.openxmlformats.org/officeDocument/2006/relationships/hyperlink" Target="https://fasih-sm.bps.go.id/app/assignment/fd68e454-ba45-4b85-8205-f3bf777ded24/edf23f35-fa87-41d3-9b9d-a49e055cf5ba" TargetMode="External"/><Relationship Id="rId465" Type="http://schemas.openxmlformats.org/officeDocument/2006/relationships/hyperlink" Target="https://fasih-sm.bps.go.id/app/assignment/fd68e454-ba45-4b85-8205-f3bf777ded24/ff6cbd1e-2129-47be-97a4-2059de91674c" TargetMode="External"/><Relationship Id="rId672" Type="http://schemas.openxmlformats.org/officeDocument/2006/relationships/hyperlink" Target="https://fasih-sm.bps.go.id/app/assignment/fd68e454-ba45-4b85-8205-f3bf777ded24/e326c8b1-7104-4174-8701-d4279ff4a3f9" TargetMode="External"/><Relationship Id="rId1095" Type="http://schemas.openxmlformats.org/officeDocument/2006/relationships/hyperlink" Target="https://fasih-sm.bps.go.id/app/assignment/fd68e454-ba45-4b85-8205-f3bf777ded24/ab9a6814-b9e7-4d0b-a65f-8f8998a61cec" TargetMode="External"/><Relationship Id="rId22" Type="http://schemas.openxmlformats.org/officeDocument/2006/relationships/hyperlink" Target="https://fasih-sm.bps.go.id/app/assignment/fd68e454-ba45-4b85-8205-f3bf777ded24/dd0b7eca-46c4-4bda-beda-74bba3c67bb0" TargetMode="External"/><Relationship Id="rId118" Type="http://schemas.openxmlformats.org/officeDocument/2006/relationships/hyperlink" Target="https://fasih-sm.bps.go.id/app/assignment/fd68e454-ba45-4b85-8205-f3bf777ded24/e4f4dfad-f4e9-440b-a1fb-dbda041f8a80" TargetMode="External"/><Relationship Id="rId325" Type="http://schemas.openxmlformats.org/officeDocument/2006/relationships/hyperlink" Target="https://fasih-sm.bps.go.id/app/assignment/fd68e454-ba45-4b85-8205-f3bf777ded24/f3ea58f3-c4b7-4181-8f40-e7fdc4aca07a" TargetMode="External"/><Relationship Id="rId532" Type="http://schemas.openxmlformats.org/officeDocument/2006/relationships/hyperlink" Target="https://fasih-sm.bps.go.id/app/assignment/fd68e454-ba45-4b85-8205-f3bf777ded24/ce75b1ce-a743-4a9a-a600-8f51f7686e61" TargetMode="External"/><Relationship Id="rId977" Type="http://schemas.openxmlformats.org/officeDocument/2006/relationships/hyperlink" Target="https://fasih-sm.bps.go.id/app/assignment/fd68e454-ba45-4b85-8205-f3bf777ded24/fad3676e-3766-4788-bbec-db3f1a6c706a" TargetMode="External"/><Relationship Id="rId171" Type="http://schemas.openxmlformats.org/officeDocument/2006/relationships/hyperlink" Target="https://fasih-sm.bps.go.id/app/assignment/fd68e454-ba45-4b85-8205-f3bf777ded24/e7f12a87-9c15-4e86-8fb1-a760c31002ad" TargetMode="External"/><Relationship Id="rId837" Type="http://schemas.openxmlformats.org/officeDocument/2006/relationships/hyperlink" Target="https://fasih-sm.bps.go.id/app/assignment/fd68e454-ba45-4b85-8205-f3bf777ded24/ee5b080a-ff2d-46de-b1b6-57499abf26d1" TargetMode="External"/><Relationship Id="rId1022" Type="http://schemas.openxmlformats.org/officeDocument/2006/relationships/hyperlink" Target="https://fasih-sm.bps.go.id/app/assignment/fd68e454-ba45-4b85-8205-f3bf777ded24/fe863518-90a3-4d30-858e-281be9434481" TargetMode="External"/><Relationship Id="rId269" Type="http://schemas.openxmlformats.org/officeDocument/2006/relationships/hyperlink" Target="https://fasih-sm.bps.go.id/app/assignment/fd68e454-ba45-4b85-8205-f3bf777ded24/eeb2654e-4971-42c9-bb7b-7779782fdfa7" TargetMode="External"/><Relationship Id="rId476" Type="http://schemas.openxmlformats.org/officeDocument/2006/relationships/hyperlink" Target="https://fasih-sm.bps.go.id/app/assignment/fd68e454-ba45-4b85-8205-f3bf777ded24/9d7cd246-df91-484e-98f0-570a43aaf1cb" TargetMode="External"/><Relationship Id="rId683" Type="http://schemas.openxmlformats.org/officeDocument/2006/relationships/hyperlink" Target="https://fasih-sm.bps.go.id/app/assignment/fd68e454-ba45-4b85-8205-f3bf777ded24/e4772494-4797-485a-98ab-d07973f8d354" TargetMode="External"/><Relationship Id="rId890" Type="http://schemas.openxmlformats.org/officeDocument/2006/relationships/hyperlink" Target="https://fasih-sm.bps.go.id/app/assignment/fd68e454-ba45-4b85-8205-f3bf777ded24/f30dfeb3-5454-49f6-8b1e-4f6bf9274901" TargetMode="External"/><Relationship Id="rId904" Type="http://schemas.openxmlformats.org/officeDocument/2006/relationships/hyperlink" Target="https://fasih-sm.bps.go.id/app/assignment/fd68e454-ba45-4b85-8205-f3bf777ded24/f4b3f5b4-77e0-4aef-bbfc-da4439de4364" TargetMode="External"/><Relationship Id="rId33" Type="http://schemas.openxmlformats.org/officeDocument/2006/relationships/hyperlink" Target="https://fasih-sm.bps.go.id/app/assignment/fd68e454-ba45-4b85-8205-f3bf777ded24/de1a3235-0b51-43b1-8e88-863736c5296d" TargetMode="External"/><Relationship Id="rId129" Type="http://schemas.openxmlformats.org/officeDocument/2006/relationships/hyperlink" Target="https://fasih-sm.bps.go.id/app/assignment/fd68e454-ba45-4b85-8205-f3bf777ded24/e5eed3f6-095e-4d3e-895a-2c9db7ba50cb" TargetMode="External"/><Relationship Id="rId336" Type="http://schemas.openxmlformats.org/officeDocument/2006/relationships/hyperlink" Target="https://fasih-sm.bps.go.id/app/assignment/fd68e454-ba45-4b85-8205-f3bf777ded24/f4d6de29-c8d1-41d8-bd42-af16657de059" TargetMode="External"/><Relationship Id="rId543" Type="http://schemas.openxmlformats.org/officeDocument/2006/relationships/hyperlink" Target="https://fasih-sm.bps.go.id/app/assignment/fd68e454-ba45-4b85-8205-f3bf777ded24/c283add2-6c8b-4e00-947a-8bb64b2dd6df" TargetMode="External"/><Relationship Id="rId988" Type="http://schemas.openxmlformats.org/officeDocument/2006/relationships/hyperlink" Target="https://fasih-sm.bps.go.id/app/assignment/fd68e454-ba45-4b85-8205-f3bf777ded24/fc08a600-25e9-4521-a76c-42938889913a" TargetMode="External"/><Relationship Id="rId182" Type="http://schemas.openxmlformats.org/officeDocument/2006/relationships/hyperlink" Target="https://fasih-sm.bps.go.id/app/assignment/fd68e454-ba45-4b85-8205-f3bf777ded24/e88b0c64-f3ab-4998-bca4-8fbb88ccec95" TargetMode="External"/><Relationship Id="rId403" Type="http://schemas.openxmlformats.org/officeDocument/2006/relationships/hyperlink" Target="https://fasih-sm.bps.go.id/app/assignment/fd68e454-ba45-4b85-8205-f3bf777ded24/faaede9e-8600-46c9-8da7-a5bfbd9405d5" TargetMode="External"/><Relationship Id="rId750" Type="http://schemas.openxmlformats.org/officeDocument/2006/relationships/hyperlink" Target="https://fasih-sm.bps.go.id/app/assignment/fd68e454-ba45-4b85-8205-f3bf777ded24/e86fa943-d584-48c0-8f09-497b4282c12d" TargetMode="External"/><Relationship Id="rId848" Type="http://schemas.openxmlformats.org/officeDocument/2006/relationships/hyperlink" Target="https://fasih-sm.bps.go.id/app/assignment/fd68e454-ba45-4b85-8205-f3bf777ded24/ef73516a-ae28-451f-9ac1-1dbe6e9d5d79" TargetMode="External"/><Relationship Id="rId1033" Type="http://schemas.openxmlformats.org/officeDocument/2006/relationships/hyperlink" Target="https://fasih-sm.bps.go.id/app/assignment/fd68e454-ba45-4b85-8205-f3bf777ded24/ff676c8e-c1a7-4c94-a2eb-8e4342c49b3f" TargetMode="External"/><Relationship Id="rId487" Type="http://schemas.openxmlformats.org/officeDocument/2006/relationships/hyperlink" Target="https://fasih-sm.bps.go.id/app/assignment/fd68e454-ba45-4b85-8205-f3bf777ded24/1e73c893-481d-46a3-ad29-d8f8e8f7161f" TargetMode="External"/><Relationship Id="rId610" Type="http://schemas.openxmlformats.org/officeDocument/2006/relationships/hyperlink" Target="https://fasih-sm.bps.go.id/app/assignment/fd68e454-ba45-4b85-8205-f3bf777ded24/de4d919b-086e-40af-b46e-bb5c216b5428" TargetMode="External"/><Relationship Id="rId694" Type="http://schemas.openxmlformats.org/officeDocument/2006/relationships/hyperlink" Target="https://fasih-sm.bps.go.id/app/assignment/fd68e454-ba45-4b85-8205-f3bf777ded24/e575aab3-6abb-4d4a-bfee-d8baa5342b31" TargetMode="External"/><Relationship Id="rId708" Type="http://schemas.openxmlformats.org/officeDocument/2006/relationships/hyperlink" Target="https://fasih-sm.bps.go.id/app/assignment/fd68e454-ba45-4b85-8205-f3bf777ded24/e63f0959-483f-4df9-a767-5de9c8ce17a4" TargetMode="External"/><Relationship Id="rId915" Type="http://schemas.openxmlformats.org/officeDocument/2006/relationships/hyperlink" Target="https://fasih-sm.bps.go.id/app/assignment/fd68e454-ba45-4b85-8205-f3bf777ded24/f57a94ae-d79e-4d66-a703-cdd933ada2d2" TargetMode="External"/><Relationship Id="rId347" Type="http://schemas.openxmlformats.org/officeDocument/2006/relationships/hyperlink" Target="https://fasih-sm.bps.go.id/app/assignment/fd68e454-ba45-4b85-8205-f3bf777ded24/f5d764e8-e291-483a-ae6e-30ff68929a89" TargetMode="External"/><Relationship Id="rId999" Type="http://schemas.openxmlformats.org/officeDocument/2006/relationships/hyperlink" Target="https://fasih-sm.bps.go.id/app/assignment/fd68e454-ba45-4b85-8205-f3bf777ded24/fcd72b18-a386-4561-9da3-f25fbbbdb939" TargetMode="External"/><Relationship Id="rId1100" Type="http://schemas.openxmlformats.org/officeDocument/2006/relationships/hyperlink" Target="https://fasih-sm.bps.go.id/app/assignment/fd68e454-ba45-4b85-8205-f3bf777ded24/c2356439-9620-480d-bcd6-5651ca402922" TargetMode="External"/><Relationship Id="rId44" Type="http://schemas.openxmlformats.org/officeDocument/2006/relationships/hyperlink" Target="https://fasih-sm.bps.go.id/app/assignment/fd68e454-ba45-4b85-8205-f3bf777ded24/dea05093-1a3f-42d3-83c1-78751df6ea79" TargetMode="External"/><Relationship Id="rId554" Type="http://schemas.openxmlformats.org/officeDocument/2006/relationships/hyperlink" Target="https://fasih-sm.bps.go.id/app/assignment/fd68e454-ba45-4b85-8205-f3bf777ded24/5d4b379f-3721-4dcd-8276-21e25b2b7623" TargetMode="External"/><Relationship Id="rId761" Type="http://schemas.openxmlformats.org/officeDocument/2006/relationships/hyperlink" Target="https://fasih-sm.bps.go.id/app/assignment/fd68e454-ba45-4b85-8205-f3bf777ded24/e8e274ab-83df-4f0f-bca0-6df6b559fb7c" TargetMode="External"/><Relationship Id="rId859" Type="http://schemas.openxmlformats.org/officeDocument/2006/relationships/hyperlink" Target="https://fasih-sm.bps.go.id/app/assignment/fd68e454-ba45-4b85-8205-f3bf777ded24/f00eb4b0-257e-4d77-ae21-f2ad6da594d6" TargetMode="External"/><Relationship Id="rId193" Type="http://schemas.openxmlformats.org/officeDocument/2006/relationships/hyperlink" Target="https://fasih-sm.bps.go.id/app/assignment/fd68e454-ba45-4b85-8205-f3bf777ded24/e8fce74f-89f9-4b16-a132-3257a6365f9d" TargetMode="External"/><Relationship Id="rId207" Type="http://schemas.openxmlformats.org/officeDocument/2006/relationships/hyperlink" Target="https://fasih-sm.bps.go.id/app/assignment/fd68e454-ba45-4b85-8205-f3bf777ded24/ea2a9ebd-5ca9-4af3-bcce-28f8b063ef1b" TargetMode="External"/><Relationship Id="rId414" Type="http://schemas.openxmlformats.org/officeDocument/2006/relationships/hyperlink" Target="https://fasih-sm.bps.go.id/app/assignment/fd68e454-ba45-4b85-8205-f3bf777ded24/fbc98d89-7b00-4151-95a3-f9271c745425" TargetMode="External"/><Relationship Id="rId498" Type="http://schemas.openxmlformats.org/officeDocument/2006/relationships/hyperlink" Target="https://fasih-sm.bps.go.id/app/assignment/fd68e454-ba45-4b85-8205-f3bf777ded24/5d7c2c39-c565-4b7d-93ee-6d5f42736bbc" TargetMode="External"/><Relationship Id="rId621" Type="http://schemas.openxmlformats.org/officeDocument/2006/relationships/hyperlink" Target="https://fasih-sm.bps.go.id/app/assignment/fd68e454-ba45-4b85-8205-f3bf777ded24/df011853-a596-4427-ba6b-e91660bb70a7" TargetMode="External"/><Relationship Id="rId1044" Type="http://schemas.openxmlformats.org/officeDocument/2006/relationships/hyperlink" Target="https://fasih-sm.bps.go.id/app/assignment/fd68e454-ba45-4b85-8205-f3bf777ded24/91c5bd77-47a1-4402-8123-9a00f479c55f" TargetMode="External"/><Relationship Id="rId260" Type="http://schemas.openxmlformats.org/officeDocument/2006/relationships/hyperlink" Target="https://fasih-sm.bps.go.id/app/assignment/fd68e454-ba45-4b85-8205-f3bf777ded24/edf31ded-7098-4013-8f58-a65f10210c9a" TargetMode="External"/><Relationship Id="rId719" Type="http://schemas.openxmlformats.org/officeDocument/2006/relationships/hyperlink" Target="https://fasih-sm.bps.go.id/app/assignment/fd68e454-ba45-4b85-8205-f3bf777ded24/e6ce2a3d-9369-4ece-9953-c32ad862a670" TargetMode="External"/><Relationship Id="rId926" Type="http://schemas.openxmlformats.org/officeDocument/2006/relationships/hyperlink" Target="https://fasih-sm.bps.go.id/app/assignment/fd68e454-ba45-4b85-8205-f3bf777ded24/f626ef16-5590-4904-a0b4-2280805f715b" TargetMode="External"/><Relationship Id="rId1111" Type="http://schemas.openxmlformats.org/officeDocument/2006/relationships/hyperlink" Target="https://fasih-sm.bps.go.id/app/assignment/fd68e454-ba45-4b85-8205-f3bf777ded24/7d8bcce2-38d5-40d6-a44a-bdbad15c21a4" TargetMode="External"/><Relationship Id="rId55" Type="http://schemas.openxmlformats.org/officeDocument/2006/relationships/hyperlink" Target="https://fasih-sm.bps.go.id/app/assignment/fd68e454-ba45-4b85-8205-f3bf777ded24/df537e27-bbd0-4db8-b29e-9c99f11779cf" TargetMode="External"/><Relationship Id="rId120" Type="http://schemas.openxmlformats.org/officeDocument/2006/relationships/hyperlink" Target="https://fasih-sm.bps.go.id/app/assignment/fd68e454-ba45-4b85-8205-f3bf777ded24/e5217b8a-7612-4755-acfc-34b68279b74f" TargetMode="External"/><Relationship Id="rId358" Type="http://schemas.openxmlformats.org/officeDocument/2006/relationships/hyperlink" Target="https://fasih-sm.bps.go.id/app/assignment/fd68e454-ba45-4b85-8205-f3bf777ded24/f6303ef6-b12d-4720-b670-8055046b48eb" TargetMode="External"/><Relationship Id="rId565" Type="http://schemas.openxmlformats.org/officeDocument/2006/relationships/hyperlink" Target="https://fasih-sm.bps.go.id/app/assignment/fd68e454-ba45-4b85-8205-f3bf777ded24/90306955-cdd6-4cd6-aabb-3bc0effa76df" TargetMode="External"/><Relationship Id="rId772" Type="http://schemas.openxmlformats.org/officeDocument/2006/relationships/hyperlink" Target="https://fasih-sm.bps.go.id/app/assignment/fd68e454-ba45-4b85-8205-f3bf777ded24/e9abd02e-8936-4d83-95c5-588e19f3e4a7" TargetMode="External"/><Relationship Id="rId218" Type="http://schemas.openxmlformats.org/officeDocument/2006/relationships/hyperlink" Target="https://fasih-sm.bps.go.id/app/assignment/fd68e454-ba45-4b85-8205-f3bf777ded24/eab787fc-a028-4a0d-8ee4-cb478df5be63" TargetMode="External"/><Relationship Id="rId425" Type="http://schemas.openxmlformats.org/officeDocument/2006/relationships/hyperlink" Target="https://fasih-sm.bps.go.id/app/assignment/fd68e454-ba45-4b85-8205-f3bf777ded24/fc8a0222-a873-4230-b131-99bc0c20aee3" TargetMode="External"/><Relationship Id="rId632" Type="http://schemas.openxmlformats.org/officeDocument/2006/relationships/hyperlink" Target="https://fasih-sm.bps.go.id/app/assignment/fd68e454-ba45-4b85-8205-f3bf777ded24/dfd93af6-d0d0-4c28-8285-7f75eccfce5c" TargetMode="External"/><Relationship Id="rId1055" Type="http://schemas.openxmlformats.org/officeDocument/2006/relationships/hyperlink" Target="https://fasih-sm.bps.go.id/app/assignment/fd68e454-ba45-4b85-8205-f3bf777ded24/18f675a7-163a-41e7-a05b-47e9771b9ddc" TargetMode="External"/><Relationship Id="rId271" Type="http://schemas.openxmlformats.org/officeDocument/2006/relationships/hyperlink" Target="https://fasih-sm.bps.go.id/app/assignment/fd68e454-ba45-4b85-8205-f3bf777ded24/eeb4ebaf-8c2f-4768-b2a6-8050b6c39eb7" TargetMode="External"/><Relationship Id="rId937" Type="http://schemas.openxmlformats.org/officeDocument/2006/relationships/hyperlink" Target="https://fasih-sm.bps.go.id/app/assignment/fd68e454-ba45-4b85-8205-f3bf777ded24/f6c97438-15d6-435f-87b4-5cddee81f6ce" TargetMode="External"/><Relationship Id="rId1122" Type="http://schemas.openxmlformats.org/officeDocument/2006/relationships/hyperlink" Target="https://fasih-sm.bps.go.id/app/assignment/fd68e454-ba45-4b85-8205-f3bf777ded24/494d7222-c67b-4a92-808a-d8b3cee43856" TargetMode="External"/><Relationship Id="rId66" Type="http://schemas.openxmlformats.org/officeDocument/2006/relationships/hyperlink" Target="https://fasih-sm.bps.go.id/app/assignment/fd68e454-ba45-4b85-8205-f3bf777ded24/e0271df1-e0b2-407b-83da-87fa6bfb5926" TargetMode="External"/><Relationship Id="rId131" Type="http://schemas.openxmlformats.org/officeDocument/2006/relationships/hyperlink" Target="https://fasih-sm.bps.go.id/app/assignment/fd68e454-ba45-4b85-8205-f3bf777ded24/e60e43f8-cccb-4385-8745-620d35ff9197" TargetMode="External"/><Relationship Id="rId369" Type="http://schemas.openxmlformats.org/officeDocument/2006/relationships/hyperlink" Target="https://fasih-sm.bps.go.id/app/assignment/fd68e454-ba45-4b85-8205-f3bf777ded24/f70159f9-2a4a-4e06-a3f4-c5d0387264c5" TargetMode="External"/><Relationship Id="rId576" Type="http://schemas.openxmlformats.org/officeDocument/2006/relationships/hyperlink" Target="https://fasih-sm.bps.go.id/app/assignment/fd68e454-ba45-4b85-8205-f3bf777ded24/db3b534f-ae26-40e6-b659-b65596f48484" TargetMode="External"/><Relationship Id="rId783" Type="http://schemas.openxmlformats.org/officeDocument/2006/relationships/hyperlink" Target="https://fasih-sm.bps.go.id/app/assignment/fd68e454-ba45-4b85-8205-f3bf777ded24/ea6ee646-91a2-4fe6-8412-710bd155042d" TargetMode="External"/><Relationship Id="rId990" Type="http://schemas.openxmlformats.org/officeDocument/2006/relationships/hyperlink" Target="https://fasih-sm.bps.go.id/app/assignment/fd68e454-ba45-4b85-8205-f3bf777ded24/fc1a74f1-b607-460c-9454-4589ec0d3ac6" TargetMode="External"/><Relationship Id="rId229" Type="http://schemas.openxmlformats.org/officeDocument/2006/relationships/hyperlink" Target="https://fasih-sm.bps.go.id/app/assignment/fd68e454-ba45-4b85-8205-f3bf777ded24/eba3ff15-5a12-4efe-8318-4ff68151393c" TargetMode="External"/><Relationship Id="rId436" Type="http://schemas.openxmlformats.org/officeDocument/2006/relationships/hyperlink" Target="https://fasih-sm.bps.go.id/app/assignment/fd68e454-ba45-4b85-8205-f3bf777ded24/fd5f12d2-5155-417c-8e4e-80f025aca40a" TargetMode="External"/><Relationship Id="rId643" Type="http://schemas.openxmlformats.org/officeDocument/2006/relationships/hyperlink" Target="https://fasih-sm.bps.go.id/app/assignment/fd68e454-ba45-4b85-8205-f3bf777ded24/e0cc8017-0c31-4547-9e6f-6b5f9889b9bd" TargetMode="External"/><Relationship Id="rId1066" Type="http://schemas.openxmlformats.org/officeDocument/2006/relationships/hyperlink" Target="https://fasih-sm.bps.go.id/app/assignment/fd68e454-ba45-4b85-8205-f3bf777ded24/4db6c690-e990-4ad3-b841-1fedb2b04797" TargetMode="External"/><Relationship Id="rId850" Type="http://schemas.openxmlformats.org/officeDocument/2006/relationships/hyperlink" Target="https://fasih-sm.bps.go.id/app/assignment/fd68e454-ba45-4b85-8205-f3bf777ded24/ef856b6a-4430-4336-a255-6e527192d366" TargetMode="External"/><Relationship Id="rId948" Type="http://schemas.openxmlformats.org/officeDocument/2006/relationships/hyperlink" Target="https://fasih-sm.bps.go.id/app/assignment/fd68e454-ba45-4b85-8205-f3bf777ded24/f819bf0b-03ec-49b6-a223-1e60b49bc468" TargetMode="External"/><Relationship Id="rId1133" Type="http://schemas.openxmlformats.org/officeDocument/2006/relationships/hyperlink" Target="https://fasih-sm.bps.go.id/app/assignment/fd68e454-ba45-4b85-8205-f3bf777ded24/74fa3357-ddd1-44a4-810c-e3ca2d0f9a6f" TargetMode="External"/><Relationship Id="rId77" Type="http://schemas.openxmlformats.org/officeDocument/2006/relationships/hyperlink" Target="https://fasih-sm.bps.go.id/app/assignment/fd68e454-ba45-4b85-8205-f3bf777ded24/e1307611-9734-4f62-b574-8a3632c25206" TargetMode="External"/><Relationship Id="rId282" Type="http://schemas.openxmlformats.org/officeDocument/2006/relationships/hyperlink" Target="https://fasih-sm.bps.go.id/app/assignment/fd68e454-ba45-4b85-8205-f3bf777ded24/efd47bdc-4ae3-41e9-8a6a-004bfee1da1d" TargetMode="External"/><Relationship Id="rId503" Type="http://schemas.openxmlformats.org/officeDocument/2006/relationships/hyperlink" Target="https://fasih-sm.bps.go.id/app/assignment/fd68e454-ba45-4b85-8205-f3bf777ded24/63bda6ea-0da6-42a0-b15e-c9a1e811d228" TargetMode="External"/><Relationship Id="rId587" Type="http://schemas.openxmlformats.org/officeDocument/2006/relationships/hyperlink" Target="https://fasih-sm.bps.go.id/app/assignment/fd68e454-ba45-4b85-8205-f3bf777ded24/dc9457fa-8fda-40f2-adc4-fe2843229144" TargetMode="External"/><Relationship Id="rId710" Type="http://schemas.openxmlformats.org/officeDocument/2006/relationships/hyperlink" Target="https://fasih-sm.bps.go.id/app/assignment/fd68e454-ba45-4b85-8205-f3bf777ded24/e670a17f-2ec8-47c7-8785-148d86b976aa" TargetMode="External"/><Relationship Id="rId808" Type="http://schemas.openxmlformats.org/officeDocument/2006/relationships/hyperlink" Target="https://fasih-sm.bps.go.id/app/assignment/fd68e454-ba45-4b85-8205-f3bf777ded24/ec1c95b1-62ec-4431-b4c0-da9874608a59" TargetMode="External"/><Relationship Id="rId8" Type="http://schemas.openxmlformats.org/officeDocument/2006/relationships/hyperlink" Target="https://fasih-sm.bps.go.id/app/assignment/fd68e454-ba45-4b85-8205-f3bf777ded24/db8428f8-3fb9-4ebf-803f-88a2fb4a7085" TargetMode="External"/><Relationship Id="rId142" Type="http://schemas.openxmlformats.org/officeDocument/2006/relationships/hyperlink" Target="https://fasih-sm.bps.go.id/app/assignment/fd68e454-ba45-4b85-8205-f3bf777ded24/e6813b65-0a98-4ef1-8e9c-f3bcea6f245b" TargetMode="External"/><Relationship Id="rId447" Type="http://schemas.openxmlformats.org/officeDocument/2006/relationships/hyperlink" Target="https://fasih-sm.bps.go.id/app/assignment/fd68e454-ba45-4b85-8205-f3bf777ded24/fe4cb175-3d4c-4e0c-bde8-a30bc93bd1eb" TargetMode="External"/><Relationship Id="rId794" Type="http://schemas.openxmlformats.org/officeDocument/2006/relationships/hyperlink" Target="https://fasih-sm.bps.go.id/app/assignment/fd68e454-ba45-4b85-8205-f3bf777ded24/eb2226b1-c82f-4855-b3c7-bfce3bfd4efa" TargetMode="External"/><Relationship Id="rId1077" Type="http://schemas.openxmlformats.org/officeDocument/2006/relationships/hyperlink" Target="https://fasih-sm.bps.go.id/app/assignment/fd68e454-ba45-4b85-8205-f3bf777ded24/6bafb3fd-e463-451e-81d5-a0c388e391ab" TargetMode="External"/><Relationship Id="rId654" Type="http://schemas.openxmlformats.org/officeDocument/2006/relationships/hyperlink" Target="https://fasih-sm.bps.go.id/app/assignment/fd68e454-ba45-4b85-8205-f3bf777ded24/e1e5a620-26ce-4161-ac3e-5d0ab8d6cb21" TargetMode="External"/><Relationship Id="rId861" Type="http://schemas.openxmlformats.org/officeDocument/2006/relationships/hyperlink" Target="https://fasih-sm.bps.go.id/app/assignment/fd68e454-ba45-4b85-8205-f3bf777ded24/f0285702-9025-4d72-9439-46dbc9e998b2" TargetMode="External"/><Relationship Id="rId959" Type="http://schemas.openxmlformats.org/officeDocument/2006/relationships/hyperlink" Target="https://fasih-sm.bps.go.id/app/assignment/fd68e454-ba45-4b85-8205-f3bf777ded24/f8e7f606-77f6-464f-8fd9-e3ef174e72b3" TargetMode="External"/><Relationship Id="rId293" Type="http://schemas.openxmlformats.org/officeDocument/2006/relationships/hyperlink" Target="https://fasih-sm.bps.go.id/app/assignment/fd68e454-ba45-4b85-8205-f3bf777ded24/f0c44fcd-c8bc-40cf-94f3-a4763f8ec34b" TargetMode="External"/><Relationship Id="rId307" Type="http://schemas.openxmlformats.org/officeDocument/2006/relationships/hyperlink" Target="https://fasih-sm.bps.go.id/app/assignment/fd68e454-ba45-4b85-8205-f3bf777ded24/f1d0273f-7e63-42f3-82a0-2f31931f9278" TargetMode="External"/><Relationship Id="rId514" Type="http://schemas.openxmlformats.org/officeDocument/2006/relationships/hyperlink" Target="https://fasih-sm.bps.go.id/app/assignment/fd68e454-ba45-4b85-8205-f3bf777ded24/88313ef3-f89a-4091-8bb4-6aeebbe3418a" TargetMode="External"/><Relationship Id="rId721" Type="http://schemas.openxmlformats.org/officeDocument/2006/relationships/hyperlink" Target="https://fasih-sm.bps.go.id/app/assignment/fd68e454-ba45-4b85-8205-f3bf777ded24/e6eec71e-5d3c-4138-9b9e-51965b905921" TargetMode="External"/><Relationship Id="rId88" Type="http://schemas.openxmlformats.org/officeDocument/2006/relationships/hyperlink" Target="https://fasih-sm.bps.go.id/app/assignment/fd68e454-ba45-4b85-8205-f3bf777ded24/e23126cc-c93b-453b-889a-c446dcf6b97c" TargetMode="External"/><Relationship Id="rId153" Type="http://schemas.openxmlformats.org/officeDocument/2006/relationships/hyperlink" Target="https://fasih-sm.bps.go.id/app/assignment/fd68e454-ba45-4b85-8205-f3bf777ded24/e7064545-28bb-4103-8212-191c0f3fe04f" TargetMode="External"/><Relationship Id="rId360" Type="http://schemas.openxmlformats.org/officeDocument/2006/relationships/hyperlink" Target="https://fasih-sm.bps.go.id/app/assignment/fd68e454-ba45-4b85-8205-f3bf777ded24/f63988cd-a37a-4a43-aacb-21bfd1af81a5" TargetMode="External"/><Relationship Id="rId598" Type="http://schemas.openxmlformats.org/officeDocument/2006/relationships/hyperlink" Target="https://fasih-sm.bps.go.id/app/assignment/fd68e454-ba45-4b85-8205-f3bf777ded24/dd64ef62-655d-464a-9ade-69f7373c849e" TargetMode="External"/><Relationship Id="rId819" Type="http://schemas.openxmlformats.org/officeDocument/2006/relationships/hyperlink" Target="https://fasih-sm.bps.go.id/app/assignment/fd68e454-ba45-4b85-8205-f3bf777ded24/ed1d857b-b58a-41e4-8acf-ad11c0b35e0c" TargetMode="External"/><Relationship Id="rId1004" Type="http://schemas.openxmlformats.org/officeDocument/2006/relationships/hyperlink" Target="https://fasih-sm.bps.go.id/app/assignment/fd68e454-ba45-4b85-8205-f3bf777ded24/fd3bdeb9-357b-422a-92c5-6a7f40c5ca7d" TargetMode="External"/><Relationship Id="rId220" Type="http://schemas.openxmlformats.org/officeDocument/2006/relationships/hyperlink" Target="https://fasih-sm.bps.go.id/app/assignment/fd68e454-ba45-4b85-8205-f3bf777ded24/eae3501a-d0e2-4729-8774-aa2c3eca78c8" TargetMode="External"/><Relationship Id="rId458" Type="http://schemas.openxmlformats.org/officeDocument/2006/relationships/hyperlink" Target="https://fasih-sm.bps.go.id/app/assignment/fd68e454-ba45-4b85-8205-f3bf777ded24/ff1eb27c-7899-4b23-abb1-24678a298a2b" TargetMode="External"/><Relationship Id="rId665" Type="http://schemas.openxmlformats.org/officeDocument/2006/relationships/hyperlink" Target="https://fasih-sm.bps.go.id/app/assignment/fd68e454-ba45-4b85-8205-f3bf777ded24/e2a17965-3dac-411b-94d2-5f705f2f3ec6" TargetMode="External"/><Relationship Id="rId872" Type="http://schemas.openxmlformats.org/officeDocument/2006/relationships/hyperlink" Target="https://fasih-sm.bps.go.id/app/assignment/fd68e454-ba45-4b85-8205-f3bf777ded24/f14700d5-0268-4882-bdab-f294470dba99" TargetMode="External"/><Relationship Id="rId1088" Type="http://schemas.openxmlformats.org/officeDocument/2006/relationships/hyperlink" Target="https://fasih-sm.bps.go.id/app/assignment/fd68e454-ba45-4b85-8205-f3bf777ded24/90644c30-33b0-47b6-9104-644837ed59cf" TargetMode="External"/><Relationship Id="rId15" Type="http://schemas.openxmlformats.org/officeDocument/2006/relationships/hyperlink" Target="https://fasih-sm.bps.go.id/app/assignment/fd68e454-ba45-4b85-8205-f3bf777ded24/dc83cf61-fac9-43e7-bd81-4875174022e3" TargetMode="External"/><Relationship Id="rId318" Type="http://schemas.openxmlformats.org/officeDocument/2006/relationships/hyperlink" Target="https://fasih-sm.bps.go.id/app/assignment/fd68e454-ba45-4b85-8205-f3bf777ded24/f2eac54d-bfa2-425f-90ee-d8449c3ffd74" TargetMode="External"/><Relationship Id="rId525" Type="http://schemas.openxmlformats.org/officeDocument/2006/relationships/hyperlink" Target="https://fasih-sm.bps.go.id/app/assignment/fd68e454-ba45-4b85-8205-f3bf777ded24/abbfcc4f-e52b-417b-b691-bf73eab8edc5" TargetMode="External"/><Relationship Id="rId732" Type="http://schemas.openxmlformats.org/officeDocument/2006/relationships/hyperlink" Target="https://fasih-sm.bps.go.id/app/assignment/fd68e454-ba45-4b85-8205-f3bf777ded24/e78582ac-f0cb-4fc7-9906-9e4949281a11" TargetMode="External"/><Relationship Id="rId99" Type="http://schemas.openxmlformats.org/officeDocument/2006/relationships/hyperlink" Target="https://fasih-sm.bps.go.id/app/assignment/fd68e454-ba45-4b85-8205-f3bf777ded24/e3190bd4-2d37-423c-b518-7509c188b60f" TargetMode="External"/><Relationship Id="rId164" Type="http://schemas.openxmlformats.org/officeDocument/2006/relationships/hyperlink" Target="https://fasih-sm.bps.go.id/app/assignment/fd68e454-ba45-4b85-8205-f3bf777ded24/e79da31c-7574-4b7d-8e89-241acaaf4c28" TargetMode="External"/><Relationship Id="rId371" Type="http://schemas.openxmlformats.org/officeDocument/2006/relationships/hyperlink" Target="https://fasih-sm.bps.go.id/app/assignment/fd68e454-ba45-4b85-8205-f3bf777ded24/f729a6e2-618f-4e79-a1bb-250dab1312d5" TargetMode="External"/><Relationship Id="rId1015" Type="http://schemas.openxmlformats.org/officeDocument/2006/relationships/hyperlink" Target="https://fasih-sm.bps.go.id/app/assignment/fd68e454-ba45-4b85-8205-f3bf777ded24/fde9a06a-4e58-4078-8a18-e35d86313ed6" TargetMode="External"/><Relationship Id="rId469" Type="http://schemas.openxmlformats.org/officeDocument/2006/relationships/hyperlink" Target="https://fasih-sm.bps.go.id/app/assignment/fd68e454-ba45-4b85-8205-f3bf777ded24/ffc8c5bf-0c61-4e3b-ad88-3ae05c9a491a" TargetMode="External"/><Relationship Id="rId676" Type="http://schemas.openxmlformats.org/officeDocument/2006/relationships/hyperlink" Target="https://fasih-sm.bps.go.id/app/assignment/fd68e454-ba45-4b85-8205-f3bf777ded24/e35bbe28-70fb-4103-8664-21d61388ed6a" TargetMode="External"/><Relationship Id="rId883" Type="http://schemas.openxmlformats.org/officeDocument/2006/relationships/hyperlink" Target="https://fasih-sm.bps.go.id/app/assignment/fd68e454-ba45-4b85-8205-f3bf777ded24/f27258ad-987b-4470-a87e-c1361cd86d5f" TargetMode="External"/><Relationship Id="rId1099" Type="http://schemas.openxmlformats.org/officeDocument/2006/relationships/hyperlink" Target="https://fasih-sm.bps.go.id/app/assignment/fd68e454-ba45-4b85-8205-f3bf777ded24/bc7f01c1-f006-4737-b61d-73a2eeff6867" TargetMode="External"/><Relationship Id="rId26" Type="http://schemas.openxmlformats.org/officeDocument/2006/relationships/hyperlink" Target="https://fasih-sm.bps.go.id/app/assignment/fd68e454-ba45-4b85-8205-f3bf777ded24/dd59169e-d444-4948-8e47-3781e03db700" TargetMode="External"/><Relationship Id="rId231" Type="http://schemas.openxmlformats.org/officeDocument/2006/relationships/hyperlink" Target="https://fasih-sm.bps.go.id/app/assignment/fd68e454-ba45-4b85-8205-f3bf777ded24/ebc603cc-0eb9-4096-a411-4a0cead83a74" TargetMode="External"/><Relationship Id="rId329" Type="http://schemas.openxmlformats.org/officeDocument/2006/relationships/hyperlink" Target="https://fasih-sm.bps.go.id/app/assignment/fd68e454-ba45-4b85-8205-f3bf777ded24/f448bd35-b8a5-48a1-bb4d-bcf617070c2c" TargetMode="External"/><Relationship Id="rId536" Type="http://schemas.openxmlformats.org/officeDocument/2006/relationships/hyperlink" Target="https://fasih-sm.bps.go.id/app/assignment/fd68e454-ba45-4b85-8205-f3bf777ded24/e3b5b1c8-4a2c-4f6e-b85a-87195d61c251" TargetMode="External"/><Relationship Id="rId175" Type="http://schemas.openxmlformats.org/officeDocument/2006/relationships/hyperlink" Target="https://fasih-sm.bps.go.id/app/assignment/fd68e454-ba45-4b85-8205-f3bf777ded24/e843cc46-ea98-4f27-8c0f-8e068cf62de5" TargetMode="External"/><Relationship Id="rId743" Type="http://schemas.openxmlformats.org/officeDocument/2006/relationships/hyperlink" Target="https://fasih-sm.bps.go.id/app/assignment/fd68e454-ba45-4b85-8205-f3bf777ded24/e7fa4458-68f6-4d78-a72d-9ebd06d12835" TargetMode="External"/><Relationship Id="rId950" Type="http://schemas.openxmlformats.org/officeDocument/2006/relationships/hyperlink" Target="https://fasih-sm.bps.go.id/app/assignment/fd68e454-ba45-4b85-8205-f3bf777ded24/f8254ae9-58da-45df-be92-81c49be9f88c" TargetMode="External"/><Relationship Id="rId1026" Type="http://schemas.openxmlformats.org/officeDocument/2006/relationships/hyperlink" Target="https://fasih-sm.bps.go.id/app/assignment/fd68e454-ba45-4b85-8205-f3bf777ded24/feb6b124-d62e-43be-93ee-713c2e026a1d" TargetMode="External"/><Relationship Id="rId382" Type="http://schemas.openxmlformats.org/officeDocument/2006/relationships/hyperlink" Target="https://fasih-sm.bps.go.id/app/assignment/fd68e454-ba45-4b85-8205-f3bf777ded24/f8885e9a-829e-4fde-b085-12b21a423628" TargetMode="External"/><Relationship Id="rId603" Type="http://schemas.openxmlformats.org/officeDocument/2006/relationships/hyperlink" Target="https://fasih-sm.bps.go.id/app/assignment/fd68e454-ba45-4b85-8205-f3bf777ded24/de15b2b8-2653-409b-8d1f-b8dba1c29323" TargetMode="External"/><Relationship Id="rId687" Type="http://schemas.openxmlformats.org/officeDocument/2006/relationships/hyperlink" Target="https://fasih-sm.bps.go.id/app/assignment/fd68e454-ba45-4b85-8205-f3bf777ded24/e4d0c193-0aad-46d4-a99e-80366328d079" TargetMode="External"/><Relationship Id="rId810" Type="http://schemas.openxmlformats.org/officeDocument/2006/relationships/hyperlink" Target="https://fasih-sm.bps.go.id/app/assignment/fd68e454-ba45-4b85-8205-f3bf777ded24/ec42714f-1840-45d7-91d0-861072f16be5" TargetMode="External"/><Relationship Id="rId908" Type="http://schemas.openxmlformats.org/officeDocument/2006/relationships/hyperlink" Target="https://fasih-sm.bps.go.id/app/assignment/fd68e454-ba45-4b85-8205-f3bf777ded24/f4ef34f7-ec9d-4117-a19a-7fcbdbde508a" TargetMode="External"/><Relationship Id="rId242" Type="http://schemas.openxmlformats.org/officeDocument/2006/relationships/hyperlink" Target="https://fasih-sm.bps.go.id/app/assignment/fd68e454-ba45-4b85-8205-f3bf777ded24/ec78f439-fd80-4f11-918e-a4a233d608dd" TargetMode="External"/><Relationship Id="rId894" Type="http://schemas.openxmlformats.org/officeDocument/2006/relationships/hyperlink" Target="https://fasih-sm.bps.go.id/app/assignment/fd68e454-ba45-4b85-8205-f3bf777ded24/f3cb1598-c7b5-4c04-86ab-c4c2d4304f5d" TargetMode="External"/><Relationship Id="rId37" Type="http://schemas.openxmlformats.org/officeDocument/2006/relationships/hyperlink" Target="https://fasih-sm.bps.go.id/app/assignment/fd68e454-ba45-4b85-8205-f3bf777ded24/de377741-09be-40c6-849a-fd28c7308ab2" TargetMode="External"/><Relationship Id="rId102" Type="http://schemas.openxmlformats.org/officeDocument/2006/relationships/hyperlink" Target="https://fasih-sm.bps.go.id/app/assignment/fd68e454-ba45-4b85-8205-f3bf777ded24/e327b026-b84f-4c90-9bbf-486e198b70bb" TargetMode="External"/><Relationship Id="rId547" Type="http://schemas.openxmlformats.org/officeDocument/2006/relationships/hyperlink" Target="https://fasih-sm.bps.go.id/app/assignment/fd68e454-ba45-4b85-8205-f3bf777ded24/2cb7336f-4ec1-431a-9217-948e59031c74" TargetMode="External"/><Relationship Id="rId754" Type="http://schemas.openxmlformats.org/officeDocument/2006/relationships/hyperlink" Target="https://fasih-sm.bps.go.id/app/assignment/fd68e454-ba45-4b85-8205-f3bf777ded24/e88f036a-4a70-409d-9801-354cf6ead966" TargetMode="External"/><Relationship Id="rId961" Type="http://schemas.openxmlformats.org/officeDocument/2006/relationships/hyperlink" Target="https://fasih-sm.bps.go.id/app/assignment/fd68e454-ba45-4b85-8205-f3bf777ded24/f919907d-7ee3-4c17-be28-07ee8d75c477" TargetMode="External"/><Relationship Id="rId90" Type="http://schemas.openxmlformats.org/officeDocument/2006/relationships/hyperlink" Target="https://fasih-sm.bps.go.id/app/assignment/fd68e454-ba45-4b85-8205-f3bf777ded24/e26ce431-dade-4d30-bb7a-803b4d9b97e2" TargetMode="External"/><Relationship Id="rId186" Type="http://schemas.openxmlformats.org/officeDocument/2006/relationships/hyperlink" Target="https://fasih-sm.bps.go.id/app/assignment/fd68e454-ba45-4b85-8205-f3bf777ded24/e8c0f6b8-1b83-470b-8415-3d0d6ac65559" TargetMode="External"/><Relationship Id="rId393" Type="http://schemas.openxmlformats.org/officeDocument/2006/relationships/hyperlink" Target="https://fasih-sm.bps.go.id/app/assignment/fd68e454-ba45-4b85-8205-f3bf777ded24/f9cf7c3e-95f1-46fb-b2d0-3d96cddb0bd1" TargetMode="External"/><Relationship Id="rId407" Type="http://schemas.openxmlformats.org/officeDocument/2006/relationships/hyperlink" Target="https://fasih-sm.bps.go.id/app/assignment/fd68e454-ba45-4b85-8205-f3bf777ded24/faeab723-73d2-453e-9b9d-0445100953f5" TargetMode="External"/><Relationship Id="rId614" Type="http://schemas.openxmlformats.org/officeDocument/2006/relationships/hyperlink" Target="https://fasih-sm.bps.go.id/app/assignment/fd68e454-ba45-4b85-8205-f3bf777ded24/de8cb384-e59d-491d-a65e-cd6e86e3a70a" TargetMode="External"/><Relationship Id="rId821" Type="http://schemas.openxmlformats.org/officeDocument/2006/relationships/hyperlink" Target="https://fasih-sm.bps.go.id/app/assignment/fd68e454-ba45-4b85-8205-f3bf777ded24/ed4a8fae-8f9f-4f10-967f-719e299282f7" TargetMode="External"/><Relationship Id="rId1037" Type="http://schemas.openxmlformats.org/officeDocument/2006/relationships/hyperlink" Target="https://fasih-sm.bps.go.id/app/assignment/fd68e454-ba45-4b85-8205-f3bf777ded24/ff8896f1-69d4-4b74-a5df-a014943ff060" TargetMode="External"/><Relationship Id="rId253" Type="http://schemas.openxmlformats.org/officeDocument/2006/relationships/hyperlink" Target="https://fasih-sm.bps.go.id/app/assignment/fd68e454-ba45-4b85-8205-f3bf777ded24/ed8774a3-ae92-472c-9052-03726988d3f8" TargetMode="External"/><Relationship Id="rId460" Type="http://schemas.openxmlformats.org/officeDocument/2006/relationships/hyperlink" Target="https://fasih-sm.bps.go.id/app/assignment/fd68e454-ba45-4b85-8205-f3bf777ded24/ff2b7ca3-dffa-474e-b758-e61e9f2ac769" TargetMode="External"/><Relationship Id="rId698" Type="http://schemas.openxmlformats.org/officeDocument/2006/relationships/hyperlink" Target="https://fasih-sm.bps.go.id/app/assignment/fd68e454-ba45-4b85-8205-f3bf777ded24/e5b6da09-1dfa-434d-aa97-7cf2e644b554" TargetMode="External"/><Relationship Id="rId919" Type="http://schemas.openxmlformats.org/officeDocument/2006/relationships/hyperlink" Target="https://fasih-sm.bps.go.id/app/assignment/fd68e454-ba45-4b85-8205-f3bf777ded24/f5d7f5ab-44ff-4aae-8126-975b7659a1dd" TargetMode="External"/><Relationship Id="rId1090" Type="http://schemas.openxmlformats.org/officeDocument/2006/relationships/hyperlink" Target="https://fasih-sm.bps.go.id/app/assignment/fd68e454-ba45-4b85-8205-f3bf777ded24/9728f732-5e0a-47fa-8483-c8dd1621942a" TargetMode="External"/><Relationship Id="rId1104" Type="http://schemas.openxmlformats.org/officeDocument/2006/relationships/hyperlink" Target="https://fasih-sm.bps.go.id/app/assignment/fd68e454-ba45-4b85-8205-f3bf777ded24/d483206a-2599-46f2-a240-3e0098e94ca0" TargetMode="External"/><Relationship Id="rId48" Type="http://schemas.openxmlformats.org/officeDocument/2006/relationships/hyperlink" Target="https://fasih-sm.bps.go.id/app/assignment/fd68e454-ba45-4b85-8205-f3bf777ded24/dedcd57d-c8d0-478e-b321-b21d200f13e8" TargetMode="External"/><Relationship Id="rId113" Type="http://schemas.openxmlformats.org/officeDocument/2006/relationships/hyperlink" Target="https://fasih-sm.bps.go.id/app/assignment/fd68e454-ba45-4b85-8205-f3bf777ded24/e4799f81-4b46-4ace-a09a-5a3eb14032af" TargetMode="External"/><Relationship Id="rId320" Type="http://schemas.openxmlformats.org/officeDocument/2006/relationships/hyperlink" Target="https://fasih-sm.bps.go.id/app/assignment/fd68e454-ba45-4b85-8205-f3bf777ded24/f32191fc-6f1c-49e0-bc7d-0900084fafe0" TargetMode="External"/><Relationship Id="rId558" Type="http://schemas.openxmlformats.org/officeDocument/2006/relationships/hyperlink" Target="https://fasih-sm.bps.go.id/app/assignment/fd68e454-ba45-4b85-8205-f3bf777ded24/64cb4485-eec5-4e4b-ae41-49df891b8437" TargetMode="External"/><Relationship Id="rId765" Type="http://schemas.openxmlformats.org/officeDocument/2006/relationships/hyperlink" Target="https://fasih-sm.bps.go.id/app/assignment/fd68e454-ba45-4b85-8205-f3bf777ded24/e917ee90-b01e-4852-a837-37be1c3ce628" TargetMode="External"/><Relationship Id="rId972" Type="http://schemas.openxmlformats.org/officeDocument/2006/relationships/hyperlink" Target="https://fasih-sm.bps.go.id/app/assignment/fd68e454-ba45-4b85-8205-f3bf777ded24/fa7f5e7e-9e54-46d4-8844-25bb08c4c1ef" TargetMode="External"/><Relationship Id="rId197" Type="http://schemas.openxmlformats.org/officeDocument/2006/relationships/hyperlink" Target="https://fasih-sm.bps.go.id/app/assignment/fd68e454-ba45-4b85-8205-f3bf777ded24/e9504973-9f08-4bd6-b729-46df0a31bdf6" TargetMode="External"/><Relationship Id="rId418" Type="http://schemas.openxmlformats.org/officeDocument/2006/relationships/hyperlink" Target="https://fasih-sm.bps.go.id/app/assignment/fd68e454-ba45-4b85-8205-f3bf777ded24/fc0a3c92-16f8-4cb9-9d32-f195940f83d9" TargetMode="External"/><Relationship Id="rId625" Type="http://schemas.openxmlformats.org/officeDocument/2006/relationships/hyperlink" Target="https://fasih-sm.bps.go.id/app/assignment/fd68e454-ba45-4b85-8205-f3bf777ded24/df51d6ad-90c9-410d-af01-2ede60ece21d" TargetMode="External"/><Relationship Id="rId832" Type="http://schemas.openxmlformats.org/officeDocument/2006/relationships/hyperlink" Target="https://fasih-sm.bps.go.id/app/assignment/fd68e454-ba45-4b85-8205-f3bf777ded24/edfe51f4-b890-4204-9c2a-bc4474a67289" TargetMode="External"/><Relationship Id="rId1048" Type="http://schemas.openxmlformats.org/officeDocument/2006/relationships/hyperlink" Target="https://fasih-sm.bps.go.id/app/assignment/fd68e454-ba45-4b85-8205-f3bf777ded24/a46341bd-9997-403b-84ee-f3412e59cb53" TargetMode="External"/><Relationship Id="rId264" Type="http://schemas.openxmlformats.org/officeDocument/2006/relationships/hyperlink" Target="https://fasih-sm.bps.go.id/app/assignment/fd68e454-ba45-4b85-8205-f3bf777ded24/ee0ef72d-dd15-4cef-9577-b7e62bd271ea" TargetMode="External"/><Relationship Id="rId471" Type="http://schemas.openxmlformats.org/officeDocument/2006/relationships/hyperlink" Target="https://fasih-sm.bps.go.id/app/assignment/fd68e454-ba45-4b85-8205-f3bf777ded24/73217d07-48f6-4c73-9952-b2bec3a9473d" TargetMode="External"/><Relationship Id="rId1115" Type="http://schemas.openxmlformats.org/officeDocument/2006/relationships/hyperlink" Target="https://fasih-sm.bps.go.id/app/assignment/fd68e454-ba45-4b85-8205-f3bf777ded24/042ed423-866a-4ddc-b4d4-7fa46c6b3c0d" TargetMode="External"/><Relationship Id="rId59" Type="http://schemas.openxmlformats.org/officeDocument/2006/relationships/hyperlink" Target="https://fasih-sm.bps.go.id/app/assignment/fd68e454-ba45-4b85-8205-f3bf777ded24/dfcfc12e-429d-4055-9ac6-748539457ead" TargetMode="External"/><Relationship Id="rId124" Type="http://schemas.openxmlformats.org/officeDocument/2006/relationships/hyperlink" Target="https://fasih-sm.bps.go.id/app/assignment/fd68e454-ba45-4b85-8205-f3bf777ded24/e5795f3b-64ed-49a9-8927-bbd3d99d7742" TargetMode="External"/><Relationship Id="rId569" Type="http://schemas.openxmlformats.org/officeDocument/2006/relationships/hyperlink" Target="https://fasih-sm.bps.go.id/app/assignment/fd68e454-ba45-4b85-8205-f3bf777ded24/ad9c7fde-062b-4023-b8b6-77d5acc2215c" TargetMode="External"/><Relationship Id="rId776" Type="http://schemas.openxmlformats.org/officeDocument/2006/relationships/hyperlink" Target="https://fasih-sm.bps.go.id/app/assignment/fd68e454-ba45-4b85-8205-f3bf777ded24/ea18bb93-5f9d-4378-b807-5d26fecf2ca8" TargetMode="External"/><Relationship Id="rId983" Type="http://schemas.openxmlformats.org/officeDocument/2006/relationships/hyperlink" Target="https://fasih-sm.bps.go.id/app/assignment/fd68e454-ba45-4b85-8205-f3bf777ded24/fb893d22-80b4-4644-a8d1-1f2fcd2d4cec" TargetMode="External"/><Relationship Id="rId331" Type="http://schemas.openxmlformats.org/officeDocument/2006/relationships/hyperlink" Target="https://fasih-sm.bps.go.id/app/assignment/fd68e454-ba45-4b85-8205-f3bf777ded24/f4541a2c-18a1-4bc5-9b1b-0257cf455961" TargetMode="External"/><Relationship Id="rId429" Type="http://schemas.openxmlformats.org/officeDocument/2006/relationships/hyperlink" Target="https://fasih-sm.bps.go.id/app/assignment/fd68e454-ba45-4b85-8205-f3bf777ded24/fcd72b18-a386-4561-9da3-f25fbbbdb939" TargetMode="External"/><Relationship Id="rId636" Type="http://schemas.openxmlformats.org/officeDocument/2006/relationships/hyperlink" Target="https://fasih-sm.bps.go.id/app/assignment/fd68e454-ba45-4b85-8205-f3bf777ded24/e01635ab-3d9d-4b7c-9782-802d05cddb39" TargetMode="External"/><Relationship Id="rId1059" Type="http://schemas.openxmlformats.org/officeDocument/2006/relationships/hyperlink" Target="https://fasih-sm.bps.go.id/app/assignment/fd68e454-ba45-4b85-8205-f3bf777ded24/256b37ba-ea8b-47f3-a378-c0ef01e0fffb" TargetMode="External"/><Relationship Id="rId843" Type="http://schemas.openxmlformats.org/officeDocument/2006/relationships/hyperlink" Target="https://fasih-sm.bps.go.id/app/assignment/fd68e454-ba45-4b85-8205-f3bf777ded24/eeba4d09-31e8-4201-a51c-8dba80d8bde5" TargetMode="External"/><Relationship Id="rId1126" Type="http://schemas.openxmlformats.org/officeDocument/2006/relationships/hyperlink" Target="https://fasih-sm.bps.go.id/app/assignment/fd68e454-ba45-4b85-8205-f3bf777ded24/605315d6-85fb-4fd9-b2f3-ccb55599bde1" TargetMode="External"/><Relationship Id="rId275" Type="http://schemas.openxmlformats.org/officeDocument/2006/relationships/hyperlink" Target="https://fasih-sm.bps.go.id/app/assignment/fd68e454-ba45-4b85-8205-f3bf777ded24/ef53eb73-a3c7-4d4b-a7f3-31afe51df91c" TargetMode="External"/><Relationship Id="rId482" Type="http://schemas.openxmlformats.org/officeDocument/2006/relationships/hyperlink" Target="https://fasih-sm.bps.go.id/app/assignment/fd68e454-ba45-4b85-8205-f3bf777ded24/17f0c767-b537-4da8-b746-258f8a5a3c5e" TargetMode="External"/><Relationship Id="rId703" Type="http://schemas.openxmlformats.org/officeDocument/2006/relationships/hyperlink" Target="https://fasih-sm.bps.go.id/app/assignment/fd68e454-ba45-4b85-8205-f3bf777ded24/e61cd3df-7c8b-4db2-a327-955cf863315e" TargetMode="External"/><Relationship Id="rId910" Type="http://schemas.openxmlformats.org/officeDocument/2006/relationships/hyperlink" Target="https://fasih-sm.bps.go.id/app/assignment/fd68e454-ba45-4b85-8205-f3bf777ded24/f532d7cf-7309-4eef-b452-156de3e6a9a0" TargetMode="External"/><Relationship Id="rId135" Type="http://schemas.openxmlformats.org/officeDocument/2006/relationships/hyperlink" Target="https://fasih-sm.bps.go.id/app/assignment/fd68e454-ba45-4b85-8205-f3bf777ded24/e62469c8-ad16-4d79-a4d9-f6dbd7ffe494" TargetMode="External"/><Relationship Id="rId342" Type="http://schemas.openxmlformats.org/officeDocument/2006/relationships/hyperlink" Target="https://fasih-sm.bps.go.id/app/assignment/fd68e454-ba45-4b85-8205-f3bf777ded24/f55e7214-e2c0-4165-ae1d-a5cf3adcd8d8" TargetMode="External"/><Relationship Id="rId787" Type="http://schemas.openxmlformats.org/officeDocument/2006/relationships/hyperlink" Target="https://fasih-sm.bps.go.id/app/assignment/fd68e454-ba45-4b85-8205-f3bf777ded24/eaa24589-6e8e-451b-9aeb-7f9107efd9d7" TargetMode="External"/><Relationship Id="rId994" Type="http://schemas.openxmlformats.org/officeDocument/2006/relationships/hyperlink" Target="https://fasih-sm.bps.go.id/app/assignment/fd68e454-ba45-4b85-8205-f3bf777ded24/fc703170-cee9-4546-878b-531ee21447ef" TargetMode="External"/><Relationship Id="rId202" Type="http://schemas.openxmlformats.org/officeDocument/2006/relationships/hyperlink" Target="https://fasih-sm.bps.go.id/app/assignment/fd68e454-ba45-4b85-8205-f3bf777ded24/e9e08199-912b-470f-a44a-034e6d864553" TargetMode="External"/><Relationship Id="rId647" Type="http://schemas.openxmlformats.org/officeDocument/2006/relationships/hyperlink" Target="https://fasih-sm.bps.go.id/app/assignment/fd68e454-ba45-4b85-8205-f3bf777ded24/e11dffbc-d620-424a-8a81-27d259f797fc" TargetMode="External"/><Relationship Id="rId854" Type="http://schemas.openxmlformats.org/officeDocument/2006/relationships/hyperlink" Target="https://fasih-sm.bps.go.id/app/assignment/fd68e454-ba45-4b85-8205-f3bf777ded24/efd94660-c5bc-49fe-abf8-5ab59f3cc523" TargetMode="External"/><Relationship Id="rId286" Type="http://schemas.openxmlformats.org/officeDocument/2006/relationships/hyperlink" Target="https://fasih-sm.bps.go.id/app/assignment/fd68e454-ba45-4b85-8205-f3bf777ded24/f0058522-c69c-457e-9a25-af142254fc8f" TargetMode="External"/><Relationship Id="rId493" Type="http://schemas.openxmlformats.org/officeDocument/2006/relationships/hyperlink" Target="https://fasih-sm.bps.go.id/app/assignment/fd68e454-ba45-4b85-8205-f3bf777ded24/3f8ebe7c-3557-4b54-833a-3f2edc159ee2" TargetMode="External"/><Relationship Id="rId507" Type="http://schemas.openxmlformats.org/officeDocument/2006/relationships/hyperlink" Target="https://fasih-sm.bps.go.id/app/assignment/fd68e454-ba45-4b85-8205-f3bf777ded24/6ee974b8-d195-4631-a310-af94f416189c" TargetMode="External"/><Relationship Id="rId714" Type="http://schemas.openxmlformats.org/officeDocument/2006/relationships/hyperlink" Target="https://fasih-sm.bps.go.id/app/assignment/fd68e454-ba45-4b85-8205-f3bf777ded24/e6993e30-46a3-419f-8c30-f83652731dbf" TargetMode="External"/><Relationship Id="rId921" Type="http://schemas.openxmlformats.org/officeDocument/2006/relationships/hyperlink" Target="https://fasih-sm.bps.go.id/app/assignment/fd68e454-ba45-4b85-8205-f3bf777ded24/f5f80386-60a8-4aa7-bb6c-de1faea86d39" TargetMode="External"/><Relationship Id="rId1137" Type="http://schemas.openxmlformats.org/officeDocument/2006/relationships/hyperlink" Target="https://fasih-sm.bps.go.id/app/assignment/fd68e454-ba45-4b85-8205-f3bf777ded24/91bdf8a2-8bf8-4eda-9cd7-46921e04d431" TargetMode="External"/><Relationship Id="rId50" Type="http://schemas.openxmlformats.org/officeDocument/2006/relationships/hyperlink" Target="https://fasih-sm.bps.go.id/app/assignment/fd68e454-ba45-4b85-8205-f3bf777ded24/df011853-a596-4427-ba6b-e91660bb70a7" TargetMode="External"/><Relationship Id="rId146" Type="http://schemas.openxmlformats.org/officeDocument/2006/relationships/hyperlink" Target="https://fasih-sm.bps.go.id/app/assignment/fd68e454-ba45-4b85-8205-f3bf777ded24/e6c2cc6d-58b9-4699-ae71-87c8932b6c30" TargetMode="External"/><Relationship Id="rId353" Type="http://schemas.openxmlformats.org/officeDocument/2006/relationships/hyperlink" Target="https://fasih-sm.bps.go.id/app/assignment/fd68e454-ba45-4b85-8205-f3bf777ded24/f60636de-ea96-4c85-b913-c6f5d2605b74" TargetMode="External"/><Relationship Id="rId560" Type="http://schemas.openxmlformats.org/officeDocument/2006/relationships/hyperlink" Target="https://fasih-sm.bps.go.id/app/assignment/fd68e454-ba45-4b85-8205-f3bf777ded24/6ab3f9ce-c905-4223-8873-73e4f1158ba7" TargetMode="External"/><Relationship Id="rId798" Type="http://schemas.openxmlformats.org/officeDocument/2006/relationships/hyperlink" Target="https://fasih-sm.bps.go.id/app/assignment/fd68e454-ba45-4b85-8205-f3bf777ded24/eb68fa7b-3890-4ae9-b057-3b7bb39bd589" TargetMode="External"/><Relationship Id="rId213" Type="http://schemas.openxmlformats.org/officeDocument/2006/relationships/hyperlink" Target="https://fasih-sm.bps.go.id/app/assignment/fd68e454-ba45-4b85-8205-f3bf777ded24/ea8a7eb0-5931-4118-89c0-89620127596d" TargetMode="External"/><Relationship Id="rId420" Type="http://schemas.openxmlformats.org/officeDocument/2006/relationships/hyperlink" Target="https://fasih-sm.bps.go.id/app/assignment/fd68e454-ba45-4b85-8205-f3bf777ded24/fc3886a5-65c0-4ac5-8c15-b0e17df17161" TargetMode="External"/><Relationship Id="rId658" Type="http://schemas.openxmlformats.org/officeDocument/2006/relationships/hyperlink" Target="https://fasih-sm.bps.go.id/app/assignment/fd68e454-ba45-4b85-8205-f3bf777ded24/e229e677-06f4-4261-82d2-e25172cbc0fd" TargetMode="External"/><Relationship Id="rId865" Type="http://schemas.openxmlformats.org/officeDocument/2006/relationships/hyperlink" Target="https://fasih-sm.bps.go.id/app/assignment/fd68e454-ba45-4b85-8205-f3bf777ded24/f0c641c1-04bc-49dd-8dc1-4ed5202a1d7e" TargetMode="External"/><Relationship Id="rId1050" Type="http://schemas.openxmlformats.org/officeDocument/2006/relationships/hyperlink" Target="https://fasih-sm.bps.go.id/app/assignment/fd68e454-ba45-4b85-8205-f3bf777ded24/8a938192-4def-4213-9c44-5fc03122a805" TargetMode="External"/><Relationship Id="rId297" Type="http://schemas.openxmlformats.org/officeDocument/2006/relationships/hyperlink" Target="https://fasih-sm.bps.go.id/app/assignment/fd68e454-ba45-4b85-8205-f3bf777ded24/f10c2042-eb08-4a63-bb1a-11d3c8c8ba17" TargetMode="External"/><Relationship Id="rId518" Type="http://schemas.openxmlformats.org/officeDocument/2006/relationships/hyperlink" Target="https://fasih-sm.bps.go.id/app/assignment/fd68e454-ba45-4b85-8205-f3bf777ded24/94624c83-e717-4528-80ca-f284c78ef80c" TargetMode="External"/><Relationship Id="rId725" Type="http://schemas.openxmlformats.org/officeDocument/2006/relationships/hyperlink" Target="https://fasih-sm.bps.go.id/app/assignment/fd68e454-ba45-4b85-8205-f3bf777ded24/e70cb1b5-6bfe-4bf8-9cff-7b55098a8da5" TargetMode="External"/><Relationship Id="rId932" Type="http://schemas.openxmlformats.org/officeDocument/2006/relationships/hyperlink" Target="https://fasih-sm.bps.go.id/app/assignment/fd68e454-ba45-4b85-8205-f3bf777ded24/f67003a4-f0c8-4807-b221-4df5376501a7" TargetMode="External"/><Relationship Id="rId157" Type="http://schemas.openxmlformats.org/officeDocument/2006/relationships/hyperlink" Target="https://fasih-sm.bps.go.id/app/assignment/fd68e454-ba45-4b85-8205-f3bf777ded24/e7418d2e-1395-4064-a5a7-8aa5104e0753" TargetMode="External"/><Relationship Id="rId364" Type="http://schemas.openxmlformats.org/officeDocument/2006/relationships/hyperlink" Target="https://fasih-sm.bps.go.id/app/assignment/fd68e454-ba45-4b85-8205-f3bf777ded24/f69d5a22-66ea-48ec-97b8-354cba3229af" TargetMode="External"/><Relationship Id="rId1008" Type="http://schemas.openxmlformats.org/officeDocument/2006/relationships/hyperlink" Target="https://fasih-sm.bps.go.id/app/assignment/fd68e454-ba45-4b85-8205-f3bf777ded24/fd607122-9d0a-40cd-b349-e0a3ad1c7931" TargetMode="External"/><Relationship Id="rId61" Type="http://schemas.openxmlformats.org/officeDocument/2006/relationships/hyperlink" Target="https://fasih-sm.bps.go.id/app/assignment/fd68e454-ba45-4b85-8205-f3bf777ded24/dfd93af6-d0d0-4c28-8285-7f75eccfce5c" TargetMode="External"/><Relationship Id="rId571" Type="http://schemas.openxmlformats.org/officeDocument/2006/relationships/hyperlink" Target="https://fasih-sm.bps.go.id/app/assignment/fd68e454-ba45-4b85-8205-f3bf777ded24/b5d55434-d941-431b-9e24-f869b7bbfa50" TargetMode="External"/><Relationship Id="rId669" Type="http://schemas.openxmlformats.org/officeDocument/2006/relationships/hyperlink" Target="https://fasih-sm.bps.go.id/app/assignment/fd68e454-ba45-4b85-8205-f3bf777ded24/e3054d0b-2ac5-4571-997b-4a390ad9043a" TargetMode="External"/><Relationship Id="rId876" Type="http://schemas.openxmlformats.org/officeDocument/2006/relationships/hyperlink" Target="https://fasih-sm.bps.go.id/app/assignment/fd68e454-ba45-4b85-8205-f3bf777ded24/f19336e3-0019-4552-a4fb-50d71a5dcc0a" TargetMode="External"/><Relationship Id="rId19" Type="http://schemas.openxmlformats.org/officeDocument/2006/relationships/hyperlink" Target="https://fasih-sm.bps.go.id/app/assignment/fd68e454-ba45-4b85-8205-f3bf777ded24/dceda477-32da-475a-a58c-3bb58e2674c2" TargetMode="External"/><Relationship Id="rId224" Type="http://schemas.openxmlformats.org/officeDocument/2006/relationships/hyperlink" Target="https://fasih-sm.bps.go.id/app/assignment/fd68e454-ba45-4b85-8205-f3bf777ded24/eb255fb1-6f24-4180-b9e6-ce3e016239e0" TargetMode="External"/><Relationship Id="rId431" Type="http://schemas.openxmlformats.org/officeDocument/2006/relationships/hyperlink" Target="https://fasih-sm.bps.go.id/app/assignment/fd68e454-ba45-4b85-8205-f3bf777ded24/fcfc7f80-3f10-4fd3-93ff-536e7b9332c9" TargetMode="External"/><Relationship Id="rId529" Type="http://schemas.openxmlformats.org/officeDocument/2006/relationships/hyperlink" Target="https://fasih-sm.bps.go.id/app/assignment/fd68e454-ba45-4b85-8205-f3bf777ded24/c2356439-9620-480d-bcd6-5651ca402922" TargetMode="External"/><Relationship Id="rId736" Type="http://schemas.openxmlformats.org/officeDocument/2006/relationships/hyperlink" Target="https://fasih-sm.bps.go.id/app/assignment/fd68e454-ba45-4b85-8205-f3bf777ded24/e79dda10-90bb-4da5-a4eb-be35c8b434d9" TargetMode="External"/><Relationship Id="rId1061" Type="http://schemas.openxmlformats.org/officeDocument/2006/relationships/hyperlink" Target="https://fasih-sm.bps.go.id/app/assignment/fd68e454-ba45-4b85-8205-f3bf777ded24/2ca2d7b3-e08b-4dfb-a4a4-b7d53e5df9c6" TargetMode="External"/><Relationship Id="rId168" Type="http://schemas.openxmlformats.org/officeDocument/2006/relationships/hyperlink" Target="https://fasih-sm.bps.go.id/app/assignment/fd68e454-ba45-4b85-8205-f3bf777ded24/e7ddfe35-0e4d-4275-ab2c-383f8a3ee4bf" TargetMode="External"/><Relationship Id="rId943" Type="http://schemas.openxmlformats.org/officeDocument/2006/relationships/hyperlink" Target="https://fasih-sm.bps.go.id/app/assignment/fd68e454-ba45-4b85-8205-f3bf777ded24/f730f914-70ac-441c-81fd-ad4c953542d5" TargetMode="External"/><Relationship Id="rId1019" Type="http://schemas.openxmlformats.org/officeDocument/2006/relationships/hyperlink" Target="https://fasih-sm.bps.go.id/app/assignment/fd68e454-ba45-4b85-8205-f3bf777ded24/fe59a3c1-400d-42f1-9362-0b7ce776f41f" TargetMode="External"/><Relationship Id="rId72" Type="http://schemas.openxmlformats.org/officeDocument/2006/relationships/hyperlink" Target="https://fasih-sm.bps.go.id/app/assignment/fd68e454-ba45-4b85-8205-f3bf777ded24/e0cc8017-0c31-4547-9e6f-6b5f9889b9bd" TargetMode="External"/><Relationship Id="rId375" Type="http://schemas.openxmlformats.org/officeDocument/2006/relationships/hyperlink" Target="https://fasih-sm.bps.go.id/app/assignment/fd68e454-ba45-4b85-8205-f3bf777ded24/f7fb10ed-5d6a-4879-934a-777d22a6f052" TargetMode="External"/><Relationship Id="rId582" Type="http://schemas.openxmlformats.org/officeDocument/2006/relationships/hyperlink" Target="https://fasih-sm.bps.go.id/app/assignment/fd68e454-ba45-4b85-8205-f3bf777ded24/dc30dcd9-1d9a-4aec-ab66-548cc24f3724" TargetMode="External"/><Relationship Id="rId803" Type="http://schemas.openxmlformats.org/officeDocument/2006/relationships/hyperlink" Target="https://fasih-sm.bps.go.id/app/assignment/fd68e454-ba45-4b85-8205-f3bf777ded24/ebd08da5-29e0-456f-ad80-ebc2e8f957fe" TargetMode="External"/><Relationship Id="rId3" Type="http://schemas.openxmlformats.org/officeDocument/2006/relationships/hyperlink" Target="https://fasih-sm.bps.go.id/app/assignment/fd68e454-ba45-4b85-8205-f3bf777ded24/daed60cf-ccba-4ea2-b30c-f4079a85817a" TargetMode="External"/><Relationship Id="rId235" Type="http://schemas.openxmlformats.org/officeDocument/2006/relationships/hyperlink" Target="https://fasih-sm.bps.go.id/app/assignment/fd68e454-ba45-4b85-8205-f3bf777ded24/ec0c1a90-026d-43c3-9d46-74e4df0be7e4" TargetMode="External"/><Relationship Id="rId442" Type="http://schemas.openxmlformats.org/officeDocument/2006/relationships/hyperlink" Target="https://fasih-sm.bps.go.id/app/assignment/fd68e454-ba45-4b85-8205-f3bf777ded24/fdd103d6-719c-4b65-b6d9-a2ccfd85b833" TargetMode="External"/><Relationship Id="rId887" Type="http://schemas.openxmlformats.org/officeDocument/2006/relationships/hyperlink" Target="https://fasih-sm.bps.go.id/app/assignment/fd68e454-ba45-4b85-8205-f3bf777ded24/f2e25890-10cb-447e-8805-652acdbfe640" TargetMode="External"/><Relationship Id="rId1072" Type="http://schemas.openxmlformats.org/officeDocument/2006/relationships/hyperlink" Target="https://fasih-sm.bps.go.id/app/assignment/fd68e454-ba45-4b85-8205-f3bf777ded24/634b8faf-9028-4a28-b85a-1f89ed53e75f" TargetMode="External"/><Relationship Id="rId302" Type="http://schemas.openxmlformats.org/officeDocument/2006/relationships/hyperlink" Target="https://fasih-sm.bps.go.id/app/assignment/fd68e454-ba45-4b85-8205-f3bf777ded24/f147a823-78d4-49a2-b898-a9f3899c6679" TargetMode="External"/><Relationship Id="rId747" Type="http://schemas.openxmlformats.org/officeDocument/2006/relationships/hyperlink" Target="https://fasih-sm.bps.go.id/app/assignment/fd68e454-ba45-4b85-8205-f3bf777ded24/e85d5936-56f2-4932-b16d-6001ae33d52b" TargetMode="External"/><Relationship Id="rId954" Type="http://schemas.openxmlformats.org/officeDocument/2006/relationships/hyperlink" Target="https://fasih-sm.bps.go.id/app/assignment/fd68e454-ba45-4b85-8205-f3bf777ded24/f88ee133-e7a0-4b38-8828-b1c5aab95d3d" TargetMode="External"/><Relationship Id="rId83" Type="http://schemas.openxmlformats.org/officeDocument/2006/relationships/hyperlink" Target="https://fasih-sm.bps.go.id/app/assignment/fd68e454-ba45-4b85-8205-f3bf777ded24/e1e5a620-26ce-4161-ac3e-5d0ab8d6cb21" TargetMode="External"/><Relationship Id="rId179" Type="http://schemas.openxmlformats.org/officeDocument/2006/relationships/hyperlink" Target="https://fasih-sm.bps.go.id/app/assignment/fd68e454-ba45-4b85-8205-f3bf777ded24/e86fa943-d584-48c0-8f09-497b4282c12d" TargetMode="External"/><Relationship Id="rId386" Type="http://schemas.openxmlformats.org/officeDocument/2006/relationships/hyperlink" Target="https://fasih-sm.bps.go.id/app/assignment/fd68e454-ba45-4b85-8205-f3bf777ded24/f8c875c5-1292-429d-b724-0006ce4d28fd" TargetMode="External"/><Relationship Id="rId593" Type="http://schemas.openxmlformats.org/officeDocument/2006/relationships/hyperlink" Target="https://fasih-sm.bps.go.id/app/assignment/fd68e454-ba45-4b85-8205-f3bf777ded24/dd0b7eca-46c4-4bda-beda-74bba3c67bb0" TargetMode="External"/><Relationship Id="rId607" Type="http://schemas.openxmlformats.org/officeDocument/2006/relationships/hyperlink" Target="https://fasih-sm.bps.go.id/app/assignment/fd68e454-ba45-4b85-8205-f3bf777ded24/de2de3f0-6f7e-4804-a779-6a207c07ddac" TargetMode="External"/><Relationship Id="rId814" Type="http://schemas.openxmlformats.org/officeDocument/2006/relationships/hyperlink" Target="https://fasih-sm.bps.go.id/app/assignment/fd68e454-ba45-4b85-8205-f3bf777ded24/ec845350-0772-4cc5-8e64-e15db55b143a" TargetMode="External"/><Relationship Id="rId246" Type="http://schemas.openxmlformats.org/officeDocument/2006/relationships/hyperlink" Target="https://fasih-sm.bps.go.id/app/assignment/fd68e454-ba45-4b85-8205-f3bf777ded24/ecf04317-3105-4c52-8059-709eb7721a1b" TargetMode="External"/><Relationship Id="rId453" Type="http://schemas.openxmlformats.org/officeDocument/2006/relationships/hyperlink" Target="https://fasih-sm.bps.go.id/app/assignment/fd68e454-ba45-4b85-8205-f3bf777ded24/fe965f1e-8a15-4da6-ac19-60ee58d23032" TargetMode="External"/><Relationship Id="rId660" Type="http://schemas.openxmlformats.org/officeDocument/2006/relationships/hyperlink" Target="https://fasih-sm.bps.go.id/app/assignment/fd68e454-ba45-4b85-8205-f3bf777ded24/e238273b-e9ed-412a-a7cd-24e73d9ccb03" TargetMode="External"/><Relationship Id="rId898" Type="http://schemas.openxmlformats.org/officeDocument/2006/relationships/hyperlink" Target="https://fasih-sm.bps.go.id/app/assignment/fd68e454-ba45-4b85-8205-f3bf777ded24/f3fd1317-d674-4b0f-bdf5-285ec1a65ac1" TargetMode="External"/><Relationship Id="rId1083" Type="http://schemas.openxmlformats.org/officeDocument/2006/relationships/hyperlink" Target="https://fasih-sm.bps.go.id/app/assignment/fd68e454-ba45-4b85-8205-f3bf777ded24/7da6cbc8-771f-4eec-a375-842501d5e5a8" TargetMode="External"/><Relationship Id="rId106" Type="http://schemas.openxmlformats.org/officeDocument/2006/relationships/hyperlink" Target="https://fasih-sm.bps.go.id/app/assignment/fd68e454-ba45-4b85-8205-f3bf777ded24/e35ec936-7335-4c31-9ee5-5055ad8466c0" TargetMode="External"/><Relationship Id="rId313" Type="http://schemas.openxmlformats.org/officeDocument/2006/relationships/hyperlink" Target="https://fasih-sm.bps.go.id/app/assignment/fd68e454-ba45-4b85-8205-f3bf777ded24/f2912837-2fbb-464c-a624-4101b77b718d" TargetMode="External"/><Relationship Id="rId758" Type="http://schemas.openxmlformats.org/officeDocument/2006/relationships/hyperlink" Target="https://fasih-sm.bps.go.id/app/assignment/fd68e454-ba45-4b85-8205-f3bf777ded24/e8c9c418-465e-4c9e-a6ae-ebf280dbc6cb" TargetMode="External"/><Relationship Id="rId965" Type="http://schemas.openxmlformats.org/officeDocument/2006/relationships/hyperlink" Target="https://fasih-sm.bps.go.id/app/assignment/fd68e454-ba45-4b85-8205-f3bf777ded24/f9d09c1f-f87c-4bb3-bc03-d49cb8cf36f6" TargetMode="External"/><Relationship Id="rId10" Type="http://schemas.openxmlformats.org/officeDocument/2006/relationships/hyperlink" Target="https://fasih-sm.bps.go.id/app/assignment/fd68e454-ba45-4b85-8205-f3bf777ded24/dc2f49f6-9501-4661-a127-d11da86343e2" TargetMode="External"/><Relationship Id="rId94" Type="http://schemas.openxmlformats.org/officeDocument/2006/relationships/hyperlink" Target="https://fasih-sm.bps.go.id/app/assignment/fd68e454-ba45-4b85-8205-f3bf777ded24/e2a17965-3dac-411b-94d2-5f705f2f3ec6" TargetMode="External"/><Relationship Id="rId397" Type="http://schemas.openxmlformats.org/officeDocument/2006/relationships/hyperlink" Target="https://fasih-sm.bps.go.id/app/assignment/fd68e454-ba45-4b85-8205-f3bf777ded24/fa39a383-7adb-48a9-84ac-e18ec8695d61" TargetMode="External"/><Relationship Id="rId520" Type="http://schemas.openxmlformats.org/officeDocument/2006/relationships/hyperlink" Target="https://fasih-sm.bps.go.id/app/assignment/fd68e454-ba45-4b85-8205-f3bf777ded24/985ef3bf-79ce-47e3-aec3-d38689710669" TargetMode="External"/><Relationship Id="rId618" Type="http://schemas.openxmlformats.org/officeDocument/2006/relationships/hyperlink" Target="https://fasih-sm.bps.go.id/app/assignment/fd68e454-ba45-4b85-8205-f3bf777ded24/debfa10d-38ea-425c-a3d6-90690880f78c" TargetMode="External"/><Relationship Id="rId825" Type="http://schemas.openxmlformats.org/officeDocument/2006/relationships/hyperlink" Target="https://fasih-sm.bps.go.id/app/assignment/fd68e454-ba45-4b85-8205-f3bf777ded24/ed92eb45-de26-4eac-b5ac-a6b9b747bbef" TargetMode="External"/><Relationship Id="rId257" Type="http://schemas.openxmlformats.org/officeDocument/2006/relationships/hyperlink" Target="https://fasih-sm.bps.go.id/app/assignment/fd68e454-ba45-4b85-8205-f3bf777ded24/edeb8795-8834-4bd0-9a69-4eb3293b78ae" TargetMode="External"/><Relationship Id="rId464" Type="http://schemas.openxmlformats.org/officeDocument/2006/relationships/hyperlink" Target="https://fasih-sm.bps.go.id/app/assignment/fd68e454-ba45-4b85-8205-f3bf777ded24/ff6b4a69-ce1c-4e46-b1ef-c91ab4ad6724" TargetMode="External"/><Relationship Id="rId1010" Type="http://schemas.openxmlformats.org/officeDocument/2006/relationships/hyperlink" Target="https://fasih-sm.bps.go.id/app/assignment/fd68e454-ba45-4b85-8205-f3bf777ded24/fd702535-cd26-42c8-b1b9-cf08fde40310" TargetMode="External"/><Relationship Id="rId1094" Type="http://schemas.openxmlformats.org/officeDocument/2006/relationships/hyperlink" Target="https://fasih-sm.bps.go.id/app/assignment/fd68e454-ba45-4b85-8205-f3bf777ded24/a119d9d9-aae6-4d2b-b8c7-cd5098487d2d" TargetMode="External"/><Relationship Id="rId1108" Type="http://schemas.openxmlformats.org/officeDocument/2006/relationships/hyperlink" Target="https://fasih-sm.bps.go.id/app/assignment/fd68e454-ba45-4b85-8205-f3bf777ded24/e4e975d3-0f4e-4b87-a76b-6f5ab9ca81a6" TargetMode="External"/><Relationship Id="rId117" Type="http://schemas.openxmlformats.org/officeDocument/2006/relationships/hyperlink" Target="https://fasih-sm.bps.go.id/app/assignment/fd68e454-ba45-4b85-8205-f3bf777ded24/e4ed3feb-c67a-4990-88ce-01bd9c98b9de" TargetMode="External"/><Relationship Id="rId671" Type="http://schemas.openxmlformats.org/officeDocument/2006/relationships/hyperlink" Target="https://fasih-sm.bps.go.id/app/assignment/fd68e454-ba45-4b85-8205-f3bf777ded24/e3221083-f0f6-4a3a-9978-e68b22b732f5" TargetMode="External"/><Relationship Id="rId769" Type="http://schemas.openxmlformats.org/officeDocument/2006/relationships/hyperlink" Target="https://fasih-sm.bps.go.id/app/assignment/fd68e454-ba45-4b85-8205-f3bf777ded24/e95ef7b2-f150-459d-aa91-5ad0f960ae24" TargetMode="External"/><Relationship Id="rId976" Type="http://schemas.openxmlformats.org/officeDocument/2006/relationships/hyperlink" Target="https://fasih-sm.bps.go.id/app/assignment/fd68e454-ba45-4b85-8205-f3bf777ded24/facbfe54-f01e-40cf-8f5e-448a1c9f0389" TargetMode="External"/><Relationship Id="rId324" Type="http://schemas.openxmlformats.org/officeDocument/2006/relationships/hyperlink" Target="https://fasih-sm.bps.go.id/app/assignment/fd68e454-ba45-4b85-8205-f3bf777ded24/f3cc17fe-2b98-4685-9b3f-c1d168c90278" TargetMode="External"/><Relationship Id="rId531" Type="http://schemas.openxmlformats.org/officeDocument/2006/relationships/hyperlink" Target="https://fasih-sm.bps.go.id/app/assignment/fd68e454-ba45-4b85-8205-f3bf777ded24/c46d8626-3ea8-4278-a4d9-ef8b7a66de8f" TargetMode="External"/><Relationship Id="rId629" Type="http://schemas.openxmlformats.org/officeDocument/2006/relationships/hyperlink" Target="https://fasih-sm.bps.go.id/app/assignment/fd68e454-ba45-4b85-8205-f3bf777ded24/dfbdf316-0b1f-4e15-a95f-fcbde0d3a2ea" TargetMode="External"/><Relationship Id="rId836" Type="http://schemas.openxmlformats.org/officeDocument/2006/relationships/hyperlink" Target="https://fasih-sm.bps.go.id/app/assignment/fd68e454-ba45-4b85-8205-f3bf777ded24/ee37d886-4d15-43d6-90fa-a6c3988eeaa5" TargetMode="External"/><Relationship Id="rId1021" Type="http://schemas.openxmlformats.org/officeDocument/2006/relationships/hyperlink" Target="https://fasih-sm.bps.go.id/app/assignment/fd68e454-ba45-4b85-8205-f3bf777ded24/fe84418e-e36e-423a-9019-64280ed8f458" TargetMode="External"/><Relationship Id="rId1119" Type="http://schemas.openxmlformats.org/officeDocument/2006/relationships/hyperlink" Target="https://fasih-sm.bps.go.id/app/assignment/fd68e454-ba45-4b85-8205-f3bf777ded24/3c4daa4f-db6b-4ce7-a291-43f583e6539e" TargetMode="External"/><Relationship Id="rId903" Type="http://schemas.openxmlformats.org/officeDocument/2006/relationships/hyperlink" Target="https://fasih-sm.bps.go.id/app/assignment/fd68e454-ba45-4b85-8205-f3bf777ded24/f4735e35-ddac-4160-a91f-6f6ca44ec266" TargetMode="External"/><Relationship Id="rId32" Type="http://schemas.openxmlformats.org/officeDocument/2006/relationships/hyperlink" Target="https://fasih-sm.bps.go.id/app/assignment/fd68e454-ba45-4b85-8205-f3bf777ded24/de15b2b8-2653-409b-8d1f-b8dba1c29323" TargetMode="External"/><Relationship Id="rId181" Type="http://schemas.openxmlformats.org/officeDocument/2006/relationships/hyperlink" Target="https://fasih-sm.bps.go.id/app/assignment/fd68e454-ba45-4b85-8205-f3bf777ded24/e87127cd-f93c-41f8-bbea-608390010c33" TargetMode="External"/><Relationship Id="rId279" Type="http://schemas.openxmlformats.org/officeDocument/2006/relationships/hyperlink" Target="https://fasih-sm.bps.go.id/app/assignment/fd68e454-ba45-4b85-8205-f3bf777ded24/ef856b6a-4430-4336-a255-6e527192d366" TargetMode="External"/><Relationship Id="rId486" Type="http://schemas.openxmlformats.org/officeDocument/2006/relationships/hyperlink" Target="https://fasih-sm.bps.go.id/app/assignment/fd68e454-ba45-4b85-8205-f3bf777ded24/1e395480-9b93-48cf-b86d-33029f21d183" TargetMode="External"/><Relationship Id="rId693" Type="http://schemas.openxmlformats.org/officeDocument/2006/relationships/hyperlink" Target="https://fasih-sm.bps.go.id/app/assignment/fd68e454-ba45-4b85-8205-f3bf777ded24/e55f506c-f510-4132-bc4e-5f5458c8342a" TargetMode="External"/><Relationship Id="rId139" Type="http://schemas.openxmlformats.org/officeDocument/2006/relationships/hyperlink" Target="https://fasih-sm.bps.go.id/app/assignment/fd68e454-ba45-4b85-8205-f3bf777ded24/e670a17f-2ec8-47c7-8785-148d86b976aa" TargetMode="External"/><Relationship Id="rId346" Type="http://schemas.openxmlformats.org/officeDocument/2006/relationships/hyperlink" Target="https://fasih-sm.bps.go.id/app/assignment/fd68e454-ba45-4b85-8205-f3bf777ded24/f5a42fec-470e-4e60-a5a1-3168251fefae" TargetMode="External"/><Relationship Id="rId553" Type="http://schemas.openxmlformats.org/officeDocument/2006/relationships/hyperlink" Target="https://fasih-sm.bps.go.id/app/assignment/fd68e454-ba45-4b85-8205-f3bf777ded24/5a609efa-4de4-43c7-892c-662cfaf3089e" TargetMode="External"/><Relationship Id="rId760" Type="http://schemas.openxmlformats.org/officeDocument/2006/relationships/hyperlink" Target="https://fasih-sm.bps.go.id/app/assignment/fd68e454-ba45-4b85-8205-f3bf777ded24/e8ddafd6-1679-4b83-bc42-b1cb30c64f1f" TargetMode="External"/><Relationship Id="rId998" Type="http://schemas.openxmlformats.org/officeDocument/2006/relationships/hyperlink" Target="https://fasih-sm.bps.go.id/app/assignment/fd68e454-ba45-4b85-8205-f3bf777ded24/fcc6a833-9b93-485c-b499-40fbe5f36d49" TargetMode="External"/><Relationship Id="rId206" Type="http://schemas.openxmlformats.org/officeDocument/2006/relationships/hyperlink" Target="https://fasih-sm.bps.go.id/app/assignment/fd68e454-ba45-4b85-8205-f3bf777ded24/ea27df16-9c5f-46e3-9ee7-815e6e515ad9" TargetMode="External"/><Relationship Id="rId413" Type="http://schemas.openxmlformats.org/officeDocument/2006/relationships/hyperlink" Target="https://fasih-sm.bps.go.id/app/assignment/fd68e454-ba45-4b85-8205-f3bf777ded24/fbad6b32-e163-4255-aab3-62259c84bc61" TargetMode="External"/><Relationship Id="rId858" Type="http://schemas.openxmlformats.org/officeDocument/2006/relationships/hyperlink" Target="https://fasih-sm.bps.go.id/app/assignment/fd68e454-ba45-4b85-8205-f3bf777ded24/f005cd22-6914-4eb7-993c-6aacbbee7e01" TargetMode="External"/><Relationship Id="rId1043" Type="http://schemas.openxmlformats.org/officeDocument/2006/relationships/hyperlink" Target="https://fasih-sm.bps.go.id/app/assignment/fd68e454-ba45-4b85-8205-f3bf777ded24/8e8b09e7-d0f9-4d23-b5ea-230b396d582b" TargetMode="External"/><Relationship Id="rId620" Type="http://schemas.openxmlformats.org/officeDocument/2006/relationships/hyperlink" Target="https://fasih-sm.bps.go.id/app/assignment/fd68e454-ba45-4b85-8205-f3bf777ded24/def73c3c-38b9-4062-9d81-07db98c3b050" TargetMode="External"/><Relationship Id="rId718" Type="http://schemas.openxmlformats.org/officeDocument/2006/relationships/hyperlink" Target="https://fasih-sm.bps.go.id/app/assignment/fd68e454-ba45-4b85-8205-f3bf777ded24/e6cb244c-4a87-4359-8006-3712fe348bc2" TargetMode="External"/><Relationship Id="rId925" Type="http://schemas.openxmlformats.org/officeDocument/2006/relationships/hyperlink" Target="https://fasih-sm.bps.go.id/app/assignment/fd68e454-ba45-4b85-8205-f3bf777ded24/f60636de-ea96-4c85-b913-c6f5d2605b74" TargetMode="External"/><Relationship Id="rId1110" Type="http://schemas.openxmlformats.org/officeDocument/2006/relationships/hyperlink" Target="https://fasih-sm.bps.go.id/app/assignment/fd68e454-ba45-4b85-8205-f3bf777ded24/f1d28646-1c58-486a-bb07-d1e1f8eb8793" TargetMode="External"/><Relationship Id="rId54" Type="http://schemas.openxmlformats.org/officeDocument/2006/relationships/hyperlink" Target="https://fasih-sm.bps.go.id/app/assignment/fd68e454-ba45-4b85-8205-f3bf777ded24/df51d6ad-90c9-410d-af01-2ede60ece21d" TargetMode="External"/><Relationship Id="rId270" Type="http://schemas.openxmlformats.org/officeDocument/2006/relationships/hyperlink" Target="https://fasih-sm.bps.go.id/app/assignment/fd68e454-ba45-4b85-8205-f3bf777ded24/eeb32eff-3345-40af-b094-4a8c9023a32c" TargetMode="External"/><Relationship Id="rId130" Type="http://schemas.openxmlformats.org/officeDocument/2006/relationships/hyperlink" Target="https://fasih-sm.bps.go.id/app/assignment/fd68e454-ba45-4b85-8205-f3bf777ded24/e60cd32a-fd1b-400c-a86b-e4c4adc256d8" TargetMode="External"/><Relationship Id="rId368" Type="http://schemas.openxmlformats.org/officeDocument/2006/relationships/hyperlink" Target="https://fasih-sm.bps.go.id/app/assignment/fd68e454-ba45-4b85-8205-f3bf777ded24/f6fb4cb6-f654-4265-a71f-53715bd4ef4a" TargetMode="External"/><Relationship Id="rId575" Type="http://schemas.openxmlformats.org/officeDocument/2006/relationships/hyperlink" Target="https://fasih-sm.bps.go.id/app/assignment/fd68e454-ba45-4b85-8205-f3bf777ded24/db0927a3-ce16-4beb-bcee-f1c2df79b62b" TargetMode="External"/><Relationship Id="rId782" Type="http://schemas.openxmlformats.org/officeDocument/2006/relationships/hyperlink" Target="https://fasih-sm.bps.go.id/app/assignment/fd68e454-ba45-4b85-8205-f3bf777ded24/ea609196-1c5e-4e86-adab-764daa10282f" TargetMode="External"/><Relationship Id="rId228" Type="http://schemas.openxmlformats.org/officeDocument/2006/relationships/hyperlink" Target="https://fasih-sm.bps.go.id/app/assignment/fd68e454-ba45-4b85-8205-f3bf777ded24/eb694af1-01b6-420b-933b-8957f5dbdddf" TargetMode="External"/><Relationship Id="rId435" Type="http://schemas.openxmlformats.org/officeDocument/2006/relationships/hyperlink" Target="https://fasih-sm.bps.go.id/app/assignment/fd68e454-ba45-4b85-8205-f3bf777ded24/fd419560-0ef3-42ba-b85d-a767ba6a8e3e" TargetMode="External"/><Relationship Id="rId642" Type="http://schemas.openxmlformats.org/officeDocument/2006/relationships/hyperlink" Target="https://fasih-sm.bps.go.id/app/assignment/fd68e454-ba45-4b85-8205-f3bf777ded24/e0940408-4c68-43d8-bbd6-80efd90d8ad0" TargetMode="External"/><Relationship Id="rId1065" Type="http://schemas.openxmlformats.org/officeDocument/2006/relationships/hyperlink" Target="https://fasih-sm.bps.go.id/app/assignment/fd68e454-ba45-4b85-8205-f3bf777ded24/480bd4ba-44a7-4e7e-a0ad-9ddbff5d344d" TargetMode="External"/><Relationship Id="rId502" Type="http://schemas.openxmlformats.org/officeDocument/2006/relationships/hyperlink" Target="https://fasih-sm.bps.go.id/app/assignment/fd68e454-ba45-4b85-8205-f3bf777ded24/63baabea-ad62-417c-980d-6888b0190c2b" TargetMode="External"/><Relationship Id="rId947" Type="http://schemas.openxmlformats.org/officeDocument/2006/relationships/hyperlink" Target="https://fasih-sm.bps.go.id/app/assignment/fd68e454-ba45-4b85-8205-f3bf777ded24/f8013566-528f-472c-b8a1-73f561dcd7a6" TargetMode="External"/><Relationship Id="rId1132" Type="http://schemas.openxmlformats.org/officeDocument/2006/relationships/hyperlink" Target="https://fasih-sm.bps.go.id/app/assignment/fd68e454-ba45-4b85-8205-f3bf777ded24/749efa59-0ace-4c38-897b-c04c1ac51735" TargetMode="External"/><Relationship Id="rId76" Type="http://schemas.openxmlformats.org/officeDocument/2006/relationships/hyperlink" Target="https://fasih-sm.bps.go.id/app/assignment/fd68e454-ba45-4b85-8205-f3bf777ded24/e11dffbc-d620-424a-8a81-27d259f797fc" TargetMode="External"/><Relationship Id="rId807" Type="http://schemas.openxmlformats.org/officeDocument/2006/relationships/hyperlink" Target="https://fasih-sm.bps.go.id/app/assignment/fd68e454-ba45-4b85-8205-f3bf777ded24/ec179c5e-9ee8-482c-99dd-06801187f680" TargetMode="External"/><Relationship Id="rId292" Type="http://schemas.openxmlformats.org/officeDocument/2006/relationships/hyperlink" Target="https://fasih-sm.bps.go.id/app/assignment/fd68e454-ba45-4b85-8205-f3bf777ded24/f052d59f-6b9d-472b-9be0-083d77911341" TargetMode="External"/><Relationship Id="rId597" Type="http://schemas.openxmlformats.org/officeDocument/2006/relationships/hyperlink" Target="https://fasih-sm.bps.go.id/app/assignment/fd68e454-ba45-4b85-8205-f3bf777ded24/dd59169e-d444-4948-8e47-3781e03db700" TargetMode="External"/><Relationship Id="rId152" Type="http://schemas.openxmlformats.org/officeDocument/2006/relationships/hyperlink" Target="https://fasih-sm.bps.go.id/app/assignment/fd68e454-ba45-4b85-8205-f3bf777ded24/e700d18e-fdc8-41e0-81c1-2ddebbc3c2f0" TargetMode="External"/><Relationship Id="rId457" Type="http://schemas.openxmlformats.org/officeDocument/2006/relationships/hyperlink" Target="https://fasih-sm.bps.go.id/app/assignment/fd68e454-ba45-4b85-8205-f3bf777ded24/feff24ff-9d0b-4163-bf51-e353fa058eb3" TargetMode="External"/><Relationship Id="rId1087" Type="http://schemas.openxmlformats.org/officeDocument/2006/relationships/hyperlink" Target="https://fasih-sm.bps.go.id/app/assignment/fd68e454-ba45-4b85-8205-f3bf777ded24/8e7938d2-e5b2-42f3-9c18-8d64ad3fad1b" TargetMode="External"/><Relationship Id="rId664" Type="http://schemas.openxmlformats.org/officeDocument/2006/relationships/hyperlink" Target="https://fasih-sm.bps.go.id/app/assignment/fd68e454-ba45-4b85-8205-f3bf777ded24/e29b7f5d-615f-4a76-8c35-3dac6e3c622e" TargetMode="External"/><Relationship Id="rId871" Type="http://schemas.openxmlformats.org/officeDocument/2006/relationships/hyperlink" Target="https://fasih-sm.bps.go.id/app/assignment/fd68e454-ba45-4b85-8205-f3bf777ded24/f135d60d-4bb2-4338-9327-e0296be24d83" TargetMode="External"/><Relationship Id="rId969" Type="http://schemas.openxmlformats.org/officeDocument/2006/relationships/hyperlink" Target="https://fasih-sm.bps.go.id/app/assignment/fd68e454-ba45-4b85-8205-f3bf777ded24/fa6ac808-d940-4877-978c-2c7ba32cfb7d" TargetMode="External"/><Relationship Id="rId317" Type="http://schemas.openxmlformats.org/officeDocument/2006/relationships/hyperlink" Target="https://fasih-sm.bps.go.id/app/assignment/fd68e454-ba45-4b85-8205-f3bf777ded24/f2e82da4-28e1-4eb8-ae43-4fa91ae84d96" TargetMode="External"/><Relationship Id="rId524" Type="http://schemas.openxmlformats.org/officeDocument/2006/relationships/hyperlink" Target="https://fasih-sm.bps.go.id/app/assignment/fd68e454-ba45-4b85-8205-f3bf777ded24/ab9a6814-b9e7-4d0b-a65f-8f8998a61cec" TargetMode="External"/><Relationship Id="rId731" Type="http://schemas.openxmlformats.org/officeDocument/2006/relationships/hyperlink" Target="https://fasih-sm.bps.go.id/app/assignment/fd68e454-ba45-4b85-8205-f3bf777ded24/e7821c8a-3b57-48f0-831d-fef57460f534" TargetMode="External"/><Relationship Id="rId98" Type="http://schemas.openxmlformats.org/officeDocument/2006/relationships/hyperlink" Target="https://fasih-sm.bps.go.id/app/assignment/fd68e454-ba45-4b85-8205-f3bf777ded24/e3054d0b-2ac5-4571-997b-4a390ad9043a" TargetMode="External"/><Relationship Id="rId829" Type="http://schemas.openxmlformats.org/officeDocument/2006/relationships/hyperlink" Target="https://fasih-sm.bps.go.id/app/assignment/fd68e454-ba45-4b85-8205-f3bf777ded24/edf23f35-fa87-41d3-9b9d-a49e055cf5ba" TargetMode="External"/><Relationship Id="rId1014" Type="http://schemas.openxmlformats.org/officeDocument/2006/relationships/hyperlink" Target="https://fasih-sm.bps.go.id/app/assignment/fd68e454-ba45-4b85-8205-f3bf777ded24/fde97b8b-8717-425c-988b-0c37f3863939" TargetMode="External"/><Relationship Id="rId25" Type="http://schemas.openxmlformats.org/officeDocument/2006/relationships/hyperlink" Target="https://fasih-sm.bps.go.id/app/assignment/fd68e454-ba45-4b85-8205-f3bf777ded24/dd4eac1b-4cd4-4a19-92b3-5ab24fbf34ed" TargetMode="External"/><Relationship Id="rId174" Type="http://schemas.openxmlformats.org/officeDocument/2006/relationships/hyperlink" Target="https://fasih-sm.bps.go.id/app/assignment/fd68e454-ba45-4b85-8205-f3bf777ded24/e8390118-c571-4029-aa2f-30fecd67df3e" TargetMode="External"/><Relationship Id="rId381" Type="http://schemas.openxmlformats.org/officeDocument/2006/relationships/hyperlink" Target="https://fasih-sm.bps.go.id/app/assignment/fd68e454-ba45-4b85-8205-f3bf777ded24/f835dd15-69e8-4ee4-b31b-ed1d58655112" TargetMode="External"/><Relationship Id="rId241" Type="http://schemas.openxmlformats.org/officeDocument/2006/relationships/hyperlink" Target="https://fasih-sm.bps.go.id/app/assignment/fd68e454-ba45-4b85-8205-f3bf777ded24/ec72693b-56cc-4450-989d-59eb14b78112" TargetMode="External"/><Relationship Id="rId479" Type="http://schemas.openxmlformats.org/officeDocument/2006/relationships/hyperlink" Target="https://fasih-sm.bps.go.id/app/assignment/fd68e454-ba45-4b85-8205-f3bf777ded24/8a938192-4def-4213-9c44-5fc03122a805" TargetMode="External"/><Relationship Id="rId686" Type="http://schemas.openxmlformats.org/officeDocument/2006/relationships/hyperlink" Target="https://fasih-sm.bps.go.id/app/assignment/fd68e454-ba45-4b85-8205-f3bf777ded24/e483bab2-1857-4404-a8f0-638ae0285f9f" TargetMode="External"/><Relationship Id="rId893" Type="http://schemas.openxmlformats.org/officeDocument/2006/relationships/hyperlink" Target="https://fasih-sm.bps.go.id/app/assignment/fd68e454-ba45-4b85-8205-f3bf777ded24/f3a2f16e-8bd4-4386-b2c3-6c1c424839b7" TargetMode="External"/><Relationship Id="rId339" Type="http://schemas.openxmlformats.org/officeDocument/2006/relationships/hyperlink" Target="https://fasih-sm.bps.go.id/app/assignment/fd68e454-ba45-4b85-8205-f3bf777ded24/f532d7cf-7309-4eef-b452-156de3e6a9a0" TargetMode="External"/><Relationship Id="rId546" Type="http://schemas.openxmlformats.org/officeDocument/2006/relationships/hyperlink" Target="https://fasih-sm.bps.go.id/app/assignment/fd68e454-ba45-4b85-8205-f3bf777ded24/270c2d42-05ee-4b85-b935-a58aa0db5f4d" TargetMode="External"/><Relationship Id="rId753" Type="http://schemas.openxmlformats.org/officeDocument/2006/relationships/hyperlink" Target="https://fasih-sm.bps.go.id/app/assignment/fd68e454-ba45-4b85-8205-f3bf777ded24/e88b0c64-f3ab-4998-bca4-8fbb88ccec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1AA4-1FE2-463A-B1DE-2BBEF95278AD}">
  <dimension ref="A1:BG573"/>
  <sheetViews>
    <sheetView tabSelected="1" topLeftCell="AF571" workbookViewId="0">
      <selection activeCell="AV1" sqref="AV1:BG572"/>
    </sheetView>
  </sheetViews>
  <sheetFormatPr defaultRowHeight="15" x14ac:dyDescent="0.25"/>
  <cols>
    <col min="45" max="45" width="12" customWidth="1"/>
  </cols>
  <sheetData>
    <row r="1" spans="1:59" ht="9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2587</v>
      </c>
      <c r="U1" s="2" t="s">
        <v>2588</v>
      </c>
      <c r="V1" s="2" t="s">
        <v>2589</v>
      </c>
      <c r="W1" s="2" t="s">
        <v>2590</v>
      </c>
      <c r="X1" s="2" t="s">
        <v>2591</v>
      </c>
      <c r="Y1" s="2" t="s">
        <v>2592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2593</v>
      </c>
      <c r="AQ1" s="2" t="s">
        <v>2594</v>
      </c>
      <c r="AR1" s="4" t="s">
        <v>35</v>
      </c>
      <c r="AS1" s="21" t="s">
        <v>2605</v>
      </c>
      <c r="AT1" s="21" t="s">
        <v>2606</v>
      </c>
      <c r="AU1" s="21" t="s">
        <v>2607</v>
      </c>
      <c r="AV1" s="20" t="s">
        <v>15</v>
      </c>
      <c r="AW1" s="20" t="s">
        <v>29</v>
      </c>
      <c r="AX1" s="20" t="s">
        <v>2595</v>
      </c>
      <c r="AY1" s="20" t="s">
        <v>2596</v>
      </c>
      <c r="AZ1" s="20" t="s">
        <v>2597</v>
      </c>
      <c r="BA1" s="20" t="s">
        <v>2598</v>
      </c>
      <c r="BB1" s="20" t="s">
        <v>2599</v>
      </c>
      <c r="BC1" s="20" t="s">
        <v>2600</v>
      </c>
      <c r="BD1" s="20" t="s">
        <v>2601</v>
      </c>
      <c r="BE1" s="20" t="s">
        <v>2602</v>
      </c>
      <c r="BF1" s="20" t="s">
        <v>2603</v>
      </c>
      <c r="BG1" s="20" t="s">
        <v>2604</v>
      </c>
    </row>
    <row r="2" spans="1:59" ht="270.75" thickBot="1" x14ac:dyDescent="0.3">
      <c r="A2" s="9" t="s">
        <v>36</v>
      </c>
      <c r="B2" s="9">
        <v>3001</v>
      </c>
      <c r="C2" s="10">
        <v>2</v>
      </c>
      <c r="D2" s="9" t="s">
        <v>37</v>
      </c>
      <c r="E2" s="11">
        <v>46257.142423611112</v>
      </c>
      <c r="F2" s="9" t="s">
        <v>38</v>
      </c>
      <c r="G2" s="9" t="s">
        <v>39</v>
      </c>
      <c r="H2" s="9">
        <v>53</v>
      </c>
      <c r="I2" s="9" t="s">
        <v>40</v>
      </c>
      <c r="J2" s="9">
        <v>5309</v>
      </c>
      <c r="K2" s="9" t="s">
        <v>41</v>
      </c>
      <c r="L2" s="9">
        <v>5309073</v>
      </c>
      <c r="M2" s="9">
        <v>5309073003</v>
      </c>
      <c r="N2" s="9" t="s">
        <v>42</v>
      </c>
      <c r="O2" s="9">
        <v>10421</v>
      </c>
      <c r="P2" s="9" t="s">
        <v>43</v>
      </c>
      <c r="Q2" s="10">
        <v>1</v>
      </c>
      <c r="R2" s="10">
        <v>1200000</v>
      </c>
      <c r="S2" s="10">
        <v>300000</v>
      </c>
      <c r="T2" s="10">
        <v>0</v>
      </c>
      <c r="U2" s="10">
        <v>0</v>
      </c>
      <c r="V2" s="10">
        <v>0</v>
      </c>
      <c r="W2" s="10">
        <v>1500000</v>
      </c>
      <c r="X2" s="10">
        <v>8000000</v>
      </c>
      <c r="Y2" s="10">
        <v>0</v>
      </c>
      <c r="Z2" s="10">
        <v>7700000</v>
      </c>
      <c r="AA2" s="10">
        <v>1500000</v>
      </c>
      <c r="AB2" s="10">
        <v>8000000</v>
      </c>
      <c r="AC2" s="10">
        <v>0</v>
      </c>
      <c r="AD2" s="9" t="s">
        <v>44</v>
      </c>
      <c r="AE2" s="10" t="s">
        <v>2223</v>
      </c>
      <c r="AF2" s="10">
        <v>8000000</v>
      </c>
      <c r="AG2" s="10">
        <v>1</v>
      </c>
      <c r="AH2" s="10">
        <v>1</v>
      </c>
      <c r="AI2" s="10">
        <v>1</v>
      </c>
      <c r="AJ2" s="12" t="s">
        <v>45</v>
      </c>
      <c r="AK2" s="10">
        <v>0</v>
      </c>
      <c r="AL2" s="10">
        <v>0</v>
      </c>
      <c r="AM2" s="9">
        <v>1992</v>
      </c>
      <c r="AN2" s="10">
        <v>1</v>
      </c>
      <c r="AO2" s="10">
        <v>0</v>
      </c>
      <c r="AP2" s="2"/>
      <c r="AQ2" s="3"/>
      <c r="AR2" s="4"/>
      <c r="AS2" s="4">
        <f>AB2-Z2</f>
        <v>300000</v>
      </c>
      <c r="AT2" s="4">
        <f>IF(AE2&gt;0.61,(Z2*0.58/AE2),IF(AE2&lt;0.15,(Z2*0.2/AE2),Z2))</f>
        <v>4640000</v>
      </c>
      <c r="AU2" s="4">
        <f>AB2-AT2</f>
        <v>3360000</v>
      </c>
      <c r="AV2" s="9" t="s">
        <v>43</v>
      </c>
      <c r="AW2" s="12" t="s">
        <v>45</v>
      </c>
      <c r="AX2" s="10">
        <v>0</v>
      </c>
      <c r="AY2">
        <f>S2*AU2/AS2</f>
        <v>3360000</v>
      </c>
      <c r="AZ2">
        <f>AU2-AY2</f>
        <v>0</v>
      </c>
      <c r="BA2" s="10">
        <v>8000000</v>
      </c>
      <c r="BB2" s="10">
        <v>0</v>
      </c>
      <c r="BC2" s="9" t="s">
        <v>42</v>
      </c>
      <c r="BD2" s="9">
        <v>10421</v>
      </c>
      <c r="BE2" t="s">
        <v>46</v>
      </c>
    </row>
    <row r="3" spans="1:59" ht="270.75" thickBot="1" x14ac:dyDescent="0.3">
      <c r="A3" s="9" t="s">
        <v>47</v>
      </c>
      <c r="B3" s="9">
        <v>3001</v>
      </c>
      <c r="C3" s="10">
        <v>2</v>
      </c>
      <c r="D3" s="9" t="s">
        <v>37</v>
      </c>
      <c r="E3" s="11">
        <v>46260.272190821757</v>
      </c>
      <c r="F3" s="9" t="s">
        <v>48</v>
      </c>
      <c r="G3" s="9" t="s">
        <v>39</v>
      </c>
      <c r="H3" s="9">
        <v>53</v>
      </c>
      <c r="I3" s="9" t="s">
        <v>40</v>
      </c>
      <c r="J3" s="9">
        <v>5309</v>
      </c>
      <c r="K3" s="9" t="s">
        <v>41</v>
      </c>
      <c r="L3" s="9">
        <v>5309060</v>
      </c>
      <c r="M3" s="9">
        <v>5309060028</v>
      </c>
      <c r="N3" s="9" t="s">
        <v>42</v>
      </c>
      <c r="O3" s="9">
        <v>10421</v>
      </c>
      <c r="P3" s="9" t="s">
        <v>49</v>
      </c>
      <c r="Q3" s="10">
        <v>4</v>
      </c>
      <c r="R3" s="10">
        <v>750000</v>
      </c>
      <c r="S3" s="10">
        <v>8350000</v>
      </c>
      <c r="T3" s="10">
        <v>0</v>
      </c>
      <c r="U3" s="10">
        <v>500000</v>
      </c>
      <c r="V3" s="10">
        <v>0</v>
      </c>
      <c r="W3" s="10">
        <v>9600000</v>
      </c>
      <c r="X3" s="10">
        <v>10000000</v>
      </c>
      <c r="Y3" s="10">
        <v>0</v>
      </c>
      <c r="Z3" s="10">
        <v>1150000</v>
      </c>
      <c r="AA3" s="10">
        <v>700000</v>
      </c>
      <c r="AB3" s="10">
        <v>10000000</v>
      </c>
      <c r="AC3" s="10">
        <v>0</v>
      </c>
      <c r="AD3" s="9" t="s">
        <v>44</v>
      </c>
      <c r="AE3" s="10" t="s">
        <v>2224</v>
      </c>
      <c r="AF3" s="10">
        <v>2500000</v>
      </c>
      <c r="AG3" s="10">
        <v>1</v>
      </c>
      <c r="AH3" s="10">
        <v>1</v>
      </c>
      <c r="AI3" s="10">
        <v>1</v>
      </c>
      <c r="AJ3" s="12" t="s">
        <v>50</v>
      </c>
      <c r="AK3" s="10">
        <v>0</v>
      </c>
      <c r="AL3" s="10">
        <v>0</v>
      </c>
      <c r="AM3" s="9">
        <v>2012</v>
      </c>
      <c r="AN3" s="10">
        <v>2</v>
      </c>
      <c r="AO3" s="10">
        <v>2</v>
      </c>
      <c r="AP3" s="6"/>
      <c r="AQ3" s="7"/>
      <c r="AR3" s="8"/>
      <c r="AS3" s="4">
        <f t="shared" ref="AS3:AS66" si="0">AB3-Z3</f>
        <v>8850000</v>
      </c>
      <c r="AT3" s="4">
        <f t="shared" ref="AT3:AT66" si="1">IF(AE3&gt;0.61,(Z3*0.58/AE3),IF(AE3&lt;0.15,(Z3*0.2/AE3),Z3))</f>
        <v>5800000</v>
      </c>
      <c r="AU3" s="4">
        <f t="shared" ref="AU3:AU66" si="2">AB3-AT3</f>
        <v>4200000</v>
      </c>
      <c r="AV3" s="9" t="s">
        <v>49</v>
      </c>
      <c r="AW3" s="12" t="s">
        <v>50</v>
      </c>
      <c r="AX3" s="10">
        <v>0</v>
      </c>
      <c r="AY3">
        <f>S3*AU3/AS3</f>
        <v>3962711.8644067799</v>
      </c>
      <c r="AZ3">
        <f>AU3-AY3</f>
        <v>237288.13559322013</v>
      </c>
      <c r="BA3" s="10">
        <v>10000000</v>
      </c>
      <c r="BB3" s="10">
        <v>0</v>
      </c>
      <c r="BC3" s="9" t="s">
        <v>42</v>
      </c>
      <c r="BD3" s="9">
        <v>10421</v>
      </c>
      <c r="BE3" t="s">
        <v>46</v>
      </c>
    </row>
    <row r="4" spans="1:59" ht="270.75" thickBot="1" x14ac:dyDescent="0.3">
      <c r="A4" s="9" t="s">
        <v>51</v>
      </c>
      <c r="B4" s="9">
        <v>3001</v>
      </c>
      <c r="C4" s="10">
        <v>2</v>
      </c>
      <c r="D4" s="9" t="s">
        <v>37</v>
      </c>
      <c r="E4" s="11">
        <v>46235.820523981478</v>
      </c>
      <c r="F4" s="9" t="s">
        <v>52</v>
      </c>
      <c r="G4" s="9" t="s">
        <v>39</v>
      </c>
      <c r="H4" s="9">
        <v>53</v>
      </c>
      <c r="I4" s="9" t="s">
        <v>40</v>
      </c>
      <c r="J4" s="9">
        <v>5309</v>
      </c>
      <c r="K4" s="9" t="s">
        <v>41</v>
      </c>
      <c r="L4" s="9">
        <v>5309073</v>
      </c>
      <c r="M4" s="9">
        <v>5309073001</v>
      </c>
      <c r="N4" s="9" t="s">
        <v>42</v>
      </c>
      <c r="O4" s="9">
        <v>10421</v>
      </c>
      <c r="P4" s="9" t="s">
        <v>53</v>
      </c>
      <c r="Q4" s="10">
        <v>2</v>
      </c>
      <c r="R4" s="10">
        <v>600000</v>
      </c>
      <c r="S4" s="10">
        <v>100000</v>
      </c>
      <c r="T4" s="10">
        <v>0</v>
      </c>
      <c r="U4" s="10">
        <v>200000</v>
      </c>
      <c r="V4" s="10">
        <v>0</v>
      </c>
      <c r="W4" s="10">
        <v>900000</v>
      </c>
      <c r="X4" s="10">
        <v>10500000</v>
      </c>
      <c r="Y4" s="10">
        <v>0</v>
      </c>
      <c r="Z4" s="10">
        <v>10200000</v>
      </c>
      <c r="AA4" s="10">
        <v>11800000</v>
      </c>
      <c r="AB4" s="10">
        <v>10500000</v>
      </c>
      <c r="AC4" s="10">
        <v>0</v>
      </c>
      <c r="AD4" s="9" t="s">
        <v>44</v>
      </c>
      <c r="AE4" s="10" t="s">
        <v>2225</v>
      </c>
      <c r="AF4" s="10">
        <v>5250000</v>
      </c>
      <c r="AG4" s="10">
        <v>1</v>
      </c>
      <c r="AH4" s="10">
        <v>1</v>
      </c>
      <c r="AI4" s="10">
        <v>1</v>
      </c>
      <c r="AJ4" s="12" t="s">
        <v>54</v>
      </c>
      <c r="AK4" s="10">
        <v>0</v>
      </c>
      <c r="AL4" s="10">
        <v>0</v>
      </c>
      <c r="AM4" s="9">
        <v>2001</v>
      </c>
      <c r="AN4" s="10">
        <v>1</v>
      </c>
      <c r="AO4" s="10">
        <v>1</v>
      </c>
      <c r="AP4" s="6"/>
      <c r="AQ4" s="7"/>
      <c r="AR4" s="8"/>
      <c r="AS4" s="4">
        <f t="shared" si="0"/>
        <v>300000</v>
      </c>
      <c r="AT4" s="4">
        <f t="shared" si="1"/>
        <v>6089997.3132364796</v>
      </c>
      <c r="AU4" s="4">
        <f t="shared" si="2"/>
        <v>4410002.6867635204</v>
      </c>
      <c r="AV4" s="9" t="s">
        <v>53</v>
      </c>
      <c r="AW4" s="12" t="s">
        <v>54</v>
      </c>
      <c r="AX4" s="10">
        <v>0</v>
      </c>
      <c r="AY4">
        <f>S4*AU4/AS4</f>
        <v>1470000.8955878401</v>
      </c>
      <c r="AZ4">
        <f>AU4-AY4</f>
        <v>2940001.7911756802</v>
      </c>
      <c r="BA4" s="10">
        <v>10500000</v>
      </c>
      <c r="BB4" s="10">
        <v>0</v>
      </c>
      <c r="BC4" s="9" t="s">
        <v>42</v>
      </c>
      <c r="BD4" s="9">
        <v>10421</v>
      </c>
      <c r="BE4" t="s">
        <v>46</v>
      </c>
    </row>
    <row r="5" spans="1:59" ht="270.75" thickBot="1" x14ac:dyDescent="0.3">
      <c r="A5" s="9" t="s">
        <v>55</v>
      </c>
      <c r="B5" s="9">
        <v>3001</v>
      </c>
      <c r="C5" s="10">
        <v>2</v>
      </c>
      <c r="D5" s="9" t="s">
        <v>37</v>
      </c>
      <c r="E5" s="11">
        <v>46254.377812997685</v>
      </c>
      <c r="F5" s="9" t="s">
        <v>56</v>
      </c>
      <c r="G5" s="9" t="s">
        <v>39</v>
      </c>
      <c r="H5" s="9">
        <v>53</v>
      </c>
      <c r="I5" s="9" t="s">
        <v>40</v>
      </c>
      <c r="J5" s="9">
        <v>5309</v>
      </c>
      <c r="K5" s="9" t="s">
        <v>41</v>
      </c>
      <c r="L5" s="9">
        <v>5309072</v>
      </c>
      <c r="M5" s="9">
        <v>5309072006</v>
      </c>
      <c r="N5" s="9" t="s">
        <v>42</v>
      </c>
      <c r="O5" s="9">
        <v>10421</v>
      </c>
      <c r="P5" s="9" t="s">
        <v>49</v>
      </c>
      <c r="Q5" s="10">
        <v>1</v>
      </c>
      <c r="R5" s="10">
        <v>0</v>
      </c>
      <c r="S5" s="10">
        <v>100000</v>
      </c>
      <c r="T5" s="10">
        <v>0</v>
      </c>
      <c r="U5" s="10">
        <v>0</v>
      </c>
      <c r="V5" s="10">
        <v>0</v>
      </c>
      <c r="W5" s="10">
        <v>100000</v>
      </c>
      <c r="X5" s="10">
        <v>800000</v>
      </c>
      <c r="Y5" s="10">
        <v>0</v>
      </c>
      <c r="Z5" s="10">
        <v>700000</v>
      </c>
      <c r="AA5" s="10">
        <v>10000000</v>
      </c>
      <c r="AB5" s="10">
        <v>800000</v>
      </c>
      <c r="AC5" s="10">
        <v>0</v>
      </c>
      <c r="AD5" s="9" t="s">
        <v>44</v>
      </c>
      <c r="AE5" s="10" t="s">
        <v>2226</v>
      </c>
      <c r="AF5" s="10">
        <v>800000</v>
      </c>
      <c r="AG5" s="10">
        <v>1</v>
      </c>
      <c r="AH5" s="10">
        <v>1</v>
      </c>
      <c r="AI5" s="10">
        <v>1</v>
      </c>
      <c r="AJ5" s="12" t="s">
        <v>57</v>
      </c>
      <c r="AK5" s="10">
        <v>0</v>
      </c>
      <c r="AL5" s="10">
        <v>0</v>
      </c>
      <c r="AM5" s="9">
        <v>2016</v>
      </c>
      <c r="AN5" s="10">
        <v>0</v>
      </c>
      <c r="AO5" s="10">
        <v>1</v>
      </c>
      <c r="AP5" s="6"/>
      <c r="AQ5" s="3"/>
      <c r="AR5" s="8"/>
      <c r="AS5" s="4">
        <f t="shared" si="0"/>
        <v>100000</v>
      </c>
      <c r="AT5" s="4">
        <f t="shared" si="1"/>
        <v>464000</v>
      </c>
      <c r="AU5" s="4">
        <f t="shared" si="2"/>
        <v>336000</v>
      </c>
      <c r="AV5" s="9" t="s">
        <v>49</v>
      </c>
      <c r="AW5" s="12" t="s">
        <v>57</v>
      </c>
      <c r="AX5" s="10">
        <v>0</v>
      </c>
      <c r="AY5">
        <f>S5*AU5/AS5</f>
        <v>336000</v>
      </c>
      <c r="AZ5">
        <f>AU5-AY5</f>
        <v>0</v>
      </c>
      <c r="BA5" s="10">
        <v>800000</v>
      </c>
      <c r="BB5" s="10">
        <v>0</v>
      </c>
      <c r="BC5" s="9" t="s">
        <v>42</v>
      </c>
      <c r="BD5" s="9">
        <v>10421</v>
      </c>
      <c r="BE5" t="s">
        <v>46</v>
      </c>
    </row>
    <row r="6" spans="1:59" ht="270.75" thickBot="1" x14ac:dyDescent="0.3">
      <c r="A6" s="9" t="s">
        <v>58</v>
      </c>
      <c r="B6" s="9">
        <v>3002</v>
      </c>
      <c r="C6" s="10">
        <v>2</v>
      </c>
      <c r="D6" s="9" t="s">
        <v>37</v>
      </c>
      <c r="E6" s="14">
        <v>46221.530104166668</v>
      </c>
      <c r="F6" s="9" t="s">
        <v>59</v>
      </c>
      <c r="G6" s="9" t="s">
        <v>39</v>
      </c>
      <c r="H6" s="9">
        <v>53</v>
      </c>
      <c r="I6" s="9" t="s">
        <v>40</v>
      </c>
      <c r="J6" s="9">
        <v>5309</v>
      </c>
      <c r="K6" s="9" t="s">
        <v>41</v>
      </c>
      <c r="L6" s="9">
        <v>5309073</v>
      </c>
      <c r="M6" s="9">
        <v>5309073011</v>
      </c>
      <c r="N6" s="9" t="s">
        <v>42</v>
      </c>
      <c r="O6" s="9">
        <v>10421</v>
      </c>
      <c r="P6" s="9" t="s">
        <v>60</v>
      </c>
      <c r="Q6" s="10">
        <v>1</v>
      </c>
      <c r="R6" s="10">
        <v>0</v>
      </c>
      <c r="S6" s="10">
        <v>600000</v>
      </c>
      <c r="T6" s="10">
        <v>0</v>
      </c>
      <c r="U6" s="10">
        <v>300000</v>
      </c>
      <c r="V6" s="10">
        <v>0</v>
      </c>
      <c r="W6" s="10">
        <v>900000</v>
      </c>
      <c r="X6" s="10">
        <v>2400000</v>
      </c>
      <c r="Y6" s="10">
        <v>0</v>
      </c>
      <c r="Z6" s="10">
        <v>1500000</v>
      </c>
      <c r="AA6" s="10">
        <v>3000000</v>
      </c>
      <c r="AB6" s="10">
        <v>2400000</v>
      </c>
      <c r="AC6" s="10">
        <v>0</v>
      </c>
      <c r="AD6" s="9" t="s">
        <v>44</v>
      </c>
      <c r="AE6" s="10" t="s">
        <v>2227</v>
      </c>
      <c r="AF6" s="10">
        <v>2400000</v>
      </c>
      <c r="AG6" s="10">
        <v>1</v>
      </c>
      <c r="AH6" s="10">
        <v>1</v>
      </c>
      <c r="AI6" s="10">
        <v>1</v>
      </c>
      <c r="AJ6" s="12" t="s">
        <v>61</v>
      </c>
      <c r="AK6" s="10">
        <v>0</v>
      </c>
      <c r="AL6" s="10">
        <v>0</v>
      </c>
      <c r="AM6" s="9">
        <v>2020</v>
      </c>
      <c r="AN6" s="10">
        <v>0</v>
      </c>
      <c r="AO6" s="10">
        <v>1</v>
      </c>
      <c r="AP6" s="6"/>
      <c r="AQ6" s="7"/>
      <c r="AR6" s="8"/>
      <c r="AS6" s="4">
        <f t="shared" si="0"/>
        <v>900000</v>
      </c>
      <c r="AT6" s="4">
        <f t="shared" si="1"/>
        <v>1391999.9999999998</v>
      </c>
      <c r="AU6" s="4">
        <f t="shared" si="2"/>
        <v>1008000.0000000002</v>
      </c>
      <c r="AV6" s="9" t="s">
        <v>60</v>
      </c>
      <c r="AW6" s="12" t="s">
        <v>61</v>
      </c>
      <c r="AX6" s="10">
        <v>0</v>
      </c>
      <c r="AY6">
        <f>S6*AU6/AS6</f>
        <v>672000.00000000012</v>
      </c>
      <c r="AZ6">
        <f>AU6-AY6</f>
        <v>336000.00000000012</v>
      </c>
      <c r="BA6" s="10">
        <v>2400000</v>
      </c>
      <c r="BB6" s="10">
        <v>0</v>
      </c>
      <c r="BC6" s="9" t="s">
        <v>42</v>
      </c>
      <c r="BD6" s="9">
        <v>10421</v>
      </c>
      <c r="BE6" t="s">
        <v>46</v>
      </c>
    </row>
    <row r="7" spans="1:59" ht="270.75" thickBot="1" x14ac:dyDescent="0.3">
      <c r="A7" s="9" t="s">
        <v>62</v>
      </c>
      <c r="B7" s="9">
        <v>3002</v>
      </c>
      <c r="C7" s="10">
        <v>2</v>
      </c>
      <c r="D7" s="9" t="s">
        <v>37</v>
      </c>
      <c r="E7" s="14">
        <v>46216.620196759257</v>
      </c>
      <c r="F7" s="9" t="s">
        <v>63</v>
      </c>
      <c r="G7" s="9" t="s">
        <v>39</v>
      </c>
      <c r="H7" s="9">
        <v>53</v>
      </c>
      <c r="I7" s="9" t="s">
        <v>40</v>
      </c>
      <c r="J7" s="9">
        <v>5309</v>
      </c>
      <c r="K7" s="9" t="s">
        <v>41</v>
      </c>
      <c r="L7" s="9">
        <v>5309062</v>
      </c>
      <c r="M7" s="9">
        <v>5309062012</v>
      </c>
      <c r="N7" s="9" t="s">
        <v>42</v>
      </c>
      <c r="O7" s="9">
        <v>10421</v>
      </c>
      <c r="P7" s="9" t="s">
        <v>64</v>
      </c>
      <c r="Q7" s="10">
        <v>3</v>
      </c>
      <c r="R7" s="10">
        <v>200000</v>
      </c>
      <c r="S7" s="10">
        <v>200000</v>
      </c>
      <c r="T7" s="10">
        <v>0</v>
      </c>
      <c r="U7" s="10">
        <v>100000</v>
      </c>
      <c r="V7" s="10">
        <v>0</v>
      </c>
      <c r="W7" s="10">
        <v>500000</v>
      </c>
      <c r="X7" s="10">
        <v>4500000</v>
      </c>
      <c r="Y7" s="10">
        <v>300000</v>
      </c>
      <c r="Z7" s="10">
        <v>4200000</v>
      </c>
      <c r="AA7" s="10">
        <v>4000000</v>
      </c>
      <c r="AB7" s="10">
        <v>4500000</v>
      </c>
      <c r="AC7" s="10">
        <v>0</v>
      </c>
      <c r="AD7" s="9" t="s">
        <v>44</v>
      </c>
      <c r="AE7" s="10" t="s">
        <v>2228</v>
      </c>
      <c r="AF7" s="10">
        <v>1500000</v>
      </c>
      <c r="AG7" s="10">
        <v>1</v>
      </c>
      <c r="AH7" s="10">
        <v>1</v>
      </c>
      <c r="AI7" s="10">
        <v>1</v>
      </c>
      <c r="AJ7" s="12" t="s">
        <v>66</v>
      </c>
      <c r="AK7" s="10">
        <v>0</v>
      </c>
      <c r="AL7" s="10">
        <v>0</v>
      </c>
      <c r="AM7" s="9">
        <v>2021</v>
      </c>
      <c r="AN7" s="10">
        <v>1</v>
      </c>
      <c r="AO7" s="10">
        <v>2</v>
      </c>
      <c r="AP7" s="6"/>
      <c r="AQ7" s="7"/>
      <c r="AR7" s="8"/>
      <c r="AS7" s="4">
        <f t="shared" si="0"/>
        <v>300000</v>
      </c>
      <c r="AT7" s="4">
        <f t="shared" si="1"/>
        <v>2610000.9321431899</v>
      </c>
      <c r="AU7" s="4">
        <f t="shared" si="2"/>
        <v>1889999.0678568101</v>
      </c>
      <c r="AV7" s="9" t="s">
        <v>64</v>
      </c>
      <c r="AW7" s="12" t="s">
        <v>66</v>
      </c>
      <c r="AX7" s="10">
        <v>0</v>
      </c>
      <c r="AY7">
        <f>S7*AU7/AS7</f>
        <v>1259999.3785712067</v>
      </c>
      <c r="AZ7">
        <f>AU7-AY7</f>
        <v>629999.68928560335</v>
      </c>
      <c r="BA7" s="10">
        <v>4500000</v>
      </c>
      <c r="BB7" s="10">
        <v>300000</v>
      </c>
      <c r="BC7" s="9" t="s">
        <v>42</v>
      </c>
      <c r="BD7" s="9">
        <v>10421</v>
      </c>
      <c r="BE7" t="s">
        <v>46</v>
      </c>
    </row>
    <row r="8" spans="1:59" ht="255.75" thickBot="1" x14ac:dyDescent="0.3">
      <c r="A8" s="9" t="s">
        <v>67</v>
      </c>
      <c r="B8" s="9">
        <v>3002</v>
      </c>
      <c r="C8" s="10">
        <v>2</v>
      </c>
      <c r="D8" s="9" t="s">
        <v>37</v>
      </c>
      <c r="E8" s="11">
        <v>46246.918380393516</v>
      </c>
      <c r="F8" s="9" t="s">
        <v>68</v>
      </c>
      <c r="G8" s="9" t="s">
        <v>39</v>
      </c>
      <c r="H8" s="9">
        <v>53</v>
      </c>
      <c r="I8" s="9" t="s">
        <v>40</v>
      </c>
      <c r="J8" s="9">
        <v>5309</v>
      </c>
      <c r="K8" s="9" t="s">
        <v>41</v>
      </c>
      <c r="L8" s="9">
        <v>5309073</v>
      </c>
      <c r="M8" s="9">
        <v>5309073001</v>
      </c>
      <c r="N8" s="9" t="s">
        <v>42</v>
      </c>
      <c r="O8" s="9">
        <v>10421</v>
      </c>
      <c r="P8" s="9" t="s">
        <v>69</v>
      </c>
      <c r="Q8" s="10">
        <v>2</v>
      </c>
      <c r="R8" s="10">
        <v>0</v>
      </c>
      <c r="S8" s="10">
        <v>150000</v>
      </c>
      <c r="T8" s="10">
        <v>0</v>
      </c>
      <c r="U8" s="10">
        <v>150000</v>
      </c>
      <c r="V8" s="10">
        <v>0</v>
      </c>
      <c r="W8" s="10">
        <v>300000</v>
      </c>
      <c r="X8" s="10">
        <v>4500000</v>
      </c>
      <c r="Y8" s="10">
        <v>0</v>
      </c>
      <c r="Z8" s="10">
        <v>4200000</v>
      </c>
      <c r="AA8" s="10">
        <v>3150000</v>
      </c>
      <c r="AB8" s="10">
        <v>4500000</v>
      </c>
      <c r="AC8" s="10">
        <v>0</v>
      </c>
      <c r="AD8" s="9" t="s">
        <v>44</v>
      </c>
      <c r="AE8" s="10" t="s">
        <v>2228</v>
      </c>
      <c r="AF8" s="10">
        <v>2250000</v>
      </c>
      <c r="AG8" s="10">
        <v>1</v>
      </c>
      <c r="AH8" s="10">
        <v>1</v>
      </c>
      <c r="AI8" s="10">
        <v>1</v>
      </c>
      <c r="AJ8" s="12" t="s">
        <v>70</v>
      </c>
      <c r="AK8" s="10">
        <v>0</v>
      </c>
      <c r="AL8" s="10">
        <v>0</v>
      </c>
      <c r="AM8" s="9">
        <v>1999</v>
      </c>
      <c r="AN8" s="10">
        <v>0</v>
      </c>
      <c r="AO8" s="10">
        <v>2</v>
      </c>
      <c r="AP8" s="6"/>
      <c r="AQ8" s="3"/>
      <c r="AR8" s="8"/>
      <c r="AS8" s="4">
        <f t="shared" si="0"/>
        <v>300000</v>
      </c>
      <c r="AT8" s="4">
        <f t="shared" si="1"/>
        <v>2610000.9321431899</v>
      </c>
      <c r="AU8" s="4">
        <f t="shared" si="2"/>
        <v>1889999.0678568101</v>
      </c>
      <c r="AV8" s="9" t="s">
        <v>69</v>
      </c>
      <c r="AW8" s="12" t="s">
        <v>70</v>
      </c>
      <c r="AX8" s="10">
        <v>0</v>
      </c>
      <c r="AY8">
        <f>S8*AU8/AS8</f>
        <v>944999.53392840491</v>
      </c>
      <c r="AZ8">
        <f>AU8-AY8</f>
        <v>944999.53392840514</v>
      </c>
      <c r="BA8" s="10">
        <v>4500000</v>
      </c>
      <c r="BB8" s="10">
        <v>0</v>
      </c>
      <c r="BC8" s="9" t="s">
        <v>42</v>
      </c>
      <c r="BD8" s="9">
        <v>10421</v>
      </c>
      <c r="BE8" t="s">
        <v>46</v>
      </c>
    </row>
    <row r="9" spans="1:59" ht="270.75" thickBot="1" x14ac:dyDescent="0.3">
      <c r="A9" s="9" t="s">
        <v>71</v>
      </c>
      <c r="B9" s="9">
        <v>3001</v>
      </c>
      <c r="C9" s="10">
        <v>2</v>
      </c>
      <c r="D9" s="9" t="s">
        <v>37</v>
      </c>
      <c r="E9" s="14">
        <v>46239.28025462963</v>
      </c>
      <c r="F9" s="9" t="s">
        <v>72</v>
      </c>
      <c r="G9" s="9" t="s">
        <v>39</v>
      </c>
      <c r="H9" s="9">
        <v>53</v>
      </c>
      <c r="I9" s="9" t="s">
        <v>40</v>
      </c>
      <c r="J9" s="9">
        <v>5309</v>
      </c>
      <c r="K9" s="9" t="s">
        <v>41</v>
      </c>
      <c r="L9" s="9">
        <v>5309074</v>
      </c>
      <c r="M9" s="9">
        <v>5309074007</v>
      </c>
      <c r="N9" s="9" t="s">
        <v>42</v>
      </c>
      <c r="O9" s="9">
        <v>10421</v>
      </c>
      <c r="P9" s="9" t="s">
        <v>49</v>
      </c>
      <c r="Q9" s="10">
        <v>3</v>
      </c>
      <c r="R9" s="10">
        <v>1288000</v>
      </c>
      <c r="S9" s="10">
        <v>1500000</v>
      </c>
      <c r="T9" s="10">
        <v>0</v>
      </c>
      <c r="U9" s="10">
        <v>350000</v>
      </c>
      <c r="V9" s="10">
        <v>15000</v>
      </c>
      <c r="W9" s="10">
        <v>3153000</v>
      </c>
      <c r="X9" s="10">
        <v>14000000</v>
      </c>
      <c r="Y9" s="10">
        <v>0</v>
      </c>
      <c r="Z9" s="10">
        <v>12150000</v>
      </c>
      <c r="AA9" s="10">
        <v>1950000</v>
      </c>
      <c r="AB9" s="10">
        <v>14000000</v>
      </c>
      <c r="AC9" s="10">
        <v>0</v>
      </c>
      <c r="AD9" s="9" t="s">
        <v>44</v>
      </c>
      <c r="AE9" s="10" t="s">
        <v>2229</v>
      </c>
      <c r="AF9" s="13">
        <v>4666666667</v>
      </c>
      <c r="AG9" s="10">
        <v>1</v>
      </c>
      <c r="AH9" s="10">
        <v>1</v>
      </c>
      <c r="AI9" s="10">
        <v>1</v>
      </c>
      <c r="AJ9" s="12" t="s">
        <v>73</v>
      </c>
      <c r="AK9" s="10">
        <v>0</v>
      </c>
      <c r="AL9" s="10">
        <v>0</v>
      </c>
      <c r="AM9" s="9">
        <v>2021</v>
      </c>
      <c r="AN9" s="10">
        <v>2</v>
      </c>
      <c r="AO9" s="10">
        <v>1</v>
      </c>
      <c r="AP9" s="6"/>
      <c r="AQ9" s="7"/>
      <c r="AR9" s="8"/>
      <c r="AS9" s="4">
        <f t="shared" si="0"/>
        <v>1850000</v>
      </c>
      <c r="AT9" s="4">
        <f t="shared" si="1"/>
        <v>8120001.3366257334</v>
      </c>
      <c r="AU9" s="4">
        <f t="shared" si="2"/>
        <v>5879998.6633742666</v>
      </c>
      <c r="AV9" s="9" t="s">
        <v>49</v>
      </c>
      <c r="AW9" s="12" t="s">
        <v>73</v>
      </c>
      <c r="AX9" s="10">
        <v>0</v>
      </c>
      <c r="AY9">
        <f>S9*AU9/AS9</f>
        <v>4767566.4838169729</v>
      </c>
      <c r="AZ9">
        <f>AU9-AY9</f>
        <v>1112432.1795572937</v>
      </c>
      <c r="BA9" s="10">
        <v>14000000</v>
      </c>
      <c r="BB9" s="10">
        <v>0</v>
      </c>
      <c r="BC9" s="9" t="s">
        <v>42</v>
      </c>
      <c r="BD9" s="9">
        <v>10421</v>
      </c>
      <c r="BE9" t="s">
        <v>46</v>
      </c>
    </row>
    <row r="10" spans="1:59" ht="270.75" thickBot="1" x14ac:dyDescent="0.3">
      <c r="A10" s="9" t="s">
        <v>74</v>
      </c>
      <c r="B10" s="9">
        <v>3002</v>
      </c>
      <c r="C10" s="10">
        <v>2</v>
      </c>
      <c r="D10" s="9" t="s">
        <v>37</v>
      </c>
      <c r="E10" s="11">
        <v>46262.193729340281</v>
      </c>
      <c r="F10" s="9" t="s">
        <v>75</v>
      </c>
      <c r="G10" s="9" t="s">
        <v>39</v>
      </c>
      <c r="H10" s="9">
        <v>53</v>
      </c>
      <c r="I10" s="9" t="s">
        <v>40</v>
      </c>
      <c r="J10" s="9">
        <v>5309</v>
      </c>
      <c r="K10" s="9" t="s">
        <v>41</v>
      </c>
      <c r="L10" s="9">
        <v>5309073</v>
      </c>
      <c r="M10" s="9">
        <v>5309073003</v>
      </c>
      <c r="N10" s="9" t="s">
        <v>42</v>
      </c>
      <c r="O10" s="9">
        <v>10421</v>
      </c>
      <c r="P10" s="9" t="s">
        <v>76</v>
      </c>
      <c r="Q10" s="10">
        <v>2</v>
      </c>
      <c r="R10" s="10">
        <v>700000</v>
      </c>
      <c r="S10" s="10">
        <v>300000</v>
      </c>
      <c r="T10" s="10">
        <v>0</v>
      </c>
      <c r="U10" s="10">
        <v>0</v>
      </c>
      <c r="V10" s="10">
        <v>0</v>
      </c>
      <c r="W10" s="10">
        <v>1000000</v>
      </c>
      <c r="X10" s="10">
        <v>6000000</v>
      </c>
      <c r="Y10" s="10">
        <v>0</v>
      </c>
      <c r="Z10" s="10">
        <v>5700000</v>
      </c>
      <c r="AA10" s="10">
        <v>1500000</v>
      </c>
      <c r="AB10" s="10">
        <v>6000000</v>
      </c>
      <c r="AC10" s="10">
        <v>0</v>
      </c>
      <c r="AD10" s="9" t="s">
        <v>44</v>
      </c>
      <c r="AE10" s="10" t="s">
        <v>1803</v>
      </c>
      <c r="AF10" s="10">
        <v>3000000</v>
      </c>
      <c r="AG10" s="10">
        <v>1</v>
      </c>
      <c r="AH10" s="10">
        <v>1</v>
      </c>
      <c r="AI10" s="10">
        <v>1</v>
      </c>
      <c r="AJ10" s="12" t="s">
        <v>78</v>
      </c>
      <c r="AK10" s="10">
        <v>0</v>
      </c>
      <c r="AL10" s="10">
        <v>0</v>
      </c>
      <c r="AM10" s="9">
        <v>1997</v>
      </c>
      <c r="AN10" s="10">
        <v>1</v>
      </c>
      <c r="AO10" s="10">
        <v>1</v>
      </c>
      <c r="AP10" s="6"/>
      <c r="AQ10" s="7"/>
      <c r="AR10" s="8"/>
      <c r="AS10" s="4">
        <f t="shared" si="0"/>
        <v>300000</v>
      </c>
      <c r="AT10" s="4">
        <f t="shared" si="1"/>
        <v>3480000</v>
      </c>
      <c r="AU10" s="4">
        <f t="shared" si="2"/>
        <v>2520000</v>
      </c>
      <c r="AV10" s="9" t="s">
        <v>76</v>
      </c>
      <c r="AW10" s="12" t="s">
        <v>78</v>
      </c>
      <c r="AX10" s="10">
        <v>0</v>
      </c>
      <c r="AY10">
        <f>S10*AU10/AS10</f>
        <v>2520000</v>
      </c>
      <c r="AZ10">
        <f>AU10-AY10</f>
        <v>0</v>
      </c>
      <c r="BA10" s="10">
        <v>6000000</v>
      </c>
      <c r="BB10" s="10">
        <v>0</v>
      </c>
      <c r="BC10" s="9" t="s">
        <v>42</v>
      </c>
      <c r="BD10" s="9">
        <v>10421</v>
      </c>
      <c r="BE10" t="s">
        <v>46</v>
      </c>
    </row>
    <row r="11" spans="1:59" ht="270.75" thickBot="1" x14ac:dyDescent="0.3">
      <c r="A11" s="9" t="s">
        <v>79</v>
      </c>
      <c r="B11" s="9">
        <v>3001</v>
      </c>
      <c r="C11" s="10">
        <v>2</v>
      </c>
      <c r="D11" s="9" t="s">
        <v>37</v>
      </c>
      <c r="E11" s="11">
        <v>46265.912121307869</v>
      </c>
      <c r="F11" s="9" t="s">
        <v>80</v>
      </c>
      <c r="G11" s="9" t="s">
        <v>39</v>
      </c>
      <c r="H11" s="9">
        <v>53</v>
      </c>
      <c r="I11" s="9" t="s">
        <v>40</v>
      </c>
      <c r="J11" s="9">
        <v>5309</v>
      </c>
      <c r="K11" s="9" t="s">
        <v>41</v>
      </c>
      <c r="L11" s="9">
        <v>5309073</v>
      </c>
      <c r="M11" s="9">
        <v>5309073011</v>
      </c>
      <c r="N11" s="9" t="s">
        <v>42</v>
      </c>
      <c r="O11" s="9">
        <v>10421</v>
      </c>
      <c r="P11" s="9" t="s">
        <v>81</v>
      </c>
      <c r="Q11" s="10">
        <v>3</v>
      </c>
      <c r="R11" s="10">
        <v>1200000</v>
      </c>
      <c r="S11" s="10">
        <v>300000</v>
      </c>
      <c r="T11" s="10">
        <v>0</v>
      </c>
      <c r="U11" s="10">
        <v>400000</v>
      </c>
      <c r="V11" s="10">
        <v>0</v>
      </c>
      <c r="W11" s="10">
        <v>1900000</v>
      </c>
      <c r="X11" s="10">
        <v>8600000</v>
      </c>
      <c r="Y11" s="10">
        <v>0</v>
      </c>
      <c r="Z11" s="10">
        <v>7900000</v>
      </c>
      <c r="AA11" s="10">
        <v>7000000</v>
      </c>
      <c r="AB11" s="10">
        <v>8600000</v>
      </c>
      <c r="AC11" s="10">
        <v>0</v>
      </c>
      <c r="AD11" s="9" t="s">
        <v>44</v>
      </c>
      <c r="AE11" s="10" t="s">
        <v>2230</v>
      </c>
      <c r="AF11" s="13">
        <v>2866666667</v>
      </c>
      <c r="AG11" s="10">
        <v>1</v>
      </c>
      <c r="AH11" s="10">
        <v>1</v>
      </c>
      <c r="AI11" s="10">
        <v>1</v>
      </c>
      <c r="AJ11" s="12" t="s">
        <v>82</v>
      </c>
      <c r="AK11" s="10">
        <v>0</v>
      </c>
      <c r="AL11" s="10">
        <v>0</v>
      </c>
      <c r="AM11" s="9">
        <v>2017</v>
      </c>
      <c r="AN11" s="10">
        <v>2</v>
      </c>
      <c r="AO11" s="10">
        <v>1</v>
      </c>
      <c r="AP11" s="6"/>
      <c r="AQ11" s="7"/>
      <c r="AR11" s="8"/>
      <c r="AS11" s="4">
        <f t="shared" si="0"/>
        <v>700000</v>
      </c>
      <c r="AT11" s="4">
        <f t="shared" si="1"/>
        <v>4987998.1058235038</v>
      </c>
      <c r="AU11" s="4">
        <f t="shared" si="2"/>
        <v>3612001.8941764962</v>
      </c>
      <c r="AV11" s="9" t="s">
        <v>81</v>
      </c>
      <c r="AW11" s="12" t="s">
        <v>82</v>
      </c>
      <c r="AX11" s="10">
        <v>0</v>
      </c>
      <c r="AY11">
        <f>S11*AU11/AS11</f>
        <v>1548000.8117899268</v>
      </c>
      <c r="AZ11">
        <f>AU11-AY11</f>
        <v>2064001.0823865694</v>
      </c>
      <c r="BA11" s="10">
        <v>8600000</v>
      </c>
      <c r="BB11" s="10">
        <v>0</v>
      </c>
      <c r="BC11" s="9" t="s">
        <v>42</v>
      </c>
      <c r="BD11" s="9">
        <v>10421</v>
      </c>
      <c r="BE11" t="s">
        <v>46</v>
      </c>
    </row>
    <row r="12" spans="1:59" ht="270.75" thickBot="1" x14ac:dyDescent="0.3">
      <c r="A12" s="9" t="s">
        <v>83</v>
      </c>
      <c r="B12" s="9">
        <v>3002</v>
      </c>
      <c r="C12" s="10">
        <v>2</v>
      </c>
      <c r="D12" s="9" t="s">
        <v>84</v>
      </c>
      <c r="E12" s="11">
        <v>46313.24457091435</v>
      </c>
      <c r="F12" s="9" t="s">
        <v>85</v>
      </c>
      <c r="G12" s="9" t="s">
        <v>39</v>
      </c>
      <c r="H12" s="9">
        <v>53</v>
      </c>
      <c r="I12" s="9" t="s">
        <v>40</v>
      </c>
      <c r="J12" s="9">
        <v>5309</v>
      </c>
      <c r="K12" s="9" t="s">
        <v>41</v>
      </c>
      <c r="L12" s="9">
        <v>5309061</v>
      </c>
      <c r="M12" s="9">
        <v>5309061008</v>
      </c>
      <c r="N12" s="9" t="s">
        <v>42</v>
      </c>
      <c r="O12" s="9">
        <v>10421</v>
      </c>
      <c r="P12" s="9" t="s">
        <v>86</v>
      </c>
      <c r="Q12" s="10">
        <v>2</v>
      </c>
      <c r="R12" s="10">
        <v>0</v>
      </c>
      <c r="S12" s="10">
        <v>50000</v>
      </c>
      <c r="T12" s="10">
        <v>0</v>
      </c>
      <c r="U12" s="10">
        <v>140000</v>
      </c>
      <c r="V12" s="10">
        <v>0</v>
      </c>
      <c r="W12" s="10">
        <v>190000</v>
      </c>
      <c r="X12" s="10">
        <v>2500000</v>
      </c>
      <c r="Y12" s="10">
        <v>0</v>
      </c>
      <c r="Z12" s="10">
        <v>2310000</v>
      </c>
      <c r="AA12" s="10">
        <v>15000000</v>
      </c>
      <c r="AB12" s="10">
        <v>2500000</v>
      </c>
      <c r="AC12" s="10">
        <v>0</v>
      </c>
      <c r="AD12" s="9" t="s">
        <v>44</v>
      </c>
      <c r="AE12" s="10" t="s">
        <v>2231</v>
      </c>
      <c r="AF12" s="10">
        <v>1250000</v>
      </c>
      <c r="AG12" s="10">
        <v>1</v>
      </c>
      <c r="AH12" s="10">
        <v>1</v>
      </c>
      <c r="AI12" s="10">
        <v>1</v>
      </c>
      <c r="AJ12" s="12" t="s">
        <v>87</v>
      </c>
      <c r="AK12" s="10">
        <v>0</v>
      </c>
      <c r="AL12" s="10">
        <v>0</v>
      </c>
      <c r="AM12" s="9">
        <v>2014</v>
      </c>
      <c r="AN12" s="10">
        <v>0</v>
      </c>
      <c r="AO12" s="10">
        <v>2</v>
      </c>
      <c r="AP12" s="6"/>
      <c r="AQ12" s="7"/>
      <c r="AR12" s="8"/>
      <c r="AS12" s="4">
        <f t="shared" si="0"/>
        <v>190000</v>
      </c>
      <c r="AT12" s="4">
        <f t="shared" si="1"/>
        <v>1450000</v>
      </c>
      <c r="AU12" s="4">
        <f t="shared" si="2"/>
        <v>1050000</v>
      </c>
      <c r="AV12" s="9" t="s">
        <v>86</v>
      </c>
      <c r="AW12" s="12" t="s">
        <v>87</v>
      </c>
      <c r="AX12" s="10">
        <v>0</v>
      </c>
      <c r="AY12">
        <f>S12*AU12/AS12</f>
        <v>276315.78947368421</v>
      </c>
      <c r="AZ12">
        <f>AU12-AY12</f>
        <v>773684.21052631573</v>
      </c>
      <c r="BA12" s="10">
        <v>2500000</v>
      </c>
      <c r="BB12" s="10">
        <v>0</v>
      </c>
      <c r="BC12" s="9" t="s">
        <v>42</v>
      </c>
      <c r="BD12" s="9">
        <v>10421</v>
      </c>
      <c r="BE12" t="s">
        <v>46</v>
      </c>
    </row>
    <row r="13" spans="1:59" ht="270.75" thickBot="1" x14ac:dyDescent="0.3">
      <c r="A13" s="9" t="s">
        <v>88</v>
      </c>
      <c r="B13" s="9">
        <v>3001</v>
      </c>
      <c r="C13" s="10">
        <v>2</v>
      </c>
      <c r="D13" s="9" t="s">
        <v>37</v>
      </c>
      <c r="E13" s="11">
        <v>46267.937432627317</v>
      </c>
      <c r="F13" s="9" t="s">
        <v>89</v>
      </c>
      <c r="G13" s="9" t="s">
        <v>39</v>
      </c>
      <c r="H13" s="9">
        <v>53</v>
      </c>
      <c r="I13" s="9" t="s">
        <v>40</v>
      </c>
      <c r="J13" s="9">
        <v>5309</v>
      </c>
      <c r="K13" s="9" t="s">
        <v>41</v>
      </c>
      <c r="L13" s="9">
        <v>5309073</v>
      </c>
      <c r="M13" s="9">
        <v>5309073011</v>
      </c>
      <c r="N13" s="9" t="s">
        <v>42</v>
      </c>
      <c r="O13" s="9">
        <v>10421</v>
      </c>
      <c r="P13" s="9" t="s">
        <v>90</v>
      </c>
      <c r="Q13" s="10">
        <v>3</v>
      </c>
      <c r="R13" s="10">
        <v>320000</v>
      </c>
      <c r="S13" s="10">
        <v>300000</v>
      </c>
      <c r="T13" s="10">
        <v>0</v>
      </c>
      <c r="U13" s="10">
        <v>400000</v>
      </c>
      <c r="V13" s="10">
        <v>0</v>
      </c>
      <c r="W13" s="10">
        <v>1020000</v>
      </c>
      <c r="X13" s="10">
        <v>3200000</v>
      </c>
      <c r="Y13" s="10">
        <v>0</v>
      </c>
      <c r="Z13" s="10">
        <v>2500000</v>
      </c>
      <c r="AA13" s="10">
        <v>6000000</v>
      </c>
      <c r="AB13" s="10">
        <v>3200000</v>
      </c>
      <c r="AC13" s="10">
        <v>0</v>
      </c>
      <c r="AD13" s="9" t="s">
        <v>44</v>
      </c>
      <c r="AE13" s="10" t="s">
        <v>2232</v>
      </c>
      <c r="AF13" s="13">
        <v>1066666667</v>
      </c>
      <c r="AG13" s="10">
        <v>1</v>
      </c>
      <c r="AH13" s="10">
        <v>1</v>
      </c>
      <c r="AI13" s="10">
        <v>1</v>
      </c>
      <c r="AJ13" s="12" t="s">
        <v>91</v>
      </c>
      <c r="AK13" s="10">
        <v>0</v>
      </c>
      <c r="AL13" s="10">
        <v>0</v>
      </c>
      <c r="AM13" s="9">
        <v>2005</v>
      </c>
      <c r="AN13" s="10">
        <v>2</v>
      </c>
      <c r="AO13" s="10">
        <v>1</v>
      </c>
      <c r="AP13" s="6"/>
      <c r="AQ13" s="7"/>
      <c r="AR13" s="8"/>
      <c r="AS13" s="4">
        <f t="shared" si="0"/>
        <v>700000</v>
      </c>
      <c r="AT13" s="4">
        <f t="shared" si="1"/>
        <v>1856000</v>
      </c>
      <c r="AU13" s="4">
        <f t="shared" si="2"/>
        <v>1344000</v>
      </c>
      <c r="AV13" s="9" t="s">
        <v>90</v>
      </c>
      <c r="AW13" s="12" t="s">
        <v>91</v>
      </c>
      <c r="AX13" s="10">
        <v>0</v>
      </c>
      <c r="AY13">
        <f>S13*AU13/AS13</f>
        <v>576000</v>
      </c>
      <c r="AZ13">
        <f>AU13-AY13</f>
        <v>768000</v>
      </c>
      <c r="BA13" s="10">
        <v>3200000</v>
      </c>
      <c r="BB13" s="10">
        <v>0</v>
      </c>
      <c r="BC13" s="9" t="s">
        <v>42</v>
      </c>
      <c r="BD13" s="9">
        <v>10421</v>
      </c>
      <c r="BE13" t="s">
        <v>46</v>
      </c>
    </row>
    <row r="14" spans="1:59" ht="270.75" thickBot="1" x14ac:dyDescent="0.3">
      <c r="A14" s="9" t="s">
        <v>92</v>
      </c>
      <c r="B14" s="9">
        <v>3001</v>
      </c>
      <c r="C14" s="10">
        <v>2</v>
      </c>
      <c r="D14" s="9" t="s">
        <v>37</v>
      </c>
      <c r="E14" s="11">
        <v>46267.414472534721</v>
      </c>
      <c r="F14" s="9" t="s">
        <v>93</v>
      </c>
      <c r="G14" s="9" t="s">
        <v>39</v>
      </c>
      <c r="H14" s="9">
        <v>53</v>
      </c>
      <c r="I14" s="9" t="s">
        <v>40</v>
      </c>
      <c r="J14" s="9">
        <v>5309</v>
      </c>
      <c r="K14" s="9" t="s">
        <v>41</v>
      </c>
      <c r="L14" s="9">
        <v>5309073</v>
      </c>
      <c r="M14" s="9">
        <v>5309073009</v>
      </c>
      <c r="N14" s="9" t="s">
        <v>42</v>
      </c>
      <c r="O14" s="9">
        <v>10421</v>
      </c>
      <c r="P14" s="9" t="s">
        <v>94</v>
      </c>
      <c r="Q14" s="10">
        <v>2</v>
      </c>
      <c r="R14" s="10">
        <v>700000</v>
      </c>
      <c r="S14" s="10">
        <v>300000</v>
      </c>
      <c r="T14" s="10">
        <v>0</v>
      </c>
      <c r="U14" s="10">
        <v>400000</v>
      </c>
      <c r="V14" s="10">
        <v>0</v>
      </c>
      <c r="W14" s="10">
        <v>1400000</v>
      </c>
      <c r="X14" s="10">
        <v>10400000</v>
      </c>
      <c r="Y14" s="10">
        <v>0</v>
      </c>
      <c r="Z14" s="10">
        <v>9700000</v>
      </c>
      <c r="AA14" s="10">
        <v>1900000</v>
      </c>
      <c r="AB14" s="10">
        <v>10400000</v>
      </c>
      <c r="AC14" s="10">
        <v>0</v>
      </c>
      <c r="AD14" s="9" t="s">
        <v>44</v>
      </c>
      <c r="AE14" s="10" t="s">
        <v>2233</v>
      </c>
      <c r="AF14" s="10">
        <v>5200000</v>
      </c>
      <c r="AG14" s="10">
        <v>1</v>
      </c>
      <c r="AH14" s="10">
        <v>1</v>
      </c>
      <c r="AI14" s="10">
        <v>1</v>
      </c>
      <c r="AJ14" s="12" t="s">
        <v>95</v>
      </c>
      <c r="AK14" s="10">
        <v>0</v>
      </c>
      <c r="AL14" s="10">
        <v>0</v>
      </c>
      <c r="AM14" s="9">
        <v>2010</v>
      </c>
      <c r="AN14" s="10">
        <v>1</v>
      </c>
      <c r="AO14" s="10">
        <v>1</v>
      </c>
      <c r="AP14" s="6"/>
      <c r="AQ14" s="7"/>
      <c r="AR14" s="8"/>
      <c r="AS14" s="4">
        <f t="shared" si="0"/>
        <v>700000</v>
      </c>
      <c r="AT14" s="4">
        <f t="shared" si="1"/>
        <v>6032001.9899388012</v>
      </c>
      <c r="AU14" s="4">
        <f t="shared" si="2"/>
        <v>4367998.0100611988</v>
      </c>
      <c r="AV14" s="9" t="s">
        <v>94</v>
      </c>
      <c r="AW14" s="12" t="s">
        <v>95</v>
      </c>
      <c r="AX14" s="10">
        <v>0</v>
      </c>
      <c r="AY14">
        <f>S14*AU14/AS14</f>
        <v>1871999.1471690852</v>
      </c>
      <c r="AZ14">
        <f>AU14-AY14</f>
        <v>2495998.8628921136</v>
      </c>
      <c r="BA14" s="10">
        <v>10400000</v>
      </c>
      <c r="BB14" s="10">
        <v>0</v>
      </c>
      <c r="BC14" s="9" t="s">
        <v>42</v>
      </c>
      <c r="BD14" s="9">
        <v>10421</v>
      </c>
      <c r="BE14" t="s">
        <v>46</v>
      </c>
    </row>
    <row r="15" spans="1:59" ht="270.75" thickBot="1" x14ac:dyDescent="0.3">
      <c r="A15" s="9" t="s">
        <v>96</v>
      </c>
      <c r="B15" s="9">
        <v>3001</v>
      </c>
      <c r="C15" s="10">
        <v>2</v>
      </c>
      <c r="D15" s="9" t="s">
        <v>37</v>
      </c>
      <c r="E15" s="14">
        <v>46215.103171296294</v>
      </c>
      <c r="F15" s="9" t="s">
        <v>97</v>
      </c>
      <c r="G15" s="9" t="s">
        <v>39</v>
      </c>
      <c r="H15" s="9">
        <v>53</v>
      </c>
      <c r="I15" s="9" t="s">
        <v>40</v>
      </c>
      <c r="J15" s="9">
        <v>5309</v>
      </c>
      <c r="K15" s="9" t="s">
        <v>41</v>
      </c>
      <c r="L15" s="9">
        <v>5309062</v>
      </c>
      <c r="M15" s="9">
        <v>5309062002</v>
      </c>
      <c r="N15" s="9" t="s">
        <v>42</v>
      </c>
      <c r="O15" s="9">
        <v>10421</v>
      </c>
      <c r="P15" s="9" t="s">
        <v>49</v>
      </c>
      <c r="Q15" s="10">
        <v>2</v>
      </c>
      <c r="R15" s="10">
        <v>0</v>
      </c>
      <c r="S15" s="10">
        <v>200000</v>
      </c>
      <c r="T15" s="10">
        <v>0</v>
      </c>
      <c r="U15" s="10">
        <v>500000</v>
      </c>
      <c r="V15" s="10">
        <v>0</v>
      </c>
      <c r="W15" s="10">
        <v>700000</v>
      </c>
      <c r="X15" s="10">
        <v>9500000</v>
      </c>
      <c r="Y15" s="10">
        <v>0</v>
      </c>
      <c r="Z15" s="10">
        <v>8800000</v>
      </c>
      <c r="AA15" s="10">
        <v>1500000</v>
      </c>
      <c r="AB15" s="10">
        <v>9500000</v>
      </c>
      <c r="AC15" s="10">
        <v>0</v>
      </c>
      <c r="AD15" s="9" t="s">
        <v>44</v>
      </c>
      <c r="AE15" s="10" t="s">
        <v>2234</v>
      </c>
      <c r="AF15" s="10">
        <v>4750000</v>
      </c>
      <c r="AG15" s="10">
        <v>1</v>
      </c>
      <c r="AH15" s="10">
        <v>1</v>
      </c>
      <c r="AI15" s="10">
        <v>1</v>
      </c>
      <c r="AJ15" s="12" t="s">
        <v>98</v>
      </c>
      <c r="AK15" s="10">
        <v>0</v>
      </c>
      <c r="AL15" s="10">
        <v>0</v>
      </c>
      <c r="AM15" s="9">
        <v>1998</v>
      </c>
      <c r="AN15" s="10">
        <v>0</v>
      </c>
      <c r="AO15" s="10">
        <v>2</v>
      </c>
      <c r="AP15" s="6"/>
      <c r="AQ15" s="7"/>
      <c r="AR15" s="8"/>
      <c r="AS15" s="4">
        <f t="shared" si="0"/>
        <v>700000</v>
      </c>
      <c r="AT15" s="4">
        <f t="shared" si="1"/>
        <v>5509998.7477275571</v>
      </c>
      <c r="AU15" s="4">
        <f t="shared" si="2"/>
        <v>3990001.2522724429</v>
      </c>
      <c r="AV15" s="9" t="s">
        <v>49</v>
      </c>
      <c r="AW15" s="12" t="s">
        <v>98</v>
      </c>
      <c r="AX15" s="10">
        <v>0</v>
      </c>
      <c r="AY15">
        <f>S15*AU15/AS15</f>
        <v>1140000.3577921265</v>
      </c>
      <c r="AZ15">
        <f>AU15-AY15</f>
        <v>2850000.8944803164</v>
      </c>
      <c r="BA15" s="10">
        <v>9500000</v>
      </c>
      <c r="BB15" s="10">
        <v>0</v>
      </c>
      <c r="BC15" s="9" t="s">
        <v>42</v>
      </c>
      <c r="BD15" s="9">
        <v>10421</v>
      </c>
      <c r="BE15" t="s">
        <v>46</v>
      </c>
    </row>
    <row r="16" spans="1:59" ht="270.75" thickBot="1" x14ac:dyDescent="0.3">
      <c r="A16" s="9" t="s">
        <v>99</v>
      </c>
      <c r="B16" s="9">
        <v>3001</v>
      </c>
      <c r="C16" s="10">
        <v>2</v>
      </c>
      <c r="D16" s="9" t="s">
        <v>37</v>
      </c>
      <c r="E16" s="14">
        <v>46232.536064814813</v>
      </c>
      <c r="F16" s="9" t="s">
        <v>100</v>
      </c>
      <c r="G16" s="9" t="s">
        <v>39</v>
      </c>
      <c r="H16" s="9">
        <v>53</v>
      </c>
      <c r="I16" s="9" t="s">
        <v>40</v>
      </c>
      <c r="J16" s="9">
        <v>5309</v>
      </c>
      <c r="K16" s="9" t="s">
        <v>41</v>
      </c>
      <c r="L16" s="9">
        <v>5309073</v>
      </c>
      <c r="M16" s="9">
        <v>5309073007</v>
      </c>
      <c r="N16" s="9" t="s">
        <v>42</v>
      </c>
      <c r="O16" s="9">
        <v>10421</v>
      </c>
      <c r="P16" s="9" t="s">
        <v>101</v>
      </c>
      <c r="Q16" s="10">
        <v>1</v>
      </c>
      <c r="R16" s="10">
        <v>0</v>
      </c>
      <c r="S16" s="10">
        <v>2500000</v>
      </c>
      <c r="T16" s="10">
        <v>0</v>
      </c>
      <c r="U16" s="10">
        <v>500000</v>
      </c>
      <c r="V16" s="10">
        <v>0</v>
      </c>
      <c r="W16" s="10">
        <v>3000000</v>
      </c>
      <c r="X16" s="10">
        <v>9675000</v>
      </c>
      <c r="Y16" s="10">
        <v>0</v>
      </c>
      <c r="Z16" s="10">
        <v>6675000</v>
      </c>
      <c r="AA16" s="10">
        <v>7000000</v>
      </c>
      <c r="AB16" s="10">
        <v>9675000</v>
      </c>
      <c r="AC16" s="10">
        <v>0</v>
      </c>
      <c r="AD16" s="9" t="s">
        <v>44</v>
      </c>
      <c r="AE16" s="10" t="s">
        <v>2235</v>
      </c>
      <c r="AF16" s="10">
        <v>9675000</v>
      </c>
      <c r="AG16" s="10">
        <v>1</v>
      </c>
      <c r="AH16" s="10">
        <v>1</v>
      </c>
      <c r="AI16" s="10">
        <v>1</v>
      </c>
      <c r="AJ16" s="12" t="s">
        <v>103</v>
      </c>
      <c r="AK16" s="10">
        <v>0</v>
      </c>
      <c r="AL16" s="10">
        <v>0</v>
      </c>
      <c r="AM16" s="9">
        <v>2020</v>
      </c>
      <c r="AN16" s="10">
        <v>0</v>
      </c>
      <c r="AO16" s="10">
        <v>1</v>
      </c>
      <c r="AP16" s="6"/>
      <c r="AQ16" s="7"/>
      <c r="AR16" s="8"/>
      <c r="AS16" s="4">
        <f t="shared" si="0"/>
        <v>3000000</v>
      </c>
      <c r="AT16" s="4">
        <f t="shared" si="1"/>
        <v>5611503.9091375535</v>
      </c>
      <c r="AU16" s="4">
        <f t="shared" si="2"/>
        <v>4063496.0908624465</v>
      </c>
      <c r="AV16" s="9" t="s">
        <v>101</v>
      </c>
      <c r="AW16" s="12" t="s">
        <v>103</v>
      </c>
      <c r="AX16" s="10">
        <v>0</v>
      </c>
      <c r="AY16">
        <f>S16*AU16/AS16</f>
        <v>3386246.7423853716</v>
      </c>
      <c r="AZ16">
        <f>AU16-AY16</f>
        <v>677249.34847707488</v>
      </c>
      <c r="BA16" s="10">
        <v>9675000</v>
      </c>
      <c r="BB16" s="10">
        <v>0</v>
      </c>
      <c r="BC16" s="9" t="s">
        <v>42</v>
      </c>
      <c r="BD16" s="9">
        <v>10421</v>
      </c>
      <c r="BE16" t="s">
        <v>46</v>
      </c>
    </row>
    <row r="17" spans="1:57" ht="270.75" thickBot="1" x14ac:dyDescent="0.3">
      <c r="A17" s="9" t="s">
        <v>104</v>
      </c>
      <c r="B17" s="9">
        <v>3001</v>
      </c>
      <c r="C17" s="10">
        <v>2</v>
      </c>
      <c r="D17" s="9" t="s">
        <v>37</v>
      </c>
      <c r="E17" s="14">
        <v>46243.332395833335</v>
      </c>
      <c r="F17" s="9" t="s">
        <v>105</v>
      </c>
      <c r="G17" s="9" t="s">
        <v>39</v>
      </c>
      <c r="H17" s="9">
        <v>53</v>
      </c>
      <c r="I17" s="9" t="s">
        <v>40</v>
      </c>
      <c r="J17" s="9">
        <v>5309</v>
      </c>
      <c r="K17" s="9" t="s">
        <v>41</v>
      </c>
      <c r="L17" s="9">
        <v>5309062</v>
      </c>
      <c r="M17" s="9">
        <v>5309062002</v>
      </c>
      <c r="N17" s="9" t="s">
        <v>42</v>
      </c>
      <c r="O17" s="9">
        <v>10421</v>
      </c>
      <c r="P17" s="9" t="s">
        <v>106</v>
      </c>
      <c r="Q17" s="10">
        <v>2</v>
      </c>
      <c r="R17" s="10">
        <v>0</v>
      </c>
      <c r="S17" s="10">
        <v>150000</v>
      </c>
      <c r="T17" s="10">
        <v>0</v>
      </c>
      <c r="U17" s="10">
        <v>500000</v>
      </c>
      <c r="V17" s="10">
        <v>0</v>
      </c>
      <c r="W17" s="10">
        <v>650000</v>
      </c>
      <c r="X17" s="10">
        <v>7800000</v>
      </c>
      <c r="Y17" s="10">
        <v>0</v>
      </c>
      <c r="Z17" s="10">
        <v>7150000</v>
      </c>
      <c r="AA17" s="10">
        <v>1200000</v>
      </c>
      <c r="AB17" s="10">
        <v>7800000</v>
      </c>
      <c r="AC17" s="10">
        <v>0</v>
      </c>
      <c r="AD17" s="9" t="s">
        <v>44</v>
      </c>
      <c r="AE17" s="10" t="s">
        <v>2236</v>
      </c>
      <c r="AF17" s="10">
        <v>3900000</v>
      </c>
      <c r="AG17" s="10">
        <v>1</v>
      </c>
      <c r="AH17" s="10">
        <v>1</v>
      </c>
      <c r="AI17" s="10">
        <v>1</v>
      </c>
      <c r="AJ17" s="12" t="s">
        <v>107</v>
      </c>
      <c r="AK17" s="10">
        <v>0</v>
      </c>
      <c r="AL17" s="10">
        <v>0</v>
      </c>
      <c r="AM17" s="9">
        <v>1999</v>
      </c>
      <c r="AN17" s="10">
        <v>0</v>
      </c>
      <c r="AO17" s="10">
        <v>2</v>
      </c>
      <c r="AP17" s="6"/>
      <c r="AQ17" s="7"/>
      <c r="AR17" s="8"/>
      <c r="AS17" s="4">
        <f t="shared" si="0"/>
        <v>650000</v>
      </c>
      <c r="AT17" s="4">
        <f t="shared" si="1"/>
        <v>4523998.3549096882</v>
      </c>
      <c r="AU17" s="4">
        <f t="shared" si="2"/>
        <v>3276001.6450903118</v>
      </c>
      <c r="AV17" s="9" t="s">
        <v>106</v>
      </c>
      <c r="AW17" s="12" t="s">
        <v>107</v>
      </c>
      <c r="AX17" s="10">
        <v>0</v>
      </c>
      <c r="AY17">
        <f>S17*AU17/AS17</f>
        <v>756000.37963622576</v>
      </c>
      <c r="AZ17">
        <f>AU17-AY17</f>
        <v>2520001.265454086</v>
      </c>
      <c r="BA17" s="10">
        <v>7800000</v>
      </c>
      <c r="BB17" s="10">
        <v>0</v>
      </c>
      <c r="BC17" s="9" t="s">
        <v>42</v>
      </c>
      <c r="BD17" s="9">
        <v>10421</v>
      </c>
      <c r="BE17" t="s">
        <v>46</v>
      </c>
    </row>
    <row r="18" spans="1:57" ht="270.75" thickBot="1" x14ac:dyDescent="0.3">
      <c r="A18" s="9" t="s">
        <v>108</v>
      </c>
      <c r="B18" s="9">
        <v>3003</v>
      </c>
      <c r="C18" s="10">
        <v>2</v>
      </c>
      <c r="D18" s="9" t="s">
        <v>37</v>
      </c>
      <c r="E18" s="11">
        <v>46254.659060520833</v>
      </c>
      <c r="F18" s="9" t="s">
        <v>109</v>
      </c>
      <c r="G18" s="9" t="s">
        <v>39</v>
      </c>
      <c r="H18" s="9">
        <v>53</v>
      </c>
      <c r="I18" s="9" t="s">
        <v>40</v>
      </c>
      <c r="J18" s="9">
        <v>5309</v>
      </c>
      <c r="K18" s="9" t="s">
        <v>41</v>
      </c>
      <c r="L18" s="9">
        <v>5309074</v>
      </c>
      <c r="M18" s="9">
        <v>5309074002</v>
      </c>
      <c r="N18" s="9" t="s">
        <v>42</v>
      </c>
      <c r="O18" s="9">
        <v>10421</v>
      </c>
      <c r="P18" s="9" t="s">
        <v>110</v>
      </c>
      <c r="Q18" s="10">
        <v>3</v>
      </c>
      <c r="R18" s="10">
        <v>700000</v>
      </c>
      <c r="S18" s="10">
        <v>1400000</v>
      </c>
      <c r="T18" s="10">
        <v>0</v>
      </c>
      <c r="U18" s="10">
        <v>100000</v>
      </c>
      <c r="V18" s="10">
        <v>0</v>
      </c>
      <c r="W18" s="10">
        <v>2200000</v>
      </c>
      <c r="X18" s="10">
        <v>4500000</v>
      </c>
      <c r="Y18" s="10">
        <v>0</v>
      </c>
      <c r="Z18" s="10">
        <v>3000000</v>
      </c>
      <c r="AA18" s="10">
        <v>500000</v>
      </c>
      <c r="AB18" s="10">
        <v>4500000</v>
      </c>
      <c r="AC18" s="10">
        <v>0</v>
      </c>
      <c r="AD18" s="9" t="s">
        <v>44</v>
      </c>
      <c r="AE18" s="10" t="s">
        <v>2237</v>
      </c>
      <c r="AF18" s="10">
        <v>1500000</v>
      </c>
      <c r="AG18" s="10">
        <v>1</v>
      </c>
      <c r="AH18" s="10">
        <v>1</v>
      </c>
      <c r="AI18" s="10">
        <v>1</v>
      </c>
      <c r="AJ18" s="12" t="s">
        <v>111</v>
      </c>
      <c r="AK18" s="10">
        <v>0</v>
      </c>
      <c r="AL18" s="10">
        <v>0</v>
      </c>
      <c r="AM18" s="9">
        <v>2020</v>
      </c>
      <c r="AN18" s="10">
        <v>2</v>
      </c>
      <c r="AO18" s="10">
        <v>1</v>
      </c>
      <c r="AP18" s="6"/>
      <c r="AQ18" s="7"/>
      <c r="AR18" s="8"/>
      <c r="AS18" s="4">
        <f t="shared" si="0"/>
        <v>1500000</v>
      </c>
      <c r="AT18" s="4">
        <f t="shared" si="1"/>
        <v>2609998.6950006522</v>
      </c>
      <c r="AU18" s="4">
        <f t="shared" si="2"/>
        <v>1890001.3049993478</v>
      </c>
      <c r="AV18" s="9" t="s">
        <v>110</v>
      </c>
      <c r="AW18" s="12" t="s">
        <v>111</v>
      </c>
      <c r="AX18" s="10">
        <v>0</v>
      </c>
      <c r="AY18">
        <f>S18*AU18/AS18</f>
        <v>1764001.2179993913</v>
      </c>
      <c r="AZ18">
        <f>AU18-AY18</f>
        <v>126000.08699995652</v>
      </c>
      <c r="BA18" s="10">
        <v>4500000</v>
      </c>
      <c r="BB18" s="10">
        <v>0</v>
      </c>
      <c r="BC18" s="9" t="s">
        <v>42</v>
      </c>
      <c r="BD18" s="9">
        <v>10421</v>
      </c>
      <c r="BE18" t="s">
        <v>46</v>
      </c>
    </row>
    <row r="19" spans="1:57" ht="270.75" thickBot="1" x14ac:dyDescent="0.3">
      <c r="A19" s="9" t="s">
        <v>112</v>
      </c>
      <c r="B19" s="9">
        <v>3001</v>
      </c>
      <c r="C19" s="10">
        <v>2</v>
      </c>
      <c r="D19" s="9" t="s">
        <v>113</v>
      </c>
      <c r="E19" s="11">
        <v>46316.021402835649</v>
      </c>
      <c r="F19" s="9" t="s">
        <v>114</v>
      </c>
      <c r="G19" s="9" t="s">
        <v>39</v>
      </c>
      <c r="H19" s="9">
        <v>53</v>
      </c>
      <c r="I19" s="9" t="s">
        <v>40</v>
      </c>
      <c r="J19" s="9">
        <v>5309</v>
      </c>
      <c r="K19" s="9" t="s">
        <v>41</v>
      </c>
      <c r="L19" s="9">
        <v>5309062</v>
      </c>
      <c r="M19" s="9">
        <v>5309062005</v>
      </c>
      <c r="N19" s="9" t="s">
        <v>42</v>
      </c>
      <c r="O19" s="9">
        <v>10421</v>
      </c>
      <c r="P19" s="9" t="s">
        <v>115</v>
      </c>
      <c r="Q19" s="10">
        <v>2</v>
      </c>
      <c r="R19" s="10">
        <v>0</v>
      </c>
      <c r="S19" s="10">
        <v>300000</v>
      </c>
      <c r="T19" s="10">
        <v>0</v>
      </c>
      <c r="U19" s="10">
        <v>100000</v>
      </c>
      <c r="V19" s="10">
        <v>0</v>
      </c>
      <c r="W19" s="10">
        <v>400000</v>
      </c>
      <c r="X19" s="10">
        <v>8500000</v>
      </c>
      <c r="Y19" s="10">
        <v>2600000</v>
      </c>
      <c r="Z19" s="10">
        <v>8100000</v>
      </c>
      <c r="AA19" s="10">
        <v>2500000</v>
      </c>
      <c r="AB19" s="10">
        <v>8500000</v>
      </c>
      <c r="AC19" s="10">
        <v>0</v>
      </c>
      <c r="AD19" s="9" t="s">
        <v>44</v>
      </c>
      <c r="AE19" s="10" t="s">
        <v>2238</v>
      </c>
      <c r="AF19" s="10">
        <v>4250000</v>
      </c>
      <c r="AG19" s="10">
        <v>1</v>
      </c>
      <c r="AH19" s="10">
        <v>1</v>
      </c>
      <c r="AI19" s="10">
        <v>1</v>
      </c>
      <c r="AJ19" s="12" t="s">
        <v>117</v>
      </c>
      <c r="AK19" s="10">
        <v>0</v>
      </c>
      <c r="AL19" s="10">
        <v>0</v>
      </c>
      <c r="AM19" s="9">
        <v>2021</v>
      </c>
      <c r="AN19" s="10">
        <v>0</v>
      </c>
      <c r="AO19" s="10">
        <v>2</v>
      </c>
      <c r="AP19" s="6"/>
      <c r="AQ19" s="7"/>
      <c r="AR19" s="8"/>
      <c r="AS19" s="4">
        <f t="shared" si="0"/>
        <v>400000</v>
      </c>
      <c r="AT19" s="4">
        <f t="shared" si="1"/>
        <v>4930000.9129631314</v>
      </c>
      <c r="AU19" s="4">
        <f t="shared" si="2"/>
        <v>3569999.0870368686</v>
      </c>
      <c r="AV19" s="9" t="s">
        <v>115</v>
      </c>
      <c r="AW19" s="12" t="s">
        <v>117</v>
      </c>
      <c r="AX19" s="10">
        <v>0</v>
      </c>
      <c r="AY19">
        <f>S19*AU19/AS19</f>
        <v>2677499.3152776514</v>
      </c>
      <c r="AZ19">
        <f>AU19-AY19</f>
        <v>892499.77175921714</v>
      </c>
      <c r="BA19" s="10">
        <v>8500000</v>
      </c>
      <c r="BB19" s="10">
        <v>2600000</v>
      </c>
      <c r="BC19" s="9" t="s">
        <v>42</v>
      </c>
      <c r="BD19" s="9">
        <v>10421</v>
      </c>
      <c r="BE19" t="s">
        <v>46</v>
      </c>
    </row>
    <row r="20" spans="1:57" ht="270.75" thickBot="1" x14ac:dyDescent="0.3">
      <c r="A20" s="9" t="s">
        <v>118</v>
      </c>
      <c r="B20" s="9">
        <v>3002</v>
      </c>
      <c r="C20" s="10">
        <v>2</v>
      </c>
      <c r="D20" s="9" t="s">
        <v>37</v>
      </c>
      <c r="E20" s="11">
        <v>46264.972984247688</v>
      </c>
      <c r="F20" s="9" t="s">
        <v>119</v>
      </c>
      <c r="G20" s="9" t="s">
        <v>39</v>
      </c>
      <c r="H20" s="9">
        <v>53</v>
      </c>
      <c r="I20" s="9" t="s">
        <v>40</v>
      </c>
      <c r="J20" s="9">
        <v>5309</v>
      </c>
      <c r="K20" s="9" t="s">
        <v>41</v>
      </c>
      <c r="L20" s="9">
        <v>5309074</v>
      </c>
      <c r="M20" s="9">
        <v>5309074006</v>
      </c>
      <c r="N20" s="9" t="s">
        <v>42</v>
      </c>
      <c r="O20" s="9">
        <v>10421</v>
      </c>
      <c r="P20" s="9" t="s">
        <v>49</v>
      </c>
      <c r="Q20" s="10">
        <v>2</v>
      </c>
      <c r="R20" s="10">
        <v>0</v>
      </c>
      <c r="S20" s="10">
        <v>100000</v>
      </c>
      <c r="T20" s="10">
        <v>0</v>
      </c>
      <c r="U20" s="10">
        <v>0</v>
      </c>
      <c r="V20" s="10">
        <v>0</v>
      </c>
      <c r="W20" s="10">
        <v>100000</v>
      </c>
      <c r="X20" s="10">
        <v>5650000</v>
      </c>
      <c r="Y20" s="10">
        <v>0</v>
      </c>
      <c r="Z20" s="10">
        <v>5550000</v>
      </c>
      <c r="AA20" s="10">
        <v>1000000</v>
      </c>
      <c r="AB20" s="10">
        <v>5650000</v>
      </c>
      <c r="AC20" s="10">
        <v>0</v>
      </c>
      <c r="AD20" s="9" t="s">
        <v>44</v>
      </c>
      <c r="AE20" s="10" t="s">
        <v>2239</v>
      </c>
      <c r="AF20" s="10">
        <v>2825000</v>
      </c>
      <c r="AG20" s="10">
        <v>1</v>
      </c>
      <c r="AH20" s="10">
        <v>1</v>
      </c>
      <c r="AI20" s="10">
        <v>1</v>
      </c>
      <c r="AJ20" s="12" t="s">
        <v>121</v>
      </c>
      <c r="AK20" s="10">
        <v>0</v>
      </c>
      <c r="AL20" s="10">
        <v>0</v>
      </c>
      <c r="AM20" s="9">
        <v>2020</v>
      </c>
      <c r="AN20" s="10">
        <v>0</v>
      </c>
      <c r="AO20" s="10">
        <v>2</v>
      </c>
      <c r="AP20" s="6"/>
      <c r="AQ20" s="7"/>
      <c r="AR20" s="8"/>
      <c r="AS20" s="4">
        <f t="shared" si="0"/>
        <v>100000</v>
      </c>
      <c r="AT20" s="4">
        <f t="shared" si="1"/>
        <v>3276999.6162072523</v>
      </c>
      <c r="AU20" s="4">
        <f t="shared" si="2"/>
        <v>2373000.3837927477</v>
      </c>
      <c r="AV20" s="9" t="s">
        <v>49</v>
      </c>
      <c r="AW20" s="12" t="s">
        <v>121</v>
      </c>
      <c r="AX20" s="10">
        <v>0</v>
      </c>
      <c r="AY20">
        <f>S20*AU20/AS20</f>
        <v>2373000.3837927477</v>
      </c>
      <c r="AZ20">
        <f>AU20-AY20</f>
        <v>0</v>
      </c>
      <c r="BA20" s="10">
        <v>5650000</v>
      </c>
      <c r="BB20" s="10">
        <v>0</v>
      </c>
      <c r="BC20" s="9" t="s">
        <v>42</v>
      </c>
      <c r="BD20" s="9">
        <v>10421</v>
      </c>
      <c r="BE20" t="s">
        <v>46</v>
      </c>
    </row>
    <row r="21" spans="1:57" ht="270.75" thickBot="1" x14ac:dyDescent="0.3">
      <c r="A21" s="9" t="s">
        <v>122</v>
      </c>
      <c r="B21" s="9">
        <v>3001</v>
      </c>
      <c r="C21" s="10">
        <v>2</v>
      </c>
      <c r="D21" s="9" t="s">
        <v>37</v>
      </c>
      <c r="E21" s="14">
        <v>46227.268194444441</v>
      </c>
      <c r="F21" s="9" t="s">
        <v>123</v>
      </c>
      <c r="G21" s="9" t="s">
        <v>39</v>
      </c>
      <c r="H21" s="9">
        <v>53</v>
      </c>
      <c r="I21" s="9" t="s">
        <v>40</v>
      </c>
      <c r="J21" s="9">
        <v>5309</v>
      </c>
      <c r="K21" s="9" t="s">
        <v>41</v>
      </c>
      <c r="L21" s="9">
        <v>5309062</v>
      </c>
      <c r="M21" s="9">
        <v>5309062007</v>
      </c>
      <c r="N21" s="9" t="s">
        <v>42</v>
      </c>
      <c r="O21" s="9">
        <v>10421</v>
      </c>
      <c r="P21" s="9" t="s">
        <v>124</v>
      </c>
      <c r="Q21" s="10">
        <v>2</v>
      </c>
      <c r="R21" s="10">
        <v>700000</v>
      </c>
      <c r="S21" s="10">
        <v>200000</v>
      </c>
      <c r="T21" s="10">
        <v>0</v>
      </c>
      <c r="U21" s="10">
        <v>320000</v>
      </c>
      <c r="V21" s="10">
        <v>0</v>
      </c>
      <c r="W21" s="10">
        <v>1220000</v>
      </c>
      <c r="X21" s="10">
        <v>15200000</v>
      </c>
      <c r="Y21" s="10">
        <v>600000</v>
      </c>
      <c r="Z21" s="10">
        <v>14680000</v>
      </c>
      <c r="AA21" s="10">
        <v>8000000</v>
      </c>
      <c r="AB21" s="10">
        <v>15200000</v>
      </c>
      <c r="AC21" s="10">
        <v>0</v>
      </c>
      <c r="AD21" s="9" t="s">
        <v>44</v>
      </c>
      <c r="AE21" s="10" t="s">
        <v>2240</v>
      </c>
      <c r="AF21" s="10">
        <v>7600000</v>
      </c>
      <c r="AG21" s="10">
        <v>1</v>
      </c>
      <c r="AH21" s="10">
        <v>1</v>
      </c>
      <c r="AI21" s="10">
        <v>1</v>
      </c>
      <c r="AJ21" s="12" t="s">
        <v>126</v>
      </c>
      <c r="AK21" s="10">
        <v>0</v>
      </c>
      <c r="AL21" s="10">
        <v>0</v>
      </c>
      <c r="AM21" s="9">
        <v>1998</v>
      </c>
      <c r="AN21" s="10">
        <v>1</v>
      </c>
      <c r="AO21" s="10">
        <v>1</v>
      </c>
      <c r="AP21" s="6"/>
      <c r="AQ21" s="7"/>
      <c r="AR21" s="8"/>
      <c r="AS21" s="4">
        <f t="shared" si="0"/>
        <v>520000</v>
      </c>
      <c r="AT21" s="4">
        <f t="shared" si="1"/>
        <v>8816004.3239258267</v>
      </c>
      <c r="AU21" s="4">
        <f t="shared" si="2"/>
        <v>6383995.6760741733</v>
      </c>
      <c r="AV21" s="9" t="s">
        <v>124</v>
      </c>
      <c r="AW21" s="12" t="s">
        <v>126</v>
      </c>
      <c r="AX21" s="10">
        <v>0</v>
      </c>
      <c r="AY21">
        <f>S21*AU21/AS21</f>
        <v>2455382.9523362205</v>
      </c>
      <c r="AZ21">
        <f>AU21-AY21</f>
        <v>3928612.7237379528</v>
      </c>
      <c r="BA21" s="10">
        <v>15200000</v>
      </c>
      <c r="BB21" s="10">
        <v>600000</v>
      </c>
      <c r="BC21" s="9" t="s">
        <v>42</v>
      </c>
      <c r="BD21" s="9">
        <v>10421</v>
      </c>
      <c r="BE21" t="s">
        <v>46</v>
      </c>
    </row>
    <row r="22" spans="1:57" ht="270.75" thickBot="1" x14ac:dyDescent="0.3">
      <c r="A22" s="9" t="s">
        <v>127</v>
      </c>
      <c r="B22" s="9">
        <v>3001</v>
      </c>
      <c r="C22" s="10">
        <v>2</v>
      </c>
      <c r="D22" s="9" t="s">
        <v>37</v>
      </c>
      <c r="E22" s="14">
        <v>46217.657476851855</v>
      </c>
      <c r="F22" s="9" t="s">
        <v>128</v>
      </c>
      <c r="G22" s="9" t="s">
        <v>39</v>
      </c>
      <c r="H22" s="9">
        <v>53</v>
      </c>
      <c r="I22" s="9" t="s">
        <v>40</v>
      </c>
      <c r="J22" s="9">
        <v>5309</v>
      </c>
      <c r="K22" s="9" t="s">
        <v>41</v>
      </c>
      <c r="L22" s="9">
        <v>5309062</v>
      </c>
      <c r="M22" s="9">
        <v>5309062012</v>
      </c>
      <c r="N22" s="9" t="s">
        <v>42</v>
      </c>
      <c r="O22" s="9">
        <v>10421</v>
      </c>
      <c r="P22" s="9" t="s">
        <v>129</v>
      </c>
      <c r="Q22" s="10">
        <v>3</v>
      </c>
      <c r="R22" s="10">
        <v>200000</v>
      </c>
      <c r="S22" s="10">
        <v>150000</v>
      </c>
      <c r="T22" s="10">
        <v>0</v>
      </c>
      <c r="U22" s="10">
        <v>100000</v>
      </c>
      <c r="V22" s="10">
        <v>0</v>
      </c>
      <c r="W22" s="10">
        <v>450000</v>
      </c>
      <c r="X22" s="10">
        <v>5000000</v>
      </c>
      <c r="Y22" s="10">
        <v>500000</v>
      </c>
      <c r="Z22" s="10">
        <v>4750000</v>
      </c>
      <c r="AA22" s="10">
        <v>3750000</v>
      </c>
      <c r="AB22" s="10">
        <v>5000000</v>
      </c>
      <c r="AC22" s="10">
        <v>0</v>
      </c>
      <c r="AD22" s="9" t="s">
        <v>44</v>
      </c>
      <c r="AE22" s="10" t="s">
        <v>1803</v>
      </c>
      <c r="AF22" s="13">
        <v>1666666667</v>
      </c>
      <c r="AG22" s="10">
        <v>1</v>
      </c>
      <c r="AH22" s="10">
        <v>1</v>
      </c>
      <c r="AI22" s="10">
        <v>1</v>
      </c>
      <c r="AJ22" s="12" t="s">
        <v>130</v>
      </c>
      <c r="AK22" s="10">
        <v>0</v>
      </c>
      <c r="AL22" s="10">
        <v>0</v>
      </c>
      <c r="AM22" s="9">
        <v>2021</v>
      </c>
      <c r="AN22" s="10">
        <v>1</v>
      </c>
      <c r="AO22" s="10">
        <v>2</v>
      </c>
      <c r="AP22" s="6"/>
      <c r="AQ22" s="7"/>
      <c r="AR22" s="8"/>
      <c r="AS22" s="4">
        <f t="shared" si="0"/>
        <v>250000</v>
      </c>
      <c r="AT22" s="4">
        <f t="shared" si="1"/>
        <v>2900000</v>
      </c>
      <c r="AU22" s="4">
        <f t="shared" si="2"/>
        <v>2100000</v>
      </c>
      <c r="AV22" s="9" t="s">
        <v>129</v>
      </c>
      <c r="AW22" s="12" t="s">
        <v>130</v>
      </c>
      <c r="AX22" s="10">
        <v>0</v>
      </c>
      <c r="AY22">
        <f>S22*AU22/AS22</f>
        <v>1260000</v>
      </c>
      <c r="AZ22">
        <f>AU22-AY22</f>
        <v>840000</v>
      </c>
      <c r="BA22" s="10">
        <v>5000000</v>
      </c>
      <c r="BB22" s="10">
        <v>500000</v>
      </c>
      <c r="BC22" s="9" t="s">
        <v>42</v>
      </c>
      <c r="BD22" s="9">
        <v>10421</v>
      </c>
      <c r="BE22" t="s">
        <v>46</v>
      </c>
    </row>
    <row r="23" spans="1:57" ht="270.75" thickBot="1" x14ac:dyDescent="0.3">
      <c r="A23" s="9" t="s">
        <v>131</v>
      </c>
      <c r="B23" s="9">
        <v>3002</v>
      </c>
      <c r="C23" s="10">
        <v>2</v>
      </c>
      <c r="D23" s="9" t="s">
        <v>37</v>
      </c>
      <c r="E23" s="11">
        <v>46224.28298408565</v>
      </c>
      <c r="F23" s="9" t="s">
        <v>132</v>
      </c>
      <c r="G23" s="9" t="s">
        <v>39</v>
      </c>
      <c r="H23" s="9">
        <v>53</v>
      </c>
      <c r="I23" s="9" t="s">
        <v>40</v>
      </c>
      <c r="J23" s="9">
        <v>5309</v>
      </c>
      <c r="K23" s="9" t="s">
        <v>41</v>
      </c>
      <c r="L23" s="9">
        <v>5309062</v>
      </c>
      <c r="M23" s="9">
        <v>5309062006</v>
      </c>
      <c r="N23" s="9" t="s">
        <v>42</v>
      </c>
      <c r="O23" s="9">
        <v>10421</v>
      </c>
      <c r="P23" s="9" t="s">
        <v>133</v>
      </c>
      <c r="Q23" s="10">
        <v>2</v>
      </c>
      <c r="R23" s="10">
        <v>0</v>
      </c>
      <c r="S23" s="10">
        <v>300000</v>
      </c>
      <c r="T23" s="10">
        <v>0</v>
      </c>
      <c r="U23" s="10">
        <v>250000</v>
      </c>
      <c r="V23" s="10">
        <v>0</v>
      </c>
      <c r="W23" s="10">
        <v>550000</v>
      </c>
      <c r="X23" s="10">
        <v>5402000</v>
      </c>
      <c r="Y23" s="10">
        <v>0</v>
      </c>
      <c r="Z23" s="10">
        <v>4852000</v>
      </c>
      <c r="AA23" s="10">
        <v>3500000</v>
      </c>
      <c r="AB23" s="10">
        <v>5402000</v>
      </c>
      <c r="AC23" s="10">
        <v>0</v>
      </c>
      <c r="AD23" s="9" t="s">
        <v>44</v>
      </c>
      <c r="AE23" s="10" t="s">
        <v>2241</v>
      </c>
      <c r="AF23" s="10">
        <v>2701000</v>
      </c>
      <c r="AG23" s="10">
        <v>1</v>
      </c>
      <c r="AH23" s="10">
        <v>1</v>
      </c>
      <c r="AI23" s="10">
        <v>1</v>
      </c>
      <c r="AJ23" s="12" t="s">
        <v>134</v>
      </c>
      <c r="AK23" s="10">
        <v>0</v>
      </c>
      <c r="AL23" s="10">
        <v>0</v>
      </c>
      <c r="AM23" s="9">
        <v>2008</v>
      </c>
      <c r="AN23" s="10">
        <v>0</v>
      </c>
      <c r="AO23" s="10">
        <v>2</v>
      </c>
      <c r="AP23" s="6"/>
      <c r="AQ23" s="7"/>
      <c r="AR23" s="8"/>
      <c r="AS23" s="4">
        <f t="shared" si="0"/>
        <v>550000</v>
      </c>
      <c r="AT23" s="4">
        <f t="shared" si="1"/>
        <v>3133159.5014841021</v>
      </c>
      <c r="AU23" s="4">
        <f t="shared" si="2"/>
        <v>2268840.4985158979</v>
      </c>
      <c r="AV23" s="9" t="s">
        <v>133</v>
      </c>
      <c r="AW23" s="12" t="s">
        <v>134</v>
      </c>
      <c r="AX23" s="10">
        <v>0</v>
      </c>
      <c r="AY23">
        <f>S23*AU23/AS23</f>
        <v>1237549.3628268535</v>
      </c>
      <c r="AZ23">
        <f>AU23-AY23</f>
        <v>1031291.1356890444</v>
      </c>
      <c r="BA23" s="10">
        <v>5402000</v>
      </c>
      <c r="BB23" s="10">
        <v>0</v>
      </c>
      <c r="BC23" s="9" t="s">
        <v>42</v>
      </c>
      <c r="BD23" s="9">
        <v>10421</v>
      </c>
      <c r="BE23" t="s">
        <v>46</v>
      </c>
    </row>
    <row r="24" spans="1:57" ht="270.75" thickBot="1" x14ac:dyDescent="0.3">
      <c r="A24" s="9" t="s">
        <v>135</v>
      </c>
      <c r="B24" s="9">
        <v>3001</v>
      </c>
      <c r="C24" s="10">
        <v>2</v>
      </c>
      <c r="D24" s="9" t="s">
        <v>37</v>
      </c>
      <c r="E24" s="14">
        <v>46229.005509259259</v>
      </c>
      <c r="F24" s="9" t="s">
        <v>136</v>
      </c>
      <c r="G24" s="9" t="s">
        <v>39</v>
      </c>
      <c r="H24" s="9">
        <v>53</v>
      </c>
      <c r="I24" s="9" t="s">
        <v>40</v>
      </c>
      <c r="J24" s="9">
        <v>5309</v>
      </c>
      <c r="K24" s="9" t="s">
        <v>41</v>
      </c>
      <c r="L24" s="9">
        <v>5309062</v>
      </c>
      <c r="M24" s="9">
        <v>5309062006</v>
      </c>
      <c r="N24" s="9" t="s">
        <v>42</v>
      </c>
      <c r="O24" s="9">
        <v>10421</v>
      </c>
      <c r="P24" s="9" t="s">
        <v>137</v>
      </c>
      <c r="Q24" s="10">
        <v>1</v>
      </c>
      <c r="R24" s="10">
        <v>0</v>
      </c>
      <c r="S24" s="10">
        <v>300000</v>
      </c>
      <c r="T24" s="10">
        <v>0</v>
      </c>
      <c r="U24" s="10">
        <v>300000</v>
      </c>
      <c r="V24" s="10">
        <v>0</v>
      </c>
      <c r="W24" s="10">
        <v>600000</v>
      </c>
      <c r="X24" s="10">
        <v>6205000</v>
      </c>
      <c r="Y24" s="10">
        <v>0</v>
      </c>
      <c r="Z24" s="10">
        <v>5605000</v>
      </c>
      <c r="AA24" s="10">
        <v>4500000</v>
      </c>
      <c r="AB24" s="10">
        <v>6205000</v>
      </c>
      <c r="AC24" s="10">
        <v>0</v>
      </c>
      <c r="AD24" s="9" t="s">
        <v>44</v>
      </c>
      <c r="AE24" s="10" t="s">
        <v>2242</v>
      </c>
      <c r="AF24" s="10">
        <v>6205000</v>
      </c>
      <c r="AG24" s="10">
        <v>1</v>
      </c>
      <c r="AH24" s="10">
        <v>1</v>
      </c>
      <c r="AI24" s="10">
        <v>1</v>
      </c>
      <c r="AJ24" s="12" t="s">
        <v>138</v>
      </c>
      <c r="AK24" s="10">
        <v>0</v>
      </c>
      <c r="AL24" s="10">
        <v>0</v>
      </c>
      <c r="AM24" s="9">
        <v>2009</v>
      </c>
      <c r="AN24" s="10">
        <v>0</v>
      </c>
      <c r="AO24" s="10">
        <v>1</v>
      </c>
      <c r="AP24" s="6"/>
      <c r="AQ24" s="7"/>
      <c r="AR24" s="8"/>
      <c r="AS24" s="4">
        <f t="shared" si="0"/>
        <v>600000</v>
      </c>
      <c r="AT24" s="4">
        <f t="shared" si="1"/>
        <v>3598899.1524448027</v>
      </c>
      <c r="AU24" s="4">
        <f t="shared" si="2"/>
        <v>2606100.8475551973</v>
      </c>
      <c r="AV24" s="9" t="s">
        <v>137</v>
      </c>
      <c r="AW24" s="12" t="s">
        <v>138</v>
      </c>
      <c r="AX24" s="10">
        <v>0</v>
      </c>
      <c r="AY24">
        <f>S24*AU24/AS24</f>
        <v>1303050.4237775987</v>
      </c>
      <c r="AZ24">
        <f>AU24-AY24</f>
        <v>1303050.4237775987</v>
      </c>
      <c r="BA24" s="10">
        <v>6205000</v>
      </c>
      <c r="BB24" s="10">
        <v>0</v>
      </c>
      <c r="BC24" s="9" t="s">
        <v>42</v>
      </c>
      <c r="BD24" s="9">
        <v>10421</v>
      </c>
      <c r="BE24" t="s">
        <v>46</v>
      </c>
    </row>
    <row r="25" spans="1:57" ht="270.75" thickBot="1" x14ac:dyDescent="0.3">
      <c r="A25" s="9" t="s">
        <v>139</v>
      </c>
      <c r="B25" s="9">
        <v>3001</v>
      </c>
      <c r="C25" s="10">
        <v>2</v>
      </c>
      <c r="D25" s="9" t="s">
        <v>37</v>
      </c>
      <c r="E25" s="11">
        <v>46254.109400254631</v>
      </c>
      <c r="F25" s="9" t="s">
        <v>140</v>
      </c>
      <c r="G25" s="9" t="s">
        <v>39</v>
      </c>
      <c r="H25" s="9">
        <v>53</v>
      </c>
      <c r="I25" s="9" t="s">
        <v>40</v>
      </c>
      <c r="J25" s="9">
        <v>5309</v>
      </c>
      <c r="K25" s="9" t="s">
        <v>41</v>
      </c>
      <c r="L25" s="9">
        <v>5309062</v>
      </c>
      <c r="M25" s="9">
        <v>5309062012</v>
      </c>
      <c r="N25" s="9" t="s">
        <v>42</v>
      </c>
      <c r="O25" s="9">
        <v>10421</v>
      </c>
      <c r="P25" s="9" t="s">
        <v>141</v>
      </c>
      <c r="Q25" s="10">
        <v>4</v>
      </c>
      <c r="R25" s="10">
        <v>500000</v>
      </c>
      <c r="S25" s="10">
        <v>250000</v>
      </c>
      <c r="T25" s="10">
        <v>0</v>
      </c>
      <c r="U25" s="10">
        <v>150000</v>
      </c>
      <c r="V25" s="10">
        <v>0</v>
      </c>
      <c r="W25" s="10">
        <v>900000</v>
      </c>
      <c r="X25" s="10">
        <v>7000000</v>
      </c>
      <c r="Y25" s="10">
        <v>500000</v>
      </c>
      <c r="Z25" s="10">
        <v>6600000</v>
      </c>
      <c r="AA25" s="10">
        <v>3800000</v>
      </c>
      <c r="AB25" s="10">
        <v>7000000</v>
      </c>
      <c r="AC25" s="10">
        <v>0</v>
      </c>
      <c r="AD25" s="9" t="s">
        <v>44</v>
      </c>
      <c r="AE25" s="10" t="s">
        <v>2243</v>
      </c>
      <c r="AF25" s="10">
        <v>1750000</v>
      </c>
      <c r="AG25" s="10">
        <v>1</v>
      </c>
      <c r="AH25" s="10">
        <v>1</v>
      </c>
      <c r="AI25" s="10">
        <v>1</v>
      </c>
      <c r="AJ25" s="12" t="s">
        <v>142</v>
      </c>
      <c r="AK25" s="10">
        <v>0</v>
      </c>
      <c r="AL25" s="10">
        <v>0</v>
      </c>
      <c r="AM25" s="9">
        <v>2024</v>
      </c>
      <c r="AN25" s="10">
        <v>2</v>
      </c>
      <c r="AO25" s="10">
        <v>2</v>
      </c>
      <c r="AP25" s="6"/>
      <c r="AQ25" s="7"/>
      <c r="AR25" s="8"/>
      <c r="AS25" s="4">
        <f t="shared" si="0"/>
        <v>400000</v>
      </c>
      <c r="AT25" s="4">
        <f t="shared" si="1"/>
        <v>4060000.6151516079</v>
      </c>
      <c r="AU25" s="4">
        <f t="shared" si="2"/>
        <v>2939999.3848483921</v>
      </c>
      <c r="AV25" s="9" t="s">
        <v>141</v>
      </c>
      <c r="AW25" s="12" t="s">
        <v>142</v>
      </c>
      <c r="AX25" s="10">
        <v>0</v>
      </c>
      <c r="AY25">
        <f>S25*AU25/AS25</f>
        <v>1837499.615530245</v>
      </c>
      <c r="AZ25">
        <f>AU25-AY25</f>
        <v>1102499.7693181471</v>
      </c>
      <c r="BA25" s="10">
        <v>7000000</v>
      </c>
      <c r="BB25" s="10">
        <v>500000</v>
      </c>
      <c r="BC25" s="9" t="s">
        <v>42</v>
      </c>
      <c r="BD25" s="9">
        <v>10421</v>
      </c>
      <c r="BE25" t="s">
        <v>46</v>
      </c>
    </row>
    <row r="26" spans="1:57" ht="270.75" thickBot="1" x14ac:dyDescent="0.3">
      <c r="A26" s="9" t="s">
        <v>143</v>
      </c>
      <c r="B26" s="9">
        <v>3001</v>
      </c>
      <c r="C26" s="10">
        <v>2</v>
      </c>
      <c r="D26" s="9" t="s">
        <v>37</v>
      </c>
      <c r="E26" s="14">
        <v>46238.395219907405</v>
      </c>
      <c r="F26" s="9" t="s">
        <v>144</v>
      </c>
      <c r="G26" s="9" t="s">
        <v>39</v>
      </c>
      <c r="H26" s="9">
        <v>53</v>
      </c>
      <c r="I26" s="9" t="s">
        <v>40</v>
      </c>
      <c r="J26" s="9">
        <v>5309</v>
      </c>
      <c r="K26" s="9" t="s">
        <v>41</v>
      </c>
      <c r="L26" s="9">
        <v>5309073</v>
      </c>
      <c r="M26" s="9">
        <v>5309073001</v>
      </c>
      <c r="N26" s="9" t="s">
        <v>42</v>
      </c>
      <c r="O26" s="9">
        <v>10421</v>
      </c>
      <c r="P26" s="9" t="s">
        <v>145</v>
      </c>
      <c r="Q26" s="10">
        <v>2</v>
      </c>
      <c r="R26" s="10">
        <v>0</v>
      </c>
      <c r="S26" s="10">
        <v>150000</v>
      </c>
      <c r="T26" s="10">
        <v>0</v>
      </c>
      <c r="U26" s="10">
        <v>150000</v>
      </c>
      <c r="V26" s="10">
        <v>0</v>
      </c>
      <c r="W26" s="10">
        <v>300000</v>
      </c>
      <c r="X26" s="10">
        <v>7500000</v>
      </c>
      <c r="Y26" s="10">
        <v>0</v>
      </c>
      <c r="Z26" s="10">
        <v>7200000</v>
      </c>
      <c r="AA26" s="10">
        <v>20200000</v>
      </c>
      <c r="AB26" s="10">
        <v>7500000</v>
      </c>
      <c r="AC26" s="10">
        <v>0</v>
      </c>
      <c r="AD26" s="9" t="s">
        <v>44</v>
      </c>
      <c r="AE26" s="10" t="s">
        <v>809</v>
      </c>
      <c r="AF26" s="10">
        <v>3750000</v>
      </c>
      <c r="AG26" s="10">
        <v>0</v>
      </c>
      <c r="AH26" s="10">
        <v>1</v>
      </c>
      <c r="AI26" s="10">
        <v>1</v>
      </c>
      <c r="AJ26" s="12" t="s">
        <v>146</v>
      </c>
      <c r="AK26" s="10">
        <v>0</v>
      </c>
      <c r="AL26" s="10">
        <v>0</v>
      </c>
      <c r="AM26" s="9">
        <v>1998</v>
      </c>
      <c r="AN26" s="10">
        <v>0</v>
      </c>
      <c r="AO26" s="10">
        <v>2</v>
      </c>
      <c r="AP26" s="6"/>
      <c r="AQ26" s="7"/>
      <c r="AR26" s="8"/>
      <c r="AS26" s="4">
        <f t="shared" si="0"/>
        <v>300000</v>
      </c>
      <c r="AT26" s="4">
        <f t="shared" si="1"/>
        <v>4350000</v>
      </c>
      <c r="AU26" s="4">
        <f t="shared" si="2"/>
        <v>3150000</v>
      </c>
      <c r="AV26" s="9" t="s">
        <v>145</v>
      </c>
      <c r="AW26" s="12" t="s">
        <v>146</v>
      </c>
      <c r="AX26" s="10">
        <v>0</v>
      </c>
      <c r="AY26">
        <f>S26*AU26/AS26</f>
        <v>1575000</v>
      </c>
      <c r="AZ26">
        <f>AU26-AY26</f>
        <v>1575000</v>
      </c>
      <c r="BA26" s="10">
        <v>7500000</v>
      </c>
      <c r="BB26" s="10">
        <v>0</v>
      </c>
      <c r="BC26" s="9" t="s">
        <v>42</v>
      </c>
      <c r="BD26" s="9">
        <v>10421</v>
      </c>
      <c r="BE26" t="s">
        <v>46</v>
      </c>
    </row>
    <row r="27" spans="1:57" ht="270.75" thickBot="1" x14ac:dyDescent="0.3">
      <c r="A27" s="9" t="s">
        <v>147</v>
      </c>
      <c r="B27" s="9">
        <v>3001</v>
      </c>
      <c r="C27" s="10">
        <v>2</v>
      </c>
      <c r="D27" s="9" t="s">
        <v>37</v>
      </c>
      <c r="E27" s="11">
        <v>46264.886380648146</v>
      </c>
      <c r="F27" s="9" t="s">
        <v>148</v>
      </c>
      <c r="G27" s="9" t="s">
        <v>39</v>
      </c>
      <c r="H27" s="9">
        <v>53</v>
      </c>
      <c r="I27" s="9" t="s">
        <v>40</v>
      </c>
      <c r="J27" s="9">
        <v>5309</v>
      </c>
      <c r="K27" s="9" t="s">
        <v>41</v>
      </c>
      <c r="L27" s="9">
        <v>5309074</v>
      </c>
      <c r="M27" s="9">
        <v>5309074002</v>
      </c>
      <c r="N27" s="9" t="s">
        <v>42</v>
      </c>
      <c r="O27" s="9">
        <v>10421</v>
      </c>
      <c r="P27" s="9" t="s">
        <v>49</v>
      </c>
      <c r="Q27" s="10">
        <v>2</v>
      </c>
      <c r="R27" s="10">
        <v>1200000</v>
      </c>
      <c r="S27" s="10">
        <v>1000000</v>
      </c>
      <c r="T27" s="10">
        <v>0</v>
      </c>
      <c r="U27" s="10">
        <v>600000</v>
      </c>
      <c r="V27" s="10">
        <v>0</v>
      </c>
      <c r="W27" s="10">
        <v>2800000</v>
      </c>
      <c r="X27" s="10">
        <v>7300000</v>
      </c>
      <c r="Y27" s="10">
        <v>0</v>
      </c>
      <c r="Z27" s="10">
        <v>5700000</v>
      </c>
      <c r="AA27" s="10">
        <v>3350000</v>
      </c>
      <c r="AB27" s="10">
        <v>7300000</v>
      </c>
      <c r="AC27" s="10">
        <v>0</v>
      </c>
      <c r="AD27" s="9" t="s">
        <v>44</v>
      </c>
      <c r="AE27" s="10" t="s">
        <v>2244</v>
      </c>
      <c r="AF27" s="10">
        <v>3650000</v>
      </c>
      <c r="AG27" s="10">
        <v>1</v>
      </c>
      <c r="AH27" s="10">
        <v>1</v>
      </c>
      <c r="AI27" s="10">
        <v>1</v>
      </c>
      <c r="AJ27" s="12" t="s">
        <v>149</v>
      </c>
      <c r="AK27" s="10">
        <v>0</v>
      </c>
      <c r="AL27" s="10">
        <v>0</v>
      </c>
      <c r="AM27" s="9">
        <v>1989</v>
      </c>
      <c r="AN27" s="10">
        <v>1</v>
      </c>
      <c r="AO27" s="10">
        <v>1</v>
      </c>
      <c r="AP27" s="6"/>
      <c r="AQ27" s="7"/>
      <c r="AR27" s="8"/>
      <c r="AS27" s="4">
        <f t="shared" si="0"/>
        <v>1600000</v>
      </c>
      <c r="AT27" s="4">
        <f t="shared" si="1"/>
        <v>4233999.5543158362</v>
      </c>
      <c r="AU27" s="4">
        <f t="shared" si="2"/>
        <v>3066000.4456841638</v>
      </c>
      <c r="AV27" s="9" t="s">
        <v>49</v>
      </c>
      <c r="AW27" s="12" t="s">
        <v>149</v>
      </c>
      <c r="AX27" s="10">
        <v>0</v>
      </c>
      <c r="AY27">
        <f>S27*AU27/AS27</f>
        <v>1916250.2785526025</v>
      </c>
      <c r="AZ27">
        <f>AU27-AY27</f>
        <v>1149750.1671315613</v>
      </c>
      <c r="BA27" s="10">
        <v>7300000</v>
      </c>
      <c r="BB27" s="10">
        <v>0</v>
      </c>
      <c r="BC27" s="9" t="s">
        <v>42</v>
      </c>
      <c r="BD27" s="9">
        <v>10421</v>
      </c>
      <c r="BE27" t="s">
        <v>46</v>
      </c>
    </row>
    <row r="28" spans="1:57" ht="270.75" thickBot="1" x14ac:dyDescent="0.3">
      <c r="A28" s="9" t="s">
        <v>150</v>
      </c>
      <c r="B28" s="9">
        <v>3003</v>
      </c>
      <c r="C28" s="10">
        <v>2</v>
      </c>
      <c r="D28" s="9" t="s">
        <v>37</v>
      </c>
      <c r="E28" s="11">
        <v>46278.977229062497</v>
      </c>
      <c r="F28" s="9" t="s">
        <v>151</v>
      </c>
      <c r="G28" s="9" t="s">
        <v>39</v>
      </c>
      <c r="H28" s="9">
        <v>53</v>
      </c>
      <c r="I28" s="9" t="s">
        <v>40</v>
      </c>
      <c r="J28" s="9">
        <v>5309</v>
      </c>
      <c r="K28" s="9" t="s">
        <v>41</v>
      </c>
      <c r="L28" s="9">
        <v>5309074</v>
      </c>
      <c r="M28" s="9">
        <v>5309074007</v>
      </c>
      <c r="N28" s="9" t="s">
        <v>42</v>
      </c>
      <c r="O28" s="9">
        <v>10421</v>
      </c>
      <c r="P28" s="9" t="s">
        <v>152</v>
      </c>
      <c r="Q28" s="10">
        <v>2</v>
      </c>
      <c r="R28" s="10">
        <v>400000</v>
      </c>
      <c r="S28" s="10">
        <v>1600000</v>
      </c>
      <c r="T28" s="10">
        <v>0</v>
      </c>
      <c r="U28" s="10">
        <v>100000</v>
      </c>
      <c r="V28" s="10">
        <v>0</v>
      </c>
      <c r="W28" s="10">
        <v>2100000</v>
      </c>
      <c r="X28" s="10">
        <v>4800000</v>
      </c>
      <c r="Y28" s="10">
        <v>0</v>
      </c>
      <c r="Z28" s="10">
        <v>3100000</v>
      </c>
      <c r="AA28" s="10">
        <v>15100000</v>
      </c>
      <c r="AB28" s="10">
        <v>4800000</v>
      </c>
      <c r="AC28" s="10">
        <v>0</v>
      </c>
      <c r="AD28" s="9" t="s">
        <v>44</v>
      </c>
      <c r="AE28" s="10" t="s">
        <v>2245</v>
      </c>
      <c r="AF28" s="10">
        <v>2400000</v>
      </c>
      <c r="AG28" s="10">
        <v>0</v>
      </c>
      <c r="AH28" s="10">
        <v>1</v>
      </c>
      <c r="AI28" s="10">
        <v>1</v>
      </c>
      <c r="AJ28" s="12" t="s">
        <v>153</v>
      </c>
      <c r="AK28" s="10">
        <v>0</v>
      </c>
      <c r="AL28" s="10">
        <v>0</v>
      </c>
      <c r="AM28" s="9">
        <v>1990</v>
      </c>
      <c r="AN28" s="10">
        <v>1</v>
      </c>
      <c r="AO28" s="10">
        <v>1</v>
      </c>
      <c r="AP28" s="6"/>
      <c r="AQ28" s="7"/>
      <c r="AR28" s="8"/>
      <c r="AS28" s="4">
        <f t="shared" si="0"/>
        <v>1700000</v>
      </c>
      <c r="AT28" s="4">
        <f t="shared" si="1"/>
        <v>2784001.4369039671</v>
      </c>
      <c r="AU28" s="4">
        <f t="shared" si="2"/>
        <v>2015998.5630960329</v>
      </c>
      <c r="AV28" s="9" t="s">
        <v>152</v>
      </c>
      <c r="AW28" s="12" t="s">
        <v>153</v>
      </c>
      <c r="AX28" s="10">
        <v>0</v>
      </c>
      <c r="AY28">
        <f>S28*AU28/AS28</f>
        <v>1897410.4123256782</v>
      </c>
      <c r="AZ28">
        <f>AU28-AY28</f>
        <v>118588.15077035478</v>
      </c>
      <c r="BA28" s="10">
        <v>4800000</v>
      </c>
      <c r="BB28" s="10">
        <v>0</v>
      </c>
      <c r="BC28" s="9" t="s">
        <v>42</v>
      </c>
      <c r="BD28" s="9">
        <v>10421</v>
      </c>
      <c r="BE28" t="s">
        <v>46</v>
      </c>
    </row>
    <row r="29" spans="1:57" ht="270.75" thickBot="1" x14ac:dyDescent="0.3">
      <c r="A29" s="9" t="s">
        <v>154</v>
      </c>
      <c r="B29" s="9">
        <v>3001</v>
      </c>
      <c r="C29" s="10">
        <v>2</v>
      </c>
      <c r="D29" s="9" t="s">
        <v>37</v>
      </c>
      <c r="E29" s="11">
        <v>46214.76507681713</v>
      </c>
      <c r="F29" s="9" t="s">
        <v>155</v>
      </c>
      <c r="G29" s="9" t="s">
        <v>39</v>
      </c>
      <c r="H29" s="9">
        <v>53</v>
      </c>
      <c r="I29" s="9" t="s">
        <v>40</v>
      </c>
      <c r="J29" s="9">
        <v>5309</v>
      </c>
      <c r="K29" s="9" t="s">
        <v>41</v>
      </c>
      <c r="L29" s="9">
        <v>5309062</v>
      </c>
      <c r="M29" s="9">
        <v>5309062009</v>
      </c>
      <c r="N29" s="9" t="s">
        <v>42</v>
      </c>
      <c r="O29" s="9">
        <v>10421</v>
      </c>
      <c r="P29" s="9" t="s">
        <v>156</v>
      </c>
      <c r="Q29" s="10">
        <v>6</v>
      </c>
      <c r="R29" s="10">
        <v>1050000</v>
      </c>
      <c r="S29" s="10">
        <v>300000</v>
      </c>
      <c r="T29" s="10">
        <v>0</v>
      </c>
      <c r="U29" s="10">
        <v>400000</v>
      </c>
      <c r="V29" s="10">
        <v>0</v>
      </c>
      <c r="W29" s="10">
        <v>1750000</v>
      </c>
      <c r="X29" s="10">
        <v>7200000</v>
      </c>
      <c r="Y29" s="10">
        <v>0</v>
      </c>
      <c r="Z29" s="10">
        <v>6500000</v>
      </c>
      <c r="AA29" s="10">
        <v>5400000</v>
      </c>
      <c r="AB29" s="10">
        <v>7200000</v>
      </c>
      <c r="AC29" s="10">
        <v>0</v>
      </c>
      <c r="AD29" s="9" t="s">
        <v>44</v>
      </c>
      <c r="AE29" s="10" t="s">
        <v>2246</v>
      </c>
      <c r="AF29" s="10">
        <v>1200000</v>
      </c>
      <c r="AG29" s="10">
        <v>1</v>
      </c>
      <c r="AH29" s="10">
        <v>1</v>
      </c>
      <c r="AI29" s="10">
        <v>1</v>
      </c>
      <c r="AJ29" s="12" t="s">
        <v>157</v>
      </c>
      <c r="AK29" s="10">
        <v>0</v>
      </c>
      <c r="AL29" s="10">
        <v>0</v>
      </c>
      <c r="AM29" s="9">
        <v>2024</v>
      </c>
      <c r="AN29" s="10">
        <v>5</v>
      </c>
      <c r="AO29" s="10">
        <v>1</v>
      </c>
      <c r="AP29" s="6"/>
      <c r="AQ29" s="7"/>
      <c r="AR29" s="8"/>
      <c r="AS29" s="4">
        <f t="shared" si="0"/>
        <v>700000</v>
      </c>
      <c r="AT29" s="4">
        <f t="shared" si="1"/>
        <v>4175998.972061791</v>
      </c>
      <c r="AU29" s="4">
        <f t="shared" si="2"/>
        <v>3024001.027938209</v>
      </c>
      <c r="AV29" s="9" t="s">
        <v>156</v>
      </c>
      <c r="AW29" s="12" t="s">
        <v>157</v>
      </c>
      <c r="AX29" s="10">
        <v>0</v>
      </c>
      <c r="AY29">
        <f>S29*AU29/AS29</f>
        <v>1296000.4405449466</v>
      </c>
      <c r="AZ29">
        <f>AU29-AY29</f>
        <v>1728000.5873932624</v>
      </c>
      <c r="BA29" s="10">
        <v>7200000</v>
      </c>
      <c r="BB29" s="10">
        <v>0</v>
      </c>
      <c r="BC29" s="9" t="s">
        <v>42</v>
      </c>
      <c r="BD29" s="9">
        <v>10421</v>
      </c>
      <c r="BE29" t="s">
        <v>46</v>
      </c>
    </row>
    <row r="30" spans="1:57" ht="270.75" thickBot="1" x14ac:dyDescent="0.3">
      <c r="A30" s="9" t="s">
        <v>158</v>
      </c>
      <c r="B30" s="9">
        <v>3001</v>
      </c>
      <c r="C30" s="10">
        <v>2</v>
      </c>
      <c r="D30" s="9" t="s">
        <v>37</v>
      </c>
      <c r="E30" s="11">
        <v>46262.248297731479</v>
      </c>
      <c r="F30" s="9" t="s">
        <v>159</v>
      </c>
      <c r="G30" s="9" t="s">
        <v>39</v>
      </c>
      <c r="H30" s="9">
        <v>53</v>
      </c>
      <c r="I30" s="9" t="s">
        <v>40</v>
      </c>
      <c r="J30" s="9">
        <v>5309</v>
      </c>
      <c r="K30" s="9" t="s">
        <v>41</v>
      </c>
      <c r="L30" s="9">
        <v>5309073</v>
      </c>
      <c r="M30" s="9">
        <v>5309073003</v>
      </c>
      <c r="N30" s="9" t="s">
        <v>42</v>
      </c>
      <c r="O30" s="9">
        <v>10421</v>
      </c>
      <c r="P30" s="9" t="s">
        <v>160</v>
      </c>
      <c r="Q30" s="10">
        <v>3</v>
      </c>
      <c r="R30" s="10">
        <v>700000</v>
      </c>
      <c r="S30" s="10">
        <v>425000</v>
      </c>
      <c r="T30" s="10">
        <v>0</v>
      </c>
      <c r="U30" s="10">
        <v>0</v>
      </c>
      <c r="V30" s="10">
        <v>0</v>
      </c>
      <c r="W30" s="10">
        <v>1125000</v>
      </c>
      <c r="X30" s="10">
        <v>8880000</v>
      </c>
      <c r="Y30" s="10">
        <v>0</v>
      </c>
      <c r="Z30" s="10">
        <v>8455000</v>
      </c>
      <c r="AA30" s="10">
        <v>1500000</v>
      </c>
      <c r="AB30" s="10">
        <v>8880000</v>
      </c>
      <c r="AC30" s="10">
        <v>0</v>
      </c>
      <c r="AD30" s="9" t="s">
        <v>44</v>
      </c>
      <c r="AE30" s="10" t="s">
        <v>2247</v>
      </c>
      <c r="AF30" s="10">
        <v>2960000</v>
      </c>
      <c r="AG30" s="10">
        <v>1</v>
      </c>
      <c r="AH30" s="10">
        <v>1</v>
      </c>
      <c r="AI30" s="10">
        <v>1</v>
      </c>
      <c r="AJ30" s="12" t="s">
        <v>161</v>
      </c>
      <c r="AK30" s="10">
        <v>0</v>
      </c>
      <c r="AL30" s="10">
        <v>0</v>
      </c>
      <c r="AM30" s="9">
        <v>2020</v>
      </c>
      <c r="AN30" s="10">
        <v>2</v>
      </c>
      <c r="AO30" s="10">
        <v>1</v>
      </c>
      <c r="AP30" s="6"/>
      <c r="AQ30" s="7"/>
      <c r="AR30" s="8"/>
      <c r="AS30" s="4">
        <f t="shared" si="0"/>
        <v>425000</v>
      </c>
      <c r="AT30" s="4">
        <f t="shared" si="1"/>
        <v>5150398.0507068289</v>
      </c>
      <c r="AU30" s="4">
        <f t="shared" si="2"/>
        <v>3729601.9492931711</v>
      </c>
      <c r="AV30" s="9" t="s">
        <v>160</v>
      </c>
      <c r="AW30" s="12" t="s">
        <v>161</v>
      </c>
      <c r="AX30" s="10">
        <v>0</v>
      </c>
      <c r="AY30">
        <f>S30*AU30/AS30</f>
        <v>3729601.9492931711</v>
      </c>
      <c r="AZ30">
        <f>AU30-AY30</f>
        <v>0</v>
      </c>
      <c r="BA30" s="10">
        <v>8880000</v>
      </c>
      <c r="BB30" s="10">
        <v>0</v>
      </c>
      <c r="BC30" s="9" t="s">
        <v>42</v>
      </c>
      <c r="BD30" s="9">
        <v>10421</v>
      </c>
      <c r="BE30" t="s">
        <v>46</v>
      </c>
    </row>
    <row r="31" spans="1:57" ht="270.75" thickBot="1" x14ac:dyDescent="0.3">
      <c r="A31" s="9" t="s">
        <v>162</v>
      </c>
      <c r="B31" s="9">
        <v>3001</v>
      </c>
      <c r="C31" s="10">
        <v>2</v>
      </c>
      <c r="D31" s="9" t="s">
        <v>37</v>
      </c>
      <c r="E31" s="14">
        <v>46215.96603009259</v>
      </c>
      <c r="F31" s="9" t="s">
        <v>163</v>
      </c>
      <c r="G31" s="9" t="s">
        <v>39</v>
      </c>
      <c r="H31" s="9">
        <v>53</v>
      </c>
      <c r="I31" s="9" t="s">
        <v>40</v>
      </c>
      <c r="J31" s="9">
        <v>5309</v>
      </c>
      <c r="K31" s="9" t="s">
        <v>41</v>
      </c>
      <c r="L31" s="9">
        <v>5309062</v>
      </c>
      <c r="M31" s="9">
        <v>5309062007</v>
      </c>
      <c r="N31" s="9" t="s">
        <v>42</v>
      </c>
      <c r="O31" s="9">
        <v>10421</v>
      </c>
      <c r="P31" s="9" t="s">
        <v>164</v>
      </c>
      <c r="Q31" s="10">
        <v>4</v>
      </c>
      <c r="R31" s="10">
        <v>0</v>
      </c>
      <c r="S31" s="10">
        <v>150000</v>
      </c>
      <c r="T31" s="10">
        <v>0</v>
      </c>
      <c r="U31" s="10">
        <v>200000</v>
      </c>
      <c r="V31" s="10">
        <v>0</v>
      </c>
      <c r="W31" s="10">
        <v>350000</v>
      </c>
      <c r="X31" s="10">
        <v>2400000</v>
      </c>
      <c r="Y31" s="10">
        <v>0</v>
      </c>
      <c r="Z31" s="10">
        <v>2050000</v>
      </c>
      <c r="AA31" s="10">
        <v>4800000</v>
      </c>
      <c r="AB31" s="10">
        <v>2400000</v>
      </c>
      <c r="AC31" s="10">
        <v>0</v>
      </c>
      <c r="AD31" s="9" t="s">
        <v>44</v>
      </c>
      <c r="AE31" s="10" t="s">
        <v>2248</v>
      </c>
      <c r="AF31" s="10">
        <v>600000</v>
      </c>
      <c r="AG31" s="10">
        <v>1</v>
      </c>
      <c r="AH31" s="10">
        <v>1</v>
      </c>
      <c r="AI31" s="10">
        <v>1</v>
      </c>
      <c r="AJ31" s="12" t="s">
        <v>165</v>
      </c>
      <c r="AK31" s="10">
        <v>0</v>
      </c>
      <c r="AL31" s="10">
        <v>0</v>
      </c>
      <c r="AM31" s="9">
        <v>1999</v>
      </c>
      <c r="AN31" s="10">
        <v>0</v>
      </c>
      <c r="AO31" s="10">
        <v>4</v>
      </c>
      <c r="AP31" s="6"/>
      <c r="AQ31" s="7"/>
      <c r="AR31" s="8"/>
      <c r="AS31" s="4">
        <f t="shared" si="0"/>
        <v>350000</v>
      </c>
      <c r="AT31" s="4">
        <f t="shared" si="1"/>
        <v>1391999.4567806998</v>
      </c>
      <c r="AU31" s="4">
        <f t="shared" si="2"/>
        <v>1008000.5432193002</v>
      </c>
      <c r="AV31" s="9" t="s">
        <v>164</v>
      </c>
      <c r="AW31" s="12" t="s">
        <v>165</v>
      </c>
      <c r="AX31" s="10">
        <v>0</v>
      </c>
      <c r="AY31">
        <f>S31*AU31/AS31</f>
        <v>432000.23280827148</v>
      </c>
      <c r="AZ31">
        <f>AU31-AY31</f>
        <v>576000.3104110288</v>
      </c>
      <c r="BA31" s="10">
        <v>2400000</v>
      </c>
      <c r="BB31" s="10">
        <v>0</v>
      </c>
      <c r="BC31" s="9" t="s">
        <v>42</v>
      </c>
      <c r="BD31" s="9">
        <v>10421</v>
      </c>
      <c r="BE31" t="s">
        <v>46</v>
      </c>
    </row>
    <row r="32" spans="1:57" ht="270.75" thickBot="1" x14ac:dyDescent="0.3">
      <c r="A32" s="9" t="s">
        <v>166</v>
      </c>
      <c r="B32" s="9">
        <v>1002</v>
      </c>
      <c r="C32" s="10">
        <v>2</v>
      </c>
      <c r="D32" s="9" t="s">
        <v>84</v>
      </c>
      <c r="E32" s="11">
        <v>46314.313724120373</v>
      </c>
      <c r="F32" s="9" t="s">
        <v>167</v>
      </c>
      <c r="G32" s="9" t="s">
        <v>39</v>
      </c>
      <c r="H32" s="9">
        <v>53</v>
      </c>
      <c r="I32" s="9" t="s">
        <v>40</v>
      </c>
      <c r="J32" s="9">
        <v>5309</v>
      </c>
      <c r="K32" s="9" t="s">
        <v>41</v>
      </c>
      <c r="L32" s="9">
        <v>5309073</v>
      </c>
      <c r="M32" s="9">
        <v>5309073001</v>
      </c>
      <c r="N32" s="9" t="s">
        <v>42</v>
      </c>
      <c r="O32" s="9">
        <v>10421</v>
      </c>
      <c r="P32" s="9" t="s">
        <v>168</v>
      </c>
      <c r="Q32" s="10">
        <v>2</v>
      </c>
      <c r="R32" s="10">
        <v>100000</v>
      </c>
      <c r="S32" s="10">
        <v>150000</v>
      </c>
      <c r="T32" s="10">
        <v>0</v>
      </c>
      <c r="U32" s="10">
        <v>100000</v>
      </c>
      <c r="V32" s="10">
        <v>0</v>
      </c>
      <c r="W32" s="10">
        <v>350000</v>
      </c>
      <c r="X32" s="10">
        <v>2815000</v>
      </c>
      <c r="Y32" s="10">
        <v>0</v>
      </c>
      <c r="Z32" s="10">
        <v>2565000</v>
      </c>
      <c r="AA32" s="10">
        <v>20000000</v>
      </c>
      <c r="AB32" s="10">
        <v>2815000</v>
      </c>
      <c r="AC32" s="10">
        <v>0</v>
      </c>
      <c r="AD32" s="9" t="s">
        <v>44</v>
      </c>
      <c r="AE32" s="10" t="s">
        <v>2249</v>
      </c>
      <c r="AF32" s="10">
        <v>1407500</v>
      </c>
      <c r="AG32" s="10">
        <v>1</v>
      </c>
      <c r="AH32" s="10">
        <v>1</v>
      </c>
      <c r="AI32" s="10">
        <v>1</v>
      </c>
      <c r="AJ32" s="12" t="s">
        <v>2250</v>
      </c>
      <c r="AK32" s="10">
        <v>0</v>
      </c>
      <c r="AL32" s="10">
        <v>0</v>
      </c>
      <c r="AM32" s="9">
        <v>2001</v>
      </c>
      <c r="AN32" s="10">
        <v>1</v>
      </c>
      <c r="AO32" s="10">
        <v>1</v>
      </c>
      <c r="AP32" s="6"/>
      <c r="AQ32" s="7"/>
      <c r="AR32" s="8"/>
      <c r="AS32" s="4">
        <f t="shared" si="0"/>
        <v>250000</v>
      </c>
      <c r="AT32" s="4">
        <f t="shared" si="1"/>
        <v>1632700.0954795377</v>
      </c>
      <c r="AU32" s="4">
        <f t="shared" si="2"/>
        <v>1182299.9045204623</v>
      </c>
      <c r="AV32" s="9" t="s">
        <v>168</v>
      </c>
      <c r="AW32" s="12" t="s">
        <v>2250</v>
      </c>
      <c r="AX32" s="10">
        <v>0</v>
      </c>
      <c r="AY32">
        <f>S32*AU32/AS32</f>
        <v>709379.94271227729</v>
      </c>
      <c r="AZ32">
        <f>AU32-AY32</f>
        <v>472919.96180818498</v>
      </c>
      <c r="BA32" s="10">
        <v>2815000</v>
      </c>
      <c r="BB32" s="10">
        <v>0</v>
      </c>
      <c r="BC32" s="9" t="s">
        <v>42</v>
      </c>
      <c r="BD32" s="9">
        <v>10421</v>
      </c>
      <c r="BE32" t="s">
        <v>46</v>
      </c>
    </row>
    <row r="33" spans="1:57" ht="270.75" thickBot="1" x14ac:dyDescent="0.3">
      <c r="A33" s="9" t="s">
        <v>169</v>
      </c>
      <c r="B33" s="9">
        <v>3001</v>
      </c>
      <c r="C33" s="10">
        <v>2</v>
      </c>
      <c r="D33" s="9" t="s">
        <v>37</v>
      </c>
      <c r="E33" s="11">
        <v>46224.264150347219</v>
      </c>
      <c r="F33" s="9" t="s">
        <v>170</v>
      </c>
      <c r="G33" s="9" t="s">
        <v>39</v>
      </c>
      <c r="H33" s="9">
        <v>53</v>
      </c>
      <c r="I33" s="9" t="s">
        <v>40</v>
      </c>
      <c r="J33" s="9">
        <v>5309</v>
      </c>
      <c r="K33" s="9" t="s">
        <v>41</v>
      </c>
      <c r="L33" s="9">
        <v>5309062</v>
      </c>
      <c r="M33" s="9">
        <v>5309062006</v>
      </c>
      <c r="N33" s="9" t="s">
        <v>42</v>
      </c>
      <c r="O33" s="9">
        <v>10421</v>
      </c>
      <c r="P33" s="9" t="s">
        <v>171</v>
      </c>
      <c r="Q33" s="10">
        <v>2</v>
      </c>
      <c r="R33" s="10">
        <v>0</v>
      </c>
      <c r="S33" s="10">
        <v>300000</v>
      </c>
      <c r="T33" s="10">
        <v>0</v>
      </c>
      <c r="U33" s="10">
        <v>200000</v>
      </c>
      <c r="V33" s="10">
        <v>0</v>
      </c>
      <c r="W33" s="10">
        <v>500000</v>
      </c>
      <c r="X33" s="10">
        <v>4410000</v>
      </c>
      <c r="Y33" s="10">
        <v>0</v>
      </c>
      <c r="Z33" s="10">
        <v>3910000</v>
      </c>
      <c r="AA33" s="10">
        <v>3500000</v>
      </c>
      <c r="AB33" s="10">
        <v>4410000</v>
      </c>
      <c r="AC33" s="10">
        <v>0</v>
      </c>
      <c r="AD33" s="9" t="s">
        <v>44</v>
      </c>
      <c r="AE33" s="10" t="s">
        <v>2251</v>
      </c>
      <c r="AF33" s="10">
        <v>2205000</v>
      </c>
      <c r="AG33" s="10">
        <v>1</v>
      </c>
      <c r="AH33" s="10">
        <v>1</v>
      </c>
      <c r="AI33" s="10">
        <v>1</v>
      </c>
      <c r="AJ33" s="12" t="s">
        <v>172</v>
      </c>
      <c r="AK33" s="10">
        <v>0</v>
      </c>
      <c r="AL33" s="10">
        <v>0</v>
      </c>
      <c r="AM33" s="9">
        <v>2012</v>
      </c>
      <c r="AN33" s="10">
        <v>0</v>
      </c>
      <c r="AO33" s="10">
        <v>2</v>
      </c>
      <c r="AP33" s="6"/>
      <c r="AQ33" s="7"/>
      <c r="AR33" s="8"/>
      <c r="AS33" s="4">
        <f t="shared" si="0"/>
        <v>500000</v>
      </c>
      <c r="AT33" s="4">
        <f t="shared" si="1"/>
        <v>2557800.9092949526</v>
      </c>
      <c r="AU33" s="4">
        <f t="shared" si="2"/>
        <v>1852199.0907050474</v>
      </c>
      <c r="AV33" s="9" t="s">
        <v>171</v>
      </c>
      <c r="AW33" s="12" t="s">
        <v>172</v>
      </c>
      <c r="AX33" s="10">
        <v>0</v>
      </c>
      <c r="AY33">
        <f>S33*AU33/AS33</f>
        <v>1111319.4544230283</v>
      </c>
      <c r="AZ33">
        <f>AU33-AY33</f>
        <v>740879.63628201908</v>
      </c>
      <c r="BA33" s="10">
        <v>4410000</v>
      </c>
      <c r="BB33" s="10">
        <v>0</v>
      </c>
      <c r="BC33" s="9" t="s">
        <v>42</v>
      </c>
      <c r="BD33" s="9">
        <v>10421</v>
      </c>
      <c r="BE33" t="s">
        <v>46</v>
      </c>
    </row>
    <row r="34" spans="1:57" ht="270.75" thickBot="1" x14ac:dyDescent="0.3">
      <c r="A34" s="9" t="s">
        <v>173</v>
      </c>
      <c r="B34" s="9">
        <v>3001</v>
      </c>
      <c r="C34" s="10">
        <v>2</v>
      </c>
      <c r="D34" s="9" t="s">
        <v>84</v>
      </c>
      <c r="E34" s="11">
        <v>46316.99522261574</v>
      </c>
      <c r="F34" s="9" t="s">
        <v>174</v>
      </c>
      <c r="G34" s="9" t="s">
        <v>39</v>
      </c>
      <c r="H34" s="9">
        <v>53</v>
      </c>
      <c r="I34" s="9" t="s">
        <v>40</v>
      </c>
      <c r="J34" s="9">
        <v>5309</v>
      </c>
      <c r="K34" s="9" t="s">
        <v>41</v>
      </c>
      <c r="L34" s="9">
        <v>5309073</v>
      </c>
      <c r="M34" s="9">
        <v>5309073001</v>
      </c>
      <c r="N34" s="9" t="s">
        <v>42</v>
      </c>
      <c r="O34" s="9">
        <v>10421</v>
      </c>
      <c r="P34" s="9" t="s">
        <v>175</v>
      </c>
      <c r="Q34" s="10">
        <v>3</v>
      </c>
      <c r="R34" s="10">
        <v>0</v>
      </c>
      <c r="S34" s="10">
        <v>150000</v>
      </c>
      <c r="T34" s="10">
        <v>0</v>
      </c>
      <c r="U34" s="10">
        <v>180000</v>
      </c>
      <c r="V34" s="10">
        <v>0</v>
      </c>
      <c r="W34" s="10">
        <v>330000</v>
      </c>
      <c r="X34" s="10">
        <v>7500000</v>
      </c>
      <c r="Y34" s="10">
        <v>0</v>
      </c>
      <c r="Z34" s="10">
        <v>7170000</v>
      </c>
      <c r="AA34" s="10">
        <v>13000000</v>
      </c>
      <c r="AB34" s="10">
        <v>7500000</v>
      </c>
      <c r="AC34" s="10">
        <v>0</v>
      </c>
      <c r="AD34" s="9" t="s">
        <v>44</v>
      </c>
      <c r="AE34" s="10" t="s">
        <v>2252</v>
      </c>
      <c r="AF34" s="10">
        <v>2500000</v>
      </c>
      <c r="AG34" s="10">
        <v>1</v>
      </c>
      <c r="AH34" s="10">
        <v>1</v>
      </c>
      <c r="AI34" s="10">
        <v>1</v>
      </c>
      <c r="AJ34" s="12" t="s">
        <v>176</v>
      </c>
      <c r="AK34" s="10">
        <v>0</v>
      </c>
      <c r="AL34" s="10">
        <v>0</v>
      </c>
      <c r="AM34" s="9">
        <v>2002</v>
      </c>
      <c r="AN34" s="10">
        <v>0</v>
      </c>
      <c r="AO34" s="10">
        <v>3</v>
      </c>
      <c r="AP34" s="6"/>
      <c r="AQ34" s="7"/>
      <c r="AR34" s="8"/>
      <c r="AS34" s="4">
        <f t="shared" si="0"/>
        <v>330000</v>
      </c>
      <c r="AT34" s="4">
        <f t="shared" si="1"/>
        <v>4350000</v>
      </c>
      <c r="AU34" s="4">
        <f t="shared" si="2"/>
        <v>3150000</v>
      </c>
      <c r="AV34" s="9" t="s">
        <v>175</v>
      </c>
      <c r="AW34" s="12" t="s">
        <v>176</v>
      </c>
      <c r="AX34" s="10">
        <v>0</v>
      </c>
      <c r="AY34">
        <f>S34*AU34/AS34</f>
        <v>1431818.1818181819</v>
      </c>
      <c r="AZ34">
        <f>AU34-AY34</f>
        <v>1718181.8181818181</v>
      </c>
      <c r="BA34" s="10">
        <v>7500000</v>
      </c>
      <c r="BB34" s="10">
        <v>0</v>
      </c>
      <c r="BC34" s="9" t="s">
        <v>42</v>
      </c>
      <c r="BD34" s="9">
        <v>10421</v>
      </c>
      <c r="BE34" t="s">
        <v>46</v>
      </c>
    </row>
    <row r="35" spans="1:57" ht="270.75" thickBot="1" x14ac:dyDescent="0.3">
      <c r="A35" s="9" t="s">
        <v>177</v>
      </c>
      <c r="B35" s="9">
        <v>3001</v>
      </c>
      <c r="C35" s="10">
        <v>2</v>
      </c>
      <c r="D35" s="9" t="s">
        <v>37</v>
      </c>
      <c r="E35" s="11">
        <v>46264.119927175925</v>
      </c>
      <c r="F35" s="9" t="s">
        <v>178</v>
      </c>
      <c r="G35" s="9" t="s">
        <v>39</v>
      </c>
      <c r="H35" s="9">
        <v>53</v>
      </c>
      <c r="I35" s="9" t="s">
        <v>40</v>
      </c>
      <c r="J35" s="9">
        <v>5309</v>
      </c>
      <c r="K35" s="9" t="s">
        <v>41</v>
      </c>
      <c r="L35" s="9">
        <v>5309074</v>
      </c>
      <c r="M35" s="9">
        <v>5309074006</v>
      </c>
      <c r="N35" s="9" t="s">
        <v>42</v>
      </c>
      <c r="O35" s="9">
        <v>10421</v>
      </c>
      <c r="P35" s="9" t="s">
        <v>49</v>
      </c>
      <c r="Q35" s="10">
        <v>1</v>
      </c>
      <c r="R35" s="10">
        <v>0</v>
      </c>
      <c r="S35" s="10">
        <v>150000</v>
      </c>
      <c r="T35" s="10">
        <v>0</v>
      </c>
      <c r="U35" s="10">
        <v>100000</v>
      </c>
      <c r="V35" s="10">
        <v>0</v>
      </c>
      <c r="W35" s="10">
        <v>250000</v>
      </c>
      <c r="X35" s="10">
        <v>3240000</v>
      </c>
      <c r="Y35" s="10">
        <v>0</v>
      </c>
      <c r="Z35" s="10">
        <v>2990000</v>
      </c>
      <c r="AA35" s="10">
        <v>2000000</v>
      </c>
      <c r="AB35" s="10">
        <v>3240000</v>
      </c>
      <c r="AC35" s="10">
        <v>0</v>
      </c>
      <c r="AD35" s="9" t="s">
        <v>44</v>
      </c>
      <c r="AE35" s="10" t="s">
        <v>2253</v>
      </c>
      <c r="AF35" s="10">
        <v>3240000</v>
      </c>
      <c r="AG35" s="10">
        <v>1</v>
      </c>
      <c r="AH35" s="10">
        <v>1</v>
      </c>
      <c r="AI35" s="10">
        <v>1</v>
      </c>
      <c r="AJ35" s="12" t="s">
        <v>179</v>
      </c>
      <c r="AK35" s="10">
        <v>0</v>
      </c>
      <c r="AL35" s="10">
        <v>0</v>
      </c>
      <c r="AM35" s="9">
        <v>2000</v>
      </c>
      <c r="AN35" s="10">
        <v>0</v>
      </c>
      <c r="AO35" s="10">
        <v>1</v>
      </c>
      <c r="AP35" s="6"/>
      <c r="AQ35" s="7"/>
      <c r="AR35" s="8"/>
      <c r="AS35" s="4">
        <f t="shared" si="0"/>
        <v>250000</v>
      </c>
      <c r="AT35" s="4">
        <f t="shared" si="1"/>
        <v>1879198.9944085646</v>
      </c>
      <c r="AU35" s="4">
        <f t="shared" si="2"/>
        <v>1360801.0055914354</v>
      </c>
      <c r="AV35" s="9" t="s">
        <v>49</v>
      </c>
      <c r="AW35" s="12" t="s">
        <v>179</v>
      </c>
      <c r="AX35" s="10">
        <v>0</v>
      </c>
      <c r="AY35">
        <f>S35*AU35/AS35</f>
        <v>816480.60335486126</v>
      </c>
      <c r="AZ35">
        <f>AU35-AY35</f>
        <v>544320.4022365741</v>
      </c>
      <c r="BA35" s="10">
        <v>3240000</v>
      </c>
      <c r="BB35" s="10">
        <v>0</v>
      </c>
      <c r="BC35" s="9" t="s">
        <v>42</v>
      </c>
      <c r="BD35" s="9">
        <v>10421</v>
      </c>
      <c r="BE35" t="s">
        <v>46</v>
      </c>
    </row>
    <row r="36" spans="1:57" ht="270.75" thickBot="1" x14ac:dyDescent="0.3">
      <c r="A36" s="9" t="s">
        <v>180</v>
      </c>
      <c r="B36" s="9">
        <v>3002</v>
      </c>
      <c r="C36" s="10">
        <v>2</v>
      </c>
      <c r="D36" s="9" t="s">
        <v>37</v>
      </c>
      <c r="E36" s="11">
        <v>46263.032788946759</v>
      </c>
      <c r="F36" s="9" t="s">
        <v>181</v>
      </c>
      <c r="G36" s="9" t="s">
        <v>39</v>
      </c>
      <c r="H36" s="9">
        <v>53</v>
      </c>
      <c r="I36" s="9" t="s">
        <v>40</v>
      </c>
      <c r="J36" s="9">
        <v>5309</v>
      </c>
      <c r="K36" s="9" t="s">
        <v>41</v>
      </c>
      <c r="L36" s="9">
        <v>5309073</v>
      </c>
      <c r="M36" s="9">
        <v>5309073003</v>
      </c>
      <c r="N36" s="9" t="s">
        <v>42</v>
      </c>
      <c r="O36" s="9">
        <v>10421</v>
      </c>
      <c r="P36" s="9" t="s">
        <v>182</v>
      </c>
      <c r="Q36" s="10">
        <v>2</v>
      </c>
      <c r="R36" s="10">
        <v>400000</v>
      </c>
      <c r="S36" s="10">
        <v>200000</v>
      </c>
      <c r="T36" s="10">
        <v>0</v>
      </c>
      <c r="U36" s="10">
        <v>50000</v>
      </c>
      <c r="V36" s="10">
        <v>0</v>
      </c>
      <c r="W36" s="10">
        <v>650000</v>
      </c>
      <c r="X36" s="10">
        <v>4000000</v>
      </c>
      <c r="Y36" s="10">
        <v>0</v>
      </c>
      <c r="Z36" s="10">
        <v>3750000</v>
      </c>
      <c r="AA36" s="10">
        <v>1500000</v>
      </c>
      <c r="AB36" s="10">
        <v>4000000</v>
      </c>
      <c r="AC36" s="10">
        <v>0</v>
      </c>
      <c r="AD36" s="9" t="s">
        <v>44</v>
      </c>
      <c r="AE36" s="10" t="s">
        <v>2254</v>
      </c>
      <c r="AF36" s="10">
        <v>2000000</v>
      </c>
      <c r="AG36" s="10">
        <v>1</v>
      </c>
      <c r="AH36" s="10">
        <v>1</v>
      </c>
      <c r="AI36" s="10">
        <v>1</v>
      </c>
      <c r="AJ36" s="12" t="s">
        <v>183</v>
      </c>
      <c r="AK36" s="10">
        <v>0</v>
      </c>
      <c r="AL36" s="10">
        <v>0</v>
      </c>
      <c r="AM36" s="9">
        <v>2022</v>
      </c>
      <c r="AN36" s="10">
        <v>1</v>
      </c>
      <c r="AO36" s="10">
        <v>1</v>
      </c>
      <c r="AP36" s="6"/>
      <c r="AQ36" s="7"/>
      <c r="AR36" s="8"/>
      <c r="AS36" s="4">
        <f t="shared" si="0"/>
        <v>250000</v>
      </c>
      <c r="AT36" s="4">
        <f t="shared" si="1"/>
        <v>2320000</v>
      </c>
      <c r="AU36" s="4">
        <f t="shared" si="2"/>
        <v>1680000</v>
      </c>
      <c r="AV36" s="9" t="s">
        <v>182</v>
      </c>
      <c r="AW36" s="12" t="s">
        <v>183</v>
      </c>
      <c r="AX36" s="10">
        <v>0</v>
      </c>
      <c r="AY36">
        <f>S36*AU36/AS36</f>
        <v>1344000</v>
      </c>
      <c r="AZ36">
        <f>AU36-AY36</f>
        <v>336000</v>
      </c>
      <c r="BA36" s="10">
        <v>4000000</v>
      </c>
      <c r="BB36" s="10">
        <v>0</v>
      </c>
      <c r="BC36" s="9" t="s">
        <v>42</v>
      </c>
      <c r="BD36" s="9">
        <v>10421</v>
      </c>
      <c r="BE36" t="s">
        <v>46</v>
      </c>
    </row>
    <row r="37" spans="1:57" ht="270.75" thickBot="1" x14ac:dyDescent="0.3">
      <c r="A37" s="9" t="s">
        <v>184</v>
      </c>
      <c r="B37" s="9">
        <v>3001</v>
      </c>
      <c r="C37" s="10">
        <v>2</v>
      </c>
      <c r="D37" s="9" t="s">
        <v>37</v>
      </c>
      <c r="E37" s="14">
        <v>46214.607083333336</v>
      </c>
      <c r="F37" s="9" t="s">
        <v>185</v>
      </c>
      <c r="G37" s="9" t="s">
        <v>39</v>
      </c>
      <c r="H37" s="9">
        <v>53</v>
      </c>
      <c r="I37" s="9" t="s">
        <v>40</v>
      </c>
      <c r="J37" s="9">
        <v>5309</v>
      </c>
      <c r="K37" s="9" t="s">
        <v>41</v>
      </c>
      <c r="L37" s="9">
        <v>5309062</v>
      </c>
      <c r="M37" s="9">
        <v>5309062008</v>
      </c>
      <c r="N37" s="9" t="s">
        <v>42</v>
      </c>
      <c r="O37" s="9">
        <v>10421</v>
      </c>
      <c r="P37" s="9" t="s">
        <v>186</v>
      </c>
      <c r="Q37" s="10">
        <v>6</v>
      </c>
      <c r="R37" s="10">
        <v>600000</v>
      </c>
      <c r="S37" s="10">
        <v>100000</v>
      </c>
      <c r="T37" s="10">
        <v>0</v>
      </c>
      <c r="U37" s="10">
        <v>100000</v>
      </c>
      <c r="V37" s="10">
        <v>0</v>
      </c>
      <c r="W37" s="10">
        <v>800000</v>
      </c>
      <c r="X37" s="10">
        <v>3400000</v>
      </c>
      <c r="Y37" s="10">
        <v>0</v>
      </c>
      <c r="Z37" s="10">
        <v>3200000</v>
      </c>
      <c r="AA37" s="10">
        <v>5050000</v>
      </c>
      <c r="AB37" s="10">
        <v>3400000</v>
      </c>
      <c r="AC37" s="10">
        <v>0</v>
      </c>
      <c r="AD37" s="9" t="s">
        <v>44</v>
      </c>
      <c r="AE37" s="10" t="s">
        <v>2255</v>
      </c>
      <c r="AF37" s="13">
        <v>5666666667</v>
      </c>
      <c r="AG37" s="10">
        <v>1</v>
      </c>
      <c r="AH37" s="10">
        <v>1</v>
      </c>
      <c r="AI37" s="10">
        <v>1</v>
      </c>
      <c r="AJ37" s="12" t="s">
        <v>187</v>
      </c>
      <c r="AK37" s="10">
        <v>0</v>
      </c>
      <c r="AL37" s="10">
        <v>0</v>
      </c>
      <c r="AM37" s="9">
        <v>2005</v>
      </c>
      <c r="AN37" s="10">
        <v>4</v>
      </c>
      <c r="AO37" s="10">
        <v>2</v>
      </c>
      <c r="AP37" s="6"/>
      <c r="AQ37" s="7"/>
      <c r="AR37" s="8"/>
      <c r="AS37" s="4">
        <f t="shared" si="0"/>
        <v>200000</v>
      </c>
      <c r="AT37" s="4">
        <f t="shared" si="1"/>
        <v>1972000.9860004927</v>
      </c>
      <c r="AU37" s="4">
        <f t="shared" si="2"/>
        <v>1427999.0139995073</v>
      </c>
      <c r="AV37" s="9" t="s">
        <v>186</v>
      </c>
      <c r="AW37" s="12" t="s">
        <v>187</v>
      </c>
      <c r="AX37" s="10">
        <v>0</v>
      </c>
      <c r="AY37">
        <f>S37*AU37/AS37</f>
        <v>713999.50699975376</v>
      </c>
      <c r="AZ37">
        <f>AU37-AY37</f>
        <v>713999.50699975353</v>
      </c>
      <c r="BA37" s="10">
        <v>3400000</v>
      </c>
      <c r="BB37" s="10">
        <v>0</v>
      </c>
      <c r="BC37" s="9" t="s">
        <v>42</v>
      </c>
      <c r="BD37" s="9">
        <v>10421</v>
      </c>
      <c r="BE37" t="s">
        <v>46</v>
      </c>
    </row>
    <row r="38" spans="1:57" ht="270.75" thickBot="1" x14ac:dyDescent="0.3">
      <c r="A38" s="9" t="s">
        <v>188</v>
      </c>
      <c r="B38" s="9">
        <v>3001</v>
      </c>
      <c r="C38" s="10">
        <v>2</v>
      </c>
      <c r="D38" s="9" t="s">
        <v>37</v>
      </c>
      <c r="E38" s="14">
        <v>46236.200208333335</v>
      </c>
      <c r="F38" s="9" t="s">
        <v>189</v>
      </c>
      <c r="G38" s="9" t="s">
        <v>39</v>
      </c>
      <c r="H38" s="9">
        <v>53</v>
      </c>
      <c r="I38" s="9" t="s">
        <v>40</v>
      </c>
      <c r="J38" s="9">
        <v>5309</v>
      </c>
      <c r="K38" s="9" t="s">
        <v>41</v>
      </c>
      <c r="L38" s="9">
        <v>5309062</v>
      </c>
      <c r="M38" s="9">
        <v>5309062002</v>
      </c>
      <c r="N38" s="9" t="s">
        <v>42</v>
      </c>
      <c r="O38" s="9">
        <v>10421</v>
      </c>
      <c r="P38" s="9" t="s">
        <v>106</v>
      </c>
      <c r="Q38" s="10">
        <v>2</v>
      </c>
      <c r="R38" s="10">
        <v>0</v>
      </c>
      <c r="S38" s="10">
        <v>100000</v>
      </c>
      <c r="T38" s="10">
        <v>0</v>
      </c>
      <c r="U38" s="10">
        <v>500000</v>
      </c>
      <c r="V38" s="10">
        <v>0</v>
      </c>
      <c r="W38" s="10">
        <v>600000</v>
      </c>
      <c r="X38" s="10">
        <v>9000000</v>
      </c>
      <c r="Y38" s="10">
        <v>0</v>
      </c>
      <c r="Z38" s="10">
        <v>8400000</v>
      </c>
      <c r="AA38" s="10">
        <v>1000000</v>
      </c>
      <c r="AB38" s="10">
        <v>9000000</v>
      </c>
      <c r="AC38" s="10">
        <v>0</v>
      </c>
      <c r="AD38" s="9" t="s">
        <v>44</v>
      </c>
      <c r="AE38" s="10" t="s">
        <v>2228</v>
      </c>
      <c r="AF38" s="10">
        <v>4500000</v>
      </c>
      <c r="AG38" s="10">
        <v>1</v>
      </c>
      <c r="AH38" s="10">
        <v>1</v>
      </c>
      <c r="AI38" s="10">
        <v>1</v>
      </c>
      <c r="AJ38" s="12" t="s">
        <v>190</v>
      </c>
      <c r="AK38" s="10">
        <v>0</v>
      </c>
      <c r="AL38" s="10">
        <v>0</v>
      </c>
      <c r="AM38" s="9">
        <v>1999</v>
      </c>
      <c r="AN38" s="10">
        <v>0</v>
      </c>
      <c r="AO38" s="10">
        <v>2</v>
      </c>
      <c r="AP38" s="6"/>
      <c r="AQ38" s="7"/>
      <c r="AR38" s="8"/>
      <c r="AS38" s="4">
        <f t="shared" si="0"/>
        <v>600000</v>
      </c>
      <c r="AT38" s="4">
        <f t="shared" si="1"/>
        <v>5220001.8642863799</v>
      </c>
      <c r="AU38" s="4">
        <f t="shared" si="2"/>
        <v>3779998.1357136201</v>
      </c>
      <c r="AV38" s="9" t="s">
        <v>106</v>
      </c>
      <c r="AW38" s="12" t="s">
        <v>190</v>
      </c>
      <c r="AX38" s="10">
        <v>0</v>
      </c>
      <c r="AY38">
        <f>S38*AU38/AS38</f>
        <v>629999.68928560335</v>
      </c>
      <c r="AZ38">
        <f>AU38-AY38</f>
        <v>3149998.4464280168</v>
      </c>
      <c r="BA38" s="10">
        <v>9000000</v>
      </c>
      <c r="BB38" s="10">
        <v>0</v>
      </c>
      <c r="BC38" s="9" t="s">
        <v>42</v>
      </c>
      <c r="BD38" s="9">
        <v>10421</v>
      </c>
      <c r="BE38" t="s">
        <v>46</v>
      </c>
    </row>
    <row r="39" spans="1:57" ht="270.75" thickBot="1" x14ac:dyDescent="0.3">
      <c r="A39" s="9" t="s">
        <v>191</v>
      </c>
      <c r="B39" s="9">
        <v>3001</v>
      </c>
      <c r="C39" s="10">
        <v>2</v>
      </c>
      <c r="D39" s="9" t="s">
        <v>37</v>
      </c>
      <c r="E39" s="11">
        <v>46262.418256828707</v>
      </c>
      <c r="F39" s="9" t="s">
        <v>192</v>
      </c>
      <c r="G39" s="9" t="s">
        <v>39</v>
      </c>
      <c r="H39" s="9">
        <v>53</v>
      </c>
      <c r="I39" s="9" t="s">
        <v>40</v>
      </c>
      <c r="J39" s="9">
        <v>5309</v>
      </c>
      <c r="K39" s="9" t="s">
        <v>41</v>
      </c>
      <c r="L39" s="9">
        <v>5309060</v>
      </c>
      <c r="M39" s="9">
        <v>5309060041</v>
      </c>
      <c r="N39" s="9" t="s">
        <v>42</v>
      </c>
      <c r="O39" s="9">
        <v>10421</v>
      </c>
      <c r="P39" s="9" t="s">
        <v>49</v>
      </c>
      <c r="Q39" s="10">
        <v>11</v>
      </c>
      <c r="R39" s="10">
        <v>4000000</v>
      </c>
      <c r="S39" s="10">
        <v>10000000</v>
      </c>
      <c r="T39" s="10">
        <v>0</v>
      </c>
      <c r="U39" s="10">
        <v>1000000</v>
      </c>
      <c r="V39" s="10">
        <v>0</v>
      </c>
      <c r="W39" s="10">
        <v>15000000</v>
      </c>
      <c r="X39" s="10">
        <v>52000000</v>
      </c>
      <c r="Y39" s="10">
        <v>3500000</v>
      </c>
      <c r="Z39" s="10">
        <v>41000000</v>
      </c>
      <c r="AA39" s="10">
        <v>1600000</v>
      </c>
      <c r="AB39" s="10">
        <v>52000000</v>
      </c>
      <c r="AC39" s="10">
        <v>0</v>
      </c>
      <c r="AD39" s="9" t="s">
        <v>44</v>
      </c>
      <c r="AE39" s="10" t="s">
        <v>2256</v>
      </c>
      <c r="AF39" s="13">
        <v>4727272727</v>
      </c>
      <c r="AG39" s="10">
        <v>1</v>
      </c>
      <c r="AH39" s="10">
        <v>1</v>
      </c>
      <c r="AI39" s="10">
        <v>1</v>
      </c>
      <c r="AJ39" s="12" t="s">
        <v>193</v>
      </c>
      <c r="AK39" s="10">
        <v>0</v>
      </c>
      <c r="AL39" s="10">
        <v>0</v>
      </c>
      <c r="AM39" s="9">
        <v>2015</v>
      </c>
      <c r="AN39" s="10">
        <v>8</v>
      </c>
      <c r="AO39" s="10">
        <v>3</v>
      </c>
      <c r="AP39" s="6"/>
      <c r="AQ39" s="7"/>
      <c r="AR39" s="8"/>
      <c r="AS39" s="4">
        <f t="shared" si="0"/>
        <v>11000000</v>
      </c>
      <c r="AT39" s="4">
        <f t="shared" si="1"/>
        <v>30159982.34537619</v>
      </c>
      <c r="AU39" s="4">
        <f t="shared" si="2"/>
        <v>21840017.65462381</v>
      </c>
      <c r="AV39" s="9" t="s">
        <v>49</v>
      </c>
      <c r="AW39" s="12" t="s">
        <v>193</v>
      </c>
      <c r="AX39" s="10">
        <v>0</v>
      </c>
      <c r="AY39">
        <f>S39*AU39/AS39</f>
        <v>19854561.504203465</v>
      </c>
      <c r="AZ39">
        <f>AU39-AY39</f>
        <v>1985456.1504203454</v>
      </c>
      <c r="BA39" s="10">
        <v>52000000</v>
      </c>
      <c r="BB39" s="10">
        <v>3500000</v>
      </c>
      <c r="BC39" s="9" t="s">
        <v>42</v>
      </c>
      <c r="BD39" s="9">
        <v>10421</v>
      </c>
      <c r="BE39" t="s">
        <v>46</v>
      </c>
    </row>
    <row r="40" spans="1:57" ht="270.75" thickBot="1" x14ac:dyDescent="0.3">
      <c r="A40" s="9" t="s">
        <v>194</v>
      </c>
      <c r="B40" s="9">
        <v>3001</v>
      </c>
      <c r="C40" s="10">
        <v>2</v>
      </c>
      <c r="D40" s="9" t="s">
        <v>37</v>
      </c>
      <c r="E40" s="11">
        <v>46268.929521527774</v>
      </c>
      <c r="F40" s="9" t="s">
        <v>195</v>
      </c>
      <c r="G40" s="9" t="s">
        <v>39</v>
      </c>
      <c r="H40" s="9">
        <v>53</v>
      </c>
      <c r="I40" s="9" t="s">
        <v>40</v>
      </c>
      <c r="J40" s="9">
        <v>5309</v>
      </c>
      <c r="K40" s="9" t="s">
        <v>41</v>
      </c>
      <c r="L40" s="9">
        <v>5309073</v>
      </c>
      <c r="M40" s="9">
        <v>5309073019</v>
      </c>
      <c r="N40" s="9" t="s">
        <v>42</v>
      </c>
      <c r="O40" s="9">
        <v>10421</v>
      </c>
      <c r="P40" s="9" t="s">
        <v>196</v>
      </c>
      <c r="Q40" s="10">
        <v>2</v>
      </c>
      <c r="R40" s="10">
        <v>1440000</v>
      </c>
      <c r="S40" s="10">
        <v>250000</v>
      </c>
      <c r="T40" s="10">
        <v>0</v>
      </c>
      <c r="U40" s="10">
        <v>350000</v>
      </c>
      <c r="V40" s="10">
        <v>0</v>
      </c>
      <c r="W40" s="10">
        <v>2040000</v>
      </c>
      <c r="X40" s="10">
        <v>14400000</v>
      </c>
      <c r="Y40" s="10">
        <v>0</v>
      </c>
      <c r="Z40" s="10">
        <v>13800000</v>
      </c>
      <c r="AA40" s="10">
        <v>3500000</v>
      </c>
      <c r="AB40" s="10">
        <v>14400000</v>
      </c>
      <c r="AC40" s="10">
        <v>0</v>
      </c>
      <c r="AD40" s="9" t="s">
        <v>44</v>
      </c>
      <c r="AE40" s="10" t="s">
        <v>2257</v>
      </c>
      <c r="AF40" s="10">
        <v>7200000</v>
      </c>
      <c r="AG40" s="10">
        <v>1</v>
      </c>
      <c r="AH40" s="10">
        <v>1</v>
      </c>
      <c r="AI40" s="10">
        <v>1</v>
      </c>
      <c r="AJ40" s="12" t="s">
        <v>197</v>
      </c>
      <c r="AK40" s="10">
        <v>0</v>
      </c>
      <c r="AL40" s="10">
        <v>0</v>
      </c>
      <c r="AM40" s="9">
        <v>2015</v>
      </c>
      <c r="AN40" s="10">
        <v>1</v>
      </c>
      <c r="AO40" s="10">
        <v>1</v>
      </c>
      <c r="AP40" s="6"/>
      <c r="AQ40" s="7"/>
      <c r="AR40" s="8"/>
      <c r="AS40" s="4">
        <f t="shared" si="0"/>
        <v>600000</v>
      </c>
      <c r="AT40" s="4">
        <f t="shared" si="1"/>
        <v>8352002.9050444877</v>
      </c>
      <c r="AU40" s="4">
        <f t="shared" si="2"/>
        <v>6047997.0949555123</v>
      </c>
      <c r="AV40" s="9" t="s">
        <v>196</v>
      </c>
      <c r="AW40" s="12" t="s">
        <v>197</v>
      </c>
      <c r="AX40" s="10">
        <v>0</v>
      </c>
      <c r="AY40">
        <f>S40*AU40/AS40</f>
        <v>2519998.7895647972</v>
      </c>
      <c r="AZ40">
        <f>AU40-AY40</f>
        <v>3527998.3053907151</v>
      </c>
      <c r="BA40" s="10">
        <v>14400000</v>
      </c>
      <c r="BB40" s="10">
        <v>0</v>
      </c>
      <c r="BC40" s="9" t="s">
        <v>42</v>
      </c>
      <c r="BD40" s="9">
        <v>10421</v>
      </c>
      <c r="BE40" t="s">
        <v>46</v>
      </c>
    </row>
    <row r="41" spans="1:57" ht="270.75" thickBot="1" x14ac:dyDescent="0.3">
      <c r="A41" s="9" t="s">
        <v>198</v>
      </c>
      <c r="B41" s="9">
        <v>3001</v>
      </c>
      <c r="C41" s="10">
        <v>2</v>
      </c>
      <c r="D41" s="9" t="s">
        <v>37</v>
      </c>
      <c r="E41" s="11">
        <v>46260.496561932872</v>
      </c>
      <c r="F41" s="9" t="s">
        <v>199</v>
      </c>
      <c r="G41" s="9" t="s">
        <v>39</v>
      </c>
      <c r="H41" s="9">
        <v>53</v>
      </c>
      <c r="I41" s="9" t="s">
        <v>40</v>
      </c>
      <c r="J41" s="9">
        <v>5309</v>
      </c>
      <c r="K41" s="9" t="s">
        <v>41</v>
      </c>
      <c r="L41" s="9">
        <v>5309073</v>
      </c>
      <c r="M41" s="9">
        <v>5309073001</v>
      </c>
      <c r="N41" s="9" t="s">
        <v>42</v>
      </c>
      <c r="O41" s="9">
        <v>10421</v>
      </c>
      <c r="P41" s="9" t="s">
        <v>200</v>
      </c>
      <c r="Q41" s="10">
        <v>3</v>
      </c>
      <c r="R41" s="10">
        <v>400000</v>
      </c>
      <c r="S41" s="10">
        <v>100000</v>
      </c>
      <c r="T41" s="10">
        <v>0</v>
      </c>
      <c r="U41" s="10">
        <v>100000</v>
      </c>
      <c r="V41" s="10">
        <v>0</v>
      </c>
      <c r="W41" s="10">
        <v>600000</v>
      </c>
      <c r="X41" s="10">
        <v>5250000</v>
      </c>
      <c r="Y41" s="10">
        <v>0</v>
      </c>
      <c r="Z41" s="10">
        <v>5050000</v>
      </c>
      <c r="AA41" s="10">
        <v>30000000</v>
      </c>
      <c r="AB41" s="10">
        <v>5250000</v>
      </c>
      <c r="AC41" s="10">
        <v>0</v>
      </c>
      <c r="AD41" s="9" t="s">
        <v>44</v>
      </c>
      <c r="AE41" s="10" t="s">
        <v>2258</v>
      </c>
      <c r="AF41" s="10">
        <v>1750000</v>
      </c>
      <c r="AG41" s="10">
        <v>1</v>
      </c>
      <c r="AH41" s="10">
        <v>1</v>
      </c>
      <c r="AI41" s="10">
        <v>1</v>
      </c>
      <c r="AJ41" s="12" t="s">
        <v>2259</v>
      </c>
      <c r="AK41" s="10">
        <v>0</v>
      </c>
      <c r="AL41" s="10">
        <v>0</v>
      </c>
      <c r="AM41" s="9">
        <v>2019</v>
      </c>
      <c r="AN41" s="10">
        <v>1</v>
      </c>
      <c r="AO41" s="10">
        <v>2</v>
      </c>
      <c r="AP41" s="6"/>
      <c r="AQ41" s="7"/>
      <c r="AR41" s="8"/>
      <c r="AS41" s="4">
        <f t="shared" si="0"/>
        <v>200000</v>
      </c>
      <c r="AT41" s="4">
        <f t="shared" si="1"/>
        <v>3044999.2462873152</v>
      </c>
      <c r="AU41" s="4">
        <f t="shared" si="2"/>
        <v>2205000.7537126848</v>
      </c>
      <c r="AV41" s="9" t="s">
        <v>200</v>
      </c>
      <c r="AW41" s="12" t="s">
        <v>2259</v>
      </c>
      <c r="AX41" s="10">
        <v>0</v>
      </c>
      <c r="AY41">
        <f>S41*AU41/AS41</f>
        <v>1102500.3768563424</v>
      </c>
      <c r="AZ41">
        <f>AU41-AY41</f>
        <v>1102500.3768563424</v>
      </c>
      <c r="BA41" s="10">
        <v>5250000</v>
      </c>
      <c r="BB41" s="10">
        <v>0</v>
      </c>
      <c r="BC41" s="9" t="s">
        <v>42</v>
      </c>
      <c r="BD41" s="9">
        <v>10421</v>
      </c>
      <c r="BE41" t="s">
        <v>46</v>
      </c>
    </row>
    <row r="42" spans="1:57" ht="270.75" thickBot="1" x14ac:dyDescent="0.3">
      <c r="A42" s="9" t="s">
        <v>201</v>
      </c>
      <c r="B42" s="9">
        <v>3002</v>
      </c>
      <c r="C42" s="10">
        <v>2</v>
      </c>
      <c r="D42" s="9" t="s">
        <v>84</v>
      </c>
      <c r="E42" s="11">
        <v>46226.807032430559</v>
      </c>
      <c r="F42" s="9" t="s">
        <v>202</v>
      </c>
      <c r="G42" s="9" t="s">
        <v>39</v>
      </c>
      <c r="H42" s="9">
        <v>53</v>
      </c>
      <c r="I42" s="9" t="s">
        <v>40</v>
      </c>
      <c r="J42" s="9">
        <v>5309</v>
      </c>
      <c r="K42" s="9" t="s">
        <v>41</v>
      </c>
      <c r="L42" s="9">
        <v>5309060</v>
      </c>
      <c r="M42" s="9">
        <v>5309060012</v>
      </c>
      <c r="N42" s="9" t="s">
        <v>42</v>
      </c>
      <c r="O42" s="9">
        <v>10421</v>
      </c>
      <c r="P42" s="9" t="s">
        <v>203</v>
      </c>
      <c r="Q42" s="10">
        <v>3</v>
      </c>
      <c r="R42" s="10">
        <v>650000</v>
      </c>
      <c r="S42" s="10">
        <v>150000</v>
      </c>
      <c r="T42" s="10">
        <v>0</v>
      </c>
      <c r="U42" s="10">
        <v>200000</v>
      </c>
      <c r="V42" s="10">
        <v>0</v>
      </c>
      <c r="W42" s="10">
        <v>1000000</v>
      </c>
      <c r="X42" s="10">
        <v>6000000</v>
      </c>
      <c r="Y42" s="10">
        <v>300000</v>
      </c>
      <c r="Z42" s="10">
        <v>5650000</v>
      </c>
      <c r="AA42" s="10">
        <v>4500000</v>
      </c>
      <c r="AB42" s="10">
        <v>6000000</v>
      </c>
      <c r="AC42" s="10">
        <v>0</v>
      </c>
      <c r="AD42" s="9" t="s">
        <v>44</v>
      </c>
      <c r="AE42" s="10" t="s">
        <v>2260</v>
      </c>
      <c r="AF42" s="10">
        <v>2000000</v>
      </c>
      <c r="AG42" s="10">
        <v>1</v>
      </c>
      <c r="AH42" s="10">
        <v>1</v>
      </c>
      <c r="AI42" s="10">
        <v>1</v>
      </c>
      <c r="AJ42" s="12" t="s">
        <v>204</v>
      </c>
      <c r="AK42" s="10">
        <v>0</v>
      </c>
      <c r="AL42" s="10">
        <v>0</v>
      </c>
      <c r="AM42" s="9">
        <v>2019</v>
      </c>
      <c r="AN42" s="10">
        <v>1</v>
      </c>
      <c r="AO42" s="10">
        <v>2</v>
      </c>
      <c r="AP42" s="6"/>
      <c r="AQ42" s="7"/>
      <c r="AR42" s="8"/>
      <c r="AS42" s="4">
        <f t="shared" si="0"/>
        <v>350000</v>
      </c>
      <c r="AT42" s="4">
        <f t="shared" si="1"/>
        <v>3479998.7681420287</v>
      </c>
      <c r="AU42" s="4">
        <f t="shared" si="2"/>
        <v>2520001.2318579713</v>
      </c>
      <c r="AV42" s="9" t="s">
        <v>203</v>
      </c>
      <c r="AW42" s="12" t="s">
        <v>204</v>
      </c>
      <c r="AX42" s="10">
        <v>0</v>
      </c>
      <c r="AY42">
        <f>S42*AU42/AS42</f>
        <v>1080000.5279391306</v>
      </c>
      <c r="AZ42">
        <f>AU42-AY42</f>
        <v>1440000.7039188407</v>
      </c>
      <c r="BA42" s="10">
        <v>6000000</v>
      </c>
      <c r="BB42" s="10">
        <v>300000</v>
      </c>
      <c r="BC42" s="9" t="s">
        <v>42</v>
      </c>
      <c r="BD42" s="9">
        <v>10421</v>
      </c>
      <c r="BE42" t="s">
        <v>46</v>
      </c>
    </row>
    <row r="43" spans="1:57" ht="270.75" thickBot="1" x14ac:dyDescent="0.3">
      <c r="A43" s="9" t="s">
        <v>205</v>
      </c>
      <c r="B43" s="9">
        <v>3002</v>
      </c>
      <c r="C43" s="10">
        <v>2</v>
      </c>
      <c r="D43" s="9" t="s">
        <v>37</v>
      </c>
      <c r="E43" s="11">
        <v>46252.606124351849</v>
      </c>
      <c r="F43" s="9" t="s">
        <v>206</v>
      </c>
      <c r="G43" s="9" t="s">
        <v>39</v>
      </c>
      <c r="H43" s="9">
        <v>53</v>
      </c>
      <c r="I43" s="9" t="s">
        <v>40</v>
      </c>
      <c r="J43" s="9">
        <v>5309</v>
      </c>
      <c r="K43" s="9" t="s">
        <v>41</v>
      </c>
      <c r="L43" s="9">
        <v>5309062</v>
      </c>
      <c r="M43" s="9">
        <v>5309062012</v>
      </c>
      <c r="N43" s="9" t="s">
        <v>42</v>
      </c>
      <c r="O43" s="9">
        <v>10421</v>
      </c>
      <c r="P43" s="9" t="s">
        <v>141</v>
      </c>
      <c r="Q43" s="10">
        <v>4</v>
      </c>
      <c r="R43" s="10">
        <v>500000</v>
      </c>
      <c r="S43" s="10">
        <v>200000</v>
      </c>
      <c r="T43" s="10">
        <v>0</v>
      </c>
      <c r="U43" s="10">
        <v>150000</v>
      </c>
      <c r="V43" s="10">
        <v>0</v>
      </c>
      <c r="W43" s="10">
        <v>850000</v>
      </c>
      <c r="X43" s="10">
        <v>6500000</v>
      </c>
      <c r="Y43" s="10">
        <v>300000</v>
      </c>
      <c r="Z43" s="10">
        <v>6150000</v>
      </c>
      <c r="AA43" s="10">
        <v>3800000</v>
      </c>
      <c r="AB43" s="10">
        <v>6500000</v>
      </c>
      <c r="AC43" s="10">
        <v>0</v>
      </c>
      <c r="AD43" s="9" t="s">
        <v>44</v>
      </c>
      <c r="AE43" s="10" t="s">
        <v>2261</v>
      </c>
      <c r="AF43" s="10">
        <v>1625000</v>
      </c>
      <c r="AG43" s="10">
        <v>1</v>
      </c>
      <c r="AH43" s="10">
        <v>1</v>
      </c>
      <c r="AI43" s="10">
        <v>1</v>
      </c>
      <c r="AJ43" s="12" t="s">
        <v>208</v>
      </c>
      <c r="AK43" s="10">
        <v>0</v>
      </c>
      <c r="AL43" s="10">
        <v>0</v>
      </c>
      <c r="AM43" s="9">
        <v>2022</v>
      </c>
      <c r="AN43" s="10">
        <v>2</v>
      </c>
      <c r="AO43" s="10">
        <v>2</v>
      </c>
      <c r="AP43" s="6"/>
      <c r="AQ43" s="7"/>
      <c r="AR43" s="8"/>
      <c r="AS43" s="4">
        <f t="shared" si="0"/>
        <v>350000</v>
      </c>
      <c r="AT43" s="4">
        <f t="shared" si="1"/>
        <v>3769999.3869919688</v>
      </c>
      <c r="AU43" s="4">
        <f t="shared" si="2"/>
        <v>2730000.6130080312</v>
      </c>
      <c r="AV43" s="9" t="s">
        <v>141</v>
      </c>
      <c r="AW43" s="12" t="s">
        <v>208</v>
      </c>
      <c r="AX43" s="10">
        <v>0</v>
      </c>
      <c r="AY43">
        <f>S43*AU43/AS43</f>
        <v>1560000.3502903034</v>
      </c>
      <c r="AZ43">
        <f>AU43-AY43</f>
        <v>1170000.2627177278</v>
      </c>
      <c r="BA43" s="10">
        <v>6500000</v>
      </c>
      <c r="BB43" s="10">
        <v>300000</v>
      </c>
      <c r="BC43" s="9" t="s">
        <v>42</v>
      </c>
      <c r="BD43" s="9">
        <v>10421</v>
      </c>
      <c r="BE43" t="s">
        <v>46</v>
      </c>
    </row>
    <row r="44" spans="1:57" ht="270.75" thickBot="1" x14ac:dyDescent="0.3">
      <c r="A44" s="9" t="s">
        <v>209</v>
      </c>
      <c r="B44" s="9">
        <v>3001</v>
      </c>
      <c r="C44" s="10">
        <v>2</v>
      </c>
      <c r="D44" s="9" t="s">
        <v>37</v>
      </c>
      <c r="E44" s="11">
        <v>46254.63042238426</v>
      </c>
      <c r="F44" s="9" t="s">
        <v>210</v>
      </c>
      <c r="G44" s="9" t="s">
        <v>39</v>
      </c>
      <c r="H44" s="9">
        <v>53</v>
      </c>
      <c r="I44" s="9" t="s">
        <v>40</v>
      </c>
      <c r="J44" s="9">
        <v>5309</v>
      </c>
      <c r="K44" s="9" t="s">
        <v>41</v>
      </c>
      <c r="L44" s="9">
        <v>5309074</v>
      </c>
      <c r="M44" s="9">
        <v>5309074002</v>
      </c>
      <c r="N44" s="9" t="s">
        <v>42</v>
      </c>
      <c r="O44" s="9">
        <v>10421</v>
      </c>
      <c r="P44" s="9" t="s">
        <v>49</v>
      </c>
      <c r="Q44" s="10">
        <v>2</v>
      </c>
      <c r="R44" s="10">
        <v>1500000</v>
      </c>
      <c r="S44" s="10">
        <v>1800000</v>
      </c>
      <c r="T44" s="10">
        <v>0</v>
      </c>
      <c r="U44" s="10">
        <v>600000</v>
      </c>
      <c r="V44" s="10">
        <v>0</v>
      </c>
      <c r="W44" s="10">
        <v>3900000</v>
      </c>
      <c r="X44" s="10">
        <v>6200000</v>
      </c>
      <c r="Y44" s="10">
        <v>0</v>
      </c>
      <c r="Z44" s="10">
        <v>3800000</v>
      </c>
      <c r="AA44" s="10">
        <v>4250000</v>
      </c>
      <c r="AB44" s="10">
        <v>6200000</v>
      </c>
      <c r="AC44" s="10">
        <v>0</v>
      </c>
      <c r="AD44" s="9" t="s">
        <v>44</v>
      </c>
      <c r="AE44" s="10" t="s">
        <v>2262</v>
      </c>
      <c r="AF44" s="10">
        <v>3100000</v>
      </c>
      <c r="AG44" s="10">
        <v>1</v>
      </c>
      <c r="AH44" s="10">
        <v>1</v>
      </c>
      <c r="AI44" s="10">
        <v>1</v>
      </c>
      <c r="AJ44" s="12" t="s">
        <v>211</v>
      </c>
      <c r="AK44" s="10">
        <v>0</v>
      </c>
      <c r="AL44" s="10">
        <v>0</v>
      </c>
      <c r="AM44" s="9">
        <v>1989</v>
      </c>
      <c r="AN44" s="10">
        <v>1</v>
      </c>
      <c r="AO44" s="10">
        <v>1</v>
      </c>
      <c r="AP44" s="6"/>
      <c r="AQ44" s="7"/>
      <c r="AR44" s="8"/>
      <c r="AS44" s="4">
        <f t="shared" si="0"/>
        <v>2400000</v>
      </c>
      <c r="AT44" s="4">
        <f t="shared" si="1"/>
        <v>3596001.3248425936</v>
      </c>
      <c r="AU44" s="4">
        <f t="shared" si="2"/>
        <v>2603998.6751574064</v>
      </c>
      <c r="AV44" s="9" t="s">
        <v>49</v>
      </c>
      <c r="AW44" s="12" t="s">
        <v>211</v>
      </c>
      <c r="AX44" s="10">
        <v>0</v>
      </c>
      <c r="AY44">
        <f>S44*AU44/AS44</f>
        <v>1952999.0063680545</v>
      </c>
      <c r="AZ44">
        <f>AU44-AY44</f>
        <v>650999.66878935182</v>
      </c>
      <c r="BA44" s="10">
        <v>6200000</v>
      </c>
      <c r="BB44" s="10">
        <v>0</v>
      </c>
      <c r="BC44" s="9" t="s">
        <v>42</v>
      </c>
      <c r="BD44" s="9">
        <v>10421</v>
      </c>
      <c r="BE44" t="s">
        <v>46</v>
      </c>
    </row>
    <row r="45" spans="1:57" ht="270.75" thickBot="1" x14ac:dyDescent="0.3">
      <c r="A45" s="9" t="s">
        <v>212</v>
      </c>
      <c r="B45" s="9">
        <v>3002</v>
      </c>
      <c r="C45" s="10">
        <v>2</v>
      </c>
      <c r="D45" s="9" t="s">
        <v>37</v>
      </c>
      <c r="E45" s="11">
        <v>46215.077038773146</v>
      </c>
      <c r="F45" s="9" t="s">
        <v>213</v>
      </c>
      <c r="G45" s="9" t="s">
        <v>39</v>
      </c>
      <c r="H45" s="9">
        <v>53</v>
      </c>
      <c r="I45" s="9" t="s">
        <v>40</v>
      </c>
      <c r="J45" s="9">
        <v>5309</v>
      </c>
      <c r="K45" s="9" t="s">
        <v>41</v>
      </c>
      <c r="L45" s="9">
        <v>5309062</v>
      </c>
      <c r="M45" s="9">
        <v>5309062002</v>
      </c>
      <c r="N45" s="9" t="s">
        <v>42</v>
      </c>
      <c r="O45" s="9">
        <v>10421</v>
      </c>
      <c r="P45" s="9" t="s">
        <v>106</v>
      </c>
      <c r="Q45" s="10">
        <v>2</v>
      </c>
      <c r="R45" s="10">
        <v>0</v>
      </c>
      <c r="S45" s="10">
        <v>100000</v>
      </c>
      <c r="T45" s="10">
        <v>0</v>
      </c>
      <c r="U45" s="10">
        <v>1000000</v>
      </c>
      <c r="V45" s="10">
        <v>0</v>
      </c>
      <c r="W45" s="10">
        <v>1100000</v>
      </c>
      <c r="X45" s="10">
        <v>12700000</v>
      </c>
      <c r="Y45" s="10">
        <v>0</v>
      </c>
      <c r="Z45" s="10">
        <v>11600000</v>
      </c>
      <c r="AA45" s="10">
        <v>3000000</v>
      </c>
      <c r="AB45" s="10">
        <v>12700000</v>
      </c>
      <c r="AC45" s="10">
        <v>0</v>
      </c>
      <c r="AD45" s="9" t="s">
        <v>44</v>
      </c>
      <c r="AE45" s="10" t="s">
        <v>2263</v>
      </c>
      <c r="AF45" s="10">
        <v>6350000</v>
      </c>
      <c r="AG45" s="10">
        <v>1</v>
      </c>
      <c r="AH45" s="10">
        <v>1</v>
      </c>
      <c r="AI45" s="10">
        <v>1</v>
      </c>
      <c r="AJ45" s="12" t="s">
        <v>214</v>
      </c>
      <c r="AK45" s="10">
        <v>0</v>
      </c>
      <c r="AL45" s="10">
        <v>0</v>
      </c>
      <c r="AM45" s="9">
        <v>1986</v>
      </c>
      <c r="AN45" s="10">
        <v>0</v>
      </c>
      <c r="AO45" s="10">
        <v>2</v>
      </c>
      <c r="AP45" s="6"/>
      <c r="AQ45" s="7"/>
      <c r="AR45" s="8"/>
      <c r="AS45" s="4">
        <f t="shared" si="0"/>
        <v>1100000</v>
      </c>
      <c r="AT45" s="4">
        <f t="shared" si="1"/>
        <v>7365998.6030002646</v>
      </c>
      <c r="AU45" s="4">
        <f t="shared" si="2"/>
        <v>5334001.3969997354</v>
      </c>
      <c r="AV45" s="9" t="s">
        <v>106</v>
      </c>
      <c r="AW45" s="12" t="s">
        <v>214</v>
      </c>
      <c r="AX45" s="10">
        <v>0</v>
      </c>
      <c r="AY45">
        <f>S45*AU45/AS45</f>
        <v>484909.21790906682</v>
      </c>
      <c r="AZ45">
        <f>AU45-AY45</f>
        <v>4849092.1790906684</v>
      </c>
      <c r="BA45" s="10">
        <v>12700000</v>
      </c>
      <c r="BB45" s="10">
        <v>0</v>
      </c>
      <c r="BC45" s="9" t="s">
        <v>42</v>
      </c>
      <c r="BD45" s="9">
        <v>10421</v>
      </c>
      <c r="BE45" t="s">
        <v>46</v>
      </c>
    </row>
    <row r="46" spans="1:57" ht="270.75" thickBot="1" x14ac:dyDescent="0.3">
      <c r="A46" s="9" t="s">
        <v>215</v>
      </c>
      <c r="B46" s="9">
        <v>3001</v>
      </c>
      <c r="C46" s="10">
        <v>2</v>
      </c>
      <c r="D46" s="9" t="s">
        <v>37</v>
      </c>
      <c r="E46" s="14">
        <v>46215.040949074071</v>
      </c>
      <c r="F46" s="9" t="s">
        <v>216</v>
      </c>
      <c r="G46" s="9" t="s">
        <v>39</v>
      </c>
      <c r="H46" s="9">
        <v>53</v>
      </c>
      <c r="I46" s="9" t="s">
        <v>40</v>
      </c>
      <c r="J46" s="9">
        <v>5309</v>
      </c>
      <c r="K46" s="9" t="s">
        <v>41</v>
      </c>
      <c r="L46" s="9">
        <v>5309062</v>
      </c>
      <c r="M46" s="9">
        <v>5309062006</v>
      </c>
      <c r="N46" s="9" t="s">
        <v>42</v>
      </c>
      <c r="O46" s="9">
        <v>10421</v>
      </c>
      <c r="P46" s="9" t="s">
        <v>217</v>
      </c>
      <c r="Q46" s="10">
        <v>2</v>
      </c>
      <c r="R46" s="10">
        <v>300000</v>
      </c>
      <c r="S46" s="10">
        <v>100000</v>
      </c>
      <c r="T46" s="10">
        <v>0</v>
      </c>
      <c r="U46" s="10">
        <v>200000</v>
      </c>
      <c r="V46" s="10">
        <v>0</v>
      </c>
      <c r="W46" s="10">
        <v>600000</v>
      </c>
      <c r="X46" s="10">
        <v>8400000</v>
      </c>
      <c r="Y46" s="10">
        <v>0</v>
      </c>
      <c r="Z46" s="10">
        <v>8100000</v>
      </c>
      <c r="AA46" s="10">
        <v>2400000</v>
      </c>
      <c r="AB46" s="10">
        <v>8400000</v>
      </c>
      <c r="AC46" s="10">
        <v>0</v>
      </c>
      <c r="AD46" s="9" t="s">
        <v>44</v>
      </c>
      <c r="AE46" s="10" t="s">
        <v>2264</v>
      </c>
      <c r="AF46" s="10">
        <v>4200000</v>
      </c>
      <c r="AG46" s="10">
        <v>1</v>
      </c>
      <c r="AH46" s="10">
        <v>1</v>
      </c>
      <c r="AI46" s="10">
        <v>1</v>
      </c>
      <c r="AJ46" s="12" t="s">
        <v>218</v>
      </c>
      <c r="AK46" s="10">
        <v>0</v>
      </c>
      <c r="AL46" s="10">
        <v>0</v>
      </c>
      <c r="AM46" s="9">
        <v>2023</v>
      </c>
      <c r="AN46" s="10">
        <v>1</v>
      </c>
      <c r="AO46" s="10">
        <v>1</v>
      </c>
      <c r="AP46" s="6"/>
      <c r="AQ46" s="7"/>
      <c r="AR46" s="8"/>
      <c r="AS46" s="4">
        <f t="shared" si="0"/>
        <v>300000</v>
      </c>
      <c r="AT46" s="4">
        <f t="shared" si="1"/>
        <v>4871998.5564448722</v>
      </c>
      <c r="AU46" s="4">
        <f t="shared" si="2"/>
        <v>3528001.4435551278</v>
      </c>
      <c r="AV46" s="9" t="s">
        <v>217</v>
      </c>
      <c r="AW46" s="12" t="s">
        <v>218</v>
      </c>
      <c r="AX46" s="10">
        <v>0</v>
      </c>
      <c r="AY46">
        <f>S46*AU46/AS46</f>
        <v>1176000.4811850425</v>
      </c>
      <c r="AZ46">
        <f>AU46-AY46</f>
        <v>2352000.9623700855</v>
      </c>
      <c r="BA46" s="10">
        <v>8400000</v>
      </c>
      <c r="BB46" s="10">
        <v>0</v>
      </c>
      <c r="BC46" s="9" t="s">
        <v>42</v>
      </c>
      <c r="BD46" s="9">
        <v>10421</v>
      </c>
      <c r="BE46" t="s">
        <v>46</v>
      </c>
    </row>
    <row r="47" spans="1:57" ht="270.75" thickBot="1" x14ac:dyDescent="0.3">
      <c r="A47" s="9" t="s">
        <v>219</v>
      </c>
      <c r="B47" s="9">
        <v>3001</v>
      </c>
      <c r="C47" s="10">
        <v>2</v>
      </c>
      <c r="D47" s="9" t="s">
        <v>84</v>
      </c>
      <c r="E47" s="11">
        <v>46308.336559837961</v>
      </c>
      <c r="F47" s="9" t="s">
        <v>220</v>
      </c>
      <c r="G47" s="9" t="s">
        <v>39</v>
      </c>
      <c r="H47" s="9">
        <v>53</v>
      </c>
      <c r="I47" s="9" t="s">
        <v>40</v>
      </c>
      <c r="J47" s="9">
        <v>5309</v>
      </c>
      <c r="K47" s="9" t="s">
        <v>41</v>
      </c>
      <c r="L47" s="9">
        <v>5309074</v>
      </c>
      <c r="M47" s="9">
        <v>5309074002</v>
      </c>
      <c r="N47" s="9" t="s">
        <v>42</v>
      </c>
      <c r="O47" s="9">
        <v>10421</v>
      </c>
      <c r="P47" s="9" t="s">
        <v>49</v>
      </c>
      <c r="Q47" s="10">
        <v>2</v>
      </c>
      <c r="R47" s="10">
        <v>900000</v>
      </c>
      <c r="S47" s="10">
        <v>1200000</v>
      </c>
      <c r="T47" s="10">
        <v>0</v>
      </c>
      <c r="U47" s="10">
        <v>750000</v>
      </c>
      <c r="V47" s="10">
        <v>0</v>
      </c>
      <c r="W47" s="10">
        <v>2850000</v>
      </c>
      <c r="X47" s="10">
        <v>5900000</v>
      </c>
      <c r="Y47" s="10">
        <v>0</v>
      </c>
      <c r="Z47" s="10">
        <v>3950000</v>
      </c>
      <c r="AA47" s="10">
        <v>6500000</v>
      </c>
      <c r="AB47" s="10">
        <v>5900000</v>
      </c>
      <c r="AC47" s="10">
        <v>0</v>
      </c>
      <c r="AD47" s="9" t="s">
        <v>44</v>
      </c>
      <c r="AE47" s="10" t="s">
        <v>2265</v>
      </c>
      <c r="AF47" s="10">
        <v>2950000</v>
      </c>
      <c r="AG47" s="10">
        <v>1</v>
      </c>
      <c r="AH47" s="10">
        <v>1</v>
      </c>
      <c r="AI47" s="10">
        <v>1</v>
      </c>
      <c r="AJ47" s="12" t="s">
        <v>221</v>
      </c>
      <c r="AK47" s="10">
        <v>0</v>
      </c>
      <c r="AL47" s="10">
        <v>0</v>
      </c>
      <c r="AM47" s="9">
        <v>1989</v>
      </c>
      <c r="AN47" s="10">
        <v>1</v>
      </c>
      <c r="AO47" s="10">
        <v>1</v>
      </c>
      <c r="AP47" s="6"/>
      <c r="AQ47" s="7"/>
      <c r="AR47" s="8"/>
      <c r="AS47" s="4">
        <f t="shared" si="0"/>
        <v>1950000</v>
      </c>
      <c r="AT47" s="4">
        <f t="shared" si="1"/>
        <v>3421997.5742802005</v>
      </c>
      <c r="AU47" s="4">
        <f t="shared" si="2"/>
        <v>2478002.4257197995</v>
      </c>
      <c r="AV47" s="9" t="s">
        <v>49</v>
      </c>
      <c r="AW47" s="12" t="s">
        <v>221</v>
      </c>
      <c r="AX47" s="10">
        <v>0</v>
      </c>
      <c r="AY47">
        <f>S47*AU47/AS47</f>
        <v>1524924.5696737226</v>
      </c>
      <c r="AZ47">
        <f>AU47-AY47</f>
        <v>953077.85604607686</v>
      </c>
      <c r="BA47" s="10">
        <v>5900000</v>
      </c>
      <c r="BB47" s="10">
        <v>0</v>
      </c>
      <c r="BC47" s="9" t="s">
        <v>42</v>
      </c>
      <c r="BD47" s="9">
        <v>10421</v>
      </c>
      <c r="BE47" t="s">
        <v>46</v>
      </c>
    </row>
    <row r="48" spans="1:57" ht="270.75" thickBot="1" x14ac:dyDescent="0.3">
      <c r="A48" s="9" t="s">
        <v>222</v>
      </c>
      <c r="B48" s="9">
        <v>1002</v>
      </c>
      <c r="C48" s="10">
        <v>2</v>
      </c>
      <c r="D48" s="9" t="s">
        <v>84</v>
      </c>
      <c r="E48" s="11">
        <v>46310.412275034723</v>
      </c>
      <c r="F48" s="9" t="s">
        <v>223</v>
      </c>
      <c r="G48" s="9" t="s">
        <v>39</v>
      </c>
      <c r="H48" s="9">
        <v>53</v>
      </c>
      <c r="I48" s="9" t="s">
        <v>40</v>
      </c>
      <c r="J48" s="9">
        <v>5309</v>
      </c>
      <c r="K48" s="9" t="s">
        <v>41</v>
      </c>
      <c r="L48" s="9">
        <v>5309073</v>
      </c>
      <c r="M48" s="9">
        <v>5309073006</v>
      </c>
      <c r="N48" s="9" t="s">
        <v>42</v>
      </c>
      <c r="O48" s="9">
        <v>10421</v>
      </c>
      <c r="P48" s="9" t="s">
        <v>224</v>
      </c>
      <c r="Q48" s="10">
        <v>3</v>
      </c>
      <c r="R48" s="10">
        <v>450000</v>
      </c>
      <c r="S48" s="10">
        <v>200000</v>
      </c>
      <c r="T48" s="10">
        <v>0</v>
      </c>
      <c r="U48" s="10">
        <v>100000</v>
      </c>
      <c r="V48" s="10">
        <v>0</v>
      </c>
      <c r="W48" s="10">
        <v>750000</v>
      </c>
      <c r="X48" s="10">
        <v>7500000</v>
      </c>
      <c r="Y48" s="10">
        <v>0</v>
      </c>
      <c r="Z48" s="10">
        <v>7200000</v>
      </c>
      <c r="AA48" s="10">
        <v>5250000</v>
      </c>
      <c r="AB48" s="10">
        <v>7500000</v>
      </c>
      <c r="AC48" s="10">
        <v>0</v>
      </c>
      <c r="AD48" s="9" t="s">
        <v>44</v>
      </c>
      <c r="AE48" s="10" t="s">
        <v>809</v>
      </c>
      <c r="AF48" s="10">
        <v>2500000</v>
      </c>
      <c r="AG48" s="10">
        <v>1</v>
      </c>
      <c r="AH48" s="10">
        <v>1</v>
      </c>
      <c r="AI48" s="10">
        <v>1</v>
      </c>
      <c r="AJ48" s="12" t="s">
        <v>225</v>
      </c>
      <c r="AK48" s="10">
        <v>0</v>
      </c>
      <c r="AL48" s="10">
        <v>0</v>
      </c>
      <c r="AM48" s="9">
        <v>2023</v>
      </c>
      <c r="AN48" s="10">
        <v>2</v>
      </c>
      <c r="AO48" s="10">
        <v>1</v>
      </c>
      <c r="AP48" s="6"/>
      <c r="AQ48" s="7"/>
      <c r="AR48" s="8"/>
      <c r="AS48" s="4">
        <f t="shared" si="0"/>
        <v>300000</v>
      </c>
      <c r="AT48" s="4">
        <f t="shared" si="1"/>
        <v>4350000</v>
      </c>
      <c r="AU48" s="4">
        <f t="shared" si="2"/>
        <v>3150000</v>
      </c>
      <c r="AV48" s="9" t="s">
        <v>224</v>
      </c>
      <c r="AW48" s="12" t="s">
        <v>225</v>
      </c>
      <c r="AX48" s="10">
        <v>0</v>
      </c>
      <c r="AY48">
        <f>S48*AU48/AS48</f>
        <v>2100000</v>
      </c>
      <c r="AZ48">
        <f>AU48-AY48</f>
        <v>1050000</v>
      </c>
      <c r="BA48" s="10">
        <v>7500000</v>
      </c>
      <c r="BB48" s="10">
        <v>0</v>
      </c>
      <c r="BC48" s="9" t="s">
        <v>42</v>
      </c>
      <c r="BD48" s="9">
        <v>10421</v>
      </c>
      <c r="BE48" t="s">
        <v>46</v>
      </c>
    </row>
    <row r="49" spans="1:57" ht="270.75" thickBot="1" x14ac:dyDescent="0.3">
      <c r="A49" s="9" t="s">
        <v>226</v>
      </c>
      <c r="B49" s="9">
        <v>3001</v>
      </c>
      <c r="C49" s="10">
        <v>2</v>
      </c>
      <c r="D49" s="9" t="s">
        <v>37</v>
      </c>
      <c r="E49" s="14">
        <v>46208.978576388887</v>
      </c>
      <c r="F49" s="9" t="s">
        <v>227</v>
      </c>
      <c r="G49" s="9" t="s">
        <v>39</v>
      </c>
      <c r="H49" s="9">
        <v>53</v>
      </c>
      <c r="I49" s="9" t="s">
        <v>40</v>
      </c>
      <c r="J49" s="9">
        <v>5309</v>
      </c>
      <c r="K49" s="9" t="s">
        <v>41</v>
      </c>
      <c r="L49" s="9">
        <v>5309062</v>
      </c>
      <c r="M49" s="9">
        <v>5309062013</v>
      </c>
      <c r="N49" s="9" t="s">
        <v>42</v>
      </c>
      <c r="O49" s="9">
        <v>10421</v>
      </c>
      <c r="P49" s="9" t="s">
        <v>228</v>
      </c>
      <c r="Q49" s="10">
        <v>5</v>
      </c>
      <c r="R49" s="10">
        <v>500000</v>
      </c>
      <c r="S49" s="10">
        <v>500000</v>
      </c>
      <c r="T49" s="10">
        <v>0</v>
      </c>
      <c r="U49" s="10">
        <v>0</v>
      </c>
      <c r="V49" s="10">
        <v>0</v>
      </c>
      <c r="W49" s="10">
        <v>1000000</v>
      </c>
      <c r="X49" s="10">
        <v>3500000</v>
      </c>
      <c r="Y49" s="10">
        <v>0</v>
      </c>
      <c r="Z49" s="10">
        <v>3000000</v>
      </c>
      <c r="AA49" s="10">
        <v>2400000</v>
      </c>
      <c r="AB49" s="10">
        <v>3500000</v>
      </c>
      <c r="AC49" s="10">
        <v>0</v>
      </c>
      <c r="AD49" s="9" t="s">
        <v>44</v>
      </c>
      <c r="AE49" s="10" t="s">
        <v>2266</v>
      </c>
      <c r="AF49" s="10">
        <v>700000</v>
      </c>
      <c r="AG49" s="10">
        <v>1</v>
      </c>
      <c r="AH49" s="10">
        <v>1</v>
      </c>
      <c r="AI49" s="10">
        <v>1</v>
      </c>
      <c r="AJ49" s="12" t="s">
        <v>229</v>
      </c>
      <c r="AK49" s="10">
        <v>0</v>
      </c>
      <c r="AL49" s="10">
        <v>0</v>
      </c>
      <c r="AM49" s="9">
        <v>2020</v>
      </c>
      <c r="AN49" s="10">
        <v>1</v>
      </c>
      <c r="AO49" s="10">
        <v>4</v>
      </c>
      <c r="AP49" s="6"/>
      <c r="AQ49" s="7"/>
      <c r="AR49" s="8"/>
      <c r="AS49" s="4">
        <f t="shared" si="0"/>
        <v>500000</v>
      </c>
      <c r="AT49" s="4">
        <f t="shared" si="1"/>
        <v>2029999.6616667227</v>
      </c>
      <c r="AU49" s="4">
        <f t="shared" si="2"/>
        <v>1470000.3383332773</v>
      </c>
      <c r="AV49" s="9" t="s">
        <v>228</v>
      </c>
      <c r="AW49" s="12" t="s">
        <v>229</v>
      </c>
      <c r="AX49" s="10">
        <v>0</v>
      </c>
      <c r="AY49">
        <f>S49*AU49/AS49</f>
        <v>1470000.3383332773</v>
      </c>
      <c r="AZ49">
        <f>AU49-AY49</f>
        <v>0</v>
      </c>
      <c r="BA49" s="10">
        <v>3500000</v>
      </c>
      <c r="BB49" s="10">
        <v>0</v>
      </c>
      <c r="BC49" s="9" t="s">
        <v>42</v>
      </c>
      <c r="BD49" s="9">
        <v>10421</v>
      </c>
      <c r="BE49" t="s">
        <v>46</v>
      </c>
    </row>
    <row r="50" spans="1:57" ht="270.75" thickBot="1" x14ac:dyDescent="0.3">
      <c r="A50" s="9" t="s">
        <v>230</v>
      </c>
      <c r="B50" s="9">
        <v>3001</v>
      </c>
      <c r="C50" s="10">
        <v>2</v>
      </c>
      <c r="D50" s="9" t="s">
        <v>37</v>
      </c>
      <c r="E50" s="14">
        <v>46214.999525462961</v>
      </c>
      <c r="F50" s="9" t="s">
        <v>231</v>
      </c>
      <c r="G50" s="9" t="s">
        <v>39</v>
      </c>
      <c r="H50" s="9">
        <v>53</v>
      </c>
      <c r="I50" s="9" t="s">
        <v>40</v>
      </c>
      <c r="J50" s="9">
        <v>5309</v>
      </c>
      <c r="K50" s="9" t="s">
        <v>41</v>
      </c>
      <c r="L50" s="9">
        <v>5309062</v>
      </c>
      <c r="M50" s="9">
        <v>5309062006</v>
      </c>
      <c r="N50" s="9" t="s">
        <v>42</v>
      </c>
      <c r="O50" s="9">
        <v>10421</v>
      </c>
      <c r="P50" s="9" t="s">
        <v>232</v>
      </c>
      <c r="Q50" s="10">
        <v>5</v>
      </c>
      <c r="R50" s="10">
        <v>300000</v>
      </c>
      <c r="S50" s="10">
        <v>1000000</v>
      </c>
      <c r="T50" s="10">
        <v>0</v>
      </c>
      <c r="U50" s="10">
        <v>150000</v>
      </c>
      <c r="V50" s="10">
        <v>0</v>
      </c>
      <c r="W50" s="10">
        <v>1450000</v>
      </c>
      <c r="X50" s="10">
        <v>4200000</v>
      </c>
      <c r="Y50" s="10">
        <v>0</v>
      </c>
      <c r="Z50" s="10">
        <v>3050000</v>
      </c>
      <c r="AA50" s="10">
        <v>2400000</v>
      </c>
      <c r="AB50" s="10">
        <v>4200000</v>
      </c>
      <c r="AC50" s="10">
        <v>0</v>
      </c>
      <c r="AD50" s="9" t="s">
        <v>44</v>
      </c>
      <c r="AE50" s="10" t="s">
        <v>2267</v>
      </c>
      <c r="AF50" s="10">
        <v>840000</v>
      </c>
      <c r="AG50" s="10">
        <v>1</v>
      </c>
      <c r="AH50" s="10">
        <v>1</v>
      </c>
      <c r="AI50" s="10">
        <v>1</v>
      </c>
      <c r="AJ50" s="12" t="s">
        <v>233</v>
      </c>
      <c r="AK50" s="10">
        <v>0</v>
      </c>
      <c r="AL50" s="10">
        <v>0</v>
      </c>
      <c r="AM50" s="9">
        <v>2001</v>
      </c>
      <c r="AN50" s="10">
        <v>3</v>
      </c>
      <c r="AO50" s="10">
        <v>2</v>
      </c>
      <c r="AP50" s="6"/>
      <c r="AQ50" s="7"/>
      <c r="AR50" s="8"/>
      <c r="AS50" s="4">
        <f t="shared" si="0"/>
        <v>1150000</v>
      </c>
      <c r="AT50" s="4">
        <f t="shared" si="1"/>
        <v>2436001.5973780965</v>
      </c>
      <c r="AU50" s="4">
        <f t="shared" si="2"/>
        <v>1763998.4026219035</v>
      </c>
      <c r="AV50" s="9" t="s">
        <v>232</v>
      </c>
      <c r="AW50" s="12" t="s">
        <v>233</v>
      </c>
      <c r="AX50" s="10">
        <v>0</v>
      </c>
      <c r="AY50">
        <f>S50*AU50/AS50</f>
        <v>1533911.6544538292</v>
      </c>
      <c r="AZ50">
        <f>AU50-AY50</f>
        <v>230086.74816807429</v>
      </c>
      <c r="BA50" s="10">
        <v>4200000</v>
      </c>
      <c r="BB50" s="10">
        <v>0</v>
      </c>
      <c r="BC50" s="9" t="s">
        <v>42</v>
      </c>
      <c r="BD50" s="9">
        <v>10421</v>
      </c>
      <c r="BE50" t="s">
        <v>46</v>
      </c>
    </row>
    <row r="51" spans="1:57" ht="270.75" thickBot="1" x14ac:dyDescent="0.3">
      <c r="A51" s="9" t="s">
        <v>234</v>
      </c>
      <c r="B51" s="9">
        <v>3001</v>
      </c>
      <c r="C51" s="10">
        <v>2</v>
      </c>
      <c r="D51" s="9" t="s">
        <v>37</v>
      </c>
      <c r="E51" s="11">
        <v>46244.960673020832</v>
      </c>
      <c r="F51" s="9" t="s">
        <v>235</v>
      </c>
      <c r="G51" s="9" t="s">
        <v>39</v>
      </c>
      <c r="H51" s="9">
        <v>53</v>
      </c>
      <c r="I51" s="9" t="s">
        <v>40</v>
      </c>
      <c r="J51" s="9">
        <v>5309</v>
      </c>
      <c r="K51" s="9" t="s">
        <v>41</v>
      </c>
      <c r="L51" s="9">
        <v>5309062</v>
      </c>
      <c r="M51" s="9">
        <v>5309062007</v>
      </c>
      <c r="N51" s="9" t="s">
        <v>42</v>
      </c>
      <c r="O51" s="9">
        <v>10421</v>
      </c>
      <c r="P51" s="9" t="s">
        <v>236</v>
      </c>
      <c r="Q51" s="10">
        <v>2</v>
      </c>
      <c r="R51" s="10">
        <v>800000</v>
      </c>
      <c r="S51" s="10">
        <v>100000</v>
      </c>
      <c r="T51" s="10">
        <v>0</v>
      </c>
      <c r="U51" s="10">
        <v>150000</v>
      </c>
      <c r="V51" s="10">
        <v>0</v>
      </c>
      <c r="W51" s="10">
        <v>1050000</v>
      </c>
      <c r="X51" s="10">
        <v>6650000</v>
      </c>
      <c r="Y51" s="10">
        <v>0</v>
      </c>
      <c r="Z51" s="10">
        <v>6400000</v>
      </c>
      <c r="AA51" s="10">
        <v>8200000</v>
      </c>
      <c r="AB51" s="10">
        <v>6650000</v>
      </c>
      <c r="AC51" s="10">
        <v>0</v>
      </c>
      <c r="AD51" s="9" t="s">
        <v>44</v>
      </c>
      <c r="AE51" s="10" t="s">
        <v>2268</v>
      </c>
      <c r="AF51" s="10">
        <v>3325000</v>
      </c>
      <c r="AG51" s="10">
        <v>1</v>
      </c>
      <c r="AH51" s="10">
        <v>1</v>
      </c>
      <c r="AI51" s="10">
        <v>1</v>
      </c>
      <c r="AJ51" s="12" t="s">
        <v>237</v>
      </c>
      <c r="AK51" s="10">
        <v>0</v>
      </c>
      <c r="AL51" s="10">
        <v>0</v>
      </c>
      <c r="AM51" s="9">
        <v>2013</v>
      </c>
      <c r="AN51" s="10">
        <v>1</v>
      </c>
      <c r="AO51" s="10">
        <v>1</v>
      </c>
      <c r="AP51" s="6"/>
      <c r="AQ51" s="7"/>
      <c r="AR51" s="8"/>
      <c r="AS51" s="4">
        <f t="shared" si="0"/>
        <v>250000</v>
      </c>
      <c r="AT51" s="4">
        <f t="shared" si="1"/>
        <v>3857000.0602656254</v>
      </c>
      <c r="AU51" s="4">
        <f t="shared" si="2"/>
        <v>2792999.9397343746</v>
      </c>
      <c r="AV51" s="9" t="s">
        <v>236</v>
      </c>
      <c r="AW51" s="12" t="s">
        <v>237</v>
      </c>
      <c r="AX51" s="10">
        <v>0</v>
      </c>
      <c r="AY51">
        <f>S51*AU51/AS51</f>
        <v>1117199.9758937499</v>
      </c>
      <c r="AZ51">
        <f>AU51-AY51</f>
        <v>1675799.9638406248</v>
      </c>
      <c r="BA51" s="10">
        <v>6650000</v>
      </c>
      <c r="BB51" s="10">
        <v>0</v>
      </c>
      <c r="BC51" s="9" t="s">
        <v>42</v>
      </c>
      <c r="BD51" s="9">
        <v>10421</v>
      </c>
      <c r="BE51" t="s">
        <v>46</v>
      </c>
    </row>
    <row r="52" spans="1:57" ht="270.75" thickBot="1" x14ac:dyDescent="0.3">
      <c r="A52" s="9" t="s">
        <v>238</v>
      </c>
      <c r="B52" s="9">
        <v>1001</v>
      </c>
      <c r="C52" s="10">
        <v>2</v>
      </c>
      <c r="D52" s="9" t="s">
        <v>37</v>
      </c>
      <c r="E52" s="14">
        <v>46224.260416666664</v>
      </c>
      <c r="F52" s="9" t="s">
        <v>239</v>
      </c>
      <c r="G52" s="9" t="s">
        <v>39</v>
      </c>
      <c r="H52" s="9">
        <v>53</v>
      </c>
      <c r="I52" s="9" t="s">
        <v>40</v>
      </c>
      <c r="J52" s="9">
        <v>5309</v>
      </c>
      <c r="K52" s="9" t="s">
        <v>41</v>
      </c>
      <c r="L52" s="9">
        <v>5309062</v>
      </c>
      <c r="M52" s="9">
        <v>5309062006</v>
      </c>
      <c r="N52" s="9" t="s">
        <v>42</v>
      </c>
      <c r="O52" s="9">
        <v>10421</v>
      </c>
      <c r="P52" s="9" t="s">
        <v>240</v>
      </c>
      <c r="Q52" s="10">
        <v>2</v>
      </c>
      <c r="R52" s="10">
        <v>0</v>
      </c>
      <c r="S52" s="10">
        <v>250000</v>
      </c>
      <c r="T52" s="10">
        <v>0</v>
      </c>
      <c r="U52" s="10">
        <v>200000</v>
      </c>
      <c r="V52" s="10">
        <v>0</v>
      </c>
      <c r="W52" s="10">
        <v>450000</v>
      </c>
      <c r="X52" s="10">
        <v>4650000</v>
      </c>
      <c r="Y52" s="10">
        <v>0</v>
      </c>
      <c r="Z52" s="10">
        <v>4200000</v>
      </c>
      <c r="AA52" s="10">
        <v>3500000</v>
      </c>
      <c r="AB52" s="10">
        <v>4650000</v>
      </c>
      <c r="AC52" s="10">
        <v>0</v>
      </c>
      <c r="AD52" s="9" t="s">
        <v>44</v>
      </c>
      <c r="AE52" s="10" t="s">
        <v>2269</v>
      </c>
      <c r="AF52" s="10">
        <v>2325000</v>
      </c>
      <c r="AG52" s="10">
        <v>1</v>
      </c>
      <c r="AH52" s="10">
        <v>1</v>
      </c>
      <c r="AI52" s="10">
        <v>1</v>
      </c>
      <c r="AJ52" s="12" t="s">
        <v>241</v>
      </c>
      <c r="AK52" s="10">
        <v>0</v>
      </c>
      <c r="AL52" s="10">
        <v>0</v>
      </c>
      <c r="AM52" s="9">
        <v>2019</v>
      </c>
      <c r="AN52" s="10">
        <v>0</v>
      </c>
      <c r="AO52" s="10">
        <v>2</v>
      </c>
      <c r="AP52" s="6"/>
      <c r="AQ52" s="7"/>
      <c r="AR52" s="8"/>
      <c r="AS52" s="4">
        <f t="shared" si="0"/>
        <v>450000</v>
      </c>
      <c r="AT52" s="4">
        <f t="shared" si="1"/>
        <v>2696999.4220715524</v>
      </c>
      <c r="AU52" s="4">
        <f t="shared" si="2"/>
        <v>1953000.5779284476</v>
      </c>
      <c r="AV52" s="9" t="s">
        <v>240</v>
      </c>
      <c r="AW52" s="12" t="s">
        <v>241</v>
      </c>
      <c r="AX52" s="10">
        <v>0</v>
      </c>
      <c r="AY52">
        <f>S52*AU52/AS52</f>
        <v>1085000.3210713598</v>
      </c>
      <c r="AZ52">
        <f>AU52-AY52</f>
        <v>868000.25685708784</v>
      </c>
      <c r="BA52" s="10">
        <v>4650000</v>
      </c>
      <c r="BB52" s="10">
        <v>0</v>
      </c>
      <c r="BC52" s="9" t="s">
        <v>42</v>
      </c>
      <c r="BD52" s="9">
        <v>10421</v>
      </c>
      <c r="BE52" t="s">
        <v>46</v>
      </c>
    </row>
    <row r="53" spans="1:57" ht="270.75" thickBot="1" x14ac:dyDescent="0.3">
      <c r="A53" s="9" t="s">
        <v>242</v>
      </c>
      <c r="B53" s="9">
        <v>3001</v>
      </c>
      <c r="C53" s="10">
        <v>2</v>
      </c>
      <c r="D53" s="9" t="s">
        <v>37</v>
      </c>
      <c r="E53" s="11">
        <v>46248.355635856482</v>
      </c>
      <c r="F53" s="9" t="s">
        <v>243</v>
      </c>
      <c r="G53" s="9" t="s">
        <v>39</v>
      </c>
      <c r="H53" s="9">
        <v>53</v>
      </c>
      <c r="I53" s="9" t="s">
        <v>40</v>
      </c>
      <c r="J53" s="9">
        <v>5309</v>
      </c>
      <c r="K53" s="9" t="s">
        <v>41</v>
      </c>
      <c r="L53" s="9">
        <v>5309073</v>
      </c>
      <c r="M53" s="9">
        <v>5309073001</v>
      </c>
      <c r="N53" s="9" t="s">
        <v>42</v>
      </c>
      <c r="O53" s="9">
        <v>10421</v>
      </c>
      <c r="P53" s="9" t="s">
        <v>244</v>
      </c>
      <c r="Q53" s="10">
        <v>1</v>
      </c>
      <c r="R53" s="10">
        <v>0</v>
      </c>
      <c r="S53" s="10">
        <v>100000</v>
      </c>
      <c r="T53" s="10">
        <v>0</v>
      </c>
      <c r="U53" s="10">
        <v>280000</v>
      </c>
      <c r="V53" s="10">
        <v>0</v>
      </c>
      <c r="W53" s="10">
        <v>380000</v>
      </c>
      <c r="X53" s="10">
        <v>4500000</v>
      </c>
      <c r="Y53" s="10">
        <v>0</v>
      </c>
      <c r="Z53" s="10">
        <v>4120000</v>
      </c>
      <c r="AA53" s="10">
        <v>4500000</v>
      </c>
      <c r="AB53" s="10">
        <v>4500000</v>
      </c>
      <c r="AC53" s="10">
        <v>0</v>
      </c>
      <c r="AD53" s="9" t="s">
        <v>44</v>
      </c>
      <c r="AE53" s="10" t="s">
        <v>2270</v>
      </c>
      <c r="AF53" s="10">
        <v>4500000</v>
      </c>
      <c r="AG53" s="10">
        <v>1</v>
      </c>
      <c r="AH53" s="10">
        <v>1</v>
      </c>
      <c r="AI53" s="10">
        <v>1</v>
      </c>
      <c r="AJ53" s="12" t="s">
        <v>245</v>
      </c>
      <c r="AK53" s="10">
        <v>0</v>
      </c>
      <c r="AL53" s="10">
        <v>0</v>
      </c>
      <c r="AM53" s="9">
        <v>2007</v>
      </c>
      <c r="AN53" s="10">
        <v>0</v>
      </c>
      <c r="AO53" s="10">
        <v>1</v>
      </c>
      <c r="AP53" s="6"/>
      <c r="AQ53" s="7"/>
      <c r="AR53" s="8"/>
      <c r="AS53" s="4">
        <f t="shared" si="0"/>
        <v>380000</v>
      </c>
      <c r="AT53" s="4">
        <f t="shared" si="1"/>
        <v>2609998.7330103237</v>
      </c>
      <c r="AU53" s="4">
        <f t="shared" si="2"/>
        <v>1890001.2669896763</v>
      </c>
      <c r="AV53" s="9" t="s">
        <v>244</v>
      </c>
      <c r="AW53" s="12" t="s">
        <v>245</v>
      </c>
      <c r="AX53" s="10">
        <v>0</v>
      </c>
      <c r="AY53">
        <f>S53*AU53/AS53</f>
        <v>497368.7544709674</v>
      </c>
      <c r="AZ53">
        <f>AU53-AY53</f>
        <v>1392632.5125187088</v>
      </c>
      <c r="BA53" s="10">
        <v>4500000</v>
      </c>
      <c r="BB53" s="10">
        <v>0</v>
      </c>
      <c r="BC53" s="9" t="s">
        <v>42</v>
      </c>
      <c r="BD53" s="9">
        <v>10421</v>
      </c>
      <c r="BE53" t="s">
        <v>46</v>
      </c>
    </row>
    <row r="54" spans="1:57" ht="270.75" thickBot="1" x14ac:dyDescent="0.3">
      <c r="A54" s="9" t="s">
        <v>246</v>
      </c>
      <c r="B54" s="9">
        <v>3001</v>
      </c>
      <c r="C54" s="10">
        <v>2</v>
      </c>
      <c r="D54" s="9" t="s">
        <v>37</v>
      </c>
      <c r="E54" s="11">
        <v>46253.525704444444</v>
      </c>
      <c r="F54" s="9" t="s">
        <v>247</v>
      </c>
      <c r="G54" s="9" t="s">
        <v>39</v>
      </c>
      <c r="H54" s="9">
        <v>53</v>
      </c>
      <c r="I54" s="9" t="s">
        <v>40</v>
      </c>
      <c r="J54" s="9">
        <v>5309</v>
      </c>
      <c r="K54" s="9" t="s">
        <v>41</v>
      </c>
      <c r="L54" s="9">
        <v>5309062</v>
      </c>
      <c r="M54" s="9">
        <v>5309062012</v>
      </c>
      <c r="N54" s="9" t="s">
        <v>42</v>
      </c>
      <c r="O54" s="9">
        <v>10421</v>
      </c>
      <c r="P54" s="9" t="s">
        <v>248</v>
      </c>
      <c r="Q54" s="10">
        <v>3</v>
      </c>
      <c r="R54" s="10">
        <v>500000</v>
      </c>
      <c r="S54" s="10">
        <v>200000</v>
      </c>
      <c r="T54" s="10">
        <v>0</v>
      </c>
      <c r="U54" s="10">
        <v>150000</v>
      </c>
      <c r="V54" s="10">
        <v>0</v>
      </c>
      <c r="W54" s="10">
        <v>850000</v>
      </c>
      <c r="X54" s="10">
        <v>6800000</v>
      </c>
      <c r="Y54" s="10">
        <v>400000</v>
      </c>
      <c r="Z54" s="10">
        <v>6450000</v>
      </c>
      <c r="AA54" s="10">
        <v>3500000</v>
      </c>
      <c r="AB54" s="10">
        <v>6800000</v>
      </c>
      <c r="AC54" s="10">
        <v>0</v>
      </c>
      <c r="AD54" s="9" t="s">
        <v>44</v>
      </c>
      <c r="AE54" s="10" t="s">
        <v>2271</v>
      </c>
      <c r="AF54" s="13">
        <v>2266666667</v>
      </c>
      <c r="AG54" s="10">
        <v>1</v>
      </c>
      <c r="AH54" s="10">
        <v>1</v>
      </c>
      <c r="AI54" s="10">
        <v>1</v>
      </c>
      <c r="AJ54" s="12" t="s">
        <v>249</v>
      </c>
      <c r="AK54" s="10">
        <v>0</v>
      </c>
      <c r="AL54" s="10">
        <v>0</v>
      </c>
      <c r="AM54" s="9">
        <v>2023</v>
      </c>
      <c r="AN54" s="10">
        <v>2</v>
      </c>
      <c r="AO54" s="10">
        <v>1</v>
      </c>
      <c r="AP54" s="6"/>
      <c r="AQ54" s="7"/>
      <c r="AR54" s="8"/>
      <c r="AS54" s="4">
        <f t="shared" si="0"/>
        <v>350000</v>
      </c>
      <c r="AT54" s="4">
        <f t="shared" si="1"/>
        <v>3944001.7121247738</v>
      </c>
      <c r="AU54" s="4">
        <f t="shared" si="2"/>
        <v>2855998.2878752262</v>
      </c>
      <c r="AV54" s="9" t="s">
        <v>248</v>
      </c>
      <c r="AW54" s="12" t="s">
        <v>249</v>
      </c>
      <c r="AX54" s="10">
        <v>0</v>
      </c>
      <c r="AY54">
        <f>S54*AU54/AS54</f>
        <v>1631999.0216429865</v>
      </c>
      <c r="AZ54">
        <f>AU54-AY54</f>
        <v>1223999.2662322398</v>
      </c>
      <c r="BA54" s="10">
        <v>6800000</v>
      </c>
      <c r="BB54" s="10">
        <v>400000</v>
      </c>
      <c r="BC54" s="9" t="s">
        <v>42</v>
      </c>
      <c r="BD54" s="9">
        <v>10421</v>
      </c>
      <c r="BE54" t="s">
        <v>46</v>
      </c>
    </row>
    <row r="55" spans="1:57" ht="270.75" thickBot="1" x14ac:dyDescent="0.3">
      <c r="A55" s="9" t="s">
        <v>250</v>
      </c>
      <c r="B55" s="9">
        <v>3001</v>
      </c>
      <c r="C55" s="10">
        <v>2</v>
      </c>
      <c r="D55" s="9" t="s">
        <v>37</v>
      </c>
      <c r="E55" s="14">
        <v>46238.973541666666</v>
      </c>
      <c r="F55" s="9" t="s">
        <v>251</v>
      </c>
      <c r="G55" s="9" t="s">
        <v>39</v>
      </c>
      <c r="H55" s="9">
        <v>53</v>
      </c>
      <c r="I55" s="9" t="s">
        <v>40</v>
      </c>
      <c r="J55" s="9">
        <v>5309</v>
      </c>
      <c r="K55" s="9" t="s">
        <v>41</v>
      </c>
      <c r="L55" s="9">
        <v>5309074</v>
      </c>
      <c r="M55" s="9">
        <v>5309074002</v>
      </c>
      <c r="N55" s="9" t="s">
        <v>42</v>
      </c>
      <c r="O55" s="9">
        <v>10421</v>
      </c>
      <c r="P55" s="9" t="s">
        <v>49</v>
      </c>
      <c r="Q55" s="10">
        <v>2</v>
      </c>
      <c r="R55" s="10">
        <v>1300000</v>
      </c>
      <c r="S55" s="10">
        <v>1000000</v>
      </c>
      <c r="T55" s="10">
        <v>0</v>
      </c>
      <c r="U55" s="10">
        <v>500000</v>
      </c>
      <c r="V55" s="10">
        <v>0</v>
      </c>
      <c r="W55" s="10">
        <v>2800000</v>
      </c>
      <c r="X55" s="10">
        <v>6300000</v>
      </c>
      <c r="Y55" s="10">
        <v>0</v>
      </c>
      <c r="Z55" s="10">
        <v>4800000</v>
      </c>
      <c r="AA55" s="10">
        <v>4950000</v>
      </c>
      <c r="AB55" s="10">
        <v>6300000</v>
      </c>
      <c r="AC55" s="10">
        <v>0</v>
      </c>
      <c r="AD55" s="9" t="s">
        <v>44</v>
      </c>
      <c r="AE55" s="10" t="s">
        <v>2272</v>
      </c>
      <c r="AF55" s="10">
        <v>3150000</v>
      </c>
      <c r="AG55" s="10">
        <v>1</v>
      </c>
      <c r="AH55" s="10">
        <v>1</v>
      </c>
      <c r="AI55" s="10">
        <v>1</v>
      </c>
      <c r="AJ55" s="12" t="s">
        <v>252</v>
      </c>
      <c r="AK55" s="10">
        <v>0</v>
      </c>
      <c r="AL55" s="10">
        <v>0</v>
      </c>
      <c r="AM55" s="9">
        <v>1989</v>
      </c>
      <c r="AN55" s="10">
        <v>1</v>
      </c>
      <c r="AO55" s="10">
        <v>1</v>
      </c>
      <c r="AP55" s="6"/>
      <c r="AQ55" s="7"/>
      <c r="AR55" s="8"/>
      <c r="AS55" s="4">
        <f t="shared" si="0"/>
        <v>1500000</v>
      </c>
      <c r="AT55" s="4">
        <f t="shared" si="1"/>
        <v>3653998.8581253565</v>
      </c>
      <c r="AU55" s="4">
        <f t="shared" si="2"/>
        <v>2646001.1418746435</v>
      </c>
      <c r="AV55" s="9" t="s">
        <v>49</v>
      </c>
      <c r="AW55" s="12" t="s">
        <v>252</v>
      </c>
      <c r="AX55" s="10">
        <v>0</v>
      </c>
      <c r="AY55">
        <f>S55*AU55/AS55</f>
        <v>1764000.7612497623</v>
      </c>
      <c r="AZ55">
        <f>AU55-AY55</f>
        <v>882000.38062488125</v>
      </c>
      <c r="BA55" s="10">
        <v>6300000</v>
      </c>
      <c r="BB55" s="10">
        <v>0</v>
      </c>
      <c r="BC55" s="9" t="s">
        <v>42</v>
      </c>
      <c r="BD55" s="9">
        <v>10421</v>
      </c>
      <c r="BE55" t="s">
        <v>46</v>
      </c>
    </row>
    <row r="56" spans="1:57" ht="270.75" thickBot="1" x14ac:dyDescent="0.3">
      <c r="A56" s="9" t="s">
        <v>253</v>
      </c>
      <c r="B56" s="9">
        <v>3001</v>
      </c>
      <c r="C56" s="10">
        <v>2</v>
      </c>
      <c r="D56" s="9" t="s">
        <v>37</v>
      </c>
      <c r="E56" s="11">
        <v>46240.167876701387</v>
      </c>
      <c r="F56" s="9" t="s">
        <v>254</v>
      </c>
      <c r="G56" s="9" t="s">
        <v>39</v>
      </c>
      <c r="H56" s="9">
        <v>53</v>
      </c>
      <c r="I56" s="9" t="s">
        <v>40</v>
      </c>
      <c r="J56" s="9">
        <v>5309</v>
      </c>
      <c r="K56" s="9" t="s">
        <v>41</v>
      </c>
      <c r="L56" s="9">
        <v>5309074</v>
      </c>
      <c r="M56" s="9">
        <v>5309074003</v>
      </c>
      <c r="N56" s="9" t="s">
        <v>42</v>
      </c>
      <c r="O56" s="9">
        <v>10421</v>
      </c>
      <c r="P56" s="9" t="s">
        <v>49</v>
      </c>
      <c r="Q56" s="10">
        <v>3</v>
      </c>
      <c r="R56" s="10">
        <v>0</v>
      </c>
      <c r="S56" s="10">
        <v>3800000</v>
      </c>
      <c r="T56" s="10">
        <v>0</v>
      </c>
      <c r="U56" s="10">
        <v>0</v>
      </c>
      <c r="V56" s="10">
        <v>0</v>
      </c>
      <c r="W56" s="10">
        <v>3800000</v>
      </c>
      <c r="X56" s="10">
        <v>4200000</v>
      </c>
      <c r="Y56" s="10">
        <v>0</v>
      </c>
      <c r="Z56" s="10">
        <v>400000</v>
      </c>
      <c r="AA56" s="10">
        <v>800000</v>
      </c>
      <c r="AB56" s="10">
        <v>4200000</v>
      </c>
      <c r="AC56" s="10">
        <v>0</v>
      </c>
      <c r="AD56" s="9" t="s">
        <v>44</v>
      </c>
      <c r="AE56" s="10" t="s">
        <v>2273</v>
      </c>
      <c r="AF56" s="10">
        <v>1400000</v>
      </c>
      <c r="AG56" s="10">
        <v>1</v>
      </c>
      <c r="AH56" s="10">
        <v>1</v>
      </c>
      <c r="AI56" s="10">
        <v>1</v>
      </c>
      <c r="AJ56" s="12" t="s">
        <v>255</v>
      </c>
      <c r="AK56" s="10">
        <v>0</v>
      </c>
      <c r="AL56" s="10">
        <v>0</v>
      </c>
      <c r="AM56" s="9">
        <v>2016</v>
      </c>
      <c r="AN56" s="10">
        <v>0</v>
      </c>
      <c r="AO56" s="10">
        <v>3</v>
      </c>
      <c r="AP56" s="6"/>
      <c r="AQ56" s="7"/>
      <c r="AR56" s="8"/>
      <c r="AS56" s="4">
        <f t="shared" si="0"/>
        <v>3800000</v>
      </c>
      <c r="AT56" s="4">
        <f t="shared" si="1"/>
        <v>2436002.4360024356</v>
      </c>
      <c r="AU56" s="4">
        <f t="shared" si="2"/>
        <v>1763997.5639975644</v>
      </c>
      <c r="AV56" s="9" t="s">
        <v>49</v>
      </c>
      <c r="AW56" s="12" t="s">
        <v>255</v>
      </c>
      <c r="AX56" s="10">
        <v>0</v>
      </c>
      <c r="AY56">
        <f>S56*AU56/AS56</f>
        <v>1763997.5639975641</v>
      </c>
      <c r="AZ56">
        <f>AU56-AY56</f>
        <v>0</v>
      </c>
      <c r="BA56" s="10">
        <v>4200000</v>
      </c>
      <c r="BB56" s="10">
        <v>0</v>
      </c>
      <c r="BC56" s="9" t="s">
        <v>42</v>
      </c>
      <c r="BD56" s="9">
        <v>10421</v>
      </c>
      <c r="BE56" t="s">
        <v>46</v>
      </c>
    </row>
    <row r="57" spans="1:57" ht="270.75" thickBot="1" x14ac:dyDescent="0.3">
      <c r="A57" s="9" t="s">
        <v>256</v>
      </c>
      <c r="B57" s="9">
        <v>1001</v>
      </c>
      <c r="C57" s="10">
        <v>2</v>
      </c>
      <c r="D57" s="9" t="s">
        <v>37</v>
      </c>
      <c r="E57" s="11">
        <v>46243.93729952546</v>
      </c>
      <c r="F57" s="9" t="s">
        <v>257</v>
      </c>
      <c r="G57" s="9" t="s">
        <v>39</v>
      </c>
      <c r="H57" s="9">
        <v>53</v>
      </c>
      <c r="I57" s="9" t="s">
        <v>40</v>
      </c>
      <c r="J57" s="9">
        <v>5309</v>
      </c>
      <c r="K57" s="9" t="s">
        <v>41</v>
      </c>
      <c r="L57" s="9">
        <v>5309062</v>
      </c>
      <c r="M57" s="9">
        <v>5309062003</v>
      </c>
      <c r="N57" s="9" t="s">
        <v>42</v>
      </c>
      <c r="O57" s="9">
        <v>10421</v>
      </c>
      <c r="P57" s="9" t="s">
        <v>258</v>
      </c>
      <c r="Q57" s="10">
        <v>4</v>
      </c>
      <c r="R57" s="10">
        <v>400000</v>
      </c>
      <c r="S57" s="10">
        <v>100000</v>
      </c>
      <c r="T57" s="10">
        <v>0</v>
      </c>
      <c r="U57" s="10">
        <v>400000</v>
      </c>
      <c r="V57" s="10">
        <v>0</v>
      </c>
      <c r="W57" s="10">
        <v>900000</v>
      </c>
      <c r="X57" s="10">
        <v>8500000</v>
      </c>
      <c r="Y57" s="10">
        <v>0</v>
      </c>
      <c r="Z57" s="10">
        <v>8000000</v>
      </c>
      <c r="AA57" s="10">
        <v>4800000</v>
      </c>
      <c r="AB57" s="10">
        <v>8500000</v>
      </c>
      <c r="AC57" s="10">
        <v>0</v>
      </c>
      <c r="AD57" s="9" t="s">
        <v>44</v>
      </c>
      <c r="AE57" s="10" t="s">
        <v>2255</v>
      </c>
      <c r="AF57" s="10">
        <v>2125000</v>
      </c>
      <c r="AG57" s="10">
        <v>1</v>
      </c>
      <c r="AH57" s="10">
        <v>1</v>
      </c>
      <c r="AI57" s="10">
        <v>1</v>
      </c>
      <c r="AJ57" s="12" t="s">
        <v>259</v>
      </c>
      <c r="AK57" s="10">
        <v>0</v>
      </c>
      <c r="AL57" s="10">
        <v>0</v>
      </c>
      <c r="AM57" s="9">
        <v>1996</v>
      </c>
      <c r="AN57" s="10">
        <v>2</v>
      </c>
      <c r="AO57" s="10">
        <v>2</v>
      </c>
      <c r="AP57" s="6"/>
      <c r="AQ57" s="7"/>
      <c r="AR57" s="8"/>
      <c r="AS57" s="4">
        <f t="shared" si="0"/>
        <v>500000</v>
      </c>
      <c r="AT57" s="4">
        <f t="shared" si="1"/>
        <v>4930002.465001232</v>
      </c>
      <c r="AU57" s="4">
        <f t="shared" si="2"/>
        <v>3569997.534998768</v>
      </c>
      <c r="AV57" s="9" t="s">
        <v>258</v>
      </c>
      <c r="AW57" s="12" t="s">
        <v>259</v>
      </c>
      <c r="AX57" s="10">
        <v>0</v>
      </c>
      <c r="AY57">
        <f>S57*AU57/AS57</f>
        <v>713999.50699975365</v>
      </c>
      <c r="AZ57">
        <f>AU57-AY57</f>
        <v>2855998.0279990146</v>
      </c>
      <c r="BA57" s="10">
        <v>8500000</v>
      </c>
      <c r="BB57" s="10">
        <v>0</v>
      </c>
      <c r="BC57" s="9" t="s">
        <v>42</v>
      </c>
      <c r="BD57" s="9">
        <v>10421</v>
      </c>
      <c r="BE57" t="s">
        <v>46</v>
      </c>
    </row>
    <row r="58" spans="1:57" ht="255.75" thickBot="1" x14ac:dyDescent="0.3">
      <c r="A58" s="9" t="s">
        <v>260</v>
      </c>
      <c r="B58" s="9">
        <v>3001</v>
      </c>
      <c r="C58" s="10">
        <v>2</v>
      </c>
      <c r="D58" s="9" t="s">
        <v>37</v>
      </c>
      <c r="E58" s="14">
        <v>46214.977314814816</v>
      </c>
      <c r="F58" s="9" t="s">
        <v>261</v>
      </c>
      <c r="G58" s="9" t="s">
        <v>39</v>
      </c>
      <c r="H58" s="9">
        <v>53</v>
      </c>
      <c r="I58" s="9" t="s">
        <v>40</v>
      </c>
      <c r="J58" s="9">
        <v>5309</v>
      </c>
      <c r="K58" s="9" t="s">
        <v>41</v>
      </c>
      <c r="L58" s="9">
        <v>5309062</v>
      </c>
      <c r="M58" s="9">
        <v>5309062003</v>
      </c>
      <c r="N58" s="9" t="s">
        <v>42</v>
      </c>
      <c r="O58" s="9">
        <v>10421</v>
      </c>
      <c r="P58" s="9" t="s">
        <v>262</v>
      </c>
      <c r="Q58" s="10">
        <v>3</v>
      </c>
      <c r="R58" s="10">
        <v>200000</v>
      </c>
      <c r="S58" s="10">
        <v>150000</v>
      </c>
      <c r="T58" s="10">
        <v>0</v>
      </c>
      <c r="U58" s="10">
        <v>300000</v>
      </c>
      <c r="V58" s="10">
        <v>0</v>
      </c>
      <c r="W58" s="10">
        <v>650000</v>
      </c>
      <c r="X58" s="10">
        <v>6000000</v>
      </c>
      <c r="Y58" s="10">
        <v>0</v>
      </c>
      <c r="Z58" s="10">
        <v>5550000</v>
      </c>
      <c r="AA58" s="10">
        <v>4800000</v>
      </c>
      <c r="AB58" s="10">
        <v>6000000</v>
      </c>
      <c r="AC58" s="10">
        <v>0</v>
      </c>
      <c r="AD58" s="9" t="s">
        <v>44</v>
      </c>
      <c r="AE58" s="10" t="s">
        <v>2274</v>
      </c>
      <c r="AF58" s="10">
        <v>2000000</v>
      </c>
      <c r="AG58" s="10">
        <v>1</v>
      </c>
      <c r="AH58" s="10">
        <v>1</v>
      </c>
      <c r="AI58" s="10">
        <v>1</v>
      </c>
      <c r="AJ58" s="12" t="s">
        <v>263</v>
      </c>
      <c r="AK58" s="10">
        <v>0</v>
      </c>
      <c r="AL58" s="10">
        <v>0</v>
      </c>
      <c r="AM58" s="9">
        <v>1990</v>
      </c>
      <c r="AN58" s="10">
        <v>1</v>
      </c>
      <c r="AO58" s="10">
        <v>2</v>
      </c>
      <c r="AP58" s="6"/>
      <c r="AQ58" s="7"/>
      <c r="AR58" s="8"/>
      <c r="AS58" s="4">
        <f t="shared" si="0"/>
        <v>450000</v>
      </c>
      <c r="AT58" s="4">
        <f t="shared" si="1"/>
        <v>3480000</v>
      </c>
      <c r="AU58" s="4">
        <f t="shared" si="2"/>
        <v>2520000</v>
      </c>
      <c r="AV58" s="9" t="s">
        <v>262</v>
      </c>
      <c r="AW58" s="12" t="s">
        <v>263</v>
      </c>
      <c r="AX58" s="10">
        <v>0</v>
      </c>
      <c r="AY58">
        <f>S58*AU58/AS58</f>
        <v>840000</v>
      </c>
      <c r="AZ58">
        <f>AU58-AY58</f>
        <v>1680000</v>
      </c>
      <c r="BA58" s="10">
        <v>6000000</v>
      </c>
      <c r="BB58" s="10">
        <v>0</v>
      </c>
      <c r="BC58" s="9" t="s">
        <v>42</v>
      </c>
      <c r="BD58" s="9">
        <v>10421</v>
      </c>
      <c r="BE58" t="s">
        <v>46</v>
      </c>
    </row>
    <row r="59" spans="1:57" ht="270.75" thickBot="1" x14ac:dyDescent="0.3">
      <c r="A59" s="9" t="s">
        <v>264</v>
      </c>
      <c r="B59" s="9">
        <v>3001</v>
      </c>
      <c r="C59" s="10">
        <v>2</v>
      </c>
      <c r="D59" s="9" t="s">
        <v>37</v>
      </c>
      <c r="E59" s="11">
        <v>46215.923952754631</v>
      </c>
      <c r="F59" s="9" t="s">
        <v>265</v>
      </c>
      <c r="G59" s="9" t="s">
        <v>39</v>
      </c>
      <c r="H59" s="9">
        <v>53</v>
      </c>
      <c r="I59" s="9" t="s">
        <v>40</v>
      </c>
      <c r="J59" s="9">
        <v>5309</v>
      </c>
      <c r="K59" s="9" t="s">
        <v>41</v>
      </c>
      <c r="L59" s="9">
        <v>5309062</v>
      </c>
      <c r="M59" s="9">
        <v>5309062004</v>
      </c>
      <c r="N59" s="9" t="s">
        <v>42</v>
      </c>
      <c r="O59" s="9">
        <v>10421</v>
      </c>
      <c r="P59" s="9" t="s">
        <v>266</v>
      </c>
      <c r="Q59" s="10">
        <v>4</v>
      </c>
      <c r="R59" s="10">
        <v>250000</v>
      </c>
      <c r="S59" s="10">
        <v>250000</v>
      </c>
      <c r="T59" s="10">
        <v>0</v>
      </c>
      <c r="U59" s="10">
        <v>50000</v>
      </c>
      <c r="V59" s="10">
        <v>0</v>
      </c>
      <c r="W59" s="10">
        <v>550000</v>
      </c>
      <c r="X59" s="10">
        <v>8000000</v>
      </c>
      <c r="Y59" s="10">
        <v>0</v>
      </c>
      <c r="Z59" s="10">
        <v>7700000</v>
      </c>
      <c r="AA59" s="10">
        <v>8400000</v>
      </c>
      <c r="AB59" s="10">
        <v>8000000</v>
      </c>
      <c r="AC59" s="10">
        <v>0</v>
      </c>
      <c r="AD59" s="9" t="s">
        <v>44</v>
      </c>
      <c r="AE59" s="10" t="s">
        <v>2223</v>
      </c>
      <c r="AF59" s="10">
        <v>2000000</v>
      </c>
      <c r="AG59" s="10">
        <v>1</v>
      </c>
      <c r="AH59" s="10">
        <v>1</v>
      </c>
      <c r="AI59" s="10">
        <v>1</v>
      </c>
      <c r="AJ59" s="12" t="s">
        <v>267</v>
      </c>
      <c r="AK59" s="10">
        <v>0</v>
      </c>
      <c r="AL59" s="10">
        <v>0</v>
      </c>
      <c r="AM59" s="9">
        <v>1990</v>
      </c>
      <c r="AN59" s="10">
        <v>2</v>
      </c>
      <c r="AO59" s="10">
        <v>2</v>
      </c>
      <c r="AP59" s="6"/>
      <c r="AQ59" s="7"/>
      <c r="AR59" s="8"/>
      <c r="AS59" s="4">
        <f t="shared" si="0"/>
        <v>300000</v>
      </c>
      <c r="AT59" s="4">
        <f t="shared" si="1"/>
        <v>4640000</v>
      </c>
      <c r="AU59" s="4">
        <f t="shared" si="2"/>
        <v>3360000</v>
      </c>
      <c r="AV59" s="9" t="s">
        <v>266</v>
      </c>
      <c r="AW59" s="12" t="s">
        <v>267</v>
      </c>
      <c r="AX59" s="10">
        <v>0</v>
      </c>
      <c r="AY59">
        <f>S59*AU59/AS59</f>
        <v>2800000</v>
      </c>
      <c r="AZ59">
        <f>AU59-AY59</f>
        <v>560000</v>
      </c>
      <c r="BA59" s="10">
        <v>8000000</v>
      </c>
      <c r="BB59" s="10">
        <v>0</v>
      </c>
      <c r="BC59" s="9" t="s">
        <v>42</v>
      </c>
      <c r="BD59" s="9">
        <v>10421</v>
      </c>
      <c r="BE59" t="s">
        <v>46</v>
      </c>
    </row>
    <row r="60" spans="1:57" ht="270.75" thickBot="1" x14ac:dyDescent="0.3">
      <c r="A60" s="9" t="s">
        <v>268</v>
      </c>
      <c r="B60" s="9">
        <v>3002</v>
      </c>
      <c r="C60" s="10">
        <v>2</v>
      </c>
      <c r="D60" s="9" t="s">
        <v>37</v>
      </c>
      <c r="E60" s="14">
        <v>46244.974548611113</v>
      </c>
      <c r="F60" s="9" t="s">
        <v>269</v>
      </c>
      <c r="G60" s="9" t="s">
        <v>39</v>
      </c>
      <c r="H60" s="9">
        <v>53</v>
      </c>
      <c r="I60" s="9" t="s">
        <v>40</v>
      </c>
      <c r="J60" s="9">
        <v>5309</v>
      </c>
      <c r="K60" s="9" t="s">
        <v>41</v>
      </c>
      <c r="L60" s="9">
        <v>5309062</v>
      </c>
      <c r="M60" s="9">
        <v>5309062009</v>
      </c>
      <c r="N60" s="9" t="s">
        <v>42</v>
      </c>
      <c r="O60" s="9">
        <v>10421</v>
      </c>
      <c r="P60" s="9" t="s">
        <v>270</v>
      </c>
      <c r="Q60" s="10">
        <v>2</v>
      </c>
      <c r="R60" s="10">
        <v>0</v>
      </c>
      <c r="S60" s="10">
        <v>200000</v>
      </c>
      <c r="T60" s="10">
        <v>0</v>
      </c>
      <c r="U60" s="10">
        <v>35000</v>
      </c>
      <c r="V60" s="10">
        <v>0</v>
      </c>
      <c r="W60" s="10">
        <v>235000</v>
      </c>
      <c r="X60" s="10">
        <v>3000000</v>
      </c>
      <c r="Y60" s="10">
        <v>0</v>
      </c>
      <c r="Z60" s="10">
        <v>2765000</v>
      </c>
      <c r="AA60" s="10">
        <v>6800000</v>
      </c>
      <c r="AB60" s="10">
        <v>3000000</v>
      </c>
      <c r="AC60" s="10">
        <v>0</v>
      </c>
      <c r="AD60" s="9" t="s">
        <v>44</v>
      </c>
      <c r="AE60" s="10" t="s">
        <v>2275</v>
      </c>
      <c r="AF60" s="10">
        <v>1500000</v>
      </c>
      <c r="AG60" s="10">
        <v>1</v>
      </c>
      <c r="AH60" s="10">
        <v>1</v>
      </c>
      <c r="AI60" s="10">
        <v>1</v>
      </c>
      <c r="AJ60" s="12" t="s">
        <v>271</v>
      </c>
      <c r="AK60" s="10">
        <v>0</v>
      </c>
      <c r="AL60" s="10">
        <v>0</v>
      </c>
      <c r="AM60" s="9">
        <v>2025</v>
      </c>
      <c r="AN60" s="10">
        <v>0</v>
      </c>
      <c r="AO60" s="10">
        <v>2</v>
      </c>
      <c r="AP60" s="6"/>
      <c r="AQ60" s="7"/>
      <c r="AR60" s="8"/>
      <c r="AS60" s="4">
        <f t="shared" si="0"/>
        <v>235000</v>
      </c>
      <c r="AT60" s="4">
        <f t="shared" si="1"/>
        <v>1739999.3707054716</v>
      </c>
      <c r="AU60" s="4">
        <f t="shared" si="2"/>
        <v>1260000.6292945284</v>
      </c>
      <c r="AV60" s="9" t="s">
        <v>270</v>
      </c>
      <c r="AW60" s="12" t="s">
        <v>271</v>
      </c>
      <c r="AX60" s="10">
        <v>0</v>
      </c>
      <c r="AY60">
        <f>S60*AU60/AS60</f>
        <v>1072340.9611017262</v>
      </c>
      <c r="AZ60">
        <f>AU60-AY60</f>
        <v>187659.66819280223</v>
      </c>
      <c r="BA60" s="10">
        <v>3000000</v>
      </c>
      <c r="BB60" s="10">
        <v>0</v>
      </c>
      <c r="BC60" s="9" t="s">
        <v>42</v>
      </c>
      <c r="BD60" s="9">
        <v>10421</v>
      </c>
      <c r="BE60" t="s">
        <v>46</v>
      </c>
    </row>
    <row r="61" spans="1:57" ht="270.75" thickBot="1" x14ac:dyDescent="0.3">
      <c r="A61" s="9" t="s">
        <v>272</v>
      </c>
      <c r="B61" s="9">
        <v>1001</v>
      </c>
      <c r="C61" s="10">
        <v>2</v>
      </c>
      <c r="D61" s="9" t="s">
        <v>37</v>
      </c>
      <c r="E61" s="14">
        <v>46245.878587962965</v>
      </c>
      <c r="F61" s="9" t="s">
        <v>273</v>
      </c>
      <c r="G61" s="9" t="s">
        <v>39</v>
      </c>
      <c r="H61" s="9">
        <v>53</v>
      </c>
      <c r="I61" s="9" t="s">
        <v>40</v>
      </c>
      <c r="J61" s="9">
        <v>5309</v>
      </c>
      <c r="K61" s="9" t="s">
        <v>41</v>
      </c>
      <c r="L61" s="9">
        <v>5309060</v>
      </c>
      <c r="M61" s="9">
        <v>5309060019</v>
      </c>
      <c r="N61" s="9" t="s">
        <v>42</v>
      </c>
      <c r="O61" s="9">
        <v>10421</v>
      </c>
      <c r="P61" s="9" t="s">
        <v>274</v>
      </c>
      <c r="Q61" s="10">
        <v>5</v>
      </c>
      <c r="R61" s="10">
        <v>500000</v>
      </c>
      <c r="S61" s="10">
        <v>2000000</v>
      </c>
      <c r="T61" s="10">
        <v>0</v>
      </c>
      <c r="U61" s="10">
        <v>250000</v>
      </c>
      <c r="V61" s="10">
        <v>0</v>
      </c>
      <c r="W61" s="10">
        <v>2750000</v>
      </c>
      <c r="X61" s="10">
        <v>7000000</v>
      </c>
      <c r="Y61" s="10">
        <v>0</v>
      </c>
      <c r="Z61" s="10">
        <v>4750000</v>
      </c>
      <c r="AA61" s="10">
        <v>2000000</v>
      </c>
      <c r="AB61" s="10">
        <v>7000000</v>
      </c>
      <c r="AC61" s="10">
        <v>0</v>
      </c>
      <c r="AD61" s="9" t="s">
        <v>44</v>
      </c>
      <c r="AE61" s="10" t="s">
        <v>2276</v>
      </c>
      <c r="AF61" s="10">
        <v>1400000</v>
      </c>
      <c r="AG61" s="10">
        <v>1</v>
      </c>
      <c r="AH61" s="10">
        <v>1</v>
      </c>
      <c r="AI61" s="10">
        <v>1</v>
      </c>
      <c r="AJ61" s="12" t="s">
        <v>275</v>
      </c>
      <c r="AK61" s="10">
        <v>0</v>
      </c>
      <c r="AL61" s="10">
        <v>0</v>
      </c>
      <c r="AM61" s="9">
        <v>2024</v>
      </c>
      <c r="AN61" s="10">
        <v>3</v>
      </c>
      <c r="AO61" s="10">
        <v>2</v>
      </c>
      <c r="AP61" s="6"/>
      <c r="AQ61" s="7"/>
      <c r="AR61" s="8"/>
      <c r="AS61" s="4">
        <f t="shared" si="0"/>
        <v>2250000</v>
      </c>
      <c r="AT61" s="4">
        <f t="shared" si="1"/>
        <v>4060002.5642121457</v>
      </c>
      <c r="AU61" s="4">
        <f t="shared" si="2"/>
        <v>2939997.4357878543</v>
      </c>
      <c r="AV61" s="9" t="s">
        <v>274</v>
      </c>
      <c r="AW61" s="12" t="s">
        <v>275</v>
      </c>
      <c r="AX61" s="10">
        <v>0</v>
      </c>
      <c r="AY61">
        <f>S61*AU61/AS61</f>
        <v>2613331.0540336482</v>
      </c>
      <c r="AZ61">
        <f>AU61-AY61</f>
        <v>326666.38175420603</v>
      </c>
      <c r="BA61" s="10">
        <v>7000000</v>
      </c>
      <c r="BB61" s="10">
        <v>0</v>
      </c>
      <c r="BC61" s="9" t="s">
        <v>42</v>
      </c>
      <c r="BD61" s="9">
        <v>10421</v>
      </c>
      <c r="BE61" t="s">
        <v>46</v>
      </c>
    </row>
    <row r="62" spans="1:57" ht="270.75" thickBot="1" x14ac:dyDescent="0.3">
      <c r="A62" s="9" t="s">
        <v>276</v>
      </c>
      <c r="B62" s="9">
        <v>3001</v>
      </c>
      <c r="C62" s="10">
        <v>2</v>
      </c>
      <c r="D62" s="9" t="s">
        <v>37</v>
      </c>
      <c r="E62" s="11">
        <v>46237.48967761574</v>
      </c>
      <c r="F62" s="9" t="s">
        <v>277</v>
      </c>
      <c r="G62" s="9" t="s">
        <v>39</v>
      </c>
      <c r="H62" s="9">
        <v>53</v>
      </c>
      <c r="I62" s="9" t="s">
        <v>40</v>
      </c>
      <c r="J62" s="9">
        <v>5309</v>
      </c>
      <c r="K62" s="9" t="s">
        <v>41</v>
      </c>
      <c r="L62" s="9">
        <v>5309062</v>
      </c>
      <c r="M62" s="9">
        <v>5309062013</v>
      </c>
      <c r="N62" s="9" t="s">
        <v>42</v>
      </c>
      <c r="O62" s="9">
        <v>10421</v>
      </c>
      <c r="P62" s="9" t="s">
        <v>278</v>
      </c>
      <c r="Q62" s="10">
        <v>3</v>
      </c>
      <c r="R62" s="10">
        <v>600000</v>
      </c>
      <c r="S62" s="10">
        <v>200000</v>
      </c>
      <c r="T62" s="10">
        <v>0</v>
      </c>
      <c r="U62" s="10">
        <v>150000</v>
      </c>
      <c r="V62" s="10">
        <v>350000</v>
      </c>
      <c r="W62" s="10">
        <v>1300000</v>
      </c>
      <c r="X62" s="10">
        <v>4850000</v>
      </c>
      <c r="Y62" s="10">
        <v>0</v>
      </c>
      <c r="Z62" s="10">
        <v>4500000</v>
      </c>
      <c r="AA62" s="10">
        <v>2750000</v>
      </c>
      <c r="AB62" s="10">
        <v>4850000</v>
      </c>
      <c r="AC62" s="10">
        <v>0</v>
      </c>
      <c r="AD62" s="9" t="s">
        <v>44</v>
      </c>
      <c r="AE62" s="10" t="s">
        <v>2277</v>
      </c>
      <c r="AF62" s="13">
        <v>1616666667</v>
      </c>
      <c r="AG62" s="10">
        <v>1</v>
      </c>
      <c r="AH62" s="10">
        <v>1</v>
      </c>
      <c r="AI62" s="10">
        <v>1</v>
      </c>
      <c r="AJ62" s="12" t="s">
        <v>279</v>
      </c>
      <c r="AK62" s="10">
        <v>0</v>
      </c>
      <c r="AL62" s="10">
        <v>0</v>
      </c>
      <c r="AM62" s="9">
        <v>1995</v>
      </c>
      <c r="AN62" s="10">
        <v>2</v>
      </c>
      <c r="AO62" s="10">
        <v>1</v>
      </c>
      <c r="AP62" s="6"/>
      <c r="AQ62" s="7"/>
      <c r="AR62" s="8"/>
      <c r="AS62" s="4">
        <f t="shared" si="0"/>
        <v>350000</v>
      </c>
      <c r="AT62" s="4">
        <f t="shared" si="1"/>
        <v>2813000.1562777865</v>
      </c>
      <c r="AU62" s="4">
        <f t="shared" si="2"/>
        <v>2036999.8437222135</v>
      </c>
      <c r="AV62" s="9" t="s">
        <v>278</v>
      </c>
      <c r="AW62" s="12" t="s">
        <v>279</v>
      </c>
      <c r="AX62" s="10">
        <v>0</v>
      </c>
      <c r="AY62">
        <f>S62*AU62/AS62</f>
        <v>1163999.9106984078</v>
      </c>
      <c r="AZ62">
        <f>AU62-AY62</f>
        <v>872999.93302380573</v>
      </c>
      <c r="BA62" s="10">
        <v>4850000</v>
      </c>
      <c r="BB62" s="10">
        <v>0</v>
      </c>
      <c r="BC62" s="9" t="s">
        <v>42</v>
      </c>
      <c r="BD62" s="9">
        <v>10421</v>
      </c>
      <c r="BE62" t="s">
        <v>46</v>
      </c>
    </row>
    <row r="63" spans="1:57" ht="270.75" thickBot="1" x14ac:dyDescent="0.3">
      <c r="A63" s="9" t="s">
        <v>280</v>
      </c>
      <c r="B63" s="9">
        <v>3001</v>
      </c>
      <c r="C63" s="10">
        <v>2</v>
      </c>
      <c r="D63" s="9" t="s">
        <v>37</v>
      </c>
      <c r="E63" s="11">
        <v>46293.153911782407</v>
      </c>
      <c r="F63" s="9" t="s">
        <v>281</v>
      </c>
      <c r="G63" s="9" t="s">
        <v>39</v>
      </c>
      <c r="H63" s="9">
        <v>53</v>
      </c>
      <c r="I63" s="9" t="s">
        <v>40</v>
      </c>
      <c r="J63" s="9">
        <v>5309</v>
      </c>
      <c r="K63" s="9" t="s">
        <v>41</v>
      </c>
      <c r="L63" s="9">
        <v>5309062</v>
      </c>
      <c r="M63" s="9">
        <v>5309062012</v>
      </c>
      <c r="N63" s="9" t="s">
        <v>42</v>
      </c>
      <c r="O63" s="9">
        <v>10421</v>
      </c>
      <c r="P63" s="9" t="s">
        <v>141</v>
      </c>
      <c r="Q63" s="10">
        <v>4</v>
      </c>
      <c r="R63" s="10">
        <v>500000</v>
      </c>
      <c r="S63" s="10">
        <v>270000</v>
      </c>
      <c r="T63" s="10">
        <v>0</v>
      </c>
      <c r="U63" s="10">
        <v>150000</v>
      </c>
      <c r="V63" s="10">
        <v>0</v>
      </c>
      <c r="W63" s="10">
        <v>920000</v>
      </c>
      <c r="X63" s="10">
        <v>3500000</v>
      </c>
      <c r="Y63" s="10">
        <v>500000</v>
      </c>
      <c r="Z63" s="10">
        <v>3080000</v>
      </c>
      <c r="AA63" s="10">
        <v>3500000</v>
      </c>
      <c r="AB63" s="10">
        <v>3500000</v>
      </c>
      <c r="AC63" s="10">
        <v>0</v>
      </c>
      <c r="AD63" s="9" t="s">
        <v>44</v>
      </c>
      <c r="AE63" s="10" t="s">
        <v>1743</v>
      </c>
      <c r="AF63" s="10">
        <v>875000</v>
      </c>
      <c r="AG63" s="10">
        <v>1</v>
      </c>
      <c r="AH63" s="10">
        <v>1</v>
      </c>
      <c r="AI63" s="10">
        <v>1</v>
      </c>
      <c r="AJ63" s="12" t="s">
        <v>282</v>
      </c>
      <c r="AK63" s="10">
        <v>0</v>
      </c>
      <c r="AL63" s="10">
        <v>0</v>
      </c>
      <c r="AM63" s="9">
        <v>2024</v>
      </c>
      <c r="AN63" s="10">
        <v>2</v>
      </c>
      <c r="AO63" s="10">
        <v>2</v>
      </c>
      <c r="AP63" s="6"/>
      <c r="AQ63" s="7"/>
      <c r="AR63" s="8"/>
      <c r="AS63" s="4">
        <f t="shared" si="0"/>
        <v>420000</v>
      </c>
      <c r="AT63" s="4">
        <f t="shared" si="1"/>
        <v>2029999.9999999998</v>
      </c>
      <c r="AU63" s="4">
        <f t="shared" si="2"/>
        <v>1470000.0000000002</v>
      </c>
      <c r="AV63" s="9" t="s">
        <v>141</v>
      </c>
      <c r="AW63" s="12" t="s">
        <v>282</v>
      </c>
      <c r="AX63" s="10">
        <v>0</v>
      </c>
      <c r="AY63">
        <f>S63*AU63/AS63</f>
        <v>945000.00000000012</v>
      </c>
      <c r="AZ63">
        <f>AU63-AY63</f>
        <v>525000.00000000012</v>
      </c>
      <c r="BA63" s="10">
        <v>3500000</v>
      </c>
      <c r="BB63" s="10">
        <v>500000</v>
      </c>
      <c r="BC63" s="9" t="s">
        <v>42</v>
      </c>
      <c r="BD63" s="9">
        <v>10421</v>
      </c>
      <c r="BE63" t="s">
        <v>46</v>
      </c>
    </row>
    <row r="64" spans="1:57" ht="270.75" thickBot="1" x14ac:dyDescent="0.3">
      <c r="A64" s="9" t="s">
        <v>283</v>
      </c>
      <c r="B64" s="9">
        <v>3001</v>
      </c>
      <c r="C64" s="10">
        <v>2</v>
      </c>
      <c r="D64" s="9" t="s">
        <v>113</v>
      </c>
      <c r="E64" s="11">
        <v>46312.868041666668</v>
      </c>
      <c r="F64" s="9" t="s">
        <v>284</v>
      </c>
      <c r="G64" s="9" t="s">
        <v>39</v>
      </c>
      <c r="H64" s="9">
        <v>53</v>
      </c>
      <c r="I64" s="9" t="s">
        <v>40</v>
      </c>
      <c r="J64" s="9">
        <v>5309</v>
      </c>
      <c r="K64" s="9" t="s">
        <v>41</v>
      </c>
      <c r="L64" s="9">
        <v>5309062</v>
      </c>
      <c r="M64" s="9">
        <v>5309062007</v>
      </c>
      <c r="N64" s="9" t="s">
        <v>42</v>
      </c>
      <c r="O64" s="9">
        <v>10421</v>
      </c>
      <c r="P64" s="9" t="s">
        <v>285</v>
      </c>
      <c r="Q64" s="10">
        <v>3</v>
      </c>
      <c r="R64" s="10">
        <v>900000</v>
      </c>
      <c r="S64" s="10">
        <v>100000</v>
      </c>
      <c r="T64" s="10">
        <v>0</v>
      </c>
      <c r="U64" s="10">
        <v>150000</v>
      </c>
      <c r="V64" s="10">
        <v>0</v>
      </c>
      <c r="W64" s="10">
        <v>1150000</v>
      </c>
      <c r="X64" s="10">
        <v>9200000</v>
      </c>
      <c r="Y64" s="10">
        <v>0</v>
      </c>
      <c r="Z64" s="10">
        <v>8950000</v>
      </c>
      <c r="AA64" s="10">
        <v>8000000</v>
      </c>
      <c r="AB64" s="10">
        <v>9200000</v>
      </c>
      <c r="AC64" s="10">
        <v>0</v>
      </c>
      <c r="AD64" s="9" t="s">
        <v>44</v>
      </c>
      <c r="AE64" s="10" t="s">
        <v>2278</v>
      </c>
      <c r="AF64" s="13">
        <v>3066666667</v>
      </c>
      <c r="AG64" s="10">
        <v>1</v>
      </c>
      <c r="AH64" s="10">
        <v>1</v>
      </c>
      <c r="AI64" s="10">
        <v>1</v>
      </c>
      <c r="AJ64" s="12" t="s">
        <v>286</v>
      </c>
      <c r="AK64" s="10">
        <v>0</v>
      </c>
      <c r="AL64" s="10">
        <v>0</v>
      </c>
      <c r="AM64" s="9">
        <v>2013</v>
      </c>
      <c r="AN64" s="10">
        <v>1</v>
      </c>
      <c r="AO64" s="10">
        <v>2</v>
      </c>
      <c r="AP64" s="6"/>
      <c r="AQ64" s="7"/>
      <c r="AR64" s="8"/>
      <c r="AS64" s="4">
        <f t="shared" si="0"/>
        <v>250000</v>
      </c>
      <c r="AT64" s="4">
        <f t="shared" si="1"/>
        <v>5336000.4769609366</v>
      </c>
      <c r="AU64" s="4">
        <f t="shared" si="2"/>
        <v>3863999.5230390634</v>
      </c>
      <c r="AV64" s="9" t="s">
        <v>285</v>
      </c>
      <c r="AW64" s="12" t="s">
        <v>286</v>
      </c>
      <c r="AX64" s="10">
        <v>0</v>
      </c>
      <c r="AY64">
        <f>S64*AU64/AS64</f>
        <v>1545599.8092156255</v>
      </c>
      <c r="AZ64">
        <f>AU64-AY64</f>
        <v>2318399.7138234377</v>
      </c>
      <c r="BA64" s="10">
        <v>9200000</v>
      </c>
      <c r="BB64" s="10">
        <v>0</v>
      </c>
      <c r="BC64" s="9" t="s">
        <v>42</v>
      </c>
      <c r="BD64" s="9">
        <v>10421</v>
      </c>
      <c r="BE64" t="s">
        <v>46</v>
      </c>
    </row>
    <row r="65" spans="1:57" ht="270.75" thickBot="1" x14ac:dyDescent="0.3">
      <c r="A65" s="9" t="s">
        <v>287</v>
      </c>
      <c r="B65" s="9">
        <v>3001</v>
      </c>
      <c r="C65" s="10">
        <v>2</v>
      </c>
      <c r="D65" s="9" t="s">
        <v>37</v>
      </c>
      <c r="E65" s="14">
        <v>46239.723356481481</v>
      </c>
      <c r="F65" s="9" t="s">
        <v>288</v>
      </c>
      <c r="G65" s="9" t="s">
        <v>39</v>
      </c>
      <c r="H65" s="9">
        <v>53</v>
      </c>
      <c r="I65" s="9" t="s">
        <v>40</v>
      </c>
      <c r="J65" s="9">
        <v>5309</v>
      </c>
      <c r="K65" s="9" t="s">
        <v>41</v>
      </c>
      <c r="L65" s="9">
        <v>5309074</v>
      </c>
      <c r="M65" s="9">
        <v>5309074002</v>
      </c>
      <c r="N65" s="9" t="s">
        <v>42</v>
      </c>
      <c r="O65" s="9">
        <v>10421</v>
      </c>
      <c r="P65" s="9" t="s">
        <v>49</v>
      </c>
      <c r="Q65" s="10">
        <v>2</v>
      </c>
      <c r="R65" s="10">
        <v>1500000</v>
      </c>
      <c r="S65" s="10">
        <v>300000</v>
      </c>
      <c r="T65" s="10">
        <v>0</v>
      </c>
      <c r="U65" s="10">
        <v>600000</v>
      </c>
      <c r="V65" s="10">
        <v>0</v>
      </c>
      <c r="W65" s="10">
        <v>2400000</v>
      </c>
      <c r="X65" s="10">
        <v>6000000</v>
      </c>
      <c r="Y65" s="10">
        <v>0</v>
      </c>
      <c r="Z65" s="10">
        <v>5100000</v>
      </c>
      <c r="AA65" s="10">
        <v>5250000</v>
      </c>
      <c r="AB65" s="10">
        <v>6000000</v>
      </c>
      <c r="AC65" s="10">
        <v>0</v>
      </c>
      <c r="AD65" s="9" t="s">
        <v>44</v>
      </c>
      <c r="AE65" s="10" t="s">
        <v>1765</v>
      </c>
      <c r="AF65" s="10">
        <v>3000000</v>
      </c>
      <c r="AG65" s="10">
        <v>1</v>
      </c>
      <c r="AH65" s="10">
        <v>1</v>
      </c>
      <c r="AI65" s="10">
        <v>1</v>
      </c>
      <c r="AJ65" s="12" t="s">
        <v>289</v>
      </c>
      <c r="AK65" s="10">
        <v>0</v>
      </c>
      <c r="AL65" s="10">
        <v>0</v>
      </c>
      <c r="AM65" s="9">
        <v>1988</v>
      </c>
      <c r="AN65" s="10">
        <v>1</v>
      </c>
      <c r="AO65" s="10">
        <v>1</v>
      </c>
      <c r="AP65" s="6"/>
      <c r="AQ65" s="7"/>
      <c r="AR65" s="8"/>
      <c r="AS65" s="4">
        <f t="shared" si="0"/>
        <v>900000</v>
      </c>
      <c r="AT65" s="4">
        <f t="shared" si="1"/>
        <v>3480000</v>
      </c>
      <c r="AU65" s="4">
        <f t="shared" si="2"/>
        <v>2520000</v>
      </c>
      <c r="AV65" s="9" t="s">
        <v>49</v>
      </c>
      <c r="AW65" s="12" t="s">
        <v>289</v>
      </c>
      <c r="AX65" s="10">
        <v>0</v>
      </c>
      <c r="AY65">
        <f>S65*AU65/AS65</f>
        <v>840000</v>
      </c>
      <c r="AZ65">
        <f>AU65-AY65</f>
        <v>1680000</v>
      </c>
      <c r="BA65" s="10">
        <v>6000000</v>
      </c>
      <c r="BB65" s="10">
        <v>0</v>
      </c>
      <c r="BC65" s="9" t="s">
        <v>42</v>
      </c>
      <c r="BD65" s="9">
        <v>10421</v>
      </c>
      <c r="BE65" t="s">
        <v>46</v>
      </c>
    </row>
    <row r="66" spans="1:57" ht="270.75" thickBot="1" x14ac:dyDescent="0.3">
      <c r="A66" s="9" t="s">
        <v>290</v>
      </c>
      <c r="B66" s="9">
        <v>1003</v>
      </c>
      <c r="C66" s="10">
        <v>2</v>
      </c>
      <c r="D66" s="9" t="s">
        <v>37</v>
      </c>
      <c r="E66" s="11">
        <v>46207.674345104169</v>
      </c>
      <c r="F66" s="9" t="s">
        <v>291</v>
      </c>
      <c r="G66" s="9" t="s">
        <v>39</v>
      </c>
      <c r="H66" s="9">
        <v>53</v>
      </c>
      <c r="I66" s="9" t="s">
        <v>40</v>
      </c>
      <c r="J66" s="9">
        <v>5309</v>
      </c>
      <c r="K66" s="9" t="s">
        <v>41</v>
      </c>
      <c r="L66" s="9">
        <v>5309062</v>
      </c>
      <c r="M66" s="9">
        <v>5309062006</v>
      </c>
      <c r="N66" s="9" t="s">
        <v>42</v>
      </c>
      <c r="O66" s="9">
        <v>10421</v>
      </c>
      <c r="P66" s="9" t="s">
        <v>292</v>
      </c>
      <c r="Q66" s="10">
        <v>3</v>
      </c>
      <c r="R66" s="10">
        <v>0</v>
      </c>
      <c r="S66" s="10">
        <v>400000</v>
      </c>
      <c r="T66" s="10">
        <v>0</v>
      </c>
      <c r="U66" s="10">
        <v>300000</v>
      </c>
      <c r="V66" s="10">
        <v>0</v>
      </c>
      <c r="W66" s="10">
        <v>700000</v>
      </c>
      <c r="X66" s="10">
        <v>6300000</v>
      </c>
      <c r="Y66" s="10">
        <v>0</v>
      </c>
      <c r="Z66" s="10">
        <v>5600000</v>
      </c>
      <c r="AA66" s="10">
        <v>4500000</v>
      </c>
      <c r="AB66" s="10">
        <v>6300000</v>
      </c>
      <c r="AC66" s="10">
        <v>0</v>
      </c>
      <c r="AD66" s="9" t="s">
        <v>44</v>
      </c>
      <c r="AE66" s="10" t="s">
        <v>2279</v>
      </c>
      <c r="AF66" s="10">
        <v>2100000</v>
      </c>
      <c r="AG66" s="10">
        <v>1</v>
      </c>
      <c r="AH66" s="10">
        <v>1</v>
      </c>
      <c r="AI66" s="10">
        <v>1</v>
      </c>
      <c r="AJ66" s="12" t="s">
        <v>293</v>
      </c>
      <c r="AK66" s="10">
        <v>0</v>
      </c>
      <c r="AL66" s="10">
        <v>0</v>
      </c>
      <c r="AM66" s="9">
        <v>2013</v>
      </c>
      <c r="AN66" s="10">
        <v>0</v>
      </c>
      <c r="AO66" s="10">
        <v>3</v>
      </c>
      <c r="AP66" s="6"/>
      <c r="AQ66" s="7"/>
      <c r="AR66" s="8"/>
      <c r="AS66" s="4">
        <f t="shared" si="0"/>
        <v>700000</v>
      </c>
      <c r="AT66" s="4">
        <f t="shared" si="1"/>
        <v>3653999.5432500569</v>
      </c>
      <c r="AU66" s="4">
        <f t="shared" si="2"/>
        <v>2646000.4567499431</v>
      </c>
      <c r="AV66" s="9" t="s">
        <v>292</v>
      </c>
      <c r="AW66" s="12" t="s">
        <v>293</v>
      </c>
      <c r="AX66" s="10">
        <v>0</v>
      </c>
      <c r="AY66">
        <f>S66*AU66/AS66</f>
        <v>1512000.2609999676</v>
      </c>
      <c r="AZ66">
        <f>AU66-AY66</f>
        <v>1134000.1957499755</v>
      </c>
      <c r="BA66" s="10">
        <v>6300000</v>
      </c>
      <c r="BB66" s="10">
        <v>0</v>
      </c>
      <c r="BC66" s="9" t="s">
        <v>42</v>
      </c>
      <c r="BD66" s="9">
        <v>10421</v>
      </c>
      <c r="BE66" t="s">
        <v>46</v>
      </c>
    </row>
    <row r="67" spans="1:57" ht="270.75" thickBot="1" x14ac:dyDescent="0.3">
      <c r="A67" s="9" t="s">
        <v>294</v>
      </c>
      <c r="B67" s="9">
        <v>3002</v>
      </c>
      <c r="C67" s="10">
        <v>2</v>
      </c>
      <c r="D67" s="9" t="s">
        <v>37</v>
      </c>
      <c r="E67" s="11">
        <v>46209.063039942128</v>
      </c>
      <c r="F67" s="9" t="s">
        <v>295</v>
      </c>
      <c r="G67" s="9" t="s">
        <v>39</v>
      </c>
      <c r="H67" s="9">
        <v>53</v>
      </c>
      <c r="I67" s="9" t="s">
        <v>40</v>
      </c>
      <c r="J67" s="9">
        <v>5309</v>
      </c>
      <c r="K67" s="9" t="s">
        <v>41</v>
      </c>
      <c r="L67" s="9">
        <v>5309062</v>
      </c>
      <c r="M67" s="9">
        <v>5309062009</v>
      </c>
      <c r="N67" s="9" t="s">
        <v>42</v>
      </c>
      <c r="O67" s="9">
        <v>10421</v>
      </c>
      <c r="P67" s="9" t="s">
        <v>296</v>
      </c>
      <c r="Q67" s="10">
        <v>5</v>
      </c>
      <c r="R67" s="10">
        <v>1050000</v>
      </c>
      <c r="S67" s="10">
        <v>200000</v>
      </c>
      <c r="T67" s="10">
        <v>0</v>
      </c>
      <c r="U67" s="10">
        <v>350000</v>
      </c>
      <c r="V67" s="10">
        <v>0</v>
      </c>
      <c r="W67" s="10">
        <v>1600000</v>
      </c>
      <c r="X67" s="10">
        <v>7200000</v>
      </c>
      <c r="Y67" s="10">
        <v>0</v>
      </c>
      <c r="Z67" s="10">
        <v>6650000</v>
      </c>
      <c r="AA67" s="10">
        <v>4800000</v>
      </c>
      <c r="AB67" s="10">
        <v>7200000</v>
      </c>
      <c r="AC67" s="10">
        <v>0</v>
      </c>
      <c r="AD67" s="9" t="s">
        <v>44</v>
      </c>
      <c r="AE67" s="10" t="s">
        <v>2280</v>
      </c>
      <c r="AF67" s="10">
        <v>1440000</v>
      </c>
      <c r="AG67" s="10">
        <v>1</v>
      </c>
      <c r="AH67" s="10">
        <v>1</v>
      </c>
      <c r="AI67" s="10">
        <v>1</v>
      </c>
      <c r="AJ67" s="12" t="s">
        <v>297</v>
      </c>
      <c r="AK67" s="10">
        <v>0</v>
      </c>
      <c r="AL67" s="10">
        <v>0</v>
      </c>
      <c r="AM67" s="9">
        <v>2013</v>
      </c>
      <c r="AN67" s="10">
        <v>4</v>
      </c>
      <c r="AO67" s="10">
        <v>1</v>
      </c>
      <c r="AP67" s="6"/>
      <c r="AQ67" s="7"/>
      <c r="AR67" s="8"/>
      <c r="AS67" s="4">
        <f t="shared" ref="AS67:AS130" si="3">AB67-Z67</f>
        <v>550000</v>
      </c>
      <c r="AT67" s="4">
        <f t="shared" ref="AT67:AT130" si="4">IF(AE67&gt;0.61,(Z67*0.58/AE67),IF(AE67&lt;0.15,(Z67*0.2/AE67),Z67))</f>
        <v>4176000.5023759999</v>
      </c>
      <c r="AU67" s="4">
        <f t="shared" ref="AU67:AU130" si="5">AB67-AT67</f>
        <v>3023999.4976240001</v>
      </c>
      <c r="AV67" s="9" t="s">
        <v>296</v>
      </c>
      <c r="AW67" s="12" t="s">
        <v>297</v>
      </c>
      <c r="AX67" s="10">
        <v>0</v>
      </c>
      <c r="AY67">
        <f>S67*AU67/AS67</f>
        <v>1099636.1809541818</v>
      </c>
      <c r="AZ67">
        <f>AU67-AY67</f>
        <v>1924363.3166698182</v>
      </c>
      <c r="BA67" s="10">
        <v>7200000</v>
      </c>
      <c r="BB67" s="10">
        <v>0</v>
      </c>
      <c r="BC67" s="9" t="s">
        <v>42</v>
      </c>
      <c r="BD67" s="9">
        <v>10421</v>
      </c>
      <c r="BE67" t="s">
        <v>46</v>
      </c>
    </row>
    <row r="68" spans="1:57" ht="270.75" thickBot="1" x14ac:dyDescent="0.3">
      <c r="A68" s="9" t="s">
        <v>298</v>
      </c>
      <c r="B68" s="9">
        <v>3002</v>
      </c>
      <c r="C68" s="10">
        <v>2</v>
      </c>
      <c r="D68" s="9" t="s">
        <v>37</v>
      </c>
      <c r="E68" s="11">
        <v>46293.15391158565</v>
      </c>
      <c r="F68" s="9" t="s">
        <v>299</v>
      </c>
      <c r="G68" s="9" t="s">
        <v>39</v>
      </c>
      <c r="H68" s="9">
        <v>53</v>
      </c>
      <c r="I68" s="9" t="s">
        <v>40</v>
      </c>
      <c r="J68" s="9">
        <v>5309</v>
      </c>
      <c r="K68" s="9" t="s">
        <v>41</v>
      </c>
      <c r="L68" s="9">
        <v>5309062</v>
      </c>
      <c r="M68" s="9">
        <v>5309062013</v>
      </c>
      <c r="N68" s="9" t="s">
        <v>42</v>
      </c>
      <c r="O68" s="9">
        <v>10421</v>
      </c>
      <c r="P68" s="9" t="s">
        <v>300</v>
      </c>
      <c r="Q68" s="10">
        <v>4</v>
      </c>
      <c r="R68" s="10">
        <v>600000</v>
      </c>
      <c r="S68" s="10">
        <v>500000</v>
      </c>
      <c r="T68" s="10">
        <v>0</v>
      </c>
      <c r="U68" s="10">
        <v>100000</v>
      </c>
      <c r="V68" s="10">
        <v>100000</v>
      </c>
      <c r="W68" s="10">
        <v>1300000</v>
      </c>
      <c r="X68" s="10">
        <v>4250000</v>
      </c>
      <c r="Y68" s="10">
        <v>0</v>
      </c>
      <c r="Z68" s="10">
        <v>3650000</v>
      </c>
      <c r="AA68" s="10">
        <v>2750000</v>
      </c>
      <c r="AB68" s="10">
        <v>4250000</v>
      </c>
      <c r="AC68" s="10">
        <v>0</v>
      </c>
      <c r="AD68" s="9" t="s">
        <v>44</v>
      </c>
      <c r="AE68" s="10" t="s">
        <v>2281</v>
      </c>
      <c r="AF68" s="10">
        <v>1062500</v>
      </c>
      <c r="AG68" s="10">
        <v>1</v>
      </c>
      <c r="AH68" s="10">
        <v>1</v>
      </c>
      <c r="AI68" s="10">
        <v>1</v>
      </c>
      <c r="AJ68" s="12" t="s">
        <v>301</v>
      </c>
      <c r="AK68" s="10">
        <v>0</v>
      </c>
      <c r="AL68" s="10">
        <v>0</v>
      </c>
      <c r="AM68" s="9">
        <v>1990</v>
      </c>
      <c r="AN68" s="10">
        <v>2</v>
      </c>
      <c r="AO68" s="10">
        <v>2</v>
      </c>
      <c r="AP68" s="6"/>
      <c r="AQ68" s="7"/>
      <c r="AR68" s="8"/>
      <c r="AS68" s="4">
        <f t="shared" si="3"/>
        <v>600000</v>
      </c>
      <c r="AT68" s="4">
        <f t="shared" si="4"/>
        <v>2464998.6493158084</v>
      </c>
      <c r="AU68" s="4">
        <f t="shared" si="5"/>
        <v>1785001.3506841916</v>
      </c>
      <c r="AV68" s="9" t="s">
        <v>300</v>
      </c>
      <c r="AW68" s="12" t="s">
        <v>301</v>
      </c>
      <c r="AX68" s="10">
        <v>0</v>
      </c>
      <c r="AY68">
        <f>S68*AU68/AS68</f>
        <v>1487501.1255701596</v>
      </c>
      <c r="AZ68">
        <f>AU68-AY68</f>
        <v>297500.22511403193</v>
      </c>
      <c r="BA68" s="10">
        <v>4250000</v>
      </c>
      <c r="BB68" s="10">
        <v>0</v>
      </c>
      <c r="BC68" s="9" t="s">
        <v>42</v>
      </c>
      <c r="BD68" s="9">
        <v>10421</v>
      </c>
      <c r="BE68" t="s">
        <v>46</v>
      </c>
    </row>
    <row r="69" spans="1:57" ht="270.75" thickBot="1" x14ac:dyDescent="0.3">
      <c r="A69" s="9" t="s">
        <v>302</v>
      </c>
      <c r="B69" s="9">
        <v>3001</v>
      </c>
      <c r="C69" s="10">
        <v>2</v>
      </c>
      <c r="D69" s="9" t="s">
        <v>37</v>
      </c>
      <c r="E69" s="14">
        <v>46241.225370370368</v>
      </c>
      <c r="F69" s="9" t="s">
        <v>303</v>
      </c>
      <c r="G69" s="9" t="s">
        <v>39</v>
      </c>
      <c r="H69" s="9">
        <v>53</v>
      </c>
      <c r="I69" s="9" t="s">
        <v>40</v>
      </c>
      <c r="J69" s="9">
        <v>5309</v>
      </c>
      <c r="K69" s="9" t="s">
        <v>41</v>
      </c>
      <c r="L69" s="9">
        <v>5309062</v>
      </c>
      <c r="M69" s="9">
        <v>5309062006</v>
      </c>
      <c r="N69" s="9" t="s">
        <v>42</v>
      </c>
      <c r="O69" s="9">
        <v>10421</v>
      </c>
      <c r="P69" s="9" t="s">
        <v>304</v>
      </c>
      <c r="Q69" s="10">
        <v>5</v>
      </c>
      <c r="R69" s="10">
        <v>350000</v>
      </c>
      <c r="S69" s="10">
        <v>100000</v>
      </c>
      <c r="T69" s="10">
        <v>0</v>
      </c>
      <c r="U69" s="10">
        <v>200000</v>
      </c>
      <c r="V69" s="10">
        <v>0</v>
      </c>
      <c r="W69" s="10">
        <v>650000</v>
      </c>
      <c r="X69" s="10">
        <v>8400000</v>
      </c>
      <c r="Y69" s="10">
        <v>0</v>
      </c>
      <c r="Z69" s="10">
        <v>8100000</v>
      </c>
      <c r="AA69" s="10">
        <v>2400000</v>
      </c>
      <c r="AB69" s="10">
        <v>8400000</v>
      </c>
      <c r="AC69" s="10">
        <v>0</v>
      </c>
      <c r="AD69" s="9" t="s">
        <v>44</v>
      </c>
      <c r="AE69" s="10" t="s">
        <v>2264</v>
      </c>
      <c r="AF69" s="10">
        <v>1680000</v>
      </c>
      <c r="AG69" s="10">
        <v>1</v>
      </c>
      <c r="AH69" s="10">
        <v>1</v>
      </c>
      <c r="AI69" s="10">
        <v>1</v>
      </c>
      <c r="AJ69" s="12" t="s">
        <v>305</v>
      </c>
      <c r="AK69" s="10">
        <v>0</v>
      </c>
      <c r="AL69" s="10">
        <v>0</v>
      </c>
      <c r="AM69" s="9">
        <v>2022</v>
      </c>
      <c r="AN69" s="10">
        <v>3</v>
      </c>
      <c r="AO69" s="10">
        <v>2</v>
      </c>
      <c r="AP69" s="6"/>
      <c r="AQ69" s="7"/>
      <c r="AR69" s="8"/>
      <c r="AS69" s="4">
        <f t="shared" si="3"/>
        <v>300000</v>
      </c>
      <c r="AT69" s="4">
        <f t="shared" si="4"/>
        <v>4871998.5564448722</v>
      </c>
      <c r="AU69" s="4">
        <f t="shared" si="5"/>
        <v>3528001.4435551278</v>
      </c>
      <c r="AV69" s="9" t="s">
        <v>304</v>
      </c>
      <c r="AW69" s="12" t="s">
        <v>305</v>
      </c>
      <c r="AX69" s="10">
        <v>0</v>
      </c>
      <c r="AY69">
        <f>S69*AU69/AS69</f>
        <v>1176000.4811850425</v>
      </c>
      <c r="AZ69">
        <f>AU69-AY69</f>
        <v>2352000.9623700855</v>
      </c>
      <c r="BA69" s="10">
        <v>8400000</v>
      </c>
      <c r="BB69" s="10">
        <v>0</v>
      </c>
      <c r="BC69" s="9" t="s">
        <v>42</v>
      </c>
      <c r="BD69" s="9">
        <v>10421</v>
      </c>
      <c r="BE69" t="s">
        <v>46</v>
      </c>
    </row>
    <row r="70" spans="1:57" ht="270.75" thickBot="1" x14ac:dyDescent="0.3">
      <c r="A70" s="9" t="s">
        <v>306</v>
      </c>
      <c r="B70" s="9">
        <v>3001</v>
      </c>
      <c r="C70" s="10">
        <v>2</v>
      </c>
      <c r="D70" s="9" t="s">
        <v>37</v>
      </c>
      <c r="E70" s="11">
        <v>46257.365442847222</v>
      </c>
      <c r="F70" s="9" t="s">
        <v>307</v>
      </c>
      <c r="G70" s="9" t="s">
        <v>39</v>
      </c>
      <c r="H70" s="9">
        <v>53</v>
      </c>
      <c r="I70" s="9" t="s">
        <v>40</v>
      </c>
      <c r="J70" s="9">
        <v>5309</v>
      </c>
      <c r="K70" s="9" t="s">
        <v>41</v>
      </c>
      <c r="L70" s="9">
        <v>5309073</v>
      </c>
      <c r="M70" s="9">
        <v>5309073001</v>
      </c>
      <c r="N70" s="9" t="s">
        <v>42</v>
      </c>
      <c r="O70" s="9">
        <v>10421</v>
      </c>
      <c r="P70" s="9" t="s">
        <v>308</v>
      </c>
      <c r="Q70" s="10">
        <v>1</v>
      </c>
      <c r="R70" s="10">
        <v>0</v>
      </c>
      <c r="S70" s="10">
        <v>150000</v>
      </c>
      <c r="T70" s="10">
        <v>0</v>
      </c>
      <c r="U70" s="10">
        <v>0</v>
      </c>
      <c r="V70" s="10">
        <v>0</v>
      </c>
      <c r="W70" s="10">
        <v>150000</v>
      </c>
      <c r="X70" s="10">
        <v>6000000</v>
      </c>
      <c r="Y70" s="10">
        <v>0</v>
      </c>
      <c r="Z70" s="10">
        <v>5850000</v>
      </c>
      <c r="AA70" s="10">
        <v>3500000</v>
      </c>
      <c r="AB70" s="10">
        <v>6000000</v>
      </c>
      <c r="AC70" s="10">
        <v>0</v>
      </c>
      <c r="AD70" s="9" t="s">
        <v>44</v>
      </c>
      <c r="AE70" s="10" t="s">
        <v>2282</v>
      </c>
      <c r="AF70" s="10">
        <v>6000000</v>
      </c>
      <c r="AG70" s="10">
        <v>1</v>
      </c>
      <c r="AH70" s="10">
        <v>1</v>
      </c>
      <c r="AI70" s="10">
        <v>1</v>
      </c>
      <c r="AJ70" s="12" t="s">
        <v>309</v>
      </c>
      <c r="AK70" s="10">
        <v>0</v>
      </c>
      <c r="AL70" s="10">
        <v>0</v>
      </c>
      <c r="AM70" s="9">
        <v>2010</v>
      </c>
      <c r="AN70" s="10">
        <v>0</v>
      </c>
      <c r="AO70" s="10">
        <v>1</v>
      </c>
      <c r="AP70" s="6"/>
      <c r="AQ70" s="7"/>
      <c r="AR70" s="8"/>
      <c r="AS70" s="4">
        <f t="shared" si="3"/>
        <v>150000</v>
      </c>
      <c r="AT70" s="4">
        <f t="shared" si="4"/>
        <v>3479999.9999999995</v>
      </c>
      <c r="AU70" s="4">
        <f t="shared" si="5"/>
        <v>2520000.0000000005</v>
      </c>
      <c r="AV70" s="9" t="s">
        <v>308</v>
      </c>
      <c r="AW70" s="12" t="s">
        <v>309</v>
      </c>
      <c r="AX70" s="10">
        <v>0</v>
      </c>
      <c r="AY70">
        <f>S70*AU70/AS70</f>
        <v>2520000.0000000005</v>
      </c>
      <c r="AZ70">
        <f>AU70-AY70</f>
        <v>0</v>
      </c>
      <c r="BA70" s="10">
        <v>6000000</v>
      </c>
      <c r="BB70" s="10">
        <v>0</v>
      </c>
      <c r="BC70" s="9" t="s">
        <v>42</v>
      </c>
      <c r="BD70" s="9">
        <v>10421</v>
      </c>
      <c r="BE70" t="s">
        <v>46</v>
      </c>
    </row>
    <row r="71" spans="1:57" ht="270.75" thickBot="1" x14ac:dyDescent="0.3">
      <c r="A71" s="9" t="s">
        <v>310</v>
      </c>
      <c r="B71" s="9">
        <v>3002</v>
      </c>
      <c r="C71" s="10">
        <v>2</v>
      </c>
      <c r="D71" s="9" t="s">
        <v>37</v>
      </c>
      <c r="E71" s="11">
        <v>46261.103660578701</v>
      </c>
      <c r="F71" s="9" t="s">
        <v>311</v>
      </c>
      <c r="G71" s="9" t="s">
        <v>39</v>
      </c>
      <c r="H71" s="9">
        <v>53</v>
      </c>
      <c r="I71" s="9" t="s">
        <v>40</v>
      </c>
      <c r="J71" s="9">
        <v>5309</v>
      </c>
      <c r="K71" s="9" t="s">
        <v>41</v>
      </c>
      <c r="L71" s="9">
        <v>5309021</v>
      </c>
      <c r="M71" s="9">
        <v>5309021006</v>
      </c>
      <c r="N71" s="9" t="s">
        <v>42</v>
      </c>
      <c r="O71" s="9">
        <v>10421</v>
      </c>
      <c r="P71" s="9" t="s">
        <v>312</v>
      </c>
      <c r="Q71" s="10">
        <v>4</v>
      </c>
      <c r="R71" s="10">
        <v>0</v>
      </c>
      <c r="S71" s="10">
        <v>1650000</v>
      </c>
      <c r="T71" s="10">
        <v>0</v>
      </c>
      <c r="U71" s="10">
        <v>700000</v>
      </c>
      <c r="V71" s="10">
        <v>0</v>
      </c>
      <c r="W71" s="10">
        <v>2350000</v>
      </c>
      <c r="X71" s="10">
        <v>9200000</v>
      </c>
      <c r="Y71" s="10">
        <v>1000000</v>
      </c>
      <c r="Z71" s="10">
        <v>6850000</v>
      </c>
      <c r="AA71" s="10">
        <v>40750000</v>
      </c>
      <c r="AB71" s="10">
        <v>9200000</v>
      </c>
      <c r="AC71" s="10">
        <v>0</v>
      </c>
      <c r="AD71" s="9" t="s">
        <v>44</v>
      </c>
      <c r="AE71" s="10" t="s">
        <v>2283</v>
      </c>
      <c r="AF71" s="10">
        <v>2300000</v>
      </c>
      <c r="AG71" s="10">
        <v>0</v>
      </c>
      <c r="AH71" s="10">
        <v>1</v>
      </c>
      <c r="AI71" s="10">
        <v>1</v>
      </c>
      <c r="AJ71" s="12" t="s">
        <v>313</v>
      </c>
      <c r="AK71" s="10">
        <v>0</v>
      </c>
      <c r="AL71" s="10">
        <v>0</v>
      </c>
      <c r="AM71" s="9">
        <v>2001</v>
      </c>
      <c r="AN71" s="10">
        <v>0</v>
      </c>
      <c r="AO71" s="10">
        <v>4</v>
      </c>
      <c r="AP71" s="6"/>
      <c r="AQ71" s="7"/>
      <c r="AR71" s="8"/>
      <c r="AS71" s="4">
        <f t="shared" si="3"/>
        <v>2350000</v>
      </c>
      <c r="AT71" s="4">
        <f t="shared" si="4"/>
        <v>5336001.5579566583</v>
      </c>
      <c r="AU71" s="4">
        <f t="shared" si="5"/>
        <v>3863998.4420433417</v>
      </c>
      <c r="AV71" s="9" t="s">
        <v>312</v>
      </c>
      <c r="AW71" s="12" t="s">
        <v>313</v>
      </c>
      <c r="AX71" s="10">
        <v>0</v>
      </c>
      <c r="AY71">
        <f>S71*AU71/AS71</f>
        <v>2713020.1827112823</v>
      </c>
      <c r="AZ71">
        <f>AU71-AY71</f>
        <v>1150978.2593320594</v>
      </c>
      <c r="BA71" s="10">
        <v>9200000</v>
      </c>
      <c r="BB71" s="10">
        <v>1000000</v>
      </c>
      <c r="BC71" s="9" t="s">
        <v>42</v>
      </c>
      <c r="BD71" s="9">
        <v>10421</v>
      </c>
      <c r="BE71" t="s">
        <v>46</v>
      </c>
    </row>
    <row r="72" spans="1:57" ht="270.75" thickBot="1" x14ac:dyDescent="0.3">
      <c r="A72" s="9" t="s">
        <v>314</v>
      </c>
      <c r="B72" s="9">
        <v>3001</v>
      </c>
      <c r="C72" s="10">
        <v>2</v>
      </c>
      <c r="D72" s="9" t="s">
        <v>37</v>
      </c>
      <c r="E72" s="14">
        <v>46240.373124999998</v>
      </c>
      <c r="F72" s="9" t="s">
        <v>315</v>
      </c>
      <c r="G72" s="9" t="s">
        <v>39</v>
      </c>
      <c r="H72" s="9">
        <v>53</v>
      </c>
      <c r="I72" s="9" t="s">
        <v>40</v>
      </c>
      <c r="J72" s="9">
        <v>5309</v>
      </c>
      <c r="K72" s="9" t="s">
        <v>41</v>
      </c>
      <c r="L72" s="9">
        <v>5309073</v>
      </c>
      <c r="M72" s="9">
        <v>5309073007</v>
      </c>
      <c r="N72" s="9" t="s">
        <v>42</v>
      </c>
      <c r="O72" s="9">
        <v>10421</v>
      </c>
      <c r="P72" s="9" t="s">
        <v>316</v>
      </c>
      <c r="Q72" s="10">
        <v>2</v>
      </c>
      <c r="R72" s="10">
        <v>0</v>
      </c>
      <c r="S72" s="10">
        <v>3500000</v>
      </c>
      <c r="T72" s="10">
        <v>0</v>
      </c>
      <c r="U72" s="10">
        <v>500000</v>
      </c>
      <c r="V72" s="10">
        <v>0</v>
      </c>
      <c r="W72" s="10">
        <v>4000000</v>
      </c>
      <c r="X72" s="10">
        <v>12150000</v>
      </c>
      <c r="Y72" s="10">
        <v>0</v>
      </c>
      <c r="Z72" s="10">
        <v>8150000</v>
      </c>
      <c r="AA72" s="10">
        <v>6000000</v>
      </c>
      <c r="AB72" s="10">
        <v>12150000</v>
      </c>
      <c r="AC72" s="10">
        <v>0</v>
      </c>
      <c r="AD72" s="9" t="s">
        <v>44</v>
      </c>
      <c r="AE72" s="10" t="s">
        <v>2284</v>
      </c>
      <c r="AF72" s="10">
        <v>6075000</v>
      </c>
      <c r="AG72" s="10">
        <v>1</v>
      </c>
      <c r="AH72" s="10">
        <v>1</v>
      </c>
      <c r="AI72" s="10">
        <v>1</v>
      </c>
      <c r="AJ72" s="12" t="s">
        <v>317</v>
      </c>
      <c r="AK72" s="10">
        <v>0</v>
      </c>
      <c r="AL72" s="10">
        <v>0</v>
      </c>
      <c r="AM72" s="9">
        <v>2017</v>
      </c>
      <c r="AN72" s="10">
        <v>0</v>
      </c>
      <c r="AO72" s="10">
        <v>2</v>
      </c>
      <c r="AP72" s="6"/>
      <c r="AQ72" s="7"/>
      <c r="AR72" s="8"/>
      <c r="AS72" s="4">
        <f t="shared" si="3"/>
        <v>4000000</v>
      </c>
      <c r="AT72" s="4">
        <f t="shared" si="4"/>
        <v>7046998.87593883</v>
      </c>
      <c r="AU72" s="4">
        <f t="shared" si="5"/>
        <v>5103001.12406117</v>
      </c>
      <c r="AV72" s="9" t="s">
        <v>316</v>
      </c>
      <c r="AW72" s="12" t="s">
        <v>317</v>
      </c>
      <c r="AX72" s="10">
        <v>0</v>
      </c>
      <c r="AY72">
        <f>S72*AU72/AS72</f>
        <v>4465125.9835535232</v>
      </c>
      <c r="AZ72">
        <f>AU72-AY72</f>
        <v>637875.14050764684</v>
      </c>
      <c r="BA72" s="10">
        <v>12150000</v>
      </c>
      <c r="BB72" s="10">
        <v>0</v>
      </c>
      <c r="BC72" s="9" t="s">
        <v>42</v>
      </c>
      <c r="BD72" s="9">
        <v>10421</v>
      </c>
      <c r="BE72" t="s">
        <v>46</v>
      </c>
    </row>
    <row r="73" spans="1:57" ht="270.75" thickBot="1" x14ac:dyDescent="0.3">
      <c r="A73" s="9" t="s">
        <v>318</v>
      </c>
      <c r="B73" s="9">
        <v>3002</v>
      </c>
      <c r="C73" s="10">
        <v>2</v>
      </c>
      <c r="D73" s="9" t="s">
        <v>37</v>
      </c>
      <c r="E73" s="11">
        <v>46235.067671516204</v>
      </c>
      <c r="F73" s="9" t="s">
        <v>319</v>
      </c>
      <c r="G73" s="9" t="s">
        <v>39</v>
      </c>
      <c r="H73" s="9">
        <v>53</v>
      </c>
      <c r="I73" s="9" t="s">
        <v>40</v>
      </c>
      <c r="J73" s="9">
        <v>5309</v>
      </c>
      <c r="K73" s="9" t="s">
        <v>41</v>
      </c>
      <c r="L73" s="9">
        <v>5309010</v>
      </c>
      <c r="M73" s="9">
        <v>5309010016</v>
      </c>
      <c r="N73" s="9" t="s">
        <v>42</v>
      </c>
      <c r="O73" s="9">
        <v>10421</v>
      </c>
      <c r="P73" s="9" t="s">
        <v>320</v>
      </c>
      <c r="Q73" s="10">
        <v>1</v>
      </c>
      <c r="R73" s="10">
        <v>0</v>
      </c>
      <c r="S73" s="10">
        <v>1150000</v>
      </c>
      <c r="T73" s="10">
        <v>0</v>
      </c>
      <c r="U73" s="10">
        <v>600000</v>
      </c>
      <c r="V73" s="10">
        <v>0</v>
      </c>
      <c r="W73" s="10">
        <v>1750000</v>
      </c>
      <c r="X73" s="10">
        <v>8640000</v>
      </c>
      <c r="Y73" s="10">
        <v>1200000</v>
      </c>
      <c r="Z73" s="10">
        <v>6890000</v>
      </c>
      <c r="AA73" s="10">
        <v>0</v>
      </c>
      <c r="AB73" s="10">
        <v>8640000</v>
      </c>
      <c r="AC73" s="10">
        <v>0</v>
      </c>
      <c r="AD73" s="9" t="s">
        <v>44</v>
      </c>
      <c r="AE73" s="10" t="s">
        <v>2285</v>
      </c>
      <c r="AF73" s="10">
        <v>8640000</v>
      </c>
      <c r="AG73" s="9"/>
      <c r="AH73" s="10">
        <v>1</v>
      </c>
      <c r="AI73" s="10">
        <v>1</v>
      </c>
      <c r="AJ73" s="12" t="s">
        <v>321</v>
      </c>
      <c r="AK73" s="10">
        <v>0</v>
      </c>
      <c r="AL73" s="10">
        <v>0</v>
      </c>
      <c r="AM73" s="9">
        <v>2021</v>
      </c>
      <c r="AN73" s="10">
        <v>0</v>
      </c>
      <c r="AO73" s="10">
        <v>1</v>
      </c>
      <c r="AP73" s="6"/>
      <c r="AQ73" s="7"/>
      <c r="AR73" s="8"/>
      <c r="AS73" s="4">
        <f t="shared" si="3"/>
        <v>1750000</v>
      </c>
      <c r="AT73" s="4">
        <f t="shared" si="4"/>
        <v>5011198.1380744213</v>
      </c>
      <c r="AU73" s="4">
        <f t="shared" si="5"/>
        <v>3628801.8619255787</v>
      </c>
      <c r="AV73" s="9" t="s">
        <v>320</v>
      </c>
      <c r="AW73" s="12" t="s">
        <v>321</v>
      </c>
      <c r="AX73" s="10">
        <v>0</v>
      </c>
      <c r="AY73">
        <f>S73*AU73/AS73</f>
        <v>2384641.2235510945</v>
      </c>
      <c r="AZ73">
        <f>AU73-AY73</f>
        <v>1244160.6383744841</v>
      </c>
      <c r="BA73" s="10">
        <v>8640000</v>
      </c>
      <c r="BB73" s="10">
        <v>1200000</v>
      </c>
      <c r="BC73" s="9" t="s">
        <v>42</v>
      </c>
      <c r="BD73" s="9">
        <v>10421</v>
      </c>
      <c r="BE73" t="s">
        <v>46</v>
      </c>
    </row>
    <row r="74" spans="1:57" ht="270.75" thickBot="1" x14ac:dyDescent="0.3">
      <c r="A74" s="9" t="s">
        <v>322</v>
      </c>
      <c r="B74" s="9">
        <v>3001</v>
      </c>
      <c r="C74" s="10">
        <v>2</v>
      </c>
      <c r="D74" s="9" t="s">
        <v>37</v>
      </c>
      <c r="E74" s="11">
        <v>46255.277453784722</v>
      </c>
      <c r="F74" s="9" t="s">
        <v>323</v>
      </c>
      <c r="G74" s="9" t="s">
        <v>39</v>
      </c>
      <c r="H74" s="9">
        <v>53</v>
      </c>
      <c r="I74" s="9" t="s">
        <v>40</v>
      </c>
      <c r="J74" s="9">
        <v>5309</v>
      </c>
      <c r="K74" s="9" t="s">
        <v>41</v>
      </c>
      <c r="L74" s="9">
        <v>5309062</v>
      </c>
      <c r="M74" s="9">
        <v>5309062006</v>
      </c>
      <c r="N74" s="9" t="s">
        <v>42</v>
      </c>
      <c r="O74" s="9">
        <v>10421</v>
      </c>
      <c r="P74" s="9" t="s">
        <v>324</v>
      </c>
      <c r="Q74" s="10">
        <v>2</v>
      </c>
      <c r="R74" s="10">
        <v>0</v>
      </c>
      <c r="S74" s="10">
        <v>250000</v>
      </c>
      <c r="T74" s="10">
        <v>0</v>
      </c>
      <c r="U74" s="10">
        <v>100000</v>
      </c>
      <c r="V74" s="10">
        <v>0</v>
      </c>
      <c r="W74" s="10">
        <v>350000</v>
      </c>
      <c r="X74" s="10">
        <v>4970000</v>
      </c>
      <c r="Y74" s="10">
        <v>0</v>
      </c>
      <c r="Z74" s="10">
        <v>4620000</v>
      </c>
      <c r="AA74" s="10">
        <v>3500000</v>
      </c>
      <c r="AB74" s="10">
        <v>4970000</v>
      </c>
      <c r="AC74" s="10">
        <v>0</v>
      </c>
      <c r="AD74" s="9" t="s">
        <v>44</v>
      </c>
      <c r="AE74" s="10" t="s">
        <v>2286</v>
      </c>
      <c r="AF74" s="10">
        <v>2485000</v>
      </c>
      <c r="AG74" s="10">
        <v>1</v>
      </c>
      <c r="AH74" s="10">
        <v>1</v>
      </c>
      <c r="AI74" s="10">
        <v>1</v>
      </c>
      <c r="AJ74" s="12" t="s">
        <v>325</v>
      </c>
      <c r="AK74" s="10">
        <v>0</v>
      </c>
      <c r="AL74" s="10">
        <v>0</v>
      </c>
      <c r="AM74" s="9">
        <v>2015</v>
      </c>
      <c r="AN74" s="10">
        <v>0</v>
      </c>
      <c r="AO74" s="10">
        <v>2</v>
      </c>
      <c r="AP74" s="6"/>
      <c r="AQ74" s="7"/>
      <c r="AR74" s="8"/>
      <c r="AS74" s="4">
        <f t="shared" si="3"/>
        <v>350000</v>
      </c>
      <c r="AT74" s="4">
        <f t="shared" si="4"/>
        <v>2882601.4413007209</v>
      </c>
      <c r="AU74" s="4">
        <f t="shared" si="5"/>
        <v>2087398.5586992791</v>
      </c>
      <c r="AV74" s="9" t="s">
        <v>324</v>
      </c>
      <c r="AW74" s="12" t="s">
        <v>325</v>
      </c>
      <c r="AX74" s="10">
        <v>0</v>
      </c>
      <c r="AY74">
        <f>S74*AU74/AS74</f>
        <v>1490998.970499485</v>
      </c>
      <c r="AZ74">
        <f>AU74-AY74</f>
        <v>596399.58819979406</v>
      </c>
      <c r="BA74" s="10">
        <v>4970000</v>
      </c>
      <c r="BB74" s="10">
        <v>0</v>
      </c>
      <c r="BC74" s="9" t="s">
        <v>42</v>
      </c>
      <c r="BD74" s="9">
        <v>10421</v>
      </c>
      <c r="BE74" t="s">
        <v>46</v>
      </c>
    </row>
    <row r="75" spans="1:57" ht="270.75" thickBot="1" x14ac:dyDescent="0.3">
      <c r="A75" s="9" t="s">
        <v>326</v>
      </c>
      <c r="B75" s="9">
        <v>3001</v>
      </c>
      <c r="C75" s="10">
        <v>2</v>
      </c>
      <c r="D75" s="9" t="s">
        <v>37</v>
      </c>
      <c r="E75" s="11">
        <v>46262.962287175927</v>
      </c>
      <c r="F75" s="9" t="s">
        <v>327</v>
      </c>
      <c r="G75" s="9" t="s">
        <v>39</v>
      </c>
      <c r="H75" s="9">
        <v>53</v>
      </c>
      <c r="I75" s="9" t="s">
        <v>40</v>
      </c>
      <c r="J75" s="9">
        <v>5309</v>
      </c>
      <c r="K75" s="9" t="s">
        <v>41</v>
      </c>
      <c r="L75" s="9">
        <v>5309073</v>
      </c>
      <c r="M75" s="9">
        <v>5309073008</v>
      </c>
      <c r="N75" s="9" t="s">
        <v>42</v>
      </c>
      <c r="O75" s="9">
        <v>10421</v>
      </c>
      <c r="P75" s="9" t="s">
        <v>328</v>
      </c>
      <c r="Q75" s="10">
        <v>2</v>
      </c>
      <c r="R75" s="10">
        <v>550000</v>
      </c>
      <c r="S75" s="10">
        <v>350000</v>
      </c>
      <c r="T75" s="10">
        <v>0</v>
      </c>
      <c r="U75" s="10">
        <v>300000</v>
      </c>
      <c r="V75" s="10">
        <v>0</v>
      </c>
      <c r="W75" s="10">
        <v>1200000</v>
      </c>
      <c r="X75" s="10">
        <v>8400000</v>
      </c>
      <c r="Y75" s="10">
        <v>0</v>
      </c>
      <c r="Z75" s="10">
        <v>7750000</v>
      </c>
      <c r="AA75" s="10">
        <v>1100000</v>
      </c>
      <c r="AB75" s="10">
        <v>8400000</v>
      </c>
      <c r="AC75" s="10">
        <v>0</v>
      </c>
      <c r="AD75" s="9" t="s">
        <v>44</v>
      </c>
      <c r="AE75" s="10" t="s">
        <v>2287</v>
      </c>
      <c r="AF75" s="10">
        <v>4200000</v>
      </c>
      <c r="AG75" s="10">
        <v>1</v>
      </c>
      <c r="AH75" s="10">
        <v>1</v>
      </c>
      <c r="AI75" s="10">
        <v>1</v>
      </c>
      <c r="AJ75" s="12" t="s">
        <v>329</v>
      </c>
      <c r="AK75" s="10">
        <v>0</v>
      </c>
      <c r="AL75" s="10">
        <v>0</v>
      </c>
      <c r="AM75" s="9">
        <v>2015</v>
      </c>
      <c r="AN75" s="10">
        <v>1</v>
      </c>
      <c r="AO75" s="10">
        <v>1</v>
      </c>
      <c r="AP75" s="6"/>
      <c r="AQ75" s="7"/>
      <c r="AR75" s="8"/>
      <c r="AS75" s="4">
        <f t="shared" si="3"/>
        <v>650000</v>
      </c>
      <c r="AT75" s="4">
        <f t="shared" si="4"/>
        <v>4872000.2514580777</v>
      </c>
      <c r="AU75" s="4">
        <f t="shared" si="5"/>
        <v>3527999.7485419223</v>
      </c>
      <c r="AV75" s="9" t="s">
        <v>328</v>
      </c>
      <c r="AW75" s="12" t="s">
        <v>329</v>
      </c>
      <c r="AX75" s="10">
        <v>0</v>
      </c>
      <c r="AY75">
        <f>S75*AU75/AS75</f>
        <v>1899692.1722918043</v>
      </c>
      <c r="AZ75">
        <f>AU75-AY75</f>
        <v>1628307.576250118</v>
      </c>
      <c r="BA75" s="10">
        <v>8400000</v>
      </c>
      <c r="BB75" s="10">
        <v>0</v>
      </c>
      <c r="BC75" s="9" t="s">
        <v>42</v>
      </c>
      <c r="BD75" s="9">
        <v>10421</v>
      </c>
      <c r="BE75" t="s">
        <v>46</v>
      </c>
    </row>
    <row r="76" spans="1:57" ht="270.75" thickBot="1" x14ac:dyDescent="0.3">
      <c r="A76" s="9" t="s">
        <v>330</v>
      </c>
      <c r="B76" s="9">
        <v>3001</v>
      </c>
      <c r="C76" s="10">
        <v>2</v>
      </c>
      <c r="D76" s="9" t="s">
        <v>37</v>
      </c>
      <c r="E76" s="11">
        <v>46263.945604085646</v>
      </c>
      <c r="F76" s="9" t="s">
        <v>331</v>
      </c>
      <c r="G76" s="9" t="s">
        <v>39</v>
      </c>
      <c r="H76" s="9">
        <v>53</v>
      </c>
      <c r="I76" s="9" t="s">
        <v>40</v>
      </c>
      <c r="J76" s="9">
        <v>5309</v>
      </c>
      <c r="K76" s="9" t="s">
        <v>41</v>
      </c>
      <c r="L76" s="9">
        <v>5309074</v>
      </c>
      <c r="M76" s="9">
        <v>5309074006</v>
      </c>
      <c r="N76" s="9" t="s">
        <v>42</v>
      </c>
      <c r="O76" s="9">
        <v>10421</v>
      </c>
      <c r="P76" s="9" t="s">
        <v>332</v>
      </c>
      <c r="Q76" s="10">
        <v>20</v>
      </c>
      <c r="R76" s="10">
        <v>1500000</v>
      </c>
      <c r="S76" s="10">
        <v>50000</v>
      </c>
      <c r="T76" s="10">
        <v>0</v>
      </c>
      <c r="U76" s="10">
        <v>100000</v>
      </c>
      <c r="V76" s="10">
        <v>0</v>
      </c>
      <c r="W76" s="10">
        <v>1650000</v>
      </c>
      <c r="X76" s="10">
        <v>12000000</v>
      </c>
      <c r="Y76" s="10">
        <v>0</v>
      </c>
      <c r="Z76" s="10">
        <v>11850000</v>
      </c>
      <c r="AA76" s="10">
        <v>2000000</v>
      </c>
      <c r="AB76" s="10">
        <v>12000000</v>
      </c>
      <c r="AC76" s="10">
        <v>0</v>
      </c>
      <c r="AD76" s="9" t="s">
        <v>44</v>
      </c>
      <c r="AE76" s="10" t="s">
        <v>2288</v>
      </c>
      <c r="AF76" s="10">
        <v>600000</v>
      </c>
      <c r="AG76" s="10">
        <v>1</v>
      </c>
      <c r="AH76" s="10">
        <v>1</v>
      </c>
      <c r="AI76" s="10">
        <v>1</v>
      </c>
      <c r="AJ76" s="12" t="s">
        <v>333</v>
      </c>
      <c r="AK76" s="10">
        <v>0</v>
      </c>
      <c r="AL76" s="10">
        <v>0</v>
      </c>
      <c r="AM76" s="9">
        <v>1990</v>
      </c>
      <c r="AN76" s="10">
        <v>20</v>
      </c>
      <c r="AO76" s="10">
        <v>0</v>
      </c>
      <c r="AP76" s="6"/>
      <c r="AQ76" s="7"/>
      <c r="AR76" s="8"/>
      <c r="AS76" s="4">
        <f t="shared" si="3"/>
        <v>150000</v>
      </c>
      <c r="AT76" s="4">
        <f t="shared" si="4"/>
        <v>6959999.9999999991</v>
      </c>
      <c r="AU76" s="4">
        <f t="shared" si="5"/>
        <v>5040000.0000000009</v>
      </c>
      <c r="AV76" s="9" t="s">
        <v>332</v>
      </c>
      <c r="AW76" s="12" t="s">
        <v>333</v>
      </c>
      <c r="AX76" s="10">
        <v>0</v>
      </c>
      <c r="AY76">
        <f>S76*AU76/AS76</f>
        <v>1680000.0000000005</v>
      </c>
      <c r="AZ76">
        <f>AU76-AY76</f>
        <v>3360000.0000000005</v>
      </c>
      <c r="BA76" s="10">
        <v>12000000</v>
      </c>
      <c r="BB76" s="10">
        <v>0</v>
      </c>
      <c r="BC76" s="9" t="s">
        <v>42</v>
      </c>
      <c r="BD76" s="9">
        <v>10421</v>
      </c>
      <c r="BE76" t="s">
        <v>46</v>
      </c>
    </row>
    <row r="77" spans="1:57" ht="270.75" thickBot="1" x14ac:dyDescent="0.3">
      <c r="A77" s="9" t="s">
        <v>334</v>
      </c>
      <c r="B77" s="9">
        <v>3002</v>
      </c>
      <c r="C77" s="10">
        <v>2</v>
      </c>
      <c r="D77" s="9" t="s">
        <v>37</v>
      </c>
      <c r="E77" s="11">
        <v>46263.883056250001</v>
      </c>
      <c r="F77" s="9" t="s">
        <v>335</v>
      </c>
      <c r="G77" s="9" t="s">
        <v>39</v>
      </c>
      <c r="H77" s="9">
        <v>53</v>
      </c>
      <c r="I77" s="9" t="s">
        <v>40</v>
      </c>
      <c r="J77" s="9">
        <v>5309</v>
      </c>
      <c r="K77" s="9" t="s">
        <v>41</v>
      </c>
      <c r="L77" s="9">
        <v>5309074</v>
      </c>
      <c r="M77" s="9">
        <v>5309074007</v>
      </c>
      <c r="N77" s="9" t="s">
        <v>42</v>
      </c>
      <c r="O77" s="9">
        <v>10421</v>
      </c>
      <c r="P77" s="9" t="s">
        <v>49</v>
      </c>
      <c r="Q77" s="10">
        <v>3</v>
      </c>
      <c r="R77" s="10">
        <v>900000</v>
      </c>
      <c r="S77" s="10">
        <v>1800000</v>
      </c>
      <c r="T77" s="10">
        <v>0</v>
      </c>
      <c r="U77" s="10">
        <v>350000</v>
      </c>
      <c r="V77" s="10">
        <v>15000</v>
      </c>
      <c r="W77" s="10">
        <v>3065000</v>
      </c>
      <c r="X77" s="10">
        <v>10800000</v>
      </c>
      <c r="Y77" s="10">
        <v>0</v>
      </c>
      <c r="Z77" s="10">
        <v>8650000</v>
      </c>
      <c r="AA77" s="10">
        <v>1950000</v>
      </c>
      <c r="AB77" s="10">
        <v>10800000</v>
      </c>
      <c r="AC77" s="10">
        <v>0</v>
      </c>
      <c r="AD77" s="9" t="s">
        <v>44</v>
      </c>
      <c r="AE77" s="10" t="s">
        <v>2289</v>
      </c>
      <c r="AF77" s="10">
        <v>3600000</v>
      </c>
      <c r="AG77" s="10">
        <v>1</v>
      </c>
      <c r="AH77" s="10">
        <v>1</v>
      </c>
      <c r="AI77" s="10">
        <v>1</v>
      </c>
      <c r="AJ77" s="12" t="s">
        <v>336</v>
      </c>
      <c r="AK77" s="10">
        <v>0</v>
      </c>
      <c r="AL77" s="10">
        <v>0</v>
      </c>
      <c r="AM77" s="9">
        <v>2013</v>
      </c>
      <c r="AN77" s="10">
        <v>2</v>
      </c>
      <c r="AO77" s="10">
        <v>1</v>
      </c>
      <c r="AP77" s="6"/>
      <c r="AQ77" s="7"/>
      <c r="AR77" s="8"/>
      <c r="AS77" s="4">
        <f t="shared" si="3"/>
        <v>2150000</v>
      </c>
      <c r="AT77" s="4">
        <f t="shared" si="4"/>
        <v>6263999.4206705736</v>
      </c>
      <c r="AU77" s="4">
        <f t="shared" si="5"/>
        <v>4536000.5793294264</v>
      </c>
      <c r="AV77" s="9" t="s">
        <v>49</v>
      </c>
      <c r="AW77" s="12" t="s">
        <v>336</v>
      </c>
      <c r="AX77" s="10">
        <v>0</v>
      </c>
      <c r="AY77">
        <f>S77*AU77/AS77</f>
        <v>3797581.8803688223</v>
      </c>
      <c r="AZ77">
        <f>AU77-AY77</f>
        <v>738418.69896060415</v>
      </c>
      <c r="BA77" s="10">
        <v>10800000</v>
      </c>
      <c r="BB77" s="10">
        <v>0</v>
      </c>
      <c r="BC77" s="9" t="s">
        <v>42</v>
      </c>
      <c r="BD77" s="9">
        <v>10421</v>
      </c>
      <c r="BE77" t="s">
        <v>46</v>
      </c>
    </row>
    <row r="78" spans="1:57" ht="270.75" thickBot="1" x14ac:dyDescent="0.3">
      <c r="A78" s="9" t="s">
        <v>337</v>
      </c>
      <c r="B78" s="9">
        <v>3001</v>
      </c>
      <c r="C78" s="10">
        <v>2</v>
      </c>
      <c r="D78" s="9" t="s">
        <v>37</v>
      </c>
      <c r="E78" s="11">
        <v>46251.257383935183</v>
      </c>
      <c r="F78" s="9" t="s">
        <v>338</v>
      </c>
      <c r="G78" s="9" t="s">
        <v>39</v>
      </c>
      <c r="H78" s="9">
        <v>53</v>
      </c>
      <c r="I78" s="9" t="s">
        <v>40</v>
      </c>
      <c r="J78" s="9">
        <v>5309</v>
      </c>
      <c r="K78" s="9" t="s">
        <v>41</v>
      </c>
      <c r="L78" s="9">
        <v>5309062</v>
      </c>
      <c r="M78" s="9">
        <v>5309062006</v>
      </c>
      <c r="N78" s="9" t="s">
        <v>42</v>
      </c>
      <c r="O78" s="9">
        <v>10421</v>
      </c>
      <c r="P78" s="9" t="s">
        <v>339</v>
      </c>
      <c r="Q78" s="10">
        <v>3</v>
      </c>
      <c r="R78" s="10">
        <v>700000</v>
      </c>
      <c r="S78" s="10">
        <v>300000</v>
      </c>
      <c r="T78" s="10">
        <v>0</v>
      </c>
      <c r="U78" s="10">
        <v>500000</v>
      </c>
      <c r="V78" s="10">
        <v>0</v>
      </c>
      <c r="W78" s="10">
        <v>1500000</v>
      </c>
      <c r="X78" s="10">
        <v>19200000</v>
      </c>
      <c r="Y78" s="10">
        <v>0</v>
      </c>
      <c r="Z78" s="10">
        <v>18400000</v>
      </c>
      <c r="AA78" s="10">
        <v>3600000</v>
      </c>
      <c r="AB78" s="10">
        <v>19200000</v>
      </c>
      <c r="AC78" s="10">
        <v>0</v>
      </c>
      <c r="AD78" s="9" t="s">
        <v>44</v>
      </c>
      <c r="AE78" s="10" t="s">
        <v>2257</v>
      </c>
      <c r="AF78" s="10">
        <v>6400000</v>
      </c>
      <c r="AG78" s="10">
        <v>1</v>
      </c>
      <c r="AH78" s="10">
        <v>1</v>
      </c>
      <c r="AI78" s="10">
        <v>1</v>
      </c>
      <c r="AJ78" s="12" t="s">
        <v>341</v>
      </c>
      <c r="AK78" s="10">
        <v>0</v>
      </c>
      <c r="AL78" s="10">
        <v>0</v>
      </c>
      <c r="AM78" s="9">
        <v>2021</v>
      </c>
      <c r="AN78" s="10">
        <v>3</v>
      </c>
      <c r="AO78" s="10">
        <v>0</v>
      </c>
      <c r="AP78" s="6"/>
      <c r="AQ78" s="7"/>
      <c r="AR78" s="8"/>
      <c r="AS78" s="4">
        <f t="shared" si="3"/>
        <v>800000</v>
      </c>
      <c r="AT78" s="4">
        <f t="shared" si="4"/>
        <v>11136003.873392651</v>
      </c>
      <c r="AU78" s="4">
        <f t="shared" si="5"/>
        <v>8063996.1266073491</v>
      </c>
      <c r="AV78" s="9" t="s">
        <v>339</v>
      </c>
      <c r="AW78" s="12" t="s">
        <v>341</v>
      </c>
      <c r="AX78" s="10">
        <v>0</v>
      </c>
      <c r="AY78">
        <f>S78*AU78/AS78</f>
        <v>3023998.5474777557</v>
      </c>
      <c r="AZ78">
        <f>AU78-AY78</f>
        <v>5039997.5791295934</v>
      </c>
      <c r="BA78" s="10">
        <v>19200000</v>
      </c>
      <c r="BB78" s="10">
        <v>0</v>
      </c>
      <c r="BC78" s="9" t="s">
        <v>42</v>
      </c>
      <c r="BD78" s="9">
        <v>10421</v>
      </c>
      <c r="BE78" t="s">
        <v>46</v>
      </c>
    </row>
    <row r="79" spans="1:57" ht="270.75" thickBot="1" x14ac:dyDescent="0.3">
      <c r="A79" s="9" t="s">
        <v>342</v>
      </c>
      <c r="B79" s="9">
        <v>3001</v>
      </c>
      <c r="C79" s="10">
        <v>2</v>
      </c>
      <c r="D79" s="9" t="s">
        <v>37</v>
      </c>
      <c r="E79" s="14">
        <v>46221.254467592589</v>
      </c>
      <c r="F79" s="9" t="s">
        <v>343</v>
      </c>
      <c r="G79" s="9" t="s">
        <v>39</v>
      </c>
      <c r="H79" s="9">
        <v>53</v>
      </c>
      <c r="I79" s="9" t="s">
        <v>40</v>
      </c>
      <c r="J79" s="9">
        <v>5309</v>
      </c>
      <c r="K79" s="9" t="s">
        <v>41</v>
      </c>
      <c r="L79" s="9">
        <v>5309062</v>
      </c>
      <c r="M79" s="9">
        <v>5309062006</v>
      </c>
      <c r="N79" s="9" t="s">
        <v>42</v>
      </c>
      <c r="O79" s="9">
        <v>10421</v>
      </c>
      <c r="P79" s="9" t="s">
        <v>344</v>
      </c>
      <c r="Q79" s="10">
        <v>5</v>
      </c>
      <c r="R79" s="10">
        <v>150000</v>
      </c>
      <c r="S79" s="10">
        <v>100000</v>
      </c>
      <c r="T79" s="10">
        <v>0</v>
      </c>
      <c r="U79" s="10">
        <v>150000</v>
      </c>
      <c r="V79" s="10">
        <v>0</v>
      </c>
      <c r="W79" s="10">
        <v>400000</v>
      </c>
      <c r="X79" s="10">
        <v>4500000</v>
      </c>
      <c r="Y79" s="10">
        <v>0</v>
      </c>
      <c r="Z79" s="10">
        <v>4250000</v>
      </c>
      <c r="AA79" s="10">
        <v>192000000</v>
      </c>
      <c r="AB79" s="10">
        <v>4500000</v>
      </c>
      <c r="AC79" s="10">
        <v>0</v>
      </c>
      <c r="AD79" s="9" t="s">
        <v>44</v>
      </c>
      <c r="AE79" s="10" t="s">
        <v>2290</v>
      </c>
      <c r="AF79" s="10">
        <v>900000</v>
      </c>
      <c r="AG79" s="10">
        <v>1</v>
      </c>
      <c r="AH79" s="10">
        <v>1</v>
      </c>
      <c r="AI79" s="10">
        <v>1</v>
      </c>
      <c r="AJ79" s="12" t="s">
        <v>345</v>
      </c>
      <c r="AK79" s="10">
        <v>0</v>
      </c>
      <c r="AL79" s="10">
        <v>0</v>
      </c>
      <c r="AM79" s="9">
        <v>2021</v>
      </c>
      <c r="AN79" s="10">
        <v>1</v>
      </c>
      <c r="AO79" s="10">
        <v>4</v>
      </c>
      <c r="AP79" s="6"/>
      <c r="AQ79" s="7"/>
      <c r="AR79" s="8"/>
      <c r="AS79" s="4">
        <f t="shared" si="3"/>
        <v>250000</v>
      </c>
      <c r="AT79" s="4">
        <f t="shared" si="4"/>
        <v>2610001.2282358725</v>
      </c>
      <c r="AU79" s="4">
        <f t="shared" si="5"/>
        <v>1889998.7717641275</v>
      </c>
      <c r="AV79" s="9" t="s">
        <v>344</v>
      </c>
      <c r="AW79" s="12" t="s">
        <v>345</v>
      </c>
      <c r="AX79" s="10">
        <v>0</v>
      </c>
      <c r="AY79">
        <f>S79*AU79/AS79</f>
        <v>755999.50870565104</v>
      </c>
      <c r="AZ79">
        <f>AU79-AY79</f>
        <v>1133999.2630584766</v>
      </c>
      <c r="BA79" s="10">
        <v>4500000</v>
      </c>
      <c r="BB79" s="10">
        <v>0</v>
      </c>
      <c r="BC79" s="9" t="s">
        <v>42</v>
      </c>
      <c r="BD79" s="9">
        <v>10421</v>
      </c>
      <c r="BE79" t="s">
        <v>46</v>
      </c>
    </row>
    <row r="80" spans="1:57" ht="270.75" thickBot="1" x14ac:dyDescent="0.3">
      <c r="A80" s="9" t="s">
        <v>346</v>
      </c>
      <c r="B80" s="9">
        <v>3001</v>
      </c>
      <c r="C80" s="10">
        <v>2</v>
      </c>
      <c r="D80" s="9" t="s">
        <v>37</v>
      </c>
      <c r="E80" s="11">
        <v>46217.932384791668</v>
      </c>
      <c r="F80" s="9" t="s">
        <v>347</v>
      </c>
      <c r="G80" s="9" t="s">
        <v>39</v>
      </c>
      <c r="H80" s="9">
        <v>53</v>
      </c>
      <c r="I80" s="9" t="s">
        <v>40</v>
      </c>
      <c r="J80" s="9">
        <v>5309</v>
      </c>
      <c r="K80" s="9" t="s">
        <v>41</v>
      </c>
      <c r="L80" s="9">
        <v>5309062</v>
      </c>
      <c r="M80" s="9">
        <v>5309062012</v>
      </c>
      <c r="N80" s="9" t="s">
        <v>42</v>
      </c>
      <c r="O80" s="9">
        <v>10421</v>
      </c>
      <c r="P80" s="9" t="s">
        <v>348</v>
      </c>
      <c r="Q80" s="10">
        <v>3</v>
      </c>
      <c r="R80" s="10">
        <v>200000</v>
      </c>
      <c r="S80" s="10">
        <v>200000</v>
      </c>
      <c r="T80" s="10">
        <v>0</v>
      </c>
      <c r="U80" s="10">
        <v>150000</v>
      </c>
      <c r="V80" s="10">
        <v>0</v>
      </c>
      <c r="W80" s="10">
        <v>550000</v>
      </c>
      <c r="X80" s="10">
        <v>4500000</v>
      </c>
      <c r="Y80" s="10">
        <v>500000</v>
      </c>
      <c r="Z80" s="10">
        <v>4150000</v>
      </c>
      <c r="AA80" s="10">
        <v>3700000</v>
      </c>
      <c r="AB80" s="10">
        <v>4500000</v>
      </c>
      <c r="AC80" s="10">
        <v>0</v>
      </c>
      <c r="AD80" s="9" t="s">
        <v>44</v>
      </c>
      <c r="AE80" s="10" t="s">
        <v>2291</v>
      </c>
      <c r="AF80" s="10">
        <v>1500000</v>
      </c>
      <c r="AG80" s="10">
        <v>1</v>
      </c>
      <c r="AH80" s="10">
        <v>1</v>
      </c>
      <c r="AI80" s="10">
        <v>1</v>
      </c>
      <c r="AJ80" s="12" t="s">
        <v>349</v>
      </c>
      <c r="AK80" s="10">
        <v>0</v>
      </c>
      <c r="AL80" s="10">
        <v>0</v>
      </c>
      <c r="AM80" s="9">
        <v>2023</v>
      </c>
      <c r="AN80" s="10">
        <v>1</v>
      </c>
      <c r="AO80" s="10">
        <v>2</v>
      </c>
      <c r="AP80" s="6"/>
      <c r="AQ80" s="7"/>
      <c r="AR80" s="8"/>
      <c r="AS80" s="4">
        <f t="shared" si="3"/>
        <v>350000</v>
      </c>
      <c r="AT80" s="4">
        <f t="shared" si="4"/>
        <v>2610000.6289158142</v>
      </c>
      <c r="AU80" s="4">
        <f t="shared" si="5"/>
        <v>1889999.3710841858</v>
      </c>
      <c r="AV80" s="9" t="s">
        <v>348</v>
      </c>
      <c r="AW80" s="12" t="s">
        <v>349</v>
      </c>
      <c r="AX80" s="10">
        <v>0</v>
      </c>
      <c r="AY80">
        <f>S80*AU80/AS80</f>
        <v>1079999.6406195348</v>
      </c>
      <c r="AZ80">
        <f>AU80-AY80</f>
        <v>809999.73046465102</v>
      </c>
      <c r="BA80" s="10">
        <v>4500000</v>
      </c>
      <c r="BB80" s="10">
        <v>500000</v>
      </c>
      <c r="BC80" s="9" t="s">
        <v>42</v>
      </c>
      <c r="BD80" s="9">
        <v>10421</v>
      </c>
      <c r="BE80" t="s">
        <v>46</v>
      </c>
    </row>
    <row r="81" spans="1:57" ht="270.75" thickBot="1" x14ac:dyDescent="0.3">
      <c r="A81" s="9" t="s">
        <v>350</v>
      </c>
      <c r="B81" s="9">
        <v>1</v>
      </c>
      <c r="C81" s="10">
        <v>2</v>
      </c>
      <c r="D81" s="9" t="s">
        <v>37</v>
      </c>
      <c r="E81" s="11">
        <v>46253.364619131942</v>
      </c>
      <c r="F81" s="9" t="s">
        <v>351</v>
      </c>
      <c r="G81" s="9" t="s">
        <v>39</v>
      </c>
      <c r="H81" s="9">
        <v>53</v>
      </c>
      <c r="I81" s="9" t="s">
        <v>40</v>
      </c>
      <c r="J81" s="9">
        <v>5309</v>
      </c>
      <c r="K81" s="9" t="s">
        <v>41</v>
      </c>
      <c r="L81" s="9">
        <v>5309021</v>
      </c>
      <c r="M81" s="9">
        <v>5309021006</v>
      </c>
      <c r="N81" s="9" t="s">
        <v>42</v>
      </c>
      <c r="O81" s="9">
        <v>10421</v>
      </c>
      <c r="P81" s="9" t="s">
        <v>352</v>
      </c>
      <c r="Q81" s="10">
        <v>3</v>
      </c>
      <c r="R81" s="10">
        <v>1450000</v>
      </c>
      <c r="S81" s="10">
        <v>1000000</v>
      </c>
      <c r="T81" s="10">
        <v>0</v>
      </c>
      <c r="U81" s="10">
        <v>200000</v>
      </c>
      <c r="V81" s="10">
        <v>0</v>
      </c>
      <c r="W81" s="10">
        <v>2650000</v>
      </c>
      <c r="X81" s="10">
        <v>9000000</v>
      </c>
      <c r="Y81" s="10">
        <v>500000</v>
      </c>
      <c r="Z81" s="10">
        <v>7800000</v>
      </c>
      <c r="AA81" s="10">
        <v>36500000</v>
      </c>
      <c r="AB81" s="10">
        <v>9000000</v>
      </c>
      <c r="AC81" s="10">
        <v>0</v>
      </c>
      <c r="AD81" s="9" t="s">
        <v>44</v>
      </c>
      <c r="AE81" s="10" t="s">
        <v>2292</v>
      </c>
      <c r="AF81" s="10">
        <v>3000000</v>
      </c>
      <c r="AG81" s="10">
        <v>0</v>
      </c>
      <c r="AH81" s="10">
        <v>1</v>
      </c>
      <c r="AI81" s="10">
        <v>1</v>
      </c>
      <c r="AJ81" s="12" t="s">
        <v>353</v>
      </c>
      <c r="AK81" s="10">
        <v>0</v>
      </c>
      <c r="AL81" s="10">
        <v>0</v>
      </c>
      <c r="AM81" s="9">
        <v>1999</v>
      </c>
      <c r="AN81" s="10">
        <v>1</v>
      </c>
      <c r="AO81" s="10">
        <v>2</v>
      </c>
      <c r="AP81" s="6"/>
      <c r="AQ81" s="7"/>
      <c r="AR81" s="8"/>
      <c r="AS81" s="4">
        <f t="shared" si="3"/>
        <v>1200000</v>
      </c>
      <c r="AT81" s="4">
        <f t="shared" si="4"/>
        <v>5219997.9923084648</v>
      </c>
      <c r="AU81" s="4">
        <f t="shared" si="5"/>
        <v>3780002.0076915352</v>
      </c>
      <c r="AV81" s="9" t="s">
        <v>352</v>
      </c>
      <c r="AW81" s="12" t="s">
        <v>353</v>
      </c>
      <c r="AX81" s="10">
        <v>0</v>
      </c>
      <c r="AY81">
        <f>S81*AU81/AS81</f>
        <v>3150001.6730762795</v>
      </c>
      <c r="AZ81">
        <f>AU81-AY81</f>
        <v>630000.33461525571</v>
      </c>
      <c r="BA81" s="10">
        <v>9000000</v>
      </c>
      <c r="BB81" s="10">
        <v>500000</v>
      </c>
      <c r="BC81" s="9" t="s">
        <v>42</v>
      </c>
      <c r="BD81" s="9">
        <v>10421</v>
      </c>
      <c r="BE81" t="s">
        <v>46</v>
      </c>
    </row>
    <row r="82" spans="1:57" ht="270.75" thickBot="1" x14ac:dyDescent="0.3">
      <c r="A82" s="9" t="s">
        <v>354</v>
      </c>
      <c r="B82" s="9">
        <v>3001</v>
      </c>
      <c r="C82" s="10">
        <v>2</v>
      </c>
      <c r="D82" s="9" t="s">
        <v>37</v>
      </c>
      <c r="E82" s="11">
        <v>46226.150380914354</v>
      </c>
      <c r="F82" s="9" t="s">
        <v>355</v>
      </c>
      <c r="G82" s="9" t="s">
        <v>39</v>
      </c>
      <c r="H82" s="9">
        <v>53</v>
      </c>
      <c r="I82" s="9" t="s">
        <v>40</v>
      </c>
      <c r="J82" s="9">
        <v>5309</v>
      </c>
      <c r="K82" s="9" t="s">
        <v>41</v>
      </c>
      <c r="L82" s="9">
        <v>5309062</v>
      </c>
      <c r="M82" s="9">
        <v>5309062008</v>
      </c>
      <c r="N82" s="9" t="s">
        <v>42</v>
      </c>
      <c r="O82" s="9">
        <v>10421</v>
      </c>
      <c r="P82" s="9" t="s">
        <v>356</v>
      </c>
      <c r="Q82" s="10">
        <v>5</v>
      </c>
      <c r="R82" s="10">
        <v>750000</v>
      </c>
      <c r="S82" s="10">
        <v>100000</v>
      </c>
      <c r="T82" s="10">
        <v>0</v>
      </c>
      <c r="U82" s="10">
        <v>100000</v>
      </c>
      <c r="V82" s="10">
        <v>27000</v>
      </c>
      <c r="W82" s="10">
        <v>977000</v>
      </c>
      <c r="X82" s="10">
        <v>7300000</v>
      </c>
      <c r="Y82" s="10">
        <v>0</v>
      </c>
      <c r="Z82" s="10">
        <v>7100000</v>
      </c>
      <c r="AA82" s="10">
        <v>5050000</v>
      </c>
      <c r="AB82" s="10">
        <v>7300000</v>
      </c>
      <c r="AC82" s="10">
        <v>0</v>
      </c>
      <c r="AD82" s="9" t="s">
        <v>44</v>
      </c>
      <c r="AE82" s="10" t="s">
        <v>2293</v>
      </c>
      <c r="AF82" s="10">
        <v>1460000</v>
      </c>
      <c r="AG82" s="10">
        <v>1</v>
      </c>
      <c r="AH82" s="10">
        <v>1</v>
      </c>
      <c r="AI82" s="10">
        <v>1</v>
      </c>
      <c r="AJ82" s="12" t="s">
        <v>357</v>
      </c>
      <c r="AK82" s="10">
        <v>0</v>
      </c>
      <c r="AL82" s="10">
        <v>0</v>
      </c>
      <c r="AM82" s="9">
        <v>2020</v>
      </c>
      <c r="AN82" s="10">
        <v>3</v>
      </c>
      <c r="AO82" s="10">
        <v>2</v>
      </c>
      <c r="AP82" s="6"/>
      <c r="AQ82" s="7"/>
      <c r="AR82" s="8"/>
      <c r="AS82" s="4">
        <f t="shared" si="3"/>
        <v>200000</v>
      </c>
      <c r="AT82" s="4">
        <f t="shared" si="4"/>
        <v>4233998.8669580491</v>
      </c>
      <c r="AU82" s="4">
        <f t="shared" si="5"/>
        <v>3066001.1330419509</v>
      </c>
      <c r="AV82" s="9" t="s">
        <v>356</v>
      </c>
      <c r="AW82" s="12" t="s">
        <v>357</v>
      </c>
      <c r="AX82" s="10">
        <v>0</v>
      </c>
      <c r="AY82">
        <f>S82*AU82/AS82</f>
        <v>1533000.5665209754</v>
      </c>
      <c r="AZ82">
        <f>AU82-AY82</f>
        <v>1533000.5665209754</v>
      </c>
      <c r="BA82" s="10">
        <v>7300000</v>
      </c>
      <c r="BB82" s="10">
        <v>0</v>
      </c>
      <c r="BC82" s="9" t="s">
        <v>42</v>
      </c>
      <c r="BD82" s="9">
        <v>10421</v>
      </c>
      <c r="BE82" t="s">
        <v>46</v>
      </c>
    </row>
    <row r="83" spans="1:57" ht="270.75" thickBot="1" x14ac:dyDescent="0.3">
      <c r="A83" s="9" t="s">
        <v>358</v>
      </c>
      <c r="B83" s="9">
        <v>3002</v>
      </c>
      <c r="C83" s="10">
        <v>2</v>
      </c>
      <c r="D83" s="9" t="s">
        <v>37</v>
      </c>
      <c r="E83" s="11">
        <v>46227.585747488425</v>
      </c>
      <c r="F83" s="9" t="s">
        <v>359</v>
      </c>
      <c r="G83" s="9" t="s">
        <v>39</v>
      </c>
      <c r="H83" s="9">
        <v>53</v>
      </c>
      <c r="I83" s="9" t="s">
        <v>40</v>
      </c>
      <c r="J83" s="9">
        <v>5309</v>
      </c>
      <c r="K83" s="9" t="s">
        <v>41</v>
      </c>
      <c r="L83" s="9">
        <v>5309010</v>
      </c>
      <c r="M83" s="9">
        <v>5309010004</v>
      </c>
      <c r="N83" s="9" t="s">
        <v>42</v>
      </c>
      <c r="O83" s="9">
        <v>10421</v>
      </c>
      <c r="P83" s="9" t="s">
        <v>360</v>
      </c>
      <c r="Q83" s="10">
        <v>2</v>
      </c>
      <c r="R83" s="10">
        <v>0</v>
      </c>
      <c r="S83" s="10">
        <v>250000</v>
      </c>
      <c r="T83" s="10">
        <v>0</v>
      </c>
      <c r="U83" s="10">
        <v>100000</v>
      </c>
      <c r="V83" s="10">
        <v>0</v>
      </c>
      <c r="W83" s="10">
        <v>350000</v>
      </c>
      <c r="X83" s="10">
        <v>2500000</v>
      </c>
      <c r="Y83" s="10">
        <v>0</v>
      </c>
      <c r="Z83" s="10">
        <v>2150000</v>
      </c>
      <c r="AA83" s="10">
        <v>45000000</v>
      </c>
      <c r="AB83" s="10">
        <v>2500000</v>
      </c>
      <c r="AC83" s="10">
        <v>0</v>
      </c>
      <c r="AD83" s="9" t="s">
        <v>44</v>
      </c>
      <c r="AE83" s="10" t="s">
        <v>1941</v>
      </c>
      <c r="AF83" s="10">
        <v>1250000</v>
      </c>
      <c r="AG83" s="10">
        <v>1</v>
      </c>
      <c r="AH83" s="10">
        <v>1</v>
      </c>
      <c r="AI83" s="10">
        <v>1</v>
      </c>
      <c r="AJ83" s="12" t="s">
        <v>361</v>
      </c>
      <c r="AK83" s="10">
        <v>0</v>
      </c>
      <c r="AL83" s="10">
        <v>0</v>
      </c>
      <c r="AM83" s="9">
        <v>2022</v>
      </c>
      <c r="AN83" s="10">
        <v>0</v>
      </c>
      <c r="AO83" s="10">
        <v>2</v>
      </c>
      <c r="AP83" s="6"/>
      <c r="AQ83" s="7"/>
      <c r="AR83" s="8"/>
      <c r="AS83" s="4">
        <f t="shared" si="3"/>
        <v>350000</v>
      </c>
      <c r="AT83" s="4">
        <f t="shared" si="4"/>
        <v>1450000</v>
      </c>
      <c r="AU83" s="4">
        <f t="shared" si="5"/>
        <v>1050000</v>
      </c>
      <c r="AV83" s="9" t="s">
        <v>360</v>
      </c>
      <c r="AW83" s="12" t="s">
        <v>361</v>
      </c>
      <c r="AX83" s="10">
        <v>0</v>
      </c>
      <c r="AY83">
        <f>S83*AU83/AS83</f>
        <v>750000</v>
      </c>
      <c r="AZ83">
        <f>AU83-AY83</f>
        <v>300000</v>
      </c>
      <c r="BA83" s="10">
        <v>2500000</v>
      </c>
      <c r="BB83" s="10">
        <v>0</v>
      </c>
      <c r="BC83" s="9" t="s">
        <v>42</v>
      </c>
      <c r="BD83" s="9">
        <v>10421</v>
      </c>
      <c r="BE83" t="s">
        <v>46</v>
      </c>
    </row>
    <row r="84" spans="1:57" ht="270.75" thickBot="1" x14ac:dyDescent="0.3">
      <c r="A84" s="9" t="s">
        <v>362</v>
      </c>
      <c r="B84" s="9">
        <v>1001</v>
      </c>
      <c r="C84" s="10">
        <v>2</v>
      </c>
      <c r="D84" s="9" t="s">
        <v>37</v>
      </c>
      <c r="E84" s="11">
        <v>46253.709627372686</v>
      </c>
      <c r="F84" s="9" t="s">
        <v>363</v>
      </c>
      <c r="G84" s="9" t="s">
        <v>39</v>
      </c>
      <c r="H84" s="9">
        <v>53</v>
      </c>
      <c r="I84" s="9" t="s">
        <v>40</v>
      </c>
      <c r="J84" s="9">
        <v>5309</v>
      </c>
      <c r="K84" s="9" t="s">
        <v>41</v>
      </c>
      <c r="L84" s="9">
        <v>5309010</v>
      </c>
      <c r="M84" s="9">
        <v>5309010004</v>
      </c>
      <c r="N84" s="9" t="s">
        <v>42</v>
      </c>
      <c r="O84" s="9">
        <v>10421</v>
      </c>
      <c r="P84" s="9" t="s">
        <v>364</v>
      </c>
      <c r="Q84" s="10">
        <v>2</v>
      </c>
      <c r="R84" s="10">
        <v>0</v>
      </c>
      <c r="S84" s="10">
        <v>300000</v>
      </c>
      <c r="T84" s="10">
        <v>0</v>
      </c>
      <c r="U84" s="10">
        <v>20000</v>
      </c>
      <c r="V84" s="10">
        <v>20000</v>
      </c>
      <c r="W84" s="10">
        <v>340000</v>
      </c>
      <c r="X84" s="10">
        <v>5000000</v>
      </c>
      <c r="Y84" s="10">
        <v>0</v>
      </c>
      <c r="Z84" s="10">
        <v>4680000</v>
      </c>
      <c r="AA84" s="10">
        <v>160000000</v>
      </c>
      <c r="AB84" s="10">
        <v>5000000</v>
      </c>
      <c r="AC84" s="10">
        <v>0</v>
      </c>
      <c r="AD84" s="9" t="s">
        <v>44</v>
      </c>
      <c r="AE84" s="10" t="s">
        <v>2294</v>
      </c>
      <c r="AF84" s="10">
        <v>2500000</v>
      </c>
      <c r="AG84" s="10">
        <v>1</v>
      </c>
      <c r="AH84" s="10">
        <v>1</v>
      </c>
      <c r="AI84" s="10">
        <v>1</v>
      </c>
      <c r="AJ84" s="12" t="s">
        <v>366</v>
      </c>
      <c r="AK84" s="10">
        <v>0</v>
      </c>
      <c r="AL84" s="10">
        <v>0</v>
      </c>
      <c r="AM84" s="9">
        <v>2024</v>
      </c>
      <c r="AN84" s="10">
        <v>0</v>
      </c>
      <c r="AO84" s="10">
        <v>2</v>
      </c>
      <c r="AP84" s="6"/>
      <c r="AQ84" s="7"/>
      <c r="AR84" s="8"/>
      <c r="AS84" s="4">
        <f t="shared" si="3"/>
        <v>320000</v>
      </c>
      <c r="AT84" s="4">
        <f t="shared" si="4"/>
        <v>2900000</v>
      </c>
      <c r="AU84" s="4">
        <f t="shared" si="5"/>
        <v>2100000</v>
      </c>
      <c r="AV84" s="9" t="s">
        <v>364</v>
      </c>
      <c r="AW84" s="12" t="s">
        <v>366</v>
      </c>
      <c r="AX84" s="10">
        <v>0</v>
      </c>
      <c r="AY84">
        <f>S84*AU84/AS84</f>
        <v>1968750</v>
      </c>
      <c r="AZ84">
        <f>AU84-AY84</f>
        <v>131250</v>
      </c>
      <c r="BA84" s="10">
        <v>5000000</v>
      </c>
      <c r="BB84" s="10">
        <v>0</v>
      </c>
      <c r="BC84" s="9" t="s">
        <v>42</v>
      </c>
      <c r="BD84" s="9">
        <v>10421</v>
      </c>
      <c r="BE84" t="s">
        <v>46</v>
      </c>
    </row>
    <row r="85" spans="1:57" ht="270.75" thickBot="1" x14ac:dyDescent="0.3">
      <c r="A85" s="9" t="s">
        <v>367</v>
      </c>
      <c r="B85" s="9">
        <v>3001</v>
      </c>
      <c r="C85" s="10">
        <v>2</v>
      </c>
      <c r="D85" s="9" t="s">
        <v>113</v>
      </c>
      <c r="E85" s="11">
        <v>46309.410129178243</v>
      </c>
      <c r="F85" s="9" t="s">
        <v>368</v>
      </c>
      <c r="G85" s="9" t="s">
        <v>39</v>
      </c>
      <c r="H85" s="9">
        <v>53</v>
      </c>
      <c r="I85" s="9" t="s">
        <v>40</v>
      </c>
      <c r="J85" s="9">
        <v>5309</v>
      </c>
      <c r="K85" s="9" t="s">
        <v>41</v>
      </c>
      <c r="L85" s="9">
        <v>5309062</v>
      </c>
      <c r="M85" s="9">
        <v>5309062012</v>
      </c>
      <c r="N85" s="9" t="s">
        <v>42</v>
      </c>
      <c r="O85" s="9">
        <v>10421</v>
      </c>
      <c r="P85" s="9" t="s">
        <v>369</v>
      </c>
      <c r="Q85" s="10">
        <v>3</v>
      </c>
      <c r="R85" s="10">
        <v>250000</v>
      </c>
      <c r="S85" s="10">
        <v>200000</v>
      </c>
      <c r="T85" s="10">
        <v>0</v>
      </c>
      <c r="U85" s="10">
        <v>100000</v>
      </c>
      <c r="V85" s="10">
        <v>0</v>
      </c>
      <c r="W85" s="10">
        <v>550000</v>
      </c>
      <c r="X85" s="10">
        <v>4500000</v>
      </c>
      <c r="Y85" s="10">
        <v>300000</v>
      </c>
      <c r="Z85" s="10">
        <v>4200000</v>
      </c>
      <c r="AA85" s="10">
        <v>3800000</v>
      </c>
      <c r="AB85" s="10">
        <v>4500000</v>
      </c>
      <c r="AC85" s="10">
        <v>0</v>
      </c>
      <c r="AD85" s="9" t="s">
        <v>44</v>
      </c>
      <c r="AE85" s="10" t="s">
        <v>2228</v>
      </c>
      <c r="AF85" s="10">
        <v>1500000</v>
      </c>
      <c r="AG85" s="10">
        <v>1</v>
      </c>
      <c r="AH85" s="10">
        <v>1</v>
      </c>
      <c r="AI85" s="10">
        <v>1</v>
      </c>
      <c r="AJ85" s="12" t="s">
        <v>370</v>
      </c>
      <c r="AK85" s="10">
        <v>0</v>
      </c>
      <c r="AL85" s="10">
        <v>0</v>
      </c>
      <c r="AM85" s="9">
        <v>2023</v>
      </c>
      <c r="AN85" s="10">
        <v>1</v>
      </c>
      <c r="AO85" s="10">
        <v>2</v>
      </c>
      <c r="AP85" s="6"/>
      <c r="AQ85" s="7"/>
      <c r="AR85" s="8"/>
      <c r="AS85" s="4">
        <f t="shared" si="3"/>
        <v>300000</v>
      </c>
      <c r="AT85" s="4">
        <f t="shared" si="4"/>
        <v>2610000.9321431899</v>
      </c>
      <c r="AU85" s="4">
        <f t="shared" si="5"/>
        <v>1889999.0678568101</v>
      </c>
      <c r="AV85" s="9" t="s">
        <v>369</v>
      </c>
      <c r="AW85" s="12" t="s">
        <v>370</v>
      </c>
      <c r="AX85" s="10">
        <v>0</v>
      </c>
      <c r="AY85">
        <f>S85*AU85/AS85</f>
        <v>1259999.3785712067</v>
      </c>
      <c r="AZ85">
        <f>AU85-AY85</f>
        <v>629999.68928560335</v>
      </c>
      <c r="BA85" s="10">
        <v>4500000</v>
      </c>
      <c r="BB85" s="10">
        <v>300000</v>
      </c>
      <c r="BC85" s="9" t="s">
        <v>42</v>
      </c>
      <c r="BD85" s="9">
        <v>10421</v>
      </c>
      <c r="BE85" t="s">
        <v>46</v>
      </c>
    </row>
    <row r="86" spans="1:57" ht="270.75" thickBot="1" x14ac:dyDescent="0.3">
      <c r="A86" s="9" t="s">
        <v>371</v>
      </c>
      <c r="B86" s="9">
        <v>3001</v>
      </c>
      <c r="C86" s="10">
        <v>2</v>
      </c>
      <c r="D86" s="9" t="s">
        <v>37</v>
      </c>
      <c r="E86" s="11">
        <v>46266.420146736113</v>
      </c>
      <c r="F86" s="9" t="s">
        <v>372</v>
      </c>
      <c r="G86" s="9" t="s">
        <v>39</v>
      </c>
      <c r="H86" s="9">
        <v>53</v>
      </c>
      <c r="I86" s="9" t="s">
        <v>40</v>
      </c>
      <c r="J86" s="9">
        <v>5309</v>
      </c>
      <c r="K86" s="9" t="s">
        <v>41</v>
      </c>
      <c r="L86" s="9">
        <v>5309074</v>
      </c>
      <c r="M86" s="9">
        <v>5309074007</v>
      </c>
      <c r="N86" s="9" t="s">
        <v>42</v>
      </c>
      <c r="O86" s="9">
        <v>10421</v>
      </c>
      <c r="P86" s="9" t="s">
        <v>49</v>
      </c>
      <c r="Q86" s="10">
        <v>3</v>
      </c>
      <c r="R86" s="10">
        <v>800000</v>
      </c>
      <c r="S86" s="10">
        <v>2000000</v>
      </c>
      <c r="T86" s="10">
        <v>0</v>
      </c>
      <c r="U86" s="10">
        <v>350000</v>
      </c>
      <c r="V86" s="10">
        <v>15000</v>
      </c>
      <c r="W86" s="10">
        <v>3165000</v>
      </c>
      <c r="X86" s="10">
        <v>9200000</v>
      </c>
      <c r="Y86" s="10">
        <v>0</v>
      </c>
      <c r="Z86" s="10">
        <v>6850000</v>
      </c>
      <c r="AA86" s="10">
        <v>1950000</v>
      </c>
      <c r="AB86" s="10">
        <v>9200000</v>
      </c>
      <c r="AC86" s="10">
        <v>0</v>
      </c>
      <c r="AD86" s="9" t="s">
        <v>44</v>
      </c>
      <c r="AE86" s="10" t="s">
        <v>2283</v>
      </c>
      <c r="AF86" s="13">
        <v>3066666667</v>
      </c>
      <c r="AG86" s="10">
        <v>1</v>
      </c>
      <c r="AH86" s="10">
        <v>1</v>
      </c>
      <c r="AI86" s="10">
        <v>1</v>
      </c>
      <c r="AJ86" s="12" t="s">
        <v>373</v>
      </c>
      <c r="AK86" s="10">
        <v>0</v>
      </c>
      <c r="AL86" s="10">
        <v>0</v>
      </c>
      <c r="AM86" s="9">
        <v>2001</v>
      </c>
      <c r="AN86" s="10">
        <v>2</v>
      </c>
      <c r="AO86" s="10">
        <v>1</v>
      </c>
      <c r="AP86" s="6"/>
      <c r="AQ86" s="7"/>
      <c r="AR86" s="8"/>
      <c r="AS86" s="4">
        <f t="shared" si="3"/>
        <v>2350000</v>
      </c>
      <c r="AT86" s="4">
        <f t="shared" si="4"/>
        <v>5336001.5579566583</v>
      </c>
      <c r="AU86" s="4">
        <f t="shared" si="5"/>
        <v>3863998.4420433417</v>
      </c>
      <c r="AV86" s="9" t="s">
        <v>49</v>
      </c>
      <c r="AW86" s="12" t="s">
        <v>373</v>
      </c>
      <c r="AX86" s="10">
        <v>0</v>
      </c>
      <c r="AY86">
        <f>S86*AU86/AS86</f>
        <v>3288509.3123773122</v>
      </c>
      <c r="AZ86">
        <f>AU86-AY86</f>
        <v>575489.12966602948</v>
      </c>
      <c r="BA86" s="10">
        <v>9200000</v>
      </c>
      <c r="BB86" s="10">
        <v>0</v>
      </c>
      <c r="BC86" s="9" t="s">
        <v>42</v>
      </c>
      <c r="BD86" s="9">
        <v>10421</v>
      </c>
      <c r="BE86" t="s">
        <v>46</v>
      </c>
    </row>
    <row r="87" spans="1:57" ht="270.75" thickBot="1" x14ac:dyDescent="0.3">
      <c r="A87" s="9" t="s">
        <v>374</v>
      </c>
      <c r="B87" s="9">
        <v>3001</v>
      </c>
      <c r="C87" s="10">
        <v>2</v>
      </c>
      <c r="D87" s="9" t="s">
        <v>113</v>
      </c>
      <c r="E87" s="11">
        <v>46315.575676956018</v>
      </c>
      <c r="F87" s="9" t="s">
        <v>375</v>
      </c>
      <c r="G87" s="9" t="s">
        <v>39</v>
      </c>
      <c r="H87" s="9">
        <v>53</v>
      </c>
      <c r="I87" s="9" t="s">
        <v>40</v>
      </c>
      <c r="J87" s="9">
        <v>5309</v>
      </c>
      <c r="K87" s="9" t="s">
        <v>41</v>
      </c>
      <c r="L87" s="9">
        <v>5309062</v>
      </c>
      <c r="M87" s="9">
        <v>5309062009</v>
      </c>
      <c r="N87" s="9" t="s">
        <v>42</v>
      </c>
      <c r="O87" s="9">
        <v>10421</v>
      </c>
      <c r="P87" s="9" t="s">
        <v>376</v>
      </c>
      <c r="Q87" s="10">
        <v>9</v>
      </c>
      <c r="R87" s="10">
        <v>1680000</v>
      </c>
      <c r="S87" s="10">
        <v>350000</v>
      </c>
      <c r="T87" s="10">
        <v>0</v>
      </c>
      <c r="U87" s="10">
        <v>500000</v>
      </c>
      <c r="V87" s="10">
        <v>0</v>
      </c>
      <c r="W87" s="10">
        <v>2530000</v>
      </c>
      <c r="X87" s="10">
        <v>11400000</v>
      </c>
      <c r="Y87" s="10">
        <v>0</v>
      </c>
      <c r="Z87" s="10">
        <v>10550000</v>
      </c>
      <c r="AA87" s="10">
        <v>5400000</v>
      </c>
      <c r="AB87" s="10">
        <v>11400000</v>
      </c>
      <c r="AC87" s="10">
        <v>0</v>
      </c>
      <c r="AD87" s="9" t="s">
        <v>44</v>
      </c>
      <c r="AE87" s="10" t="s">
        <v>2295</v>
      </c>
      <c r="AF87" s="13">
        <v>1266666667</v>
      </c>
      <c r="AG87" s="10">
        <v>1</v>
      </c>
      <c r="AH87" s="10">
        <v>1</v>
      </c>
      <c r="AI87" s="10">
        <v>1</v>
      </c>
      <c r="AJ87" s="12" t="s">
        <v>377</v>
      </c>
      <c r="AK87" s="10">
        <v>0</v>
      </c>
      <c r="AL87" s="10">
        <v>0</v>
      </c>
      <c r="AM87" s="9">
        <v>2018</v>
      </c>
      <c r="AN87" s="10">
        <v>7</v>
      </c>
      <c r="AO87" s="10">
        <v>2</v>
      </c>
      <c r="AP87" s="6"/>
      <c r="AQ87" s="7"/>
      <c r="AR87" s="8"/>
      <c r="AS87" s="4">
        <f t="shared" si="3"/>
        <v>850000</v>
      </c>
      <c r="AT87" s="4">
        <f t="shared" si="4"/>
        <v>6611997.1170439105</v>
      </c>
      <c r="AU87" s="4">
        <f t="shared" si="5"/>
        <v>4788002.8829560895</v>
      </c>
      <c r="AV87" s="9" t="s">
        <v>376</v>
      </c>
      <c r="AW87" s="12" t="s">
        <v>377</v>
      </c>
      <c r="AX87" s="10">
        <v>0</v>
      </c>
      <c r="AY87">
        <f>S87*AU87/AS87</f>
        <v>1971530.5988642722</v>
      </c>
      <c r="AZ87">
        <f>AU87-AY87</f>
        <v>2816472.2840918172</v>
      </c>
      <c r="BA87" s="10">
        <v>11400000</v>
      </c>
      <c r="BB87" s="10">
        <v>0</v>
      </c>
      <c r="BC87" s="9" t="s">
        <v>42</v>
      </c>
      <c r="BD87" s="9">
        <v>10421</v>
      </c>
      <c r="BE87" t="s">
        <v>46</v>
      </c>
    </row>
    <row r="88" spans="1:57" ht="270.75" thickBot="1" x14ac:dyDescent="0.3">
      <c r="A88" s="9" t="s">
        <v>378</v>
      </c>
      <c r="B88" s="9">
        <v>3003</v>
      </c>
      <c r="C88" s="10">
        <v>2</v>
      </c>
      <c r="D88" s="9" t="s">
        <v>37</v>
      </c>
      <c r="E88" s="11">
        <v>46293.10347199074</v>
      </c>
      <c r="F88" s="9" t="s">
        <v>379</v>
      </c>
      <c r="G88" s="9" t="s">
        <v>39</v>
      </c>
      <c r="H88" s="9">
        <v>53</v>
      </c>
      <c r="I88" s="9" t="s">
        <v>40</v>
      </c>
      <c r="J88" s="9">
        <v>5309</v>
      </c>
      <c r="K88" s="9" t="s">
        <v>41</v>
      </c>
      <c r="L88" s="9">
        <v>5309072</v>
      </c>
      <c r="M88" s="9">
        <v>5309072006</v>
      </c>
      <c r="N88" s="9" t="s">
        <v>42</v>
      </c>
      <c r="O88" s="9">
        <v>10421</v>
      </c>
      <c r="P88" s="9" t="s">
        <v>380</v>
      </c>
      <c r="Q88" s="10">
        <v>3</v>
      </c>
      <c r="R88" s="10">
        <v>0</v>
      </c>
      <c r="S88" s="10">
        <v>500000</v>
      </c>
      <c r="T88" s="10">
        <v>0</v>
      </c>
      <c r="U88" s="10">
        <v>500000</v>
      </c>
      <c r="V88" s="10">
        <v>0</v>
      </c>
      <c r="W88" s="10">
        <v>1000000</v>
      </c>
      <c r="X88" s="10">
        <v>5000000</v>
      </c>
      <c r="Y88" s="10">
        <v>0</v>
      </c>
      <c r="Z88" s="10">
        <v>4000000</v>
      </c>
      <c r="AA88" s="10">
        <v>2570000000</v>
      </c>
      <c r="AB88" s="10">
        <v>5000000</v>
      </c>
      <c r="AC88" s="10">
        <v>0</v>
      </c>
      <c r="AD88" s="9" t="s">
        <v>44</v>
      </c>
      <c r="AE88" s="10" t="s">
        <v>2296</v>
      </c>
      <c r="AF88" s="13">
        <v>1666666667</v>
      </c>
      <c r="AG88" s="10">
        <v>1</v>
      </c>
      <c r="AH88" s="10">
        <v>1</v>
      </c>
      <c r="AI88" s="10">
        <v>1</v>
      </c>
      <c r="AJ88" s="12" t="s">
        <v>381</v>
      </c>
      <c r="AK88" s="10">
        <v>0</v>
      </c>
      <c r="AL88" s="10">
        <v>0</v>
      </c>
      <c r="AM88" s="9">
        <v>2018</v>
      </c>
      <c r="AN88" s="10">
        <v>0</v>
      </c>
      <c r="AO88" s="10">
        <v>3</v>
      </c>
      <c r="AP88" s="6"/>
      <c r="AQ88" s="7"/>
      <c r="AR88" s="8"/>
      <c r="AS88" s="4">
        <f t="shared" si="3"/>
        <v>1000000</v>
      </c>
      <c r="AT88" s="4">
        <f t="shared" si="4"/>
        <v>2900000</v>
      </c>
      <c r="AU88" s="4">
        <f t="shared" si="5"/>
        <v>2100000</v>
      </c>
      <c r="AV88" s="9" t="s">
        <v>380</v>
      </c>
      <c r="AW88" s="12" t="s">
        <v>381</v>
      </c>
      <c r="AX88" s="10">
        <v>0</v>
      </c>
      <c r="AY88">
        <f>S88*AU88/AS88</f>
        <v>1050000</v>
      </c>
      <c r="AZ88">
        <f>AU88-AY88</f>
        <v>1050000</v>
      </c>
      <c r="BA88" s="10">
        <v>5000000</v>
      </c>
      <c r="BB88" s="10">
        <v>0</v>
      </c>
      <c r="BC88" s="9" t="s">
        <v>42</v>
      </c>
      <c r="BD88" s="9">
        <v>10421</v>
      </c>
      <c r="BE88" t="s">
        <v>46</v>
      </c>
    </row>
    <row r="89" spans="1:57" ht="270.75" thickBot="1" x14ac:dyDescent="0.3">
      <c r="A89" s="9" t="s">
        <v>382</v>
      </c>
      <c r="B89" s="9">
        <v>3001</v>
      </c>
      <c r="C89" s="10">
        <v>2</v>
      </c>
      <c r="D89" s="9" t="s">
        <v>84</v>
      </c>
      <c r="E89" s="11">
        <v>46307.413312534722</v>
      </c>
      <c r="F89" s="9" t="s">
        <v>383</v>
      </c>
      <c r="G89" s="9" t="s">
        <v>39</v>
      </c>
      <c r="H89" s="9">
        <v>53</v>
      </c>
      <c r="I89" s="9" t="s">
        <v>40</v>
      </c>
      <c r="J89" s="9">
        <v>5309</v>
      </c>
      <c r="K89" s="9" t="s">
        <v>41</v>
      </c>
      <c r="L89" s="9">
        <v>5309073</v>
      </c>
      <c r="M89" s="9">
        <v>5309073006</v>
      </c>
      <c r="N89" s="9" t="s">
        <v>42</v>
      </c>
      <c r="O89" s="9">
        <v>10421</v>
      </c>
      <c r="P89" s="9" t="s">
        <v>384</v>
      </c>
      <c r="Q89" s="10">
        <v>1</v>
      </c>
      <c r="R89" s="10">
        <v>0</v>
      </c>
      <c r="S89" s="10">
        <v>300000</v>
      </c>
      <c r="T89" s="10">
        <v>0</v>
      </c>
      <c r="U89" s="10">
        <v>0</v>
      </c>
      <c r="V89" s="10">
        <v>0</v>
      </c>
      <c r="W89" s="10">
        <v>300000</v>
      </c>
      <c r="X89" s="10">
        <v>6650000</v>
      </c>
      <c r="Y89" s="10">
        <v>0</v>
      </c>
      <c r="Z89" s="10">
        <v>6350000</v>
      </c>
      <c r="AA89" s="10">
        <v>5450000</v>
      </c>
      <c r="AB89" s="10">
        <v>6650000</v>
      </c>
      <c r="AC89" s="10">
        <v>0</v>
      </c>
      <c r="AD89" s="9" t="s">
        <v>44</v>
      </c>
      <c r="AE89" s="10" t="s">
        <v>2297</v>
      </c>
      <c r="AF89" s="10">
        <v>6650000</v>
      </c>
      <c r="AG89" s="10">
        <v>1</v>
      </c>
      <c r="AH89" s="10">
        <v>1</v>
      </c>
      <c r="AI89" s="10">
        <v>1</v>
      </c>
      <c r="AJ89" s="12" t="s">
        <v>385</v>
      </c>
      <c r="AK89" s="10">
        <v>0</v>
      </c>
      <c r="AL89" s="10">
        <v>0</v>
      </c>
      <c r="AM89" s="9">
        <v>2015</v>
      </c>
      <c r="AN89" s="10">
        <v>0</v>
      </c>
      <c r="AO89" s="10">
        <v>1</v>
      </c>
      <c r="AP89" s="6"/>
      <c r="AQ89" s="7"/>
      <c r="AR89" s="8"/>
      <c r="AS89" s="4">
        <f t="shared" si="3"/>
        <v>300000</v>
      </c>
      <c r="AT89" s="4">
        <f t="shared" si="4"/>
        <v>3857000.8807324837</v>
      </c>
      <c r="AU89" s="4">
        <f t="shared" si="5"/>
        <v>2792999.1192675163</v>
      </c>
      <c r="AV89" s="9" t="s">
        <v>384</v>
      </c>
      <c r="AW89" s="12" t="s">
        <v>385</v>
      </c>
      <c r="AX89" s="10">
        <v>0</v>
      </c>
      <c r="AY89">
        <f>S89*AU89/AS89</f>
        <v>2792999.1192675163</v>
      </c>
      <c r="AZ89">
        <f>AU89-AY89</f>
        <v>0</v>
      </c>
      <c r="BA89" s="10">
        <v>6650000</v>
      </c>
      <c r="BB89" s="10">
        <v>0</v>
      </c>
      <c r="BC89" s="9" t="s">
        <v>42</v>
      </c>
      <c r="BD89" s="9">
        <v>10421</v>
      </c>
      <c r="BE89" t="s">
        <v>46</v>
      </c>
    </row>
    <row r="90" spans="1:57" ht="270.75" thickBot="1" x14ac:dyDescent="0.3">
      <c r="A90" s="9" t="s">
        <v>386</v>
      </c>
      <c r="B90" s="9">
        <v>3001</v>
      </c>
      <c r="C90" s="10">
        <v>2</v>
      </c>
      <c r="D90" s="9" t="s">
        <v>37</v>
      </c>
      <c r="E90" s="14">
        <v>46229.014016203706</v>
      </c>
      <c r="F90" s="9" t="s">
        <v>387</v>
      </c>
      <c r="G90" s="9" t="s">
        <v>39</v>
      </c>
      <c r="H90" s="9">
        <v>53</v>
      </c>
      <c r="I90" s="9" t="s">
        <v>40</v>
      </c>
      <c r="J90" s="9">
        <v>5309</v>
      </c>
      <c r="K90" s="9" t="s">
        <v>41</v>
      </c>
      <c r="L90" s="9">
        <v>5309062</v>
      </c>
      <c r="M90" s="9">
        <v>5309062006</v>
      </c>
      <c r="N90" s="9" t="s">
        <v>42</v>
      </c>
      <c r="O90" s="9">
        <v>10421</v>
      </c>
      <c r="P90" s="9" t="s">
        <v>388</v>
      </c>
      <c r="Q90" s="10">
        <v>1</v>
      </c>
      <c r="R90" s="10">
        <v>0</v>
      </c>
      <c r="S90" s="10">
        <v>100000</v>
      </c>
      <c r="T90" s="10">
        <v>0</v>
      </c>
      <c r="U90" s="10">
        <v>0</v>
      </c>
      <c r="V90" s="10">
        <v>0</v>
      </c>
      <c r="W90" s="10">
        <v>100000</v>
      </c>
      <c r="X90" s="10">
        <v>1750000</v>
      </c>
      <c r="Y90" s="10">
        <v>0</v>
      </c>
      <c r="Z90" s="10">
        <v>1650000</v>
      </c>
      <c r="AA90" s="10">
        <v>2500000</v>
      </c>
      <c r="AB90" s="10">
        <v>1750000</v>
      </c>
      <c r="AC90" s="10">
        <v>0</v>
      </c>
      <c r="AD90" s="9" t="s">
        <v>44</v>
      </c>
      <c r="AE90" s="10" t="s">
        <v>2243</v>
      </c>
      <c r="AF90" s="10">
        <v>1750000</v>
      </c>
      <c r="AG90" s="10">
        <v>1</v>
      </c>
      <c r="AH90" s="10">
        <v>1</v>
      </c>
      <c r="AI90" s="10">
        <v>1</v>
      </c>
      <c r="AJ90" s="12" t="s">
        <v>2298</v>
      </c>
      <c r="AK90" s="10">
        <v>0</v>
      </c>
      <c r="AL90" s="10">
        <v>0</v>
      </c>
      <c r="AM90" s="9">
        <v>2015</v>
      </c>
      <c r="AN90" s="10">
        <v>0</v>
      </c>
      <c r="AO90" s="10">
        <v>1</v>
      </c>
      <c r="AP90" s="6"/>
      <c r="AQ90" s="7"/>
      <c r="AR90" s="8"/>
      <c r="AS90" s="4">
        <f t="shared" si="3"/>
        <v>100000</v>
      </c>
      <c r="AT90" s="4">
        <f t="shared" si="4"/>
        <v>1015000.153787902</v>
      </c>
      <c r="AU90" s="4">
        <f t="shared" si="5"/>
        <v>734999.84621209803</v>
      </c>
      <c r="AV90" s="9" t="s">
        <v>388</v>
      </c>
      <c r="AW90" s="12" t="s">
        <v>2298</v>
      </c>
      <c r="AX90" s="10">
        <v>0</v>
      </c>
      <c r="AY90">
        <f>S90*AU90/AS90</f>
        <v>734999.84621209803</v>
      </c>
      <c r="AZ90">
        <f>AU90-AY90</f>
        <v>0</v>
      </c>
      <c r="BA90" s="10">
        <v>1750000</v>
      </c>
      <c r="BB90" s="10">
        <v>0</v>
      </c>
      <c r="BC90" s="9" t="s">
        <v>42</v>
      </c>
      <c r="BD90" s="9">
        <v>10421</v>
      </c>
      <c r="BE90" t="s">
        <v>46</v>
      </c>
    </row>
    <row r="91" spans="1:57" ht="270.75" thickBot="1" x14ac:dyDescent="0.3">
      <c r="A91" s="9" t="s">
        <v>389</v>
      </c>
      <c r="B91" s="9">
        <v>3001</v>
      </c>
      <c r="C91" s="10">
        <v>2</v>
      </c>
      <c r="D91" s="9" t="s">
        <v>37</v>
      </c>
      <c r="E91" s="14">
        <v>46226.472858796296</v>
      </c>
      <c r="F91" s="9" t="s">
        <v>390</v>
      </c>
      <c r="G91" s="9" t="s">
        <v>39</v>
      </c>
      <c r="H91" s="9">
        <v>53</v>
      </c>
      <c r="I91" s="9" t="s">
        <v>40</v>
      </c>
      <c r="J91" s="9">
        <v>5309</v>
      </c>
      <c r="K91" s="9" t="s">
        <v>41</v>
      </c>
      <c r="L91" s="9">
        <v>5309062</v>
      </c>
      <c r="M91" s="9">
        <v>5309062007</v>
      </c>
      <c r="N91" s="9" t="s">
        <v>42</v>
      </c>
      <c r="O91" s="9">
        <v>10421</v>
      </c>
      <c r="P91" s="9" t="s">
        <v>391</v>
      </c>
      <c r="Q91" s="10">
        <v>3</v>
      </c>
      <c r="R91" s="10">
        <v>0</v>
      </c>
      <c r="S91" s="10">
        <v>200000</v>
      </c>
      <c r="T91" s="10">
        <v>0</v>
      </c>
      <c r="U91" s="10">
        <v>300000</v>
      </c>
      <c r="V91" s="10">
        <v>0</v>
      </c>
      <c r="W91" s="10">
        <v>500000</v>
      </c>
      <c r="X91" s="10">
        <v>10250000</v>
      </c>
      <c r="Y91" s="10">
        <v>1500000</v>
      </c>
      <c r="Z91" s="10">
        <v>9750000</v>
      </c>
      <c r="AA91" s="10">
        <v>6400000</v>
      </c>
      <c r="AB91" s="10">
        <v>10250000</v>
      </c>
      <c r="AC91" s="10">
        <v>0</v>
      </c>
      <c r="AD91" s="9" t="s">
        <v>44</v>
      </c>
      <c r="AE91" s="10" t="s">
        <v>2299</v>
      </c>
      <c r="AF91" s="13">
        <v>3416666667</v>
      </c>
      <c r="AG91" s="10">
        <v>1</v>
      </c>
      <c r="AH91" s="10">
        <v>1</v>
      </c>
      <c r="AI91" s="10">
        <v>1</v>
      </c>
      <c r="AJ91" s="12" t="s">
        <v>392</v>
      </c>
      <c r="AK91" s="10">
        <v>0</v>
      </c>
      <c r="AL91" s="10">
        <v>0</v>
      </c>
      <c r="AM91" s="9">
        <v>2001</v>
      </c>
      <c r="AN91" s="10">
        <v>0</v>
      </c>
      <c r="AO91" s="10">
        <v>3</v>
      </c>
      <c r="AP91" s="6"/>
      <c r="AQ91" s="7"/>
      <c r="AR91" s="8"/>
      <c r="AS91" s="4">
        <f t="shared" si="3"/>
        <v>500000</v>
      </c>
      <c r="AT91" s="4">
        <f t="shared" si="4"/>
        <v>5944996.9512836151</v>
      </c>
      <c r="AU91" s="4">
        <f t="shared" si="5"/>
        <v>4305003.0487163849</v>
      </c>
      <c r="AV91" s="9" t="s">
        <v>391</v>
      </c>
      <c r="AW91" s="12" t="s">
        <v>392</v>
      </c>
      <c r="AX91" s="10">
        <v>0</v>
      </c>
      <c r="AY91">
        <f>S91*AU91/AS91</f>
        <v>1722001.2194865539</v>
      </c>
      <c r="AZ91">
        <f>AU91-AY91</f>
        <v>2583001.8292298308</v>
      </c>
      <c r="BA91" s="10">
        <v>10250000</v>
      </c>
      <c r="BB91" s="10">
        <v>1500000</v>
      </c>
      <c r="BC91" s="9" t="s">
        <v>42</v>
      </c>
      <c r="BD91" s="9">
        <v>10421</v>
      </c>
      <c r="BE91" t="s">
        <v>46</v>
      </c>
    </row>
    <row r="92" spans="1:57" ht="270.75" thickBot="1" x14ac:dyDescent="0.3">
      <c r="A92" s="9" t="s">
        <v>393</v>
      </c>
      <c r="B92" s="9">
        <v>3001</v>
      </c>
      <c r="C92" s="10">
        <v>2</v>
      </c>
      <c r="D92" s="9" t="s">
        <v>37</v>
      </c>
      <c r="E92" s="11">
        <v>46215.203476562499</v>
      </c>
      <c r="F92" s="9" t="s">
        <v>394</v>
      </c>
      <c r="G92" s="9" t="s">
        <v>39</v>
      </c>
      <c r="H92" s="9">
        <v>53</v>
      </c>
      <c r="I92" s="9" t="s">
        <v>40</v>
      </c>
      <c r="J92" s="9">
        <v>5309</v>
      </c>
      <c r="K92" s="9" t="s">
        <v>41</v>
      </c>
      <c r="L92" s="9">
        <v>5309062</v>
      </c>
      <c r="M92" s="9">
        <v>5309062004</v>
      </c>
      <c r="N92" s="9" t="s">
        <v>42</v>
      </c>
      <c r="O92" s="9">
        <v>10421</v>
      </c>
      <c r="P92" s="9" t="s">
        <v>395</v>
      </c>
      <c r="Q92" s="10">
        <v>2</v>
      </c>
      <c r="R92" s="10">
        <v>150000</v>
      </c>
      <c r="S92" s="10">
        <v>100</v>
      </c>
      <c r="T92" s="10">
        <v>0</v>
      </c>
      <c r="U92" s="10">
        <v>20000</v>
      </c>
      <c r="V92" s="10">
        <v>0</v>
      </c>
      <c r="W92" s="10">
        <v>170100</v>
      </c>
      <c r="X92" s="10">
        <v>7000000</v>
      </c>
      <c r="Y92" s="10">
        <v>0</v>
      </c>
      <c r="Z92" s="10">
        <v>6979900</v>
      </c>
      <c r="AA92" s="10">
        <v>5100000</v>
      </c>
      <c r="AB92" s="10">
        <v>7000000</v>
      </c>
      <c r="AC92" s="10">
        <v>0</v>
      </c>
      <c r="AD92" s="9" t="s">
        <v>44</v>
      </c>
      <c r="AE92" s="10" t="s">
        <v>2300</v>
      </c>
      <c r="AF92" s="10">
        <v>3500000</v>
      </c>
      <c r="AG92" s="10">
        <v>1</v>
      </c>
      <c r="AH92" s="10">
        <v>1</v>
      </c>
      <c r="AI92" s="10">
        <v>1</v>
      </c>
      <c r="AJ92" s="12" t="s">
        <v>396</v>
      </c>
      <c r="AK92" s="10">
        <v>0</v>
      </c>
      <c r="AL92" s="10">
        <v>0</v>
      </c>
      <c r="AM92" s="9">
        <v>1997</v>
      </c>
      <c r="AN92" s="10">
        <v>1</v>
      </c>
      <c r="AO92" s="10">
        <v>1</v>
      </c>
      <c r="AP92" s="6"/>
      <c r="AQ92" s="7"/>
      <c r="AR92" s="8"/>
      <c r="AS92" s="4">
        <f t="shared" si="3"/>
        <v>20100</v>
      </c>
      <c r="AT92" s="4">
        <f t="shared" si="4"/>
        <v>4059998.2549900757</v>
      </c>
      <c r="AU92" s="4">
        <f t="shared" si="5"/>
        <v>2940001.7450099243</v>
      </c>
      <c r="AV92" s="9" t="s">
        <v>395</v>
      </c>
      <c r="AW92" s="12" t="s">
        <v>396</v>
      </c>
      <c r="AX92" s="10">
        <v>0</v>
      </c>
      <c r="AY92">
        <f>S92*AU92/AS92</f>
        <v>14626.874353283205</v>
      </c>
      <c r="AZ92">
        <f>AU92-AY92</f>
        <v>2925374.8706566412</v>
      </c>
      <c r="BA92" s="10">
        <v>7000000</v>
      </c>
      <c r="BB92" s="10">
        <v>0</v>
      </c>
      <c r="BC92" s="9" t="s">
        <v>42</v>
      </c>
      <c r="BD92" s="9">
        <v>10421</v>
      </c>
      <c r="BE92" t="s">
        <v>46</v>
      </c>
    </row>
    <row r="93" spans="1:57" ht="270.75" thickBot="1" x14ac:dyDescent="0.3">
      <c r="A93" s="9" t="s">
        <v>397</v>
      </c>
      <c r="B93" s="9">
        <v>3001</v>
      </c>
      <c r="C93" s="10">
        <v>2</v>
      </c>
      <c r="D93" s="9" t="s">
        <v>37</v>
      </c>
      <c r="E93" s="11">
        <v>46230.715008136576</v>
      </c>
      <c r="F93" s="9" t="s">
        <v>398</v>
      </c>
      <c r="G93" s="9" t="s">
        <v>39</v>
      </c>
      <c r="H93" s="9">
        <v>53</v>
      </c>
      <c r="I93" s="9" t="s">
        <v>40</v>
      </c>
      <c r="J93" s="9">
        <v>5309</v>
      </c>
      <c r="K93" s="9" t="s">
        <v>41</v>
      </c>
      <c r="L93" s="9">
        <v>5309010</v>
      </c>
      <c r="M93" s="9">
        <v>5309010016</v>
      </c>
      <c r="N93" s="9" t="s">
        <v>42</v>
      </c>
      <c r="O93" s="9">
        <v>10421</v>
      </c>
      <c r="P93" s="9" t="s">
        <v>399</v>
      </c>
      <c r="Q93" s="10">
        <v>1</v>
      </c>
      <c r="R93" s="10">
        <v>0</v>
      </c>
      <c r="S93" s="10">
        <v>600000</v>
      </c>
      <c r="T93" s="10">
        <v>0</v>
      </c>
      <c r="U93" s="10">
        <v>600000</v>
      </c>
      <c r="V93" s="10">
        <v>0</v>
      </c>
      <c r="W93" s="10">
        <v>1200000</v>
      </c>
      <c r="X93" s="10">
        <v>4752000</v>
      </c>
      <c r="Y93" s="10">
        <v>600000</v>
      </c>
      <c r="Z93" s="10">
        <v>3552000</v>
      </c>
      <c r="AA93" s="10">
        <v>0</v>
      </c>
      <c r="AB93" s="10">
        <v>4752000</v>
      </c>
      <c r="AC93" s="10">
        <v>0</v>
      </c>
      <c r="AD93" s="9" t="s">
        <v>44</v>
      </c>
      <c r="AE93" s="10" t="s">
        <v>2301</v>
      </c>
      <c r="AF93" s="10">
        <v>4752000</v>
      </c>
      <c r="AG93" s="9"/>
      <c r="AH93" s="10">
        <v>1</v>
      </c>
      <c r="AI93" s="10">
        <v>1</v>
      </c>
      <c r="AJ93" s="12" t="s">
        <v>400</v>
      </c>
      <c r="AK93" s="10">
        <v>0</v>
      </c>
      <c r="AL93" s="10">
        <v>0</v>
      </c>
      <c r="AM93" s="9">
        <v>2020</v>
      </c>
      <c r="AN93" s="10">
        <v>0</v>
      </c>
      <c r="AO93" s="10">
        <v>1</v>
      </c>
      <c r="AP93" s="6"/>
      <c r="AQ93" s="7"/>
      <c r="AR93" s="8"/>
      <c r="AS93" s="4">
        <f t="shared" si="3"/>
        <v>1200000</v>
      </c>
      <c r="AT93" s="4">
        <f t="shared" si="4"/>
        <v>2756159.0688651791</v>
      </c>
      <c r="AU93" s="4">
        <f t="shared" si="5"/>
        <v>1995840.9311348209</v>
      </c>
      <c r="AV93" s="9" t="s">
        <v>399</v>
      </c>
      <c r="AW93" s="12" t="s">
        <v>400</v>
      </c>
      <c r="AX93" s="10">
        <v>0</v>
      </c>
      <c r="AY93">
        <f>S93*AU93/AS93</f>
        <v>997920.46556741046</v>
      </c>
      <c r="AZ93">
        <f>AU93-AY93</f>
        <v>997920.46556741046</v>
      </c>
      <c r="BA93" s="10">
        <v>4752000</v>
      </c>
      <c r="BB93" s="10">
        <v>600000</v>
      </c>
      <c r="BC93" s="9" t="s">
        <v>42</v>
      </c>
      <c r="BD93" s="9">
        <v>10421</v>
      </c>
      <c r="BE93" t="s">
        <v>46</v>
      </c>
    </row>
    <row r="94" spans="1:57" ht="270.75" thickBot="1" x14ac:dyDescent="0.3">
      <c r="A94" s="9" t="s">
        <v>401</v>
      </c>
      <c r="B94" s="9">
        <v>3001</v>
      </c>
      <c r="C94" s="10">
        <v>2</v>
      </c>
      <c r="D94" s="9" t="s">
        <v>37</v>
      </c>
      <c r="E94" s="11">
        <v>46242.643860706019</v>
      </c>
      <c r="F94" s="9" t="s">
        <v>402</v>
      </c>
      <c r="G94" s="9" t="s">
        <v>39</v>
      </c>
      <c r="H94" s="9">
        <v>53</v>
      </c>
      <c r="I94" s="9" t="s">
        <v>40</v>
      </c>
      <c r="J94" s="9">
        <v>5309</v>
      </c>
      <c r="K94" s="9" t="s">
        <v>41</v>
      </c>
      <c r="L94" s="9">
        <v>5309062</v>
      </c>
      <c r="M94" s="9">
        <v>5309062006</v>
      </c>
      <c r="N94" s="9" t="s">
        <v>42</v>
      </c>
      <c r="O94" s="9">
        <v>10421</v>
      </c>
      <c r="P94" s="9" t="s">
        <v>403</v>
      </c>
      <c r="Q94" s="10">
        <v>3</v>
      </c>
      <c r="R94" s="10">
        <v>0</v>
      </c>
      <c r="S94" s="10">
        <v>250000</v>
      </c>
      <c r="T94" s="10">
        <v>0</v>
      </c>
      <c r="U94" s="10">
        <v>300000</v>
      </c>
      <c r="V94" s="10">
        <v>0</v>
      </c>
      <c r="W94" s="10">
        <v>550000</v>
      </c>
      <c r="X94" s="10">
        <v>11730000</v>
      </c>
      <c r="Y94" s="10">
        <v>0</v>
      </c>
      <c r="Z94" s="10">
        <v>11180000</v>
      </c>
      <c r="AA94" s="10">
        <v>4500000</v>
      </c>
      <c r="AB94" s="10">
        <v>11730000</v>
      </c>
      <c r="AC94" s="10">
        <v>0</v>
      </c>
      <c r="AD94" s="9" t="s">
        <v>44</v>
      </c>
      <c r="AE94" s="10" t="s">
        <v>2302</v>
      </c>
      <c r="AF94" s="10">
        <v>3910000</v>
      </c>
      <c r="AG94" s="10">
        <v>1</v>
      </c>
      <c r="AH94" s="10">
        <v>1</v>
      </c>
      <c r="AI94" s="10">
        <v>1</v>
      </c>
      <c r="AJ94" s="12" t="s">
        <v>404</v>
      </c>
      <c r="AK94" s="10">
        <v>0</v>
      </c>
      <c r="AL94" s="10">
        <v>0</v>
      </c>
      <c r="AM94" s="9">
        <v>2011</v>
      </c>
      <c r="AN94" s="10">
        <v>0</v>
      </c>
      <c r="AO94" s="10">
        <v>3</v>
      </c>
      <c r="AP94" s="6"/>
      <c r="AQ94" s="7"/>
      <c r="AR94" s="8"/>
      <c r="AS94" s="4">
        <f t="shared" si="3"/>
        <v>550000</v>
      </c>
      <c r="AT94" s="4">
        <f t="shared" si="4"/>
        <v>6803397.7119163331</v>
      </c>
      <c r="AU94" s="4">
        <f t="shared" si="5"/>
        <v>4926602.2880836669</v>
      </c>
      <c r="AV94" s="9" t="s">
        <v>403</v>
      </c>
      <c r="AW94" s="12" t="s">
        <v>404</v>
      </c>
      <c r="AX94" s="10">
        <v>0</v>
      </c>
      <c r="AY94">
        <f>S94*AU94/AS94</f>
        <v>2239364.6764016668</v>
      </c>
      <c r="AZ94">
        <f>AU94-AY94</f>
        <v>2687237.6116820001</v>
      </c>
      <c r="BA94" s="10">
        <v>11730000</v>
      </c>
      <c r="BB94" s="10">
        <v>0</v>
      </c>
      <c r="BC94" s="9" t="s">
        <v>42</v>
      </c>
      <c r="BD94" s="9">
        <v>10421</v>
      </c>
      <c r="BE94" t="s">
        <v>46</v>
      </c>
    </row>
    <row r="95" spans="1:57" ht="270.75" thickBot="1" x14ac:dyDescent="0.3">
      <c r="A95" s="9" t="s">
        <v>405</v>
      </c>
      <c r="B95" s="9">
        <v>3001</v>
      </c>
      <c r="C95" s="10">
        <v>2</v>
      </c>
      <c r="D95" s="9" t="s">
        <v>37</v>
      </c>
      <c r="E95" s="14">
        <v>46226.534953703704</v>
      </c>
      <c r="F95" s="9" t="s">
        <v>406</v>
      </c>
      <c r="G95" s="9" t="s">
        <v>39</v>
      </c>
      <c r="H95" s="9">
        <v>53</v>
      </c>
      <c r="I95" s="9" t="s">
        <v>40</v>
      </c>
      <c r="J95" s="9">
        <v>5309</v>
      </c>
      <c r="K95" s="9" t="s">
        <v>41</v>
      </c>
      <c r="L95" s="9">
        <v>5309073</v>
      </c>
      <c r="M95" s="9">
        <v>5309073003</v>
      </c>
      <c r="N95" s="9" t="s">
        <v>42</v>
      </c>
      <c r="O95" s="9">
        <v>10421</v>
      </c>
      <c r="P95" s="9" t="s">
        <v>407</v>
      </c>
      <c r="Q95" s="10">
        <v>1</v>
      </c>
      <c r="R95" s="10">
        <v>0</v>
      </c>
      <c r="S95" s="10">
        <v>600000</v>
      </c>
      <c r="T95" s="10">
        <v>0</v>
      </c>
      <c r="U95" s="10">
        <v>200000</v>
      </c>
      <c r="V95" s="10">
        <v>0</v>
      </c>
      <c r="W95" s="10">
        <v>800000</v>
      </c>
      <c r="X95" s="10">
        <v>2200000</v>
      </c>
      <c r="Y95" s="10">
        <v>0</v>
      </c>
      <c r="Z95" s="10">
        <v>1400000</v>
      </c>
      <c r="AA95" s="10">
        <v>5000000</v>
      </c>
      <c r="AB95" s="10">
        <v>2200000</v>
      </c>
      <c r="AC95" s="10">
        <v>0</v>
      </c>
      <c r="AD95" s="9" t="s">
        <v>44</v>
      </c>
      <c r="AE95" s="10" t="s">
        <v>2303</v>
      </c>
      <c r="AF95" s="10">
        <v>2200000</v>
      </c>
      <c r="AG95" s="10">
        <v>1</v>
      </c>
      <c r="AH95" s="10">
        <v>1</v>
      </c>
      <c r="AI95" s="10">
        <v>1</v>
      </c>
      <c r="AJ95" s="12" t="s">
        <v>408</v>
      </c>
      <c r="AK95" s="10">
        <v>0</v>
      </c>
      <c r="AL95" s="10">
        <v>0</v>
      </c>
      <c r="AM95" s="9">
        <v>2022</v>
      </c>
      <c r="AN95" s="10">
        <v>0</v>
      </c>
      <c r="AO95" s="10">
        <v>1</v>
      </c>
      <c r="AP95" s="6"/>
      <c r="AQ95" s="7"/>
      <c r="AR95" s="8"/>
      <c r="AS95" s="4">
        <f t="shared" si="3"/>
        <v>800000</v>
      </c>
      <c r="AT95" s="4">
        <f t="shared" si="4"/>
        <v>1275999.2708575595</v>
      </c>
      <c r="AU95" s="4">
        <f t="shared" si="5"/>
        <v>924000.72914244048</v>
      </c>
      <c r="AV95" s="9" t="s">
        <v>407</v>
      </c>
      <c r="AW95" s="12" t="s">
        <v>408</v>
      </c>
      <c r="AX95" s="10">
        <v>0</v>
      </c>
      <c r="AY95">
        <f>S95*AU95/AS95</f>
        <v>693000.54685683025</v>
      </c>
      <c r="AZ95">
        <f>AU95-AY95</f>
        <v>231000.18228561024</v>
      </c>
      <c r="BA95" s="10">
        <v>2200000</v>
      </c>
      <c r="BB95" s="10">
        <v>0</v>
      </c>
      <c r="BC95" s="9" t="s">
        <v>42</v>
      </c>
      <c r="BD95" s="9">
        <v>10421</v>
      </c>
      <c r="BE95" t="s">
        <v>46</v>
      </c>
    </row>
    <row r="96" spans="1:57" ht="270.75" thickBot="1" x14ac:dyDescent="0.3">
      <c r="A96" s="9" t="s">
        <v>409</v>
      </c>
      <c r="B96" s="9">
        <v>3001</v>
      </c>
      <c r="C96" s="10">
        <v>2</v>
      </c>
      <c r="D96" s="9" t="s">
        <v>37</v>
      </c>
      <c r="E96" s="11">
        <v>46224.989134317133</v>
      </c>
      <c r="F96" s="9" t="s">
        <v>410</v>
      </c>
      <c r="G96" s="9" t="s">
        <v>39</v>
      </c>
      <c r="H96" s="9">
        <v>53</v>
      </c>
      <c r="I96" s="9" t="s">
        <v>40</v>
      </c>
      <c r="J96" s="9">
        <v>5309</v>
      </c>
      <c r="K96" s="9" t="s">
        <v>41</v>
      </c>
      <c r="L96" s="9">
        <v>5309062</v>
      </c>
      <c r="M96" s="9">
        <v>5309062002</v>
      </c>
      <c r="N96" s="9" t="s">
        <v>42</v>
      </c>
      <c r="O96" s="9">
        <v>10421</v>
      </c>
      <c r="P96" s="9" t="s">
        <v>106</v>
      </c>
      <c r="Q96" s="10">
        <v>2</v>
      </c>
      <c r="R96" s="10">
        <v>0</v>
      </c>
      <c r="S96" s="10">
        <v>100000</v>
      </c>
      <c r="T96" s="10">
        <v>0</v>
      </c>
      <c r="U96" s="10">
        <v>500000</v>
      </c>
      <c r="V96" s="10">
        <v>0</v>
      </c>
      <c r="W96" s="10">
        <v>600000</v>
      </c>
      <c r="X96" s="10">
        <v>10000000</v>
      </c>
      <c r="Y96" s="10">
        <v>0</v>
      </c>
      <c r="Z96" s="10">
        <v>9400000</v>
      </c>
      <c r="AA96" s="10">
        <v>2000000</v>
      </c>
      <c r="AB96" s="10">
        <v>10000000</v>
      </c>
      <c r="AC96" s="10">
        <v>0</v>
      </c>
      <c r="AD96" s="9" t="s">
        <v>44</v>
      </c>
      <c r="AE96" s="10" t="s">
        <v>1727</v>
      </c>
      <c r="AF96" s="10">
        <v>5000000</v>
      </c>
      <c r="AG96" s="10">
        <v>1</v>
      </c>
      <c r="AH96" s="10">
        <v>1</v>
      </c>
      <c r="AI96" s="10">
        <v>1</v>
      </c>
      <c r="AJ96" s="12" t="s">
        <v>411</v>
      </c>
      <c r="AK96" s="10">
        <v>0</v>
      </c>
      <c r="AL96" s="10">
        <v>0</v>
      </c>
      <c r="AM96" s="9">
        <v>1999</v>
      </c>
      <c r="AN96" s="10">
        <v>0</v>
      </c>
      <c r="AO96" s="10">
        <v>2</v>
      </c>
      <c r="AP96" s="6"/>
      <c r="AQ96" s="7"/>
      <c r="AR96" s="8"/>
      <c r="AS96" s="4">
        <f t="shared" si="3"/>
        <v>600000</v>
      </c>
      <c r="AT96" s="4">
        <f t="shared" si="4"/>
        <v>5800000</v>
      </c>
      <c r="AU96" s="4">
        <f t="shared" si="5"/>
        <v>4200000</v>
      </c>
      <c r="AV96" s="9" t="s">
        <v>106</v>
      </c>
      <c r="AW96" s="12" t="s">
        <v>411</v>
      </c>
      <c r="AX96" s="10">
        <v>0</v>
      </c>
      <c r="AY96">
        <f>S96*AU96/AS96</f>
        <v>700000</v>
      </c>
      <c r="AZ96">
        <f>AU96-AY96</f>
        <v>3500000</v>
      </c>
      <c r="BA96" s="10">
        <v>10000000</v>
      </c>
      <c r="BB96" s="10">
        <v>0</v>
      </c>
      <c r="BC96" s="9" t="s">
        <v>42</v>
      </c>
      <c r="BD96" s="9">
        <v>10421</v>
      </c>
      <c r="BE96" t="s">
        <v>46</v>
      </c>
    </row>
    <row r="97" spans="1:57" ht="270.75" thickBot="1" x14ac:dyDescent="0.3">
      <c r="A97" s="9" t="s">
        <v>412</v>
      </c>
      <c r="B97" s="9">
        <v>3001</v>
      </c>
      <c r="C97" s="10">
        <v>2</v>
      </c>
      <c r="D97" s="9" t="s">
        <v>37</v>
      </c>
      <c r="E97" s="11">
        <v>46264.911907650465</v>
      </c>
      <c r="F97" s="9" t="s">
        <v>413</v>
      </c>
      <c r="G97" s="9" t="s">
        <v>39</v>
      </c>
      <c r="H97" s="9">
        <v>53</v>
      </c>
      <c r="I97" s="9" t="s">
        <v>40</v>
      </c>
      <c r="J97" s="9">
        <v>5309</v>
      </c>
      <c r="K97" s="9" t="s">
        <v>41</v>
      </c>
      <c r="L97" s="9">
        <v>5309073</v>
      </c>
      <c r="M97" s="9">
        <v>5309073006</v>
      </c>
      <c r="N97" s="9" t="s">
        <v>42</v>
      </c>
      <c r="O97" s="9">
        <v>10421</v>
      </c>
      <c r="P97" s="9" t="s">
        <v>414</v>
      </c>
      <c r="Q97" s="10">
        <v>2</v>
      </c>
      <c r="R97" s="10">
        <v>0</v>
      </c>
      <c r="S97" s="10">
        <v>200000</v>
      </c>
      <c r="T97" s="10">
        <v>0</v>
      </c>
      <c r="U97" s="10">
        <v>200000</v>
      </c>
      <c r="V97" s="10">
        <v>150000</v>
      </c>
      <c r="W97" s="10">
        <v>550000</v>
      </c>
      <c r="X97" s="10">
        <v>9750000</v>
      </c>
      <c r="Y97" s="10">
        <v>0</v>
      </c>
      <c r="Z97" s="10">
        <v>9350000</v>
      </c>
      <c r="AA97" s="10">
        <v>5450000</v>
      </c>
      <c r="AB97" s="10">
        <v>9750000</v>
      </c>
      <c r="AC97" s="10">
        <v>0</v>
      </c>
      <c r="AD97" s="9" t="s">
        <v>44</v>
      </c>
      <c r="AE97" s="10" t="s">
        <v>2304</v>
      </c>
      <c r="AF97" s="10">
        <v>4875000</v>
      </c>
      <c r="AG97" s="10">
        <v>1</v>
      </c>
      <c r="AH97" s="10">
        <v>1</v>
      </c>
      <c r="AI97" s="10">
        <v>1</v>
      </c>
      <c r="AJ97" s="12" t="s">
        <v>415</v>
      </c>
      <c r="AK97" s="10">
        <v>0</v>
      </c>
      <c r="AL97" s="10">
        <v>0</v>
      </c>
      <c r="AM97" s="9">
        <v>2010</v>
      </c>
      <c r="AN97" s="10">
        <v>0</v>
      </c>
      <c r="AO97" s="10">
        <v>2</v>
      </c>
      <c r="AP97" s="6"/>
      <c r="AQ97" s="7"/>
      <c r="AR97" s="8"/>
      <c r="AS97" s="4">
        <f t="shared" si="3"/>
        <v>400000</v>
      </c>
      <c r="AT97" s="4">
        <f t="shared" si="4"/>
        <v>5655002.1168457121</v>
      </c>
      <c r="AU97" s="4">
        <f t="shared" si="5"/>
        <v>4094997.8831542879</v>
      </c>
      <c r="AV97" s="9" t="s">
        <v>414</v>
      </c>
      <c r="AW97" s="12" t="s">
        <v>415</v>
      </c>
      <c r="AX97" s="10">
        <v>0</v>
      </c>
      <c r="AY97">
        <f>S97*AU97/AS97</f>
        <v>2047498.941577144</v>
      </c>
      <c r="AZ97">
        <f>AU97-AY97</f>
        <v>2047498.941577144</v>
      </c>
      <c r="BA97" s="10">
        <v>9750000</v>
      </c>
      <c r="BB97" s="10">
        <v>0</v>
      </c>
      <c r="BC97" s="9" t="s">
        <v>42</v>
      </c>
      <c r="BD97" s="9">
        <v>10421</v>
      </c>
      <c r="BE97" t="s">
        <v>46</v>
      </c>
    </row>
    <row r="98" spans="1:57" ht="270.75" thickBot="1" x14ac:dyDescent="0.3">
      <c r="A98" s="9" t="s">
        <v>416</v>
      </c>
      <c r="B98" s="9">
        <v>3001</v>
      </c>
      <c r="C98" s="10">
        <v>2</v>
      </c>
      <c r="D98" s="9" t="s">
        <v>37</v>
      </c>
      <c r="E98" s="11">
        <v>46251.021337569444</v>
      </c>
      <c r="F98" s="9" t="s">
        <v>417</v>
      </c>
      <c r="G98" s="9" t="s">
        <v>39</v>
      </c>
      <c r="H98" s="9">
        <v>53</v>
      </c>
      <c r="I98" s="9" t="s">
        <v>40</v>
      </c>
      <c r="J98" s="9">
        <v>5309</v>
      </c>
      <c r="K98" s="9" t="s">
        <v>41</v>
      </c>
      <c r="L98" s="9">
        <v>5309062</v>
      </c>
      <c r="M98" s="9">
        <v>5309062008</v>
      </c>
      <c r="N98" s="9" t="s">
        <v>42</v>
      </c>
      <c r="O98" s="9">
        <v>10421</v>
      </c>
      <c r="P98" s="9" t="s">
        <v>49</v>
      </c>
      <c r="Q98" s="10">
        <v>12</v>
      </c>
      <c r="R98" s="10">
        <v>1800000</v>
      </c>
      <c r="S98" s="10">
        <v>200000</v>
      </c>
      <c r="T98" s="10">
        <v>0</v>
      </c>
      <c r="U98" s="10">
        <v>100000</v>
      </c>
      <c r="V98" s="10">
        <v>0</v>
      </c>
      <c r="W98" s="10">
        <v>2100000</v>
      </c>
      <c r="X98" s="10">
        <v>11600000</v>
      </c>
      <c r="Y98" s="10">
        <v>0</v>
      </c>
      <c r="Z98" s="10">
        <v>11300000</v>
      </c>
      <c r="AA98" s="10">
        <v>9000000</v>
      </c>
      <c r="AB98" s="10">
        <v>11600000</v>
      </c>
      <c r="AC98" s="10">
        <v>0</v>
      </c>
      <c r="AD98" s="9" t="s">
        <v>44</v>
      </c>
      <c r="AE98" s="10" t="s">
        <v>2305</v>
      </c>
      <c r="AF98" s="13">
        <v>9666666667</v>
      </c>
      <c r="AG98" s="10">
        <v>1</v>
      </c>
      <c r="AH98" s="10">
        <v>1</v>
      </c>
      <c r="AI98" s="10">
        <v>1</v>
      </c>
      <c r="AJ98" s="12" t="s">
        <v>418</v>
      </c>
      <c r="AK98" s="10">
        <v>0</v>
      </c>
      <c r="AL98" s="10">
        <v>0</v>
      </c>
      <c r="AM98" s="9">
        <v>1990</v>
      </c>
      <c r="AN98" s="10">
        <v>10</v>
      </c>
      <c r="AO98" s="10">
        <v>2</v>
      </c>
      <c r="AP98" s="6"/>
      <c r="AQ98" s="7"/>
      <c r="AR98" s="8"/>
      <c r="AS98" s="4">
        <f t="shared" si="3"/>
        <v>300000</v>
      </c>
      <c r="AT98" s="4">
        <f t="shared" si="4"/>
        <v>6727999.5236814497</v>
      </c>
      <c r="AU98" s="4">
        <f t="shared" si="5"/>
        <v>4872000.4763185503</v>
      </c>
      <c r="AV98" s="9" t="s">
        <v>49</v>
      </c>
      <c r="AW98" s="12" t="s">
        <v>418</v>
      </c>
      <c r="AX98" s="10">
        <v>0</v>
      </c>
      <c r="AY98">
        <f>S98*AU98/AS98</f>
        <v>3248000.3175457004</v>
      </c>
      <c r="AZ98">
        <f>AU98-AY98</f>
        <v>1624000.1587728499</v>
      </c>
      <c r="BA98" s="10">
        <v>11600000</v>
      </c>
      <c r="BB98" s="10">
        <v>0</v>
      </c>
      <c r="BC98" s="9" t="s">
        <v>42</v>
      </c>
      <c r="BD98" s="9">
        <v>10421</v>
      </c>
      <c r="BE98" t="s">
        <v>46</v>
      </c>
    </row>
    <row r="99" spans="1:57" ht="270.75" thickBot="1" x14ac:dyDescent="0.3">
      <c r="A99" s="9" t="s">
        <v>419</v>
      </c>
      <c r="B99" s="9">
        <v>3003</v>
      </c>
      <c r="C99" s="10">
        <v>2</v>
      </c>
      <c r="D99" s="9" t="s">
        <v>37</v>
      </c>
      <c r="E99" s="11">
        <v>46293.15391158565</v>
      </c>
      <c r="F99" s="9" t="s">
        <v>420</v>
      </c>
      <c r="G99" s="9" t="s">
        <v>39</v>
      </c>
      <c r="H99" s="9">
        <v>53</v>
      </c>
      <c r="I99" s="9" t="s">
        <v>40</v>
      </c>
      <c r="J99" s="9">
        <v>5309</v>
      </c>
      <c r="K99" s="9" t="s">
        <v>41</v>
      </c>
      <c r="L99" s="9">
        <v>5309062</v>
      </c>
      <c r="M99" s="9">
        <v>5309062013</v>
      </c>
      <c r="N99" s="9" t="s">
        <v>42</v>
      </c>
      <c r="O99" s="9">
        <v>10421</v>
      </c>
      <c r="P99" s="9" t="s">
        <v>49</v>
      </c>
      <c r="Q99" s="10">
        <v>4</v>
      </c>
      <c r="R99" s="10">
        <v>500000</v>
      </c>
      <c r="S99" s="10">
        <v>300000</v>
      </c>
      <c r="T99" s="10">
        <v>0</v>
      </c>
      <c r="U99" s="10">
        <v>0</v>
      </c>
      <c r="V99" s="10">
        <v>0</v>
      </c>
      <c r="W99" s="10">
        <v>800000</v>
      </c>
      <c r="X99" s="10">
        <v>8750000</v>
      </c>
      <c r="Y99" s="10">
        <v>0</v>
      </c>
      <c r="Z99" s="10">
        <v>8450000</v>
      </c>
      <c r="AA99" s="10">
        <v>2750000</v>
      </c>
      <c r="AB99" s="10">
        <v>8750000</v>
      </c>
      <c r="AC99" s="10">
        <v>0</v>
      </c>
      <c r="AD99" s="9" t="s">
        <v>44</v>
      </c>
      <c r="AE99" s="10" t="s">
        <v>2306</v>
      </c>
      <c r="AF99" s="10">
        <v>2187500</v>
      </c>
      <c r="AG99" s="10">
        <v>1</v>
      </c>
      <c r="AH99" s="10">
        <v>1</v>
      </c>
      <c r="AI99" s="10">
        <v>1</v>
      </c>
      <c r="AJ99" s="12" t="s">
        <v>421</v>
      </c>
      <c r="AK99" s="10">
        <v>0</v>
      </c>
      <c r="AL99" s="10">
        <v>0</v>
      </c>
      <c r="AM99" s="9">
        <v>1990</v>
      </c>
      <c r="AN99" s="10">
        <v>2</v>
      </c>
      <c r="AO99" s="10">
        <v>2</v>
      </c>
      <c r="AP99" s="6"/>
      <c r="AQ99" s="7"/>
      <c r="AR99" s="8"/>
      <c r="AS99" s="4">
        <f t="shared" si="3"/>
        <v>300000</v>
      </c>
      <c r="AT99" s="4">
        <f t="shared" si="4"/>
        <v>5075001.5014797347</v>
      </c>
      <c r="AU99" s="4">
        <f t="shared" si="5"/>
        <v>3674998.4985202653</v>
      </c>
      <c r="AV99" s="9" t="s">
        <v>49</v>
      </c>
      <c r="AW99" s="12" t="s">
        <v>421</v>
      </c>
      <c r="AX99" s="10">
        <v>0</v>
      </c>
      <c r="AY99">
        <f>S99*AU99/AS99</f>
        <v>3674998.4985202653</v>
      </c>
      <c r="AZ99">
        <f>AU99-AY99</f>
        <v>0</v>
      </c>
      <c r="BA99" s="10">
        <v>8750000</v>
      </c>
      <c r="BB99" s="10">
        <v>0</v>
      </c>
      <c r="BC99" s="9" t="s">
        <v>42</v>
      </c>
      <c r="BD99" s="9">
        <v>10421</v>
      </c>
      <c r="BE99" t="s">
        <v>46</v>
      </c>
    </row>
    <row r="100" spans="1:57" ht="270.75" thickBot="1" x14ac:dyDescent="0.3">
      <c r="A100" s="9" t="s">
        <v>422</v>
      </c>
      <c r="B100" s="9">
        <v>3001</v>
      </c>
      <c r="C100" s="10">
        <v>2</v>
      </c>
      <c r="D100" s="9" t="s">
        <v>37</v>
      </c>
      <c r="E100" s="14">
        <v>46226.471342592595</v>
      </c>
      <c r="F100" s="9" t="s">
        <v>423</v>
      </c>
      <c r="G100" s="9" t="s">
        <v>39</v>
      </c>
      <c r="H100" s="9">
        <v>53</v>
      </c>
      <c r="I100" s="9" t="s">
        <v>40</v>
      </c>
      <c r="J100" s="9">
        <v>5309</v>
      </c>
      <c r="K100" s="9" t="s">
        <v>41</v>
      </c>
      <c r="L100" s="9">
        <v>5309062</v>
      </c>
      <c r="M100" s="9">
        <v>5309062007</v>
      </c>
      <c r="N100" s="9" t="s">
        <v>42</v>
      </c>
      <c r="O100" s="9">
        <v>10421</v>
      </c>
      <c r="P100" s="9" t="s">
        <v>424</v>
      </c>
      <c r="Q100" s="10">
        <v>2</v>
      </c>
      <c r="R100" s="10">
        <v>0</v>
      </c>
      <c r="S100" s="10">
        <v>150000</v>
      </c>
      <c r="T100" s="10">
        <v>0</v>
      </c>
      <c r="U100" s="10">
        <v>250000</v>
      </c>
      <c r="V100" s="10">
        <v>0</v>
      </c>
      <c r="W100" s="10">
        <v>400000</v>
      </c>
      <c r="X100" s="10">
        <v>5200000</v>
      </c>
      <c r="Y100" s="10">
        <v>450000</v>
      </c>
      <c r="Z100" s="10">
        <v>4800000</v>
      </c>
      <c r="AA100" s="10">
        <v>6400000</v>
      </c>
      <c r="AB100" s="10">
        <v>5200000</v>
      </c>
      <c r="AC100" s="10">
        <v>0</v>
      </c>
      <c r="AD100" s="9" t="s">
        <v>44</v>
      </c>
      <c r="AE100" s="10" t="s">
        <v>2307</v>
      </c>
      <c r="AF100" s="10">
        <v>2600000</v>
      </c>
      <c r="AG100" s="10">
        <v>1</v>
      </c>
      <c r="AH100" s="10">
        <v>1</v>
      </c>
      <c r="AI100" s="10">
        <v>1</v>
      </c>
      <c r="AJ100" s="12" t="s">
        <v>425</v>
      </c>
      <c r="AK100" s="10">
        <v>0</v>
      </c>
      <c r="AL100" s="10">
        <v>0</v>
      </c>
      <c r="AM100" s="9">
        <v>1998</v>
      </c>
      <c r="AN100" s="10">
        <v>0</v>
      </c>
      <c r="AO100" s="10">
        <v>2</v>
      </c>
      <c r="AP100" s="6"/>
      <c r="AQ100" s="7"/>
      <c r="AR100" s="8"/>
      <c r="AS100" s="4">
        <f t="shared" si="3"/>
        <v>400000</v>
      </c>
      <c r="AT100" s="4">
        <f t="shared" si="4"/>
        <v>3015999.7486666874</v>
      </c>
      <c r="AU100" s="4">
        <f t="shared" si="5"/>
        <v>2184000.2513333126</v>
      </c>
      <c r="AV100" s="9" t="s">
        <v>424</v>
      </c>
      <c r="AW100" s="12" t="s">
        <v>425</v>
      </c>
      <c r="AX100" s="10">
        <v>0</v>
      </c>
      <c r="AY100">
        <f>S100*AU100/AS100</f>
        <v>819000.09424999217</v>
      </c>
      <c r="AZ100">
        <f>AU100-AY100</f>
        <v>1365000.1570833204</v>
      </c>
      <c r="BA100" s="10">
        <v>5200000</v>
      </c>
      <c r="BB100" s="10">
        <v>450000</v>
      </c>
      <c r="BC100" s="9" t="s">
        <v>42</v>
      </c>
      <c r="BD100" s="9">
        <v>10421</v>
      </c>
      <c r="BE100" t="s">
        <v>46</v>
      </c>
    </row>
    <row r="101" spans="1:57" ht="255.75" thickBot="1" x14ac:dyDescent="0.3">
      <c r="A101" s="9" t="s">
        <v>426</v>
      </c>
      <c r="B101" s="9">
        <v>3001</v>
      </c>
      <c r="C101" s="10">
        <v>2</v>
      </c>
      <c r="D101" s="9" t="s">
        <v>37</v>
      </c>
      <c r="E101" s="11">
        <v>46251.003481250002</v>
      </c>
      <c r="F101" s="9" t="s">
        <v>427</v>
      </c>
      <c r="G101" s="9" t="s">
        <v>39</v>
      </c>
      <c r="H101" s="9">
        <v>53</v>
      </c>
      <c r="I101" s="9" t="s">
        <v>40</v>
      </c>
      <c r="J101" s="9">
        <v>5309</v>
      </c>
      <c r="K101" s="9" t="s">
        <v>41</v>
      </c>
      <c r="L101" s="9">
        <v>5309073</v>
      </c>
      <c r="M101" s="9">
        <v>5309073008</v>
      </c>
      <c r="N101" s="9" t="s">
        <v>42</v>
      </c>
      <c r="O101" s="9">
        <v>10421</v>
      </c>
      <c r="P101" s="9" t="s">
        <v>428</v>
      </c>
      <c r="Q101" s="10">
        <v>3</v>
      </c>
      <c r="R101" s="10">
        <v>1050000</v>
      </c>
      <c r="S101" s="10">
        <v>2000000</v>
      </c>
      <c r="T101" s="10">
        <v>0</v>
      </c>
      <c r="U101" s="10">
        <v>150000</v>
      </c>
      <c r="V101" s="10">
        <v>0</v>
      </c>
      <c r="W101" s="10">
        <v>3200000</v>
      </c>
      <c r="X101" s="10">
        <v>9000000</v>
      </c>
      <c r="Y101" s="10">
        <v>0</v>
      </c>
      <c r="Z101" s="10">
        <v>6850000</v>
      </c>
      <c r="AA101" s="10">
        <v>650000</v>
      </c>
      <c r="AB101" s="10">
        <v>9000000</v>
      </c>
      <c r="AC101" s="10">
        <v>0</v>
      </c>
      <c r="AD101" s="9" t="s">
        <v>44</v>
      </c>
      <c r="AE101" s="10" t="s">
        <v>2308</v>
      </c>
      <c r="AF101" s="10">
        <v>3000000</v>
      </c>
      <c r="AG101" s="10">
        <v>1</v>
      </c>
      <c r="AH101" s="10">
        <v>1</v>
      </c>
      <c r="AI101" s="10">
        <v>1</v>
      </c>
      <c r="AJ101" s="12" t="s">
        <v>429</v>
      </c>
      <c r="AK101" s="10">
        <v>0</v>
      </c>
      <c r="AL101" s="10">
        <v>0</v>
      </c>
      <c r="AM101" s="9">
        <v>2010</v>
      </c>
      <c r="AN101" s="10">
        <v>2</v>
      </c>
      <c r="AO101" s="10">
        <v>1</v>
      </c>
      <c r="AP101" s="6"/>
      <c r="AQ101" s="7"/>
      <c r="AR101" s="8"/>
      <c r="AS101" s="4">
        <f t="shared" si="3"/>
        <v>2150000</v>
      </c>
      <c r="AT101" s="4">
        <f t="shared" si="4"/>
        <v>5220000.7620439064</v>
      </c>
      <c r="AU101" s="4">
        <f t="shared" si="5"/>
        <v>3779999.2379560936</v>
      </c>
      <c r="AV101" s="9" t="s">
        <v>428</v>
      </c>
      <c r="AW101" s="12" t="s">
        <v>429</v>
      </c>
      <c r="AX101" s="10">
        <v>0</v>
      </c>
      <c r="AY101">
        <f>S101*AU101/AS101</f>
        <v>3516278.3608893896</v>
      </c>
      <c r="AZ101">
        <f>AU101-AY101</f>
        <v>263720.87706670398</v>
      </c>
      <c r="BA101" s="10">
        <v>9000000</v>
      </c>
      <c r="BB101" s="10">
        <v>0</v>
      </c>
      <c r="BC101" s="9" t="s">
        <v>42</v>
      </c>
      <c r="BD101" s="9">
        <v>10421</v>
      </c>
      <c r="BE101" t="s">
        <v>46</v>
      </c>
    </row>
    <row r="102" spans="1:57" ht="270.75" thickBot="1" x14ac:dyDescent="0.3">
      <c r="A102" s="9" t="s">
        <v>430</v>
      </c>
      <c r="B102" s="9">
        <v>3001</v>
      </c>
      <c r="C102" s="10">
        <v>2</v>
      </c>
      <c r="D102" s="9" t="s">
        <v>37</v>
      </c>
      <c r="E102" s="11">
        <v>46213.96336303241</v>
      </c>
      <c r="F102" s="9" t="s">
        <v>431</v>
      </c>
      <c r="G102" s="9" t="s">
        <v>39</v>
      </c>
      <c r="H102" s="9">
        <v>53</v>
      </c>
      <c r="I102" s="9" t="s">
        <v>40</v>
      </c>
      <c r="J102" s="9">
        <v>5309</v>
      </c>
      <c r="K102" s="9" t="s">
        <v>41</v>
      </c>
      <c r="L102" s="9">
        <v>5309073</v>
      </c>
      <c r="M102" s="9">
        <v>5309073010</v>
      </c>
      <c r="N102" s="9" t="s">
        <v>42</v>
      </c>
      <c r="O102" s="9">
        <v>10421</v>
      </c>
      <c r="P102" s="9" t="s">
        <v>432</v>
      </c>
      <c r="Q102" s="10">
        <v>2</v>
      </c>
      <c r="R102" s="10">
        <v>425000</v>
      </c>
      <c r="S102" s="10">
        <v>300000</v>
      </c>
      <c r="T102" s="10">
        <v>0</v>
      </c>
      <c r="U102" s="10">
        <v>200000</v>
      </c>
      <c r="V102" s="10">
        <v>0</v>
      </c>
      <c r="W102" s="10">
        <v>925000</v>
      </c>
      <c r="X102" s="10">
        <v>5250000</v>
      </c>
      <c r="Y102" s="10">
        <v>500000</v>
      </c>
      <c r="Z102" s="10">
        <v>4750000</v>
      </c>
      <c r="AA102" s="10">
        <v>4500000</v>
      </c>
      <c r="AB102" s="10">
        <v>5250000</v>
      </c>
      <c r="AC102" s="10">
        <v>0</v>
      </c>
      <c r="AD102" s="9" t="s">
        <v>44</v>
      </c>
      <c r="AE102" s="10" t="s">
        <v>2309</v>
      </c>
      <c r="AF102" s="10">
        <v>2625000</v>
      </c>
      <c r="AG102" s="10">
        <v>1</v>
      </c>
      <c r="AH102" s="10">
        <v>1</v>
      </c>
      <c r="AI102" s="10">
        <v>1</v>
      </c>
      <c r="AJ102" s="12" t="s">
        <v>433</v>
      </c>
      <c r="AK102" s="10">
        <v>0</v>
      </c>
      <c r="AL102" s="10">
        <v>0</v>
      </c>
      <c r="AM102" s="9">
        <v>2023</v>
      </c>
      <c r="AN102" s="10">
        <v>1</v>
      </c>
      <c r="AO102" s="10">
        <v>1</v>
      </c>
      <c r="AP102" s="6"/>
      <c r="AQ102" s="7"/>
      <c r="AR102" s="8"/>
      <c r="AS102" s="4">
        <f t="shared" si="3"/>
        <v>500000</v>
      </c>
      <c r="AT102" s="4">
        <f t="shared" si="4"/>
        <v>3044999.6794737182</v>
      </c>
      <c r="AU102" s="4">
        <f t="shared" si="5"/>
        <v>2205000.3205262818</v>
      </c>
      <c r="AV102" s="9" t="s">
        <v>432</v>
      </c>
      <c r="AW102" s="12" t="s">
        <v>433</v>
      </c>
      <c r="AX102" s="10">
        <v>0</v>
      </c>
      <c r="AY102">
        <f>S102*AU102/AS102</f>
        <v>1323000.1923157691</v>
      </c>
      <c r="AZ102">
        <f>AU102-AY102</f>
        <v>882000.12821051269</v>
      </c>
      <c r="BA102" s="10">
        <v>5250000</v>
      </c>
      <c r="BB102" s="10">
        <v>500000</v>
      </c>
      <c r="BC102" s="9" t="s">
        <v>42</v>
      </c>
      <c r="BD102" s="9">
        <v>10421</v>
      </c>
      <c r="BE102" t="s">
        <v>46</v>
      </c>
    </row>
    <row r="103" spans="1:57" ht="270.75" thickBot="1" x14ac:dyDescent="0.3">
      <c r="A103" s="9" t="s">
        <v>434</v>
      </c>
      <c r="B103" s="9">
        <v>3001</v>
      </c>
      <c r="C103" s="10">
        <v>2</v>
      </c>
      <c r="D103" s="9" t="s">
        <v>37</v>
      </c>
      <c r="E103" s="11">
        <v>46237.204779363426</v>
      </c>
      <c r="F103" s="9" t="s">
        <v>435</v>
      </c>
      <c r="G103" s="9" t="s">
        <v>39</v>
      </c>
      <c r="H103" s="9">
        <v>53</v>
      </c>
      <c r="I103" s="9" t="s">
        <v>40</v>
      </c>
      <c r="J103" s="9">
        <v>5309</v>
      </c>
      <c r="K103" s="9" t="s">
        <v>41</v>
      </c>
      <c r="L103" s="9">
        <v>5309073</v>
      </c>
      <c r="M103" s="9">
        <v>5309073001</v>
      </c>
      <c r="N103" s="9" t="s">
        <v>42</v>
      </c>
      <c r="O103" s="9">
        <v>10421</v>
      </c>
      <c r="P103" s="9" t="s">
        <v>436</v>
      </c>
      <c r="Q103" s="10">
        <v>2</v>
      </c>
      <c r="R103" s="10">
        <v>400000</v>
      </c>
      <c r="S103" s="10">
        <v>100000</v>
      </c>
      <c r="T103" s="10">
        <v>0</v>
      </c>
      <c r="U103" s="10">
        <v>150000</v>
      </c>
      <c r="V103" s="10">
        <v>0</v>
      </c>
      <c r="W103" s="10">
        <v>650000</v>
      </c>
      <c r="X103" s="10">
        <v>4500000</v>
      </c>
      <c r="Y103" s="10">
        <v>0</v>
      </c>
      <c r="Z103" s="10">
        <v>4250000</v>
      </c>
      <c r="AA103" s="10">
        <v>21500000</v>
      </c>
      <c r="AB103" s="10">
        <v>4500000</v>
      </c>
      <c r="AC103" s="10">
        <v>0</v>
      </c>
      <c r="AD103" s="9" t="s">
        <v>44</v>
      </c>
      <c r="AE103" s="10" t="s">
        <v>2290</v>
      </c>
      <c r="AF103" s="10">
        <v>2250000</v>
      </c>
      <c r="AG103" s="10">
        <v>0</v>
      </c>
      <c r="AH103" s="10">
        <v>1</v>
      </c>
      <c r="AI103" s="10">
        <v>1</v>
      </c>
      <c r="AJ103" s="12" t="s">
        <v>437</v>
      </c>
      <c r="AK103" s="10">
        <v>0</v>
      </c>
      <c r="AL103" s="10">
        <v>0</v>
      </c>
      <c r="AM103" s="9">
        <v>1998</v>
      </c>
      <c r="AN103" s="10">
        <v>1</v>
      </c>
      <c r="AO103" s="10">
        <v>1</v>
      </c>
      <c r="AP103" s="6"/>
      <c r="AQ103" s="7"/>
      <c r="AR103" s="8"/>
      <c r="AS103" s="4">
        <f t="shared" si="3"/>
        <v>250000</v>
      </c>
      <c r="AT103" s="4">
        <f t="shared" si="4"/>
        <v>2610001.2282358725</v>
      </c>
      <c r="AU103" s="4">
        <f t="shared" si="5"/>
        <v>1889998.7717641275</v>
      </c>
      <c r="AV103" s="9" t="s">
        <v>436</v>
      </c>
      <c r="AW103" s="12" t="s">
        <v>437</v>
      </c>
      <c r="AX103" s="10">
        <v>0</v>
      </c>
      <c r="AY103">
        <f>S103*AU103/AS103</f>
        <v>755999.50870565104</v>
      </c>
      <c r="AZ103">
        <f>AU103-AY103</f>
        <v>1133999.2630584766</v>
      </c>
      <c r="BA103" s="10">
        <v>4500000</v>
      </c>
      <c r="BB103" s="10">
        <v>0</v>
      </c>
      <c r="BC103" s="9" t="s">
        <v>42</v>
      </c>
      <c r="BD103" s="9">
        <v>10421</v>
      </c>
      <c r="BE103" t="s">
        <v>46</v>
      </c>
    </row>
    <row r="104" spans="1:57" ht="270.75" thickBot="1" x14ac:dyDescent="0.3">
      <c r="A104" s="9" t="s">
        <v>438</v>
      </c>
      <c r="B104" s="9">
        <v>3003</v>
      </c>
      <c r="C104" s="10">
        <v>2</v>
      </c>
      <c r="D104" s="9" t="s">
        <v>37</v>
      </c>
      <c r="E104" s="11">
        <v>46238.937007106484</v>
      </c>
      <c r="F104" s="9" t="s">
        <v>439</v>
      </c>
      <c r="G104" s="9" t="s">
        <v>39</v>
      </c>
      <c r="H104" s="9">
        <v>53</v>
      </c>
      <c r="I104" s="9" t="s">
        <v>40</v>
      </c>
      <c r="J104" s="9">
        <v>5309</v>
      </c>
      <c r="K104" s="9" t="s">
        <v>41</v>
      </c>
      <c r="L104" s="9">
        <v>5309072</v>
      </c>
      <c r="M104" s="9">
        <v>5309072012</v>
      </c>
      <c r="N104" s="9" t="s">
        <v>42</v>
      </c>
      <c r="O104" s="9">
        <v>10421</v>
      </c>
      <c r="P104" s="9" t="s">
        <v>440</v>
      </c>
      <c r="Q104" s="10">
        <v>2</v>
      </c>
      <c r="R104" s="10">
        <v>300000</v>
      </c>
      <c r="S104" s="10">
        <v>300000</v>
      </c>
      <c r="T104" s="10">
        <v>0</v>
      </c>
      <c r="U104" s="10">
        <v>300000</v>
      </c>
      <c r="V104" s="10">
        <v>0</v>
      </c>
      <c r="W104" s="10">
        <v>900000</v>
      </c>
      <c r="X104" s="10">
        <v>4000000</v>
      </c>
      <c r="Y104" s="10">
        <v>0</v>
      </c>
      <c r="Z104" s="10">
        <v>3400000</v>
      </c>
      <c r="AA104" s="10">
        <v>100000000</v>
      </c>
      <c r="AB104" s="10">
        <v>4000000</v>
      </c>
      <c r="AC104" s="10">
        <v>0</v>
      </c>
      <c r="AD104" s="9" t="s">
        <v>44</v>
      </c>
      <c r="AE104" s="10" t="s">
        <v>1765</v>
      </c>
      <c r="AF104" s="10">
        <v>2000000</v>
      </c>
      <c r="AG104" s="10">
        <v>1</v>
      </c>
      <c r="AH104" s="10">
        <v>1</v>
      </c>
      <c r="AI104" s="10">
        <v>1</v>
      </c>
      <c r="AJ104" s="12" t="s">
        <v>441</v>
      </c>
      <c r="AK104" s="10">
        <v>0</v>
      </c>
      <c r="AL104" s="10">
        <v>0</v>
      </c>
      <c r="AM104" s="9">
        <v>2018</v>
      </c>
      <c r="AN104" s="10">
        <v>1</v>
      </c>
      <c r="AO104" s="10">
        <v>1</v>
      </c>
      <c r="AP104" s="6"/>
      <c r="AQ104" s="7"/>
      <c r="AR104" s="8"/>
      <c r="AS104" s="4">
        <f t="shared" si="3"/>
        <v>600000</v>
      </c>
      <c r="AT104" s="4">
        <f t="shared" si="4"/>
        <v>2320000</v>
      </c>
      <c r="AU104" s="4">
        <f t="shared" si="5"/>
        <v>1680000</v>
      </c>
      <c r="AV104" s="9" t="s">
        <v>440</v>
      </c>
      <c r="AW104" s="12" t="s">
        <v>441</v>
      </c>
      <c r="AX104" s="10">
        <v>0</v>
      </c>
      <c r="AY104">
        <f>S104*AU104/AS104</f>
        <v>840000</v>
      </c>
      <c r="AZ104">
        <f>AU104-AY104</f>
        <v>840000</v>
      </c>
      <c r="BA104" s="10">
        <v>4000000</v>
      </c>
      <c r="BB104" s="10">
        <v>0</v>
      </c>
      <c r="BC104" s="9" t="s">
        <v>42</v>
      </c>
      <c r="BD104" s="9">
        <v>10421</v>
      </c>
      <c r="BE104" t="s">
        <v>46</v>
      </c>
    </row>
    <row r="105" spans="1:57" ht="270.75" thickBot="1" x14ac:dyDescent="0.3">
      <c r="A105" s="9" t="s">
        <v>442</v>
      </c>
      <c r="B105" s="9">
        <v>1006</v>
      </c>
      <c r="C105" s="10">
        <v>2</v>
      </c>
      <c r="D105" s="9" t="s">
        <v>113</v>
      </c>
      <c r="E105" s="11">
        <v>46280.617363877318</v>
      </c>
      <c r="F105" s="9" t="s">
        <v>443</v>
      </c>
      <c r="G105" s="9" t="s">
        <v>39</v>
      </c>
      <c r="H105" s="9">
        <v>53</v>
      </c>
      <c r="I105" s="9" t="s">
        <v>40</v>
      </c>
      <c r="J105" s="9">
        <v>5309</v>
      </c>
      <c r="K105" s="9" t="s">
        <v>41</v>
      </c>
      <c r="L105" s="9">
        <v>5309073</v>
      </c>
      <c r="M105" s="9">
        <v>5309073006</v>
      </c>
      <c r="N105" s="9" t="s">
        <v>42</v>
      </c>
      <c r="O105" s="9">
        <v>10421</v>
      </c>
      <c r="P105" s="9" t="s">
        <v>444</v>
      </c>
      <c r="Q105" s="10">
        <v>4</v>
      </c>
      <c r="R105" s="10">
        <v>1200000</v>
      </c>
      <c r="S105" s="10">
        <v>450000</v>
      </c>
      <c r="T105" s="10">
        <v>0</v>
      </c>
      <c r="U105" s="10">
        <v>100000</v>
      </c>
      <c r="V105" s="10">
        <v>0</v>
      </c>
      <c r="W105" s="10">
        <v>1750000</v>
      </c>
      <c r="X105" s="10">
        <v>9200000</v>
      </c>
      <c r="Y105" s="10">
        <v>0</v>
      </c>
      <c r="Z105" s="10">
        <v>8650000</v>
      </c>
      <c r="AA105" s="10">
        <v>5500000</v>
      </c>
      <c r="AB105" s="10">
        <v>9200000</v>
      </c>
      <c r="AC105" s="10">
        <v>0</v>
      </c>
      <c r="AD105" s="9" t="s">
        <v>44</v>
      </c>
      <c r="AE105" s="10" t="s">
        <v>2310</v>
      </c>
      <c r="AF105" s="10">
        <v>2300000</v>
      </c>
      <c r="AG105" s="10">
        <v>1</v>
      </c>
      <c r="AH105" s="10">
        <v>1</v>
      </c>
      <c r="AI105" s="10">
        <v>1</v>
      </c>
      <c r="AJ105" s="12" t="s">
        <v>445</v>
      </c>
      <c r="AK105" s="10">
        <v>0</v>
      </c>
      <c r="AL105" s="10">
        <v>0</v>
      </c>
      <c r="AM105" s="9">
        <v>2021</v>
      </c>
      <c r="AN105" s="10">
        <v>2</v>
      </c>
      <c r="AO105" s="10">
        <v>2</v>
      </c>
      <c r="AP105" s="6"/>
      <c r="AQ105" s="7"/>
      <c r="AR105" s="8"/>
      <c r="AS105" s="4">
        <f t="shared" si="3"/>
        <v>550000</v>
      </c>
      <c r="AT105" s="4">
        <f t="shared" si="4"/>
        <v>5336002.2207639301</v>
      </c>
      <c r="AU105" s="4">
        <f t="shared" si="5"/>
        <v>3863997.7792360699</v>
      </c>
      <c r="AV105" s="9" t="s">
        <v>444</v>
      </c>
      <c r="AW105" s="12" t="s">
        <v>445</v>
      </c>
      <c r="AX105" s="10">
        <v>0</v>
      </c>
      <c r="AY105">
        <f>S105*AU105/AS105</f>
        <v>3161452.7284658751</v>
      </c>
      <c r="AZ105">
        <f>AU105-AY105</f>
        <v>702545.05077019474</v>
      </c>
      <c r="BA105" s="10">
        <v>9200000</v>
      </c>
      <c r="BB105" s="10">
        <v>0</v>
      </c>
      <c r="BC105" s="9" t="s">
        <v>42</v>
      </c>
      <c r="BD105" s="9">
        <v>10421</v>
      </c>
      <c r="BE105" t="s">
        <v>46</v>
      </c>
    </row>
    <row r="106" spans="1:57" ht="270.75" thickBot="1" x14ac:dyDescent="0.3">
      <c r="A106" s="9" t="s">
        <v>446</v>
      </c>
      <c r="B106" s="9">
        <v>3001</v>
      </c>
      <c r="C106" s="10">
        <v>2</v>
      </c>
      <c r="D106" s="9" t="s">
        <v>37</v>
      </c>
      <c r="E106" s="11">
        <v>46266.513165833334</v>
      </c>
      <c r="F106" s="9" t="s">
        <v>447</v>
      </c>
      <c r="G106" s="9" t="s">
        <v>39</v>
      </c>
      <c r="H106" s="9">
        <v>53</v>
      </c>
      <c r="I106" s="9" t="s">
        <v>40</v>
      </c>
      <c r="J106" s="9">
        <v>5309</v>
      </c>
      <c r="K106" s="9" t="s">
        <v>41</v>
      </c>
      <c r="L106" s="9">
        <v>5309073</v>
      </c>
      <c r="M106" s="9">
        <v>5309073007</v>
      </c>
      <c r="N106" s="9" t="s">
        <v>42</v>
      </c>
      <c r="O106" s="9">
        <v>10421</v>
      </c>
      <c r="P106" s="9" t="s">
        <v>448</v>
      </c>
      <c r="Q106" s="10">
        <v>2</v>
      </c>
      <c r="R106" s="10">
        <v>0</v>
      </c>
      <c r="S106" s="10">
        <v>2000000</v>
      </c>
      <c r="T106" s="10">
        <v>0</v>
      </c>
      <c r="U106" s="10">
        <v>500000</v>
      </c>
      <c r="V106" s="10">
        <v>0</v>
      </c>
      <c r="W106" s="10">
        <v>2500000</v>
      </c>
      <c r="X106" s="10">
        <v>15750000</v>
      </c>
      <c r="Y106" s="10">
        <v>0</v>
      </c>
      <c r="Z106" s="10">
        <v>13250000</v>
      </c>
      <c r="AA106" s="10">
        <v>8750000</v>
      </c>
      <c r="AB106" s="10">
        <v>15750000</v>
      </c>
      <c r="AC106" s="10">
        <v>0</v>
      </c>
      <c r="AD106" s="9" t="s">
        <v>44</v>
      </c>
      <c r="AE106" s="10" t="s">
        <v>2311</v>
      </c>
      <c r="AF106" s="10">
        <v>7875000</v>
      </c>
      <c r="AG106" s="10">
        <v>1</v>
      </c>
      <c r="AH106" s="10">
        <v>1</v>
      </c>
      <c r="AI106" s="10">
        <v>1</v>
      </c>
      <c r="AJ106" s="12" t="s">
        <v>449</v>
      </c>
      <c r="AK106" s="10">
        <v>0</v>
      </c>
      <c r="AL106" s="10">
        <v>0</v>
      </c>
      <c r="AM106" s="9">
        <v>2017</v>
      </c>
      <c r="AN106" s="10">
        <v>0</v>
      </c>
      <c r="AO106" s="10">
        <v>2</v>
      </c>
      <c r="AP106" s="6"/>
      <c r="AQ106" s="7"/>
      <c r="AR106" s="8"/>
      <c r="AS106" s="4">
        <f t="shared" si="3"/>
        <v>2500000</v>
      </c>
      <c r="AT106" s="4">
        <f t="shared" si="4"/>
        <v>9134998.2764154188</v>
      </c>
      <c r="AU106" s="4">
        <f t="shared" si="5"/>
        <v>6615001.7235845812</v>
      </c>
      <c r="AV106" s="9" t="s">
        <v>448</v>
      </c>
      <c r="AW106" s="12" t="s">
        <v>449</v>
      </c>
      <c r="AX106" s="10">
        <v>0</v>
      </c>
      <c r="AY106">
        <f>S106*AU106/AS106</f>
        <v>5292001.3788676653</v>
      </c>
      <c r="AZ106">
        <f>AU106-AY106</f>
        <v>1323000.3447169159</v>
      </c>
      <c r="BA106" s="10">
        <v>15750000</v>
      </c>
      <c r="BB106" s="10">
        <v>0</v>
      </c>
      <c r="BC106" s="9" t="s">
        <v>42</v>
      </c>
      <c r="BD106" s="9">
        <v>10421</v>
      </c>
      <c r="BE106" t="s">
        <v>46</v>
      </c>
    </row>
    <row r="107" spans="1:57" ht="270.75" thickBot="1" x14ac:dyDescent="0.3">
      <c r="A107" s="9" t="s">
        <v>450</v>
      </c>
      <c r="B107" s="9">
        <v>3001</v>
      </c>
      <c r="C107" s="10">
        <v>2</v>
      </c>
      <c r="D107" s="9" t="s">
        <v>37</v>
      </c>
      <c r="E107" s="11">
        <v>46279.960303020831</v>
      </c>
      <c r="F107" s="9" t="s">
        <v>451</v>
      </c>
      <c r="G107" s="9" t="s">
        <v>39</v>
      </c>
      <c r="H107" s="9">
        <v>53</v>
      </c>
      <c r="I107" s="9" t="s">
        <v>40</v>
      </c>
      <c r="J107" s="9">
        <v>5309</v>
      </c>
      <c r="K107" s="9" t="s">
        <v>41</v>
      </c>
      <c r="L107" s="9">
        <v>5309070</v>
      </c>
      <c r="M107" s="9">
        <v>5309070015</v>
      </c>
      <c r="N107" s="9" t="s">
        <v>42</v>
      </c>
      <c r="O107" s="9">
        <v>10421</v>
      </c>
      <c r="P107" s="9" t="s">
        <v>452</v>
      </c>
      <c r="Q107" s="10">
        <v>2</v>
      </c>
      <c r="R107" s="10">
        <v>450000</v>
      </c>
      <c r="S107" s="10">
        <v>100000</v>
      </c>
      <c r="T107" s="10">
        <v>0</v>
      </c>
      <c r="U107" s="10">
        <v>100000</v>
      </c>
      <c r="V107" s="10">
        <v>0</v>
      </c>
      <c r="W107" s="10">
        <v>650000</v>
      </c>
      <c r="X107" s="10">
        <v>6000000</v>
      </c>
      <c r="Y107" s="10">
        <v>0</v>
      </c>
      <c r="Z107" s="10">
        <v>5800000</v>
      </c>
      <c r="AA107" s="10">
        <v>16500000</v>
      </c>
      <c r="AB107" s="10">
        <v>6000000</v>
      </c>
      <c r="AC107" s="10">
        <v>0</v>
      </c>
      <c r="AD107" s="9" t="s">
        <v>44</v>
      </c>
      <c r="AE107" s="10" t="s">
        <v>2312</v>
      </c>
      <c r="AF107" s="10">
        <v>3000000</v>
      </c>
      <c r="AG107" s="10">
        <v>0</v>
      </c>
      <c r="AH107" s="10">
        <v>1</v>
      </c>
      <c r="AI107" s="10">
        <v>1</v>
      </c>
      <c r="AJ107" s="12" t="s">
        <v>453</v>
      </c>
      <c r="AK107" s="10">
        <v>0</v>
      </c>
      <c r="AL107" s="10">
        <v>0</v>
      </c>
      <c r="AM107" s="9">
        <v>2010</v>
      </c>
      <c r="AN107" s="10">
        <v>1</v>
      </c>
      <c r="AO107" s="10">
        <v>1</v>
      </c>
      <c r="AP107" s="6"/>
      <c r="AQ107" s="7"/>
      <c r="AR107" s="8"/>
      <c r="AS107" s="4">
        <f t="shared" si="3"/>
        <v>200000</v>
      </c>
      <c r="AT107" s="4">
        <f t="shared" si="4"/>
        <v>3479998.8000004138</v>
      </c>
      <c r="AU107" s="4">
        <f t="shared" si="5"/>
        <v>2520001.1999995862</v>
      </c>
      <c r="AV107" s="9" t="s">
        <v>452</v>
      </c>
      <c r="AW107" s="12" t="s">
        <v>453</v>
      </c>
      <c r="AX107" s="10">
        <v>0</v>
      </c>
      <c r="AY107">
        <f>S107*AU107/AS107</f>
        <v>1260000.5999997931</v>
      </c>
      <c r="AZ107">
        <f>AU107-AY107</f>
        <v>1260000.5999997931</v>
      </c>
      <c r="BA107" s="10">
        <v>6000000</v>
      </c>
      <c r="BB107" s="10">
        <v>0</v>
      </c>
      <c r="BC107" s="9" t="s">
        <v>42</v>
      </c>
      <c r="BD107" s="9">
        <v>10421</v>
      </c>
      <c r="BE107" t="s">
        <v>46</v>
      </c>
    </row>
    <row r="108" spans="1:57" ht="270.75" thickBot="1" x14ac:dyDescent="0.3">
      <c r="A108" s="9" t="s">
        <v>454</v>
      </c>
      <c r="B108" s="9">
        <v>3001</v>
      </c>
      <c r="C108" s="10">
        <v>2</v>
      </c>
      <c r="D108" s="9" t="s">
        <v>37</v>
      </c>
      <c r="E108" s="11">
        <v>46214.754146597224</v>
      </c>
      <c r="F108" s="9" t="s">
        <v>455</v>
      </c>
      <c r="G108" s="9" t="s">
        <v>39</v>
      </c>
      <c r="H108" s="9">
        <v>53</v>
      </c>
      <c r="I108" s="9" t="s">
        <v>40</v>
      </c>
      <c r="J108" s="9">
        <v>5309</v>
      </c>
      <c r="K108" s="9" t="s">
        <v>41</v>
      </c>
      <c r="L108" s="9">
        <v>5309062</v>
      </c>
      <c r="M108" s="9">
        <v>5309062009</v>
      </c>
      <c r="N108" s="9" t="s">
        <v>42</v>
      </c>
      <c r="O108" s="9">
        <v>10421</v>
      </c>
      <c r="P108" s="9" t="s">
        <v>456</v>
      </c>
      <c r="Q108" s="10">
        <v>9</v>
      </c>
      <c r="R108" s="10">
        <v>2310000</v>
      </c>
      <c r="S108" s="10">
        <v>350000</v>
      </c>
      <c r="T108" s="10">
        <v>0</v>
      </c>
      <c r="U108" s="10">
        <v>500000</v>
      </c>
      <c r="V108" s="10">
        <v>0</v>
      </c>
      <c r="W108" s="10">
        <v>3160000</v>
      </c>
      <c r="X108" s="10">
        <v>15600000</v>
      </c>
      <c r="Y108" s="10">
        <v>0</v>
      </c>
      <c r="Z108" s="10">
        <v>14750000</v>
      </c>
      <c r="AA108" s="10">
        <v>4200000</v>
      </c>
      <c r="AB108" s="10">
        <v>15600000</v>
      </c>
      <c r="AC108" s="10">
        <v>0</v>
      </c>
      <c r="AD108" s="9" t="s">
        <v>44</v>
      </c>
      <c r="AE108" s="10" t="s">
        <v>2313</v>
      </c>
      <c r="AF108" s="13">
        <v>1733333333</v>
      </c>
      <c r="AG108" s="10">
        <v>1</v>
      </c>
      <c r="AH108" s="10">
        <v>1</v>
      </c>
      <c r="AI108" s="10">
        <v>1</v>
      </c>
      <c r="AJ108" s="12" t="s">
        <v>457</v>
      </c>
      <c r="AK108" s="10">
        <v>0</v>
      </c>
      <c r="AL108" s="10">
        <v>0</v>
      </c>
      <c r="AM108" s="9">
        <v>1990</v>
      </c>
      <c r="AN108" s="10">
        <v>6</v>
      </c>
      <c r="AO108" s="10">
        <v>3</v>
      </c>
      <c r="AP108" s="6"/>
      <c r="AQ108" s="7"/>
      <c r="AR108" s="8"/>
      <c r="AS108" s="4">
        <f t="shared" si="3"/>
        <v>850000</v>
      </c>
      <c r="AT108" s="4">
        <f t="shared" si="4"/>
        <v>9047998.282413885</v>
      </c>
      <c r="AU108" s="4">
        <f t="shared" si="5"/>
        <v>6552001.717586115</v>
      </c>
      <c r="AV108" s="9" t="s">
        <v>456</v>
      </c>
      <c r="AW108" s="12" t="s">
        <v>457</v>
      </c>
      <c r="AX108" s="10">
        <v>0</v>
      </c>
      <c r="AY108">
        <f>S108*AU108/AS108</f>
        <v>2697883.0601825179</v>
      </c>
      <c r="AZ108">
        <f>AU108-AY108</f>
        <v>3854118.6574035971</v>
      </c>
      <c r="BA108" s="10">
        <v>15600000</v>
      </c>
      <c r="BB108" s="10">
        <v>0</v>
      </c>
      <c r="BC108" s="9" t="s">
        <v>42</v>
      </c>
      <c r="BD108" s="9">
        <v>10421</v>
      </c>
      <c r="BE108" t="s">
        <v>46</v>
      </c>
    </row>
    <row r="109" spans="1:57" ht="270.75" thickBot="1" x14ac:dyDescent="0.3">
      <c r="A109" s="9" t="s">
        <v>458</v>
      </c>
      <c r="B109" s="9">
        <v>3001</v>
      </c>
      <c r="C109" s="10">
        <v>2</v>
      </c>
      <c r="D109" s="9" t="s">
        <v>37</v>
      </c>
      <c r="E109" s="14">
        <v>46242.146377314813</v>
      </c>
      <c r="F109" s="9" t="s">
        <v>459</v>
      </c>
      <c r="G109" s="9" t="s">
        <v>39</v>
      </c>
      <c r="H109" s="9">
        <v>53</v>
      </c>
      <c r="I109" s="9" t="s">
        <v>40</v>
      </c>
      <c r="J109" s="9">
        <v>5309</v>
      </c>
      <c r="K109" s="9" t="s">
        <v>41</v>
      </c>
      <c r="L109" s="9">
        <v>5309062</v>
      </c>
      <c r="M109" s="9">
        <v>5309062013</v>
      </c>
      <c r="N109" s="9" t="s">
        <v>42</v>
      </c>
      <c r="O109" s="9">
        <v>10421</v>
      </c>
      <c r="P109" s="9" t="s">
        <v>460</v>
      </c>
      <c r="Q109" s="10">
        <v>4</v>
      </c>
      <c r="R109" s="10">
        <v>600000</v>
      </c>
      <c r="S109" s="10">
        <v>250000</v>
      </c>
      <c r="T109" s="10">
        <v>0</v>
      </c>
      <c r="U109" s="10">
        <v>150000</v>
      </c>
      <c r="V109" s="10">
        <v>350000</v>
      </c>
      <c r="W109" s="10">
        <v>1350000</v>
      </c>
      <c r="X109" s="10">
        <v>5150000</v>
      </c>
      <c r="Y109" s="10">
        <v>0</v>
      </c>
      <c r="Z109" s="10">
        <v>4750000</v>
      </c>
      <c r="AA109" s="10">
        <v>2750000</v>
      </c>
      <c r="AB109" s="10">
        <v>5150000</v>
      </c>
      <c r="AC109" s="10">
        <v>0</v>
      </c>
      <c r="AD109" s="9" t="s">
        <v>44</v>
      </c>
      <c r="AE109" s="10" t="s">
        <v>2314</v>
      </c>
      <c r="AF109" s="10">
        <v>1287500</v>
      </c>
      <c r="AG109" s="10">
        <v>1</v>
      </c>
      <c r="AH109" s="10">
        <v>1</v>
      </c>
      <c r="AI109" s="10">
        <v>1</v>
      </c>
      <c r="AJ109" s="12" t="s">
        <v>461</v>
      </c>
      <c r="AK109" s="10">
        <v>0</v>
      </c>
      <c r="AL109" s="10">
        <v>0</v>
      </c>
      <c r="AM109" s="9">
        <v>2005</v>
      </c>
      <c r="AN109" s="10">
        <v>2</v>
      </c>
      <c r="AO109" s="10">
        <v>2</v>
      </c>
      <c r="AP109" s="6"/>
      <c r="AQ109" s="7"/>
      <c r="AR109" s="8"/>
      <c r="AS109" s="4">
        <f t="shared" si="3"/>
        <v>400000</v>
      </c>
      <c r="AT109" s="4">
        <f t="shared" si="4"/>
        <v>2987000.3144210856</v>
      </c>
      <c r="AU109" s="4">
        <f t="shared" si="5"/>
        <v>2162999.6855789144</v>
      </c>
      <c r="AV109" s="9" t="s">
        <v>460</v>
      </c>
      <c r="AW109" s="12" t="s">
        <v>461</v>
      </c>
      <c r="AX109" s="10">
        <v>0</v>
      </c>
      <c r="AY109">
        <f>S109*AU109/AS109</f>
        <v>1351874.8034868215</v>
      </c>
      <c r="AZ109">
        <f>AU109-AY109</f>
        <v>811124.88209209288</v>
      </c>
      <c r="BA109" s="10">
        <v>5150000</v>
      </c>
      <c r="BB109" s="10">
        <v>0</v>
      </c>
      <c r="BC109" s="9" t="s">
        <v>42</v>
      </c>
      <c r="BD109" s="9">
        <v>10421</v>
      </c>
      <c r="BE109" t="s">
        <v>46</v>
      </c>
    </row>
    <row r="110" spans="1:57" ht="270.75" thickBot="1" x14ac:dyDescent="0.3">
      <c r="A110" s="9" t="s">
        <v>462</v>
      </c>
      <c r="B110" s="9">
        <v>3001</v>
      </c>
      <c r="C110" s="10">
        <v>2</v>
      </c>
      <c r="D110" s="9" t="s">
        <v>37</v>
      </c>
      <c r="E110" s="14">
        <v>46244.542013888888</v>
      </c>
      <c r="F110" s="9" t="s">
        <v>463</v>
      </c>
      <c r="G110" s="9" t="s">
        <v>39</v>
      </c>
      <c r="H110" s="9">
        <v>53</v>
      </c>
      <c r="I110" s="9" t="s">
        <v>40</v>
      </c>
      <c r="J110" s="9">
        <v>5309</v>
      </c>
      <c r="K110" s="9" t="s">
        <v>41</v>
      </c>
      <c r="L110" s="9">
        <v>5309062</v>
      </c>
      <c r="M110" s="9">
        <v>5309062005</v>
      </c>
      <c r="N110" s="9" t="s">
        <v>42</v>
      </c>
      <c r="O110" s="9">
        <v>10421</v>
      </c>
      <c r="P110" s="9" t="s">
        <v>464</v>
      </c>
      <c r="Q110" s="10">
        <v>2</v>
      </c>
      <c r="R110" s="10">
        <v>0</v>
      </c>
      <c r="S110" s="10">
        <v>100000</v>
      </c>
      <c r="T110" s="10">
        <v>0</v>
      </c>
      <c r="U110" s="10">
        <v>50000</v>
      </c>
      <c r="V110" s="10">
        <v>0</v>
      </c>
      <c r="W110" s="10">
        <v>150000</v>
      </c>
      <c r="X110" s="10">
        <v>6000000</v>
      </c>
      <c r="Y110" s="10">
        <v>0</v>
      </c>
      <c r="Z110" s="10">
        <v>5850000</v>
      </c>
      <c r="AA110" s="10">
        <v>2550000</v>
      </c>
      <c r="AB110" s="10">
        <v>6000000</v>
      </c>
      <c r="AC110" s="10">
        <v>0</v>
      </c>
      <c r="AD110" s="9" t="s">
        <v>44</v>
      </c>
      <c r="AE110" s="10" t="s">
        <v>2282</v>
      </c>
      <c r="AF110" s="10">
        <v>3000000</v>
      </c>
      <c r="AG110" s="10">
        <v>1</v>
      </c>
      <c r="AH110" s="10">
        <v>1</v>
      </c>
      <c r="AI110" s="10">
        <v>1</v>
      </c>
      <c r="AJ110" s="12" t="s">
        <v>465</v>
      </c>
      <c r="AK110" s="10">
        <v>0</v>
      </c>
      <c r="AL110" s="10">
        <v>0</v>
      </c>
      <c r="AM110" s="9">
        <v>2000</v>
      </c>
      <c r="AN110" s="10">
        <v>0</v>
      </c>
      <c r="AO110" s="10">
        <v>2</v>
      </c>
      <c r="AP110" s="6"/>
      <c r="AQ110" s="7"/>
      <c r="AR110" s="8"/>
      <c r="AS110" s="4">
        <f t="shared" si="3"/>
        <v>150000</v>
      </c>
      <c r="AT110" s="4">
        <f t="shared" si="4"/>
        <v>3479999.9999999995</v>
      </c>
      <c r="AU110" s="4">
        <f t="shared" si="5"/>
        <v>2520000.0000000005</v>
      </c>
      <c r="AV110" s="9" t="s">
        <v>464</v>
      </c>
      <c r="AW110" s="12" t="s">
        <v>465</v>
      </c>
      <c r="AX110" s="10">
        <v>0</v>
      </c>
      <c r="AY110">
        <f>S110*AU110/AS110</f>
        <v>1680000.0000000005</v>
      </c>
      <c r="AZ110">
        <f>AU110-AY110</f>
        <v>840000</v>
      </c>
      <c r="BA110" s="10">
        <v>6000000</v>
      </c>
      <c r="BB110" s="10">
        <v>0</v>
      </c>
      <c r="BC110" s="9" t="s">
        <v>42</v>
      </c>
      <c r="BD110" s="9">
        <v>10421</v>
      </c>
      <c r="BE110" t="s">
        <v>46</v>
      </c>
    </row>
    <row r="111" spans="1:57" ht="270.75" thickBot="1" x14ac:dyDescent="0.3">
      <c r="A111" s="9" t="s">
        <v>466</v>
      </c>
      <c r="B111" s="9">
        <v>3001</v>
      </c>
      <c r="C111" s="10">
        <v>2</v>
      </c>
      <c r="D111" s="9" t="s">
        <v>37</v>
      </c>
      <c r="E111" s="11">
        <v>46224.4843783912</v>
      </c>
      <c r="F111" s="9" t="s">
        <v>467</v>
      </c>
      <c r="G111" s="9" t="s">
        <v>39</v>
      </c>
      <c r="H111" s="9">
        <v>53</v>
      </c>
      <c r="I111" s="9" t="s">
        <v>40</v>
      </c>
      <c r="J111" s="9">
        <v>5309</v>
      </c>
      <c r="K111" s="9" t="s">
        <v>41</v>
      </c>
      <c r="L111" s="9">
        <v>5309062</v>
      </c>
      <c r="M111" s="9">
        <v>5309062009</v>
      </c>
      <c r="N111" s="9" t="s">
        <v>42</v>
      </c>
      <c r="O111" s="9">
        <v>10421</v>
      </c>
      <c r="P111" s="9" t="s">
        <v>468</v>
      </c>
      <c r="Q111" s="10">
        <v>8</v>
      </c>
      <c r="R111" s="10">
        <v>1050000</v>
      </c>
      <c r="S111" s="10">
        <v>400000</v>
      </c>
      <c r="T111" s="10">
        <v>0</v>
      </c>
      <c r="U111" s="10">
        <v>500000</v>
      </c>
      <c r="V111" s="10">
        <v>0</v>
      </c>
      <c r="W111" s="10">
        <v>1950000</v>
      </c>
      <c r="X111" s="10">
        <v>7200000</v>
      </c>
      <c r="Y111" s="10">
        <v>0</v>
      </c>
      <c r="Z111" s="10">
        <v>6300000</v>
      </c>
      <c r="AA111" s="10">
        <v>3500000</v>
      </c>
      <c r="AB111" s="10">
        <v>7200000</v>
      </c>
      <c r="AC111" s="10">
        <v>0</v>
      </c>
      <c r="AD111" s="9" t="s">
        <v>44</v>
      </c>
      <c r="AE111" s="10" t="s">
        <v>2226</v>
      </c>
      <c r="AF111" s="10">
        <v>900000</v>
      </c>
      <c r="AG111" s="10">
        <v>1</v>
      </c>
      <c r="AH111" s="10">
        <v>1</v>
      </c>
      <c r="AI111" s="10">
        <v>1</v>
      </c>
      <c r="AJ111" s="12" t="s">
        <v>469</v>
      </c>
      <c r="AK111" s="10">
        <v>0</v>
      </c>
      <c r="AL111" s="10">
        <v>0</v>
      </c>
      <c r="AM111" s="9">
        <v>1990</v>
      </c>
      <c r="AN111" s="10">
        <v>5</v>
      </c>
      <c r="AO111" s="10">
        <v>3</v>
      </c>
      <c r="AP111" s="6"/>
      <c r="AQ111" s="7"/>
      <c r="AR111" s="8"/>
      <c r="AS111" s="4">
        <f t="shared" si="3"/>
        <v>900000</v>
      </c>
      <c r="AT111" s="4">
        <f t="shared" si="4"/>
        <v>4175999.9999999995</v>
      </c>
      <c r="AU111" s="4">
        <f t="shared" si="5"/>
        <v>3024000.0000000005</v>
      </c>
      <c r="AV111" s="9" t="s">
        <v>468</v>
      </c>
      <c r="AW111" s="12" t="s">
        <v>469</v>
      </c>
      <c r="AX111" s="10">
        <v>0</v>
      </c>
      <c r="AY111">
        <f>S111*AU111/AS111</f>
        <v>1344000.0000000002</v>
      </c>
      <c r="AZ111">
        <f>AU111-AY111</f>
        <v>1680000.0000000002</v>
      </c>
      <c r="BA111" s="10">
        <v>7200000</v>
      </c>
      <c r="BB111" s="10">
        <v>0</v>
      </c>
      <c r="BC111" s="9" t="s">
        <v>42</v>
      </c>
      <c r="BD111" s="9">
        <v>10421</v>
      </c>
      <c r="BE111" t="s">
        <v>46</v>
      </c>
    </row>
    <row r="112" spans="1:57" ht="270.75" thickBot="1" x14ac:dyDescent="0.3">
      <c r="A112" s="9" t="s">
        <v>470</v>
      </c>
      <c r="B112" s="9">
        <v>3001</v>
      </c>
      <c r="C112" s="10">
        <v>2</v>
      </c>
      <c r="D112" s="9" t="s">
        <v>37</v>
      </c>
      <c r="E112" s="14">
        <v>46216.222199074073</v>
      </c>
      <c r="F112" s="9" t="s">
        <v>471</v>
      </c>
      <c r="G112" s="9" t="s">
        <v>39</v>
      </c>
      <c r="H112" s="9">
        <v>53</v>
      </c>
      <c r="I112" s="9" t="s">
        <v>40</v>
      </c>
      <c r="J112" s="9">
        <v>5309</v>
      </c>
      <c r="K112" s="9" t="s">
        <v>41</v>
      </c>
      <c r="L112" s="9">
        <v>5309062</v>
      </c>
      <c r="M112" s="9">
        <v>5309062006</v>
      </c>
      <c r="N112" s="9" t="s">
        <v>42</v>
      </c>
      <c r="O112" s="9">
        <v>10421</v>
      </c>
      <c r="P112" s="9" t="s">
        <v>472</v>
      </c>
      <c r="Q112" s="10">
        <v>4</v>
      </c>
      <c r="R112" s="10">
        <v>150000</v>
      </c>
      <c r="S112" s="10">
        <v>100000</v>
      </c>
      <c r="T112" s="10">
        <v>0</v>
      </c>
      <c r="U112" s="10">
        <v>200000</v>
      </c>
      <c r="V112" s="10">
        <v>0</v>
      </c>
      <c r="W112" s="10">
        <v>450000</v>
      </c>
      <c r="X112" s="10">
        <v>12600000</v>
      </c>
      <c r="Y112" s="10">
        <v>0</v>
      </c>
      <c r="Z112" s="10">
        <v>12300000</v>
      </c>
      <c r="AA112" s="10">
        <v>2400000</v>
      </c>
      <c r="AB112" s="10">
        <v>12600000</v>
      </c>
      <c r="AC112" s="10">
        <v>0</v>
      </c>
      <c r="AD112" s="9" t="s">
        <v>44</v>
      </c>
      <c r="AE112" s="10" t="s">
        <v>2315</v>
      </c>
      <c r="AF112" s="10">
        <v>3150000</v>
      </c>
      <c r="AG112" s="10">
        <v>1</v>
      </c>
      <c r="AH112" s="10">
        <v>1</v>
      </c>
      <c r="AI112" s="10">
        <v>1</v>
      </c>
      <c r="AJ112" s="12" t="s">
        <v>473</v>
      </c>
      <c r="AK112" s="10">
        <v>0</v>
      </c>
      <c r="AL112" s="10">
        <v>0</v>
      </c>
      <c r="AM112" s="9">
        <v>2021</v>
      </c>
      <c r="AN112" s="10">
        <v>1</v>
      </c>
      <c r="AO112" s="10">
        <v>3</v>
      </c>
      <c r="AP112" s="6"/>
      <c r="AQ112" s="7"/>
      <c r="AR112" s="8"/>
      <c r="AS112" s="4">
        <f t="shared" si="3"/>
        <v>300000</v>
      </c>
      <c r="AT112" s="4">
        <f t="shared" si="4"/>
        <v>7308003.5648797872</v>
      </c>
      <c r="AU112" s="4">
        <f t="shared" si="5"/>
        <v>5291996.4351202128</v>
      </c>
      <c r="AV112" s="9" t="s">
        <v>472</v>
      </c>
      <c r="AW112" s="12" t="s">
        <v>473</v>
      </c>
      <c r="AX112" s="10">
        <v>0</v>
      </c>
      <c r="AY112">
        <f>S112*AU112/AS112</f>
        <v>1763998.8117067376</v>
      </c>
      <c r="AZ112">
        <f>AU112-AY112</f>
        <v>3527997.6234134752</v>
      </c>
      <c r="BA112" s="10">
        <v>12600000</v>
      </c>
      <c r="BB112" s="10">
        <v>0</v>
      </c>
      <c r="BC112" s="9" t="s">
        <v>42</v>
      </c>
      <c r="BD112" s="9">
        <v>10421</v>
      </c>
      <c r="BE112" t="s">
        <v>46</v>
      </c>
    </row>
    <row r="113" spans="1:57" ht="270.75" thickBot="1" x14ac:dyDescent="0.3">
      <c r="A113" s="9" t="s">
        <v>474</v>
      </c>
      <c r="B113" s="9">
        <v>3001</v>
      </c>
      <c r="C113" s="10">
        <v>2</v>
      </c>
      <c r="D113" s="9" t="s">
        <v>37</v>
      </c>
      <c r="E113" s="11">
        <v>46252.645005578706</v>
      </c>
      <c r="F113" s="9" t="s">
        <v>475</v>
      </c>
      <c r="G113" s="9" t="s">
        <v>39</v>
      </c>
      <c r="H113" s="9">
        <v>53</v>
      </c>
      <c r="I113" s="9" t="s">
        <v>40</v>
      </c>
      <c r="J113" s="9">
        <v>5309</v>
      </c>
      <c r="K113" s="9" t="s">
        <v>41</v>
      </c>
      <c r="L113" s="9">
        <v>5309073</v>
      </c>
      <c r="M113" s="9">
        <v>5309073001</v>
      </c>
      <c r="N113" s="9" t="s">
        <v>42</v>
      </c>
      <c r="O113" s="9">
        <v>10421</v>
      </c>
      <c r="P113" s="9" t="s">
        <v>476</v>
      </c>
      <c r="Q113" s="10">
        <v>2</v>
      </c>
      <c r="R113" s="10">
        <v>400000</v>
      </c>
      <c r="S113" s="10">
        <v>100000</v>
      </c>
      <c r="T113" s="10">
        <v>0</v>
      </c>
      <c r="U113" s="10">
        <v>0</v>
      </c>
      <c r="V113" s="10">
        <v>0</v>
      </c>
      <c r="W113" s="10">
        <v>500000</v>
      </c>
      <c r="X113" s="10">
        <v>7500000</v>
      </c>
      <c r="Y113" s="10">
        <v>0</v>
      </c>
      <c r="Z113" s="10">
        <v>7400000</v>
      </c>
      <c r="AA113" s="10">
        <v>3500000</v>
      </c>
      <c r="AB113" s="10">
        <v>7500000</v>
      </c>
      <c r="AC113" s="10">
        <v>0</v>
      </c>
      <c r="AD113" s="9" t="s">
        <v>44</v>
      </c>
      <c r="AE113" s="10" t="s">
        <v>2316</v>
      </c>
      <c r="AF113" s="10">
        <v>3750000</v>
      </c>
      <c r="AG113" s="10">
        <v>1</v>
      </c>
      <c r="AH113" s="10">
        <v>1</v>
      </c>
      <c r="AI113" s="10">
        <v>1</v>
      </c>
      <c r="AJ113" s="12" t="s">
        <v>477</v>
      </c>
      <c r="AK113" s="10">
        <v>0</v>
      </c>
      <c r="AL113" s="10">
        <v>0</v>
      </c>
      <c r="AM113" s="9">
        <v>2004</v>
      </c>
      <c r="AN113" s="10">
        <v>1</v>
      </c>
      <c r="AO113" s="10">
        <v>1</v>
      </c>
      <c r="AP113" s="6"/>
      <c r="AQ113" s="7"/>
      <c r="AR113" s="8"/>
      <c r="AS113" s="4">
        <f t="shared" si="3"/>
        <v>100000</v>
      </c>
      <c r="AT113" s="4">
        <f t="shared" si="4"/>
        <v>4349998.5304059023</v>
      </c>
      <c r="AU113" s="4">
        <f t="shared" si="5"/>
        <v>3150001.4695940977</v>
      </c>
      <c r="AV113" s="9" t="s">
        <v>476</v>
      </c>
      <c r="AW113" s="12" t="s">
        <v>477</v>
      </c>
      <c r="AX113" s="10">
        <v>0</v>
      </c>
      <c r="AY113">
        <f>S113*AU113/AS113</f>
        <v>3150001.4695940977</v>
      </c>
      <c r="AZ113">
        <f>AU113-AY113</f>
        <v>0</v>
      </c>
      <c r="BA113" s="10">
        <v>7500000</v>
      </c>
      <c r="BB113" s="10">
        <v>0</v>
      </c>
      <c r="BC113" s="9" t="s">
        <v>42</v>
      </c>
      <c r="BD113" s="9">
        <v>10421</v>
      </c>
      <c r="BE113" t="s">
        <v>46</v>
      </c>
    </row>
    <row r="114" spans="1:57" ht="270.75" thickBot="1" x14ac:dyDescent="0.3">
      <c r="A114" s="9" t="s">
        <v>478</v>
      </c>
      <c r="B114" s="9">
        <v>1001</v>
      </c>
      <c r="C114" s="10">
        <v>2</v>
      </c>
      <c r="D114" s="9" t="s">
        <v>37</v>
      </c>
      <c r="E114" s="14">
        <v>46215.573055555556</v>
      </c>
      <c r="F114" s="9" t="s">
        <v>479</v>
      </c>
      <c r="G114" s="9" t="s">
        <v>39</v>
      </c>
      <c r="H114" s="9">
        <v>53</v>
      </c>
      <c r="I114" s="9" t="s">
        <v>40</v>
      </c>
      <c r="J114" s="9">
        <v>5309</v>
      </c>
      <c r="K114" s="9" t="s">
        <v>41</v>
      </c>
      <c r="L114" s="9">
        <v>5309062</v>
      </c>
      <c r="M114" s="9">
        <v>5309062011</v>
      </c>
      <c r="N114" s="9" t="s">
        <v>42</v>
      </c>
      <c r="O114" s="9">
        <v>10421</v>
      </c>
      <c r="P114" s="9" t="s">
        <v>480</v>
      </c>
      <c r="Q114" s="10">
        <v>2</v>
      </c>
      <c r="R114" s="10">
        <v>0</v>
      </c>
      <c r="S114" s="10">
        <v>750000</v>
      </c>
      <c r="T114" s="10">
        <v>0</v>
      </c>
      <c r="U114" s="10">
        <v>100000</v>
      </c>
      <c r="V114" s="10">
        <v>0</v>
      </c>
      <c r="W114" s="10">
        <v>850000</v>
      </c>
      <c r="X114" s="10">
        <v>6500000</v>
      </c>
      <c r="Y114" s="10">
        <v>1250000</v>
      </c>
      <c r="Z114" s="10">
        <v>5650000</v>
      </c>
      <c r="AA114" s="10">
        <v>150000000</v>
      </c>
      <c r="AB114" s="10">
        <v>6500000</v>
      </c>
      <c r="AC114" s="10">
        <v>0</v>
      </c>
      <c r="AD114" s="9" t="s">
        <v>44</v>
      </c>
      <c r="AE114" s="10" t="s">
        <v>2317</v>
      </c>
      <c r="AF114" s="10">
        <v>3250000</v>
      </c>
      <c r="AG114" s="10">
        <v>1</v>
      </c>
      <c r="AH114" s="10">
        <v>1</v>
      </c>
      <c r="AI114" s="10">
        <v>1</v>
      </c>
      <c r="AJ114" s="12" t="s">
        <v>481</v>
      </c>
      <c r="AK114" s="10">
        <v>0</v>
      </c>
      <c r="AL114" s="10">
        <v>0</v>
      </c>
      <c r="AM114" s="9">
        <v>1990</v>
      </c>
      <c r="AN114" s="10">
        <v>0</v>
      </c>
      <c r="AO114" s="10">
        <v>2</v>
      </c>
      <c r="AP114" s="6"/>
      <c r="AQ114" s="7"/>
      <c r="AR114" s="8"/>
      <c r="AS114" s="4">
        <f t="shared" si="3"/>
        <v>850000</v>
      </c>
      <c r="AT114" s="4">
        <f t="shared" si="4"/>
        <v>3769998.9991153101</v>
      </c>
      <c r="AU114" s="4">
        <f t="shared" si="5"/>
        <v>2730001.0008846899</v>
      </c>
      <c r="AV114" s="9" t="s">
        <v>480</v>
      </c>
      <c r="AW114" s="12" t="s">
        <v>481</v>
      </c>
      <c r="AX114" s="10">
        <v>0</v>
      </c>
      <c r="AY114">
        <f>S114*AU114/AS114</f>
        <v>2408824.4125453145</v>
      </c>
      <c r="AZ114">
        <f>AU114-AY114</f>
        <v>321176.58833937533</v>
      </c>
      <c r="BA114" s="10">
        <v>6500000</v>
      </c>
      <c r="BB114" s="10">
        <v>1250000</v>
      </c>
      <c r="BC114" s="9" t="s">
        <v>42</v>
      </c>
      <c r="BD114" s="9">
        <v>10421</v>
      </c>
      <c r="BE114" t="s">
        <v>46</v>
      </c>
    </row>
    <row r="115" spans="1:57" ht="270.75" thickBot="1" x14ac:dyDescent="0.3">
      <c r="A115" s="9" t="s">
        <v>482</v>
      </c>
      <c r="B115" s="9">
        <v>3001</v>
      </c>
      <c r="C115" s="10">
        <v>2</v>
      </c>
      <c r="D115" s="9" t="s">
        <v>37</v>
      </c>
      <c r="E115" s="11">
        <v>46261.125953136572</v>
      </c>
      <c r="F115" s="9" t="s">
        <v>483</v>
      </c>
      <c r="G115" s="9" t="s">
        <v>39</v>
      </c>
      <c r="H115" s="9">
        <v>53</v>
      </c>
      <c r="I115" s="9" t="s">
        <v>40</v>
      </c>
      <c r="J115" s="9">
        <v>5309</v>
      </c>
      <c r="K115" s="9" t="s">
        <v>41</v>
      </c>
      <c r="L115" s="9">
        <v>5309073</v>
      </c>
      <c r="M115" s="9">
        <v>5309073003</v>
      </c>
      <c r="N115" s="9" t="s">
        <v>42</v>
      </c>
      <c r="O115" s="9">
        <v>10421</v>
      </c>
      <c r="P115" s="9" t="s">
        <v>484</v>
      </c>
      <c r="Q115" s="10">
        <v>2</v>
      </c>
      <c r="R115" s="10">
        <v>280000</v>
      </c>
      <c r="S115" s="10">
        <v>200000</v>
      </c>
      <c r="T115" s="10">
        <v>0</v>
      </c>
      <c r="U115" s="10">
        <v>0</v>
      </c>
      <c r="V115" s="10">
        <v>0</v>
      </c>
      <c r="W115" s="10">
        <v>480000</v>
      </c>
      <c r="X115" s="10">
        <v>5000000</v>
      </c>
      <c r="Y115" s="10">
        <v>0</v>
      </c>
      <c r="Z115" s="10">
        <v>4800000</v>
      </c>
      <c r="AA115" s="10">
        <v>1000000</v>
      </c>
      <c r="AB115" s="10">
        <v>5000000</v>
      </c>
      <c r="AC115" s="10">
        <v>0</v>
      </c>
      <c r="AD115" s="9" t="s">
        <v>44</v>
      </c>
      <c r="AE115" s="10" t="s">
        <v>809</v>
      </c>
      <c r="AF115" s="10">
        <v>2500000</v>
      </c>
      <c r="AG115" s="10">
        <v>1</v>
      </c>
      <c r="AH115" s="10">
        <v>1</v>
      </c>
      <c r="AI115" s="10">
        <v>1</v>
      </c>
      <c r="AJ115" s="12" t="s">
        <v>485</v>
      </c>
      <c r="AK115" s="10">
        <v>0</v>
      </c>
      <c r="AL115" s="10">
        <v>0</v>
      </c>
      <c r="AM115" s="9">
        <v>1995</v>
      </c>
      <c r="AN115" s="10">
        <v>1</v>
      </c>
      <c r="AO115" s="10">
        <v>1</v>
      </c>
      <c r="AP115" s="6"/>
      <c r="AQ115" s="7"/>
      <c r="AR115" s="8"/>
      <c r="AS115" s="4">
        <f t="shared" si="3"/>
        <v>200000</v>
      </c>
      <c r="AT115" s="4">
        <f t="shared" si="4"/>
        <v>2900000</v>
      </c>
      <c r="AU115" s="4">
        <f t="shared" si="5"/>
        <v>2100000</v>
      </c>
      <c r="AV115" s="9" t="s">
        <v>484</v>
      </c>
      <c r="AW115" s="12" t="s">
        <v>485</v>
      </c>
      <c r="AX115" s="10">
        <v>0</v>
      </c>
      <c r="AY115">
        <f>S115*AU115/AS115</f>
        <v>2100000</v>
      </c>
      <c r="AZ115">
        <f>AU115-AY115</f>
        <v>0</v>
      </c>
      <c r="BA115" s="10">
        <v>5000000</v>
      </c>
      <c r="BB115" s="10">
        <v>0</v>
      </c>
      <c r="BC115" s="9" t="s">
        <v>42</v>
      </c>
      <c r="BD115" s="9">
        <v>10421</v>
      </c>
      <c r="BE115" t="s">
        <v>46</v>
      </c>
    </row>
    <row r="116" spans="1:57" ht="270.75" thickBot="1" x14ac:dyDescent="0.3">
      <c r="A116" s="9" t="s">
        <v>486</v>
      </c>
      <c r="B116" s="9">
        <v>3003</v>
      </c>
      <c r="C116" s="10">
        <v>2</v>
      </c>
      <c r="D116" s="9" t="s">
        <v>37</v>
      </c>
      <c r="E116" s="11">
        <v>46255.416443252318</v>
      </c>
      <c r="F116" s="9" t="s">
        <v>487</v>
      </c>
      <c r="G116" s="9" t="s">
        <v>39</v>
      </c>
      <c r="H116" s="9">
        <v>53</v>
      </c>
      <c r="I116" s="9" t="s">
        <v>40</v>
      </c>
      <c r="J116" s="9">
        <v>5309</v>
      </c>
      <c r="K116" s="9" t="s">
        <v>41</v>
      </c>
      <c r="L116" s="9">
        <v>5309074</v>
      </c>
      <c r="M116" s="9">
        <v>5309074002</v>
      </c>
      <c r="N116" s="9" t="s">
        <v>42</v>
      </c>
      <c r="O116" s="9">
        <v>10421</v>
      </c>
      <c r="P116" s="9" t="s">
        <v>49</v>
      </c>
      <c r="Q116" s="10">
        <v>2</v>
      </c>
      <c r="R116" s="10">
        <v>0</v>
      </c>
      <c r="S116" s="10">
        <v>950000</v>
      </c>
      <c r="T116" s="10">
        <v>0</v>
      </c>
      <c r="U116" s="10">
        <v>600000</v>
      </c>
      <c r="V116" s="10">
        <v>0</v>
      </c>
      <c r="W116" s="10">
        <v>1550000</v>
      </c>
      <c r="X116" s="10">
        <v>6000000</v>
      </c>
      <c r="Y116" s="10">
        <v>0</v>
      </c>
      <c r="Z116" s="10">
        <v>4450000</v>
      </c>
      <c r="AA116" s="10">
        <v>4350000</v>
      </c>
      <c r="AB116" s="10">
        <v>6000000</v>
      </c>
      <c r="AC116" s="10">
        <v>0</v>
      </c>
      <c r="AD116" s="9" t="s">
        <v>44</v>
      </c>
      <c r="AE116" s="10" t="s">
        <v>2318</v>
      </c>
      <c r="AF116" s="10">
        <v>3000000</v>
      </c>
      <c r="AG116" s="10">
        <v>1</v>
      </c>
      <c r="AH116" s="10">
        <v>1</v>
      </c>
      <c r="AI116" s="10">
        <v>1</v>
      </c>
      <c r="AJ116" s="12" t="s">
        <v>488</v>
      </c>
      <c r="AK116" s="10">
        <v>0</v>
      </c>
      <c r="AL116" s="10">
        <v>0</v>
      </c>
      <c r="AM116" s="9">
        <v>1997</v>
      </c>
      <c r="AN116" s="10">
        <v>0</v>
      </c>
      <c r="AO116" s="10">
        <v>2</v>
      </c>
      <c r="AP116" s="6"/>
      <c r="AQ116" s="7"/>
      <c r="AR116" s="8"/>
      <c r="AS116" s="4">
        <f t="shared" si="3"/>
        <v>1550000</v>
      </c>
      <c r="AT116" s="4">
        <f t="shared" si="4"/>
        <v>3479998.4359557591</v>
      </c>
      <c r="AU116" s="4">
        <f t="shared" si="5"/>
        <v>2520001.5640442409</v>
      </c>
      <c r="AV116" s="9" t="s">
        <v>49</v>
      </c>
      <c r="AW116" s="12" t="s">
        <v>488</v>
      </c>
      <c r="AX116" s="10">
        <v>0</v>
      </c>
      <c r="AY116">
        <f>S116*AU116/AS116</f>
        <v>1544517.0876400187</v>
      </c>
      <c r="AZ116">
        <f>AU116-AY116</f>
        <v>975484.47640422219</v>
      </c>
      <c r="BA116" s="10">
        <v>6000000</v>
      </c>
      <c r="BB116" s="10">
        <v>0</v>
      </c>
      <c r="BC116" s="9" t="s">
        <v>42</v>
      </c>
      <c r="BD116" s="9">
        <v>10421</v>
      </c>
      <c r="BE116" t="s">
        <v>46</v>
      </c>
    </row>
    <row r="117" spans="1:57" ht="270.75" thickBot="1" x14ac:dyDescent="0.3">
      <c r="A117" s="9" t="s">
        <v>489</v>
      </c>
      <c r="B117" s="9">
        <v>3001</v>
      </c>
      <c r="C117" s="10">
        <v>2</v>
      </c>
      <c r="D117" s="9" t="s">
        <v>37</v>
      </c>
      <c r="E117" s="11">
        <v>46265.038300659726</v>
      </c>
      <c r="F117" s="9" t="s">
        <v>490</v>
      </c>
      <c r="G117" s="9" t="s">
        <v>39</v>
      </c>
      <c r="H117" s="9">
        <v>53</v>
      </c>
      <c r="I117" s="9" t="s">
        <v>40</v>
      </c>
      <c r="J117" s="9">
        <v>5309</v>
      </c>
      <c r="K117" s="9" t="s">
        <v>41</v>
      </c>
      <c r="L117" s="9">
        <v>5309074</v>
      </c>
      <c r="M117" s="9">
        <v>5309074006</v>
      </c>
      <c r="N117" s="9" t="s">
        <v>42</v>
      </c>
      <c r="O117" s="9">
        <v>10421</v>
      </c>
      <c r="P117" s="9" t="s">
        <v>49</v>
      </c>
      <c r="Q117" s="10">
        <v>2</v>
      </c>
      <c r="R117" s="10">
        <v>0</v>
      </c>
      <c r="S117" s="10">
        <v>150000</v>
      </c>
      <c r="T117" s="10">
        <v>0</v>
      </c>
      <c r="U117" s="10">
        <v>0</v>
      </c>
      <c r="V117" s="10">
        <v>0</v>
      </c>
      <c r="W117" s="10">
        <v>150000</v>
      </c>
      <c r="X117" s="10">
        <v>2500000</v>
      </c>
      <c r="Y117" s="10">
        <v>0</v>
      </c>
      <c r="Z117" s="10">
        <v>2350000</v>
      </c>
      <c r="AA117" s="10">
        <v>2000000</v>
      </c>
      <c r="AB117" s="10">
        <v>2500000</v>
      </c>
      <c r="AC117" s="10">
        <v>0</v>
      </c>
      <c r="AD117" s="9" t="s">
        <v>44</v>
      </c>
      <c r="AE117" s="10" t="s">
        <v>1727</v>
      </c>
      <c r="AF117" s="10">
        <v>1250000</v>
      </c>
      <c r="AG117" s="10">
        <v>1</v>
      </c>
      <c r="AH117" s="10">
        <v>1</v>
      </c>
      <c r="AI117" s="10">
        <v>1</v>
      </c>
      <c r="AJ117" s="12" t="s">
        <v>491</v>
      </c>
      <c r="AK117" s="10">
        <v>0</v>
      </c>
      <c r="AL117" s="10">
        <v>0</v>
      </c>
      <c r="AM117" s="9">
        <v>2020</v>
      </c>
      <c r="AN117" s="10">
        <v>0</v>
      </c>
      <c r="AO117" s="10">
        <v>2</v>
      </c>
      <c r="AP117" s="6"/>
      <c r="AQ117" s="7"/>
      <c r="AR117" s="8"/>
      <c r="AS117" s="4">
        <f t="shared" si="3"/>
        <v>150000</v>
      </c>
      <c r="AT117" s="4">
        <f t="shared" si="4"/>
        <v>1450000</v>
      </c>
      <c r="AU117" s="4">
        <f t="shared" si="5"/>
        <v>1050000</v>
      </c>
      <c r="AV117" s="9" t="s">
        <v>49</v>
      </c>
      <c r="AW117" s="12" t="s">
        <v>491</v>
      </c>
      <c r="AX117" s="10">
        <v>0</v>
      </c>
      <c r="AY117">
        <f>S117*AU117/AS117</f>
        <v>1050000</v>
      </c>
      <c r="AZ117">
        <f>AU117-AY117</f>
        <v>0</v>
      </c>
      <c r="BA117" s="10">
        <v>2500000</v>
      </c>
      <c r="BB117" s="10">
        <v>0</v>
      </c>
      <c r="BC117" s="9" t="s">
        <v>42</v>
      </c>
      <c r="BD117" s="9">
        <v>10421</v>
      </c>
      <c r="BE117" t="s">
        <v>46</v>
      </c>
    </row>
    <row r="118" spans="1:57" ht="270.75" thickBot="1" x14ac:dyDescent="0.3">
      <c r="A118" s="9" t="s">
        <v>492</v>
      </c>
      <c r="B118" s="9">
        <v>3001</v>
      </c>
      <c r="C118" s="10">
        <v>2</v>
      </c>
      <c r="D118" s="9" t="s">
        <v>37</v>
      </c>
      <c r="E118" s="14">
        <v>46243.003391203703</v>
      </c>
      <c r="F118" s="9" t="s">
        <v>493</v>
      </c>
      <c r="G118" s="9" t="s">
        <v>39</v>
      </c>
      <c r="H118" s="9">
        <v>53</v>
      </c>
      <c r="I118" s="9" t="s">
        <v>40</v>
      </c>
      <c r="J118" s="9">
        <v>5309</v>
      </c>
      <c r="K118" s="9" t="s">
        <v>41</v>
      </c>
      <c r="L118" s="9">
        <v>5309062</v>
      </c>
      <c r="M118" s="9">
        <v>5309062006</v>
      </c>
      <c r="N118" s="9" t="s">
        <v>42</v>
      </c>
      <c r="O118" s="9">
        <v>10421</v>
      </c>
      <c r="P118" s="9" t="s">
        <v>494</v>
      </c>
      <c r="Q118" s="10">
        <v>2</v>
      </c>
      <c r="R118" s="10">
        <v>0</v>
      </c>
      <c r="S118" s="10">
        <v>200000</v>
      </c>
      <c r="T118" s="10">
        <v>0</v>
      </c>
      <c r="U118" s="10">
        <v>150000</v>
      </c>
      <c r="V118" s="10">
        <v>0</v>
      </c>
      <c r="W118" s="10">
        <v>350000</v>
      </c>
      <c r="X118" s="10">
        <v>8965000</v>
      </c>
      <c r="Y118" s="10">
        <v>0</v>
      </c>
      <c r="Z118" s="10">
        <v>8615000</v>
      </c>
      <c r="AA118" s="10">
        <v>4500000</v>
      </c>
      <c r="AB118" s="10">
        <v>8965000</v>
      </c>
      <c r="AC118" s="10">
        <v>0</v>
      </c>
      <c r="AD118" s="9" t="s">
        <v>44</v>
      </c>
      <c r="AE118" s="10" t="s">
        <v>2319</v>
      </c>
      <c r="AF118" s="10">
        <v>4482500</v>
      </c>
      <c r="AG118" s="10">
        <v>1</v>
      </c>
      <c r="AH118" s="10">
        <v>1</v>
      </c>
      <c r="AI118" s="10">
        <v>1</v>
      </c>
      <c r="AJ118" s="12" t="s">
        <v>495</v>
      </c>
      <c r="AK118" s="10">
        <v>0</v>
      </c>
      <c r="AL118" s="10">
        <v>0</v>
      </c>
      <c r="AM118" s="9">
        <v>2015</v>
      </c>
      <c r="AN118" s="10">
        <v>0</v>
      </c>
      <c r="AO118" s="10">
        <v>2</v>
      </c>
      <c r="AP118" s="6"/>
      <c r="AQ118" s="7"/>
      <c r="AR118" s="8"/>
      <c r="AS118" s="4">
        <f t="shared" si="3"/>
        <v>350000</v>
      </c>
      <c r="AT118" s="4">
        <f t="shared" si="4"/>
        <v>5199701.5481409719</v>
      </c>
      <c r="AU118" s="4">
        <f t="shared" si="5"/>
        <v>3765298.4518590281</v>
      </c>
      <c r="AV118" s="9" t="s">
        <v>494</v>
      </c>
      <c r="AW118" s="12" t="s">
        <v>495</v>
      </c>
      <c r="AX118" s="10">
        <v>0</v>
      </c>
      <c r="AY118">
        <f>S118*AU118/AS118</f>
        <v>2151599.1153480164</v>
      </c>
      <c r="AZ118">
        <f>AU118-AY118</f>
        <v>1613699.3365110117</v>
      </c>
      <c r="BA118" s="10">
        <v>8965000</v>
      </c>
      <c r="BB118" s="10">
        <v>0</v>
      </c>
      <c r="BC118" s="9" t="s">
        <v>42</v>
      </c>
      <c r="BD118" s="9">
        <v>10421</v>
      </c>
      <c r="BE118" t="s">
        <v>46</v>
      </c>
    </row>
    <row r="119" spans="1:57" ht="270.75" thickBot="1" x14ac:dyDescent="0.3">
      <c r="A119" s="9" t="s">
        <v>496</v>
      </c>
      <c r="B119" s="9">
        <v>3001</v>
      </c>
      <c r="C119" s="10">
        <v>2</v>
      </c>
      <c r="D119" s="9" t="s">
        <v>37</v>
      </c>
      <c r="E119" s="11">
        <v>46264.234502013889</v>
      </c>
      <c r="F119" s="9" t="s">
        <v>497</v>
      </c>
      <c r="G119" s="9" t="s">
        <v>39</v>
      </c>
      <c r="H119" s="9">
        <v>53</v>
      </c>
      <c r="I119" s="9" t="s">
        <v>40</v>
      </c>
      <c r="J119" s="9">
        <v>5309</v>
      </c>
      <c r="K119" s="9" t="s">
        <v>41</v>
      </c>
      <c r="L119" s="9">
        <v>5309074</v>
      </c>
      <c r="M119" s="9">
        <v>5309074006</v>
      </c>
      <c r="N119" s="9" t="s">
        <v>42</v>
      </c>
      <c r="O119" s="9">
        <v>10421</v>
      </c>
      <c r="P119" s="9" t="s">
        <v>49</v>
      </c>
      <c r="Q119" s="10">
        <v>2</v>
      </c>
      <c r="R119" s="10">
        <v>0</v>
      </c>
      <c r="S119" s="10">
        <v>150000</v>
      </c>
      <c r="T119" s="10">
        <v>0</v>
      </c>
      <c r="U119" s="10">
        <v>0</v>
      </c>
      <c r="V119" s="10">
        <v>0</v>
      </c>
      <c r="W119" s="10">
        <v>150000</v>
      </c>
      <c r="X119" s="10">
        <v>4000000</v>
      </c>
      <c r="Y119" s="10">
        <v>0</v>
      </c>
      <c r="Z119" s="10">
        <v>3850000</v>
      </c>
      <c r="AA119" s="10">
        <v>2000000</v>
      </c>
      <c r="AB119" s="10">
        <v>4000000</v>
      </c>
      <c r="AC119" s="10">
        <v>0</v>
      </c>
      <c r="AD119" s="9" t="s">
        <v>44</v>
      </c>
      <c r="AE119" s="10" t="s">
        <v>2223</v>
      </c>
      <c r="AF119" s="10">
        <v>2000000</v>
      </c>
      <c r="AG119" s="10">
        <v>1</v>
      </c>
      <c r="AH119" s="10">
        <v>1</v>
      </c>
      <c r="AI119" s="10">
        <v>1</v>
      </c>
      <c r="AJ119" s="12" t="s">
        <v>498</v>
      </c>
      <c r="AK119" s="10">
        <v>0</v>
      </c>
      <c r="AL119" s="10">
        <v>0</v>
      </c>
      <c r="AM119" s="9">
        <v>2020</v>
      </c>
      <c r="AN119" s="10">
        <v>0</v>
      </c>
      <c r="AO119" s="10">
        <v>2</v>
      </c>
      <c r="AP119" s="6"/>
      <c r="AQ119" s="7"/>
      <c r="AR119" s="8"/>
      <c r="AS119" s="4">
        <f t="shared" si="3"/>
        <v>150000</v>
      </c>
      <c r="AT119" s="4">
        <f t="shared" si="4"/>
        <v>2320000</v>
      </c>
      <c r="AU119" s="4">
        <f t="shared" si="5"/>
        <v>1680000</v>
      </c>
      <c r="AV119" s="9" t="s">
        <v>49</v>
      </c>
      <c r="AW119" s="12" t="s">
        <v>498</v>
      </c>
      <c r="AX119" s="10">
        <v>0</v>
      </c>
      <c r="AY119">
        <f>S119*AU119/AS119</f>
        <v>1680000</v>
      </c>
      <c r="AZ119">
        <f>AU119-AY119</f>
        <v>0</v>
      </c>
      <c r="BA119" s="10">
        <v>4000000</v>
      </c>
      <c r="BB119" s="10">
        <v>0</v>
      </c>
      <c r="BC119" s="9" t="s">
        <v>42</v>
      </c>
      <c r="BD119" s="9">
        <v>10421</v>
      </c>
      <c r="BE119" t="s">
        <v>46</v>
      </c>
    </row>
    <row r="120" spans="1:57" ht="270.75" thickBot="1" x14ac:dyDescent="0.3">
      <c r="A120" s="9" t="s">
        <v>499</v>
      </c>
      <c r="B120" s="9">
        <v>3002</v>
      </c>
      <c r="C120" s="10">
        <v>2</v>
      </c>
      <c r="D120" s="9" t="s">
        <v>37</v>
      </c>
      <c r="E120" s="11">
        <v>46238.643401006942</v>
      </c>
      <c r="F120" s="9" t="s">
        <v>500</v>
      </c>
      <c r="G120" s="9" t="s">
        <v>39</v>
      </c>
      <c r="H120" s="9">
        <v>53</v>
      </c>
      <c r="I120" s="9" t="s">
        <v>40</v>
      </c>
      <c r="J120" s="9">
        <v>5309</v>
      </c>
      <c r="K120" s="9" t="s">
        <v>41</v>
      </c>
      <c r="L120" s="9">
        <v>5309073</v>
      </c>
      <c r="M120" s="9">
        <v>5309073001</v>
      </c>
      <c r="N120" s="9" t="s">
        <v>42</v>
      </c>
      <c r="O120" s="9">
        <v>10421</v>
      </c>
      <c r="P120" s="9" t="s">
        <v>501</v>
      </c>
      <c r="Q120" s="10">
        <v>2</v>
      </c>
      <c r="R120" s="10">
        <v>440000</v>
      </c>
      <c r="S120" s="10">
        <v>150000</v>
      </c>
      <c r="T120" s="10">
        <v>0</v>
      </c>
      <c r="U120" s="10">
        <v>180000</v>
      </c>
      <c r="V120" s="10">
        <v>0</v>
      </c>
      <c r="W120" s="10">
        <v>770000</v>
      </c>
      <c r="X120" s="10">
        <v>6000000</v>
      </c>
      <c r="Y120" s="10">
        <v>0</v>
      </c>
      <c r="Z120" s="10">
        <v>5670000</v>
      </c>
      <c r="AA120" s="10">
        <v>5500000</v>
      </c>
      <c r="AB120" s="10">
        <v>6000000</v>
      </c>
      <c r="AC120" s="10">
        <v>0</v>
      </c>
      <c r="AD120" s="9" t="s">
        <v>44</v>
      </c>
      <c r="AE120" s="10" t="s">
        <v>2320</v>
      </c>
      <c r="AF120" s="10">
        <v>3000000</v>
      </c>
      <c r="AG120" s="10">
        <v>1</v>
      </c>
      <c r="AH120" s="10">
        <v>1</v>
      </c>
      <c r="AI120" s="10">
        <v>1</v>
      </c>
      <c r="AJ120" s="12" t="s">
        <v>2321</v>
      </c>
      <c r="AK120" s="10">
        <v>0</v>
      </c>
      <c r="AL120" s="10">
        <v>0</v>
      </c>
      <c r="AM120" s="9">
        <v>2007</v>
      </c>
      <c r="AN120" s="10">
        <v>1</v>
      </c>
      <c r="AO120" s="10">
        <v>1</v>
      </c>
      <c r="AP120" s="6"/>
      <c r="AQ120" s="7"/>
      <c r="AR120" s="8"/>
      <c r="AS120" s="4">
        <f t="shared" si="3"/>
        <v>330000</v>
      </c>
      <c r="AT120" s="4">
        <f t="shared" si="4"/>
        <v>3480000</v>
      </c>
      <c r="AU120" s="4">
        <f t="shared" si="5"/>
        <v>2520000</v>
      </c>
      <c r="AV120" s="9" t="s">
        <v>501</v>
      </c>
      <c r="AW120" s="12" t="s">
        <v>2321</v>
      </c>
      <c r="AX120" s="10">
        <v>0</v>
      </c>
      <c r="AY120">
        <f>S120*AU120/AS120</f>
        <v>1145454.5454545454</v>
      </c>
      <c r="AZ120">
        <f>AU120-AY120</f>
        <v>1374545.4545454546</v>
      </c>
      <c r="BA120" s="10">
        <v>6000000</v>
      </c>
      <c r="BB120" s="10">
        <v>0</v>
      </c>
      <c r="BC120" s="9" t="s">
        <v>42</v>
      </c>
      <c r="BD120" s="9">
        <v>10421</v>
      </c>
      <c r="BE120" t="s">
        <v>46</v>
      </c>
    </row>
    <row r="121" spans="1:57" ht="255.75" thickBot="1" x14ac:dyDescent="0.3">
      <c r="A121" s="9" t="s">
        <v>502</v>
      </c>
      <c r="B121" s="9">
        <v>3001</v>
      </c>
      <c r="C121" s="10">
        <v>2</v>
      </c>
      <c r="D121" s="9" t="s">
        <v>37</v>
      </c>
      <c r="E121" s="11">
        <v>46264.556578842596</v>
      </c>
      <c r="F121" s="9" t="s">
        <v>503</v>
      </c>
      <c r="G121" s="9" t="s">
        <v>39</v>
      </c>
      <c r="H121" s="9">
        <v>53</v>
      </c>
      <c r="I121" s="9" t="s">
        <v>40</v>
      </c>
      <c r="J121" s="9">
        <v>5309</v>
      </c>
      <c r="K121" s="9" t="s">
        <v>41</v>
      </c>
      <c r="L121" s="9">
        <v>5309074</v>
      </c>
      <c r="M121" s="9">
        <v>5309074006</v>
      </c>
      <c r="N121" s="9" t="s">
        <v>42</v>
      </c>
      <c r="O121" s="9">
        <v>10421</v>
      </c>
      <c r="P121" s="9" t="s">
        <v>49</v>
      </c>
      <c r="Q121" s="10">
        <v>3</v>
      </c>
      <c r="R121" s="10">
        <v>0</v>
      </c>
      <c r="S121" s="10">
        <v>150000</v>
      </c>
      <c r="T121" s="10">
        <v>0</v>
      </c>
      <c r="U121" s="10">
        <v>0</v>
      </c>
      <c r="V121" s="10">
        <v>0</v>
      </c>
      <c r="W121" s="10">
        <v>150000</v>
      </c>
      <c r="X121" s="10">
        <v>1925000</v>
      </c>
      <c r="Y121" s="10">
        <v>0</v>
      </c>
      <c r="Z121" s="10">
        <v>1775000</v>
      </c>
      <c r="AA121" s="10">
        <v>2000000</v>
      </c>
      <c r="AB121" s="10">
        <v>1925000</v>
      </c>
      <c r="AC121" s="10">
        <v>0</v>
      </c>
      <c r="AD121" s="9" t="s">
        <v>44</v>
      </c>
      <c r="AE121" s="10" t="s">
        <v>2322</v>
      </c>
      <c r="AF121" s="13">
        <v>6416666667</v>
      </c>
      <c r="AG121" s="10">
        <v>1</v>
      </c>
      <c r="AH121" s="10">
        <v>1</v>
      </c>
      <c r="AI121" s="10">
        <v>1</v>
      </c>
      <c r="AJ121" s="12" t="s">
        <v>504</v>
      </c>
      <c r="AK121" s="10">
        <v>0</v>
      </c>
      <c r="AL121" s="10">
        <v>0</v>
      </c>
      <c r="AM121" s="9">
        <v>2000</v>
      </c>
      <c r="AN121" s="10">
        <v>0</v>
      </c>
      <c r="AO121" s="10">
        <v>3</v>
      </c>
      <c r="AP121" s="6"/>
      <c r="AQ121" s="7"/>
      <c r="AR121" s="8"/>
      <c r="AS121" s="4">
        <f t="shared" si="3"/>
        <v>150000</v>
      </c>
      <c r="AT121" s="4">
        <f t="shared" si="4"/>
        <v>1116499.9056478953</v>
      </c>
      <c r="AU121" s="4">
        <f t="shared" si="5"/>
        <v>808500.0943521047</v>
      </c>
      <c r="AV121" s="9" t="s">
        <v>49</v>
      </c>
      <c r="AW121" s="12" t="s">
        <v>504</v>
      </c>
      <c r="AX121" s="10">
        <v>0</v>
      </c>
      <c r="AY121">
        <f>S121*AU121/AS121</f>
        <v>808500.0943521047</v>
      </c>
      <c r="AZ121">
        <f>AU121-AY121</f>
        <v>0</v>
      </c>
      <c r="BA121" s="10">
        <v>1925000</v>
      </c>
      <c r="BB121" s="10">
        <v>0</v>
      </c>
      <c r="BC121" s="9" t="s">
        <v>42</v>
      </c>
      <c r="BD121" s="9">
        <v>10421</v>
      </c>
      <c r="BE121" t="s">
        <v>46</v>
      </c>
    </row>
    <row r="122" spans="1:57" ht="270.75" thickBot="1" x14ac:dyDescent="0.3">
      <c r="A122" s="9" t="s">
        <v>505</v>
      </c>
      <c r="B122" s="9">
        <v>3001</v>
      </c>
      <c r="C122" s="10">
        <v>2</v>
      </c>
      <c r="D122" s="9" t="s">
        <v>37</v>
      </c>
      <c r="E122" s="14">
        <v>46236.059502314813</v>
      </c>
      <c r="F122" s="9" t="s">
        <v>506</v>
      </c>
      <c r="G122" s="9" t="s">
        <v>39</v>
      </c>
      <c r="H122" s="9">
        <v>53</v>
      </c>
      <c r="I122" s="9" t="s">
        <v>40</v>
      </c>
      <c r="J122" s="9">
        <v>5309</v>
      </c>
      <c r="K122" s="9" t="s">
        <v>41</v>
      </c>
      <c r="L122" s="9">
        <v>5309062</v>
      </c>
      <c r="M122" s="9">
        <v>5309062002</v>
      </c>
      <c r="N122" s="9" t="s">
        <v>42</v>
      </c>
      <c r="O122" s="9">
        <v>10421</v>
      </c>
      <c r="P122" s="9" t="s">
        <v>106</v>
      </c>
      <c r="Q122" s="10">
        <v>3</v>
      </c>
      <c r="R122" s="10">
        <v>0</v>
      </c>
      <c r="S122" s="10">
        <v>150000</v>
      </c>
      <c r="T122" s="10">
        <v>0</v>
      </c>
      <c r="U122" s="10">
        <v>500000</v>
      </c>
      <c r="V122" s="10">
        <v>0</v>
      </c>
      <c r="W122" s="10">
        <v>650000</v>
      </c>
      <c r="X122" s="10">
        <v>12000000</v>
      </c>
      <c r="Y122" s="10">
        <v>0</v>
      </c>
      <c r="Z122" s="10">
        <v>11350000</v>
      </c>
      <c r="AA122" s="10">
        <v>2500000</v>
      </c>
      <c r="AB122" s="10">
        <v>12000000</v>
      </c>
      <c r="AC122" s="10">
        <v>0</v>
      </c>
      <c r="AD122" s="9" t="s">
        <v>44</v>
      </c>
      <c r="AE122" s="10" t="s">
        <v>2323</v>
      </c>
      <c r="AF122" s="10">
        <v>4000000</v>
      </c>
      <c r="AG122" s="10">
        <v>1</v>
      </c>
      <c r="AH122" s="10">
        <v>1</v>
      </c>
      <c r="AI122" s="10">
        <v>1</v>
      </c>
      <c r="AJ122" s="12" t="s">
        <v>507</v>
      </c>
      <c r="AK122" s="10">
        <v>0</v>
      </c>
      <c r="AL122" s="10">
        <v>0</v>
      </c>
      <c r="AM122" s="9">
        <v>1998</v>
      </c>
      <c r="AN122" s="10">
        <v>0</v>
      </c>
      <c r="AO122" s="10">
        <v>3</v>
      </c>
      <c r="AP122" s="6"/>
      <c r="AQ122" s="7"/>
      <c r="AR122" s="8"/>
      <c r="AS122" s="4">
        <f t="shared" si="3"/>
        <v>650000</v>
      </c>
      <c r="AT122" s="4">
        <f t="shared" si="4"/>
        <v>6960002.4528643005</v>
      </c>
      <c r="AU122" s="4">
        <f t="shared" si="5"/>
        <v>5039997.5471356995</v>
      </c>
      <c r="AV122" s="9" t="s">
        <v>106</v>
      </c>
      <c r="AW122" s="12" t="s">
        <v>507</v>
      </c>
      <c r="AX122" s="10">
        <v>0</v>
      </c>
      <c r="AY122">
        <f>S122*AU122/AS122</f>
        <v>1163076.3570313153</v>
      </c>
      <c r="AZ122">
        <f>AU122-AY122</f>
        <v>3876921.190104384</v>
      </c>
      <c r="BA122" s="10">
        <v>12000000</v>
      </c>
      <c r="BB122" s="10">
        <v>0</v>
      </c>
      <c r="BC122" s="9" t="s">
        <v>42</v>
      </c>
      <c r="BD122" s="9">
        <v>10421</v>
      </c>
      <c r="BE122" t="s">
        <v>46</v>
      </c>
    </row>
    <row r="123" spans="1:57" ht="270.75" thickBot="1" x14ac:dyDescent="0.3">
      <c r="A123" s="9" t="s">
        <v>508</v>
      </c>
      <c r="B123" s="9">
        <v>3001</v>
      </c>
      <c r="C123" s="10">
        <v>2</v>
      </c>
      <c r="D123" s="9" t="s">
        <v>37</v>
      </c>
      <c r="E123" s="11">
        <v>46248.267550208337</v>
      </c>
      <c r="F123" s="9" t="s">
        <v>509</v>
      </c>
      <c r="G123" s="9" t="s">
        <v>39</v>
      </c>
      <c r="H123" s="9">
        <v>53</v>
      </c>
      <c r="I123" s="9" t="s">
        <v>40</v>
      </c>
      <c r="J123" s="9">
        <v>5309</v>
      </c>
      <c r="K123" s="9" t="s">
        <v>41</v>
      </c>
      <c r="L123" s="9">
        <v>5309073</v>
      </c>
      <c r="M123" s="9">
        <v>5309073008</v>
      </c>
      <c r="N123" s="9" t="s">
        <v>42</v>
      </c>
      <c r="O123" s="9">
        <v>10421</v>
      </c>
      <c r="P123" s="9" t="s">
        <v>510</v>
      </c>
      <c r="Q123" s="10">
        <v>3</v>
      </c>
      <c r="R123" s="10">
        <v>980000</v>
      </c>
      <c r="S123" s="10">
        <v>1200000</v>
      </c>
      <c r="T123" s="10">
        <v>0</v>
      </c>
      <c r="U123" s="10">
        <v>200000</v>
      </c>
      <c r="V123" s="10">
        <v>0</v>
      </c>
      <c r="W123" s="10">
        <v>2380000</v>
      </c>
      <c r="X123" s="10">
        <v>8200000</v>
      </c>
      <c r="Y123" s="10">
        <v>0</v>
      </c>
      <c r="Z123" s="10">
        <v>6800000</v>
      </c>
      <c r="AA123" s="10">
        <v>850000</v>
      </c>
      <c r="AB123" s="10">
        <v>8200000</v>
      </c>
      <c r="AC123" s="10">
        <v>0</v>
      </c>
      <c r="AD123" s="9" t="s">
        <v>44</v>
      </c>
      <c r="AE123" s="10" t="s">
        <v>2324</v>
      </c>
      <c r="AF123" s="13">
        <v>2733333333</v>
      </c>
      <c r="AG123" s="10">
        <v>1</v>
      </c>
      <c r="AH123" s="10">
        <v>1</v>
      </c>
      <c r="AI123" s="10">
        <v>1</v>
      </c>
      <c r="AJ123" s="12" t="s">
        <v>511</v>
      </c>
      <c r="AK123" s="10">
        <v>0</v>
      </c>
      <c r="AL123" s="10">
        <v>0</v>
      </c>
      <c r="AM123" s="9">
        <v>2015</v>
      </c>
      <c r="AN123" s="10">
        <v>2</v>
      </c>
      <c r="AO123" s="10">
        <v>1</v>
      </c>
      <c r="AP123" s="6"/>
      <c r="AQ123" s="7"/>
      <c r="AR123" s="8"/>
      <c r="AS123" s="4">
        <f t="shared" si="3"/>
        <v>1400000</v>
      </c>
      <c r="AT123" s="4">
        <f t="shared" si="4"/>
        <v>4756001.6785888271</v>
      </c>
      <c r="AU123" s="4">
        <f t="shared" si="5"/>
        <v>3443998.3214111729</v>
      </c>
      <c r="AV123" s="9" t="s">
        <v>510</v>
      </c>
      <c r="AW123" s="12" t="s">
        <v>511</v>
      </c>
      <c r="AX123" s="10">
        <v>0</v>
      </c>
      <c r="AY123">
        <f>S123*AU123/AS123</f>
        <v>2951998.5612095767</v>
      </c>
      <c r="AZ123">
        <f>AU123-AY123</f>
        <v>491999.76020159619</v>
      </c>
      <c r="BA123" s="10">
        <v>8200000</v>
      </c>
      <c r="BB123" s="10">
        <v>0</v>
      </c>
      <c r="BC123" s="9" t="s">
        <v>42</v>
      </c>
      <c r="BD123" s="9">
        <v>10421</v>
      </c>
      <c r="BE123" t="s">
        <v>46</v>
      </c>
    </row>
    <row r="124" spans="1:57" ht="270.75" thickBot="1" x14ac:dyDescent="0.3">
      <c r="A124" s="9" t="s">
        <v>512</v>
      </c>
      <c r="B124" s="9">
        <v>3001</v>
      </c>
      <c r="C124" s="10">
        <v>2</v>
      </c>
      <c r="D124" s="9" t="s">
        <v>37</v>
      </c>
      <c r="E124" s="14">
        <v>46243.366956018515</v>
      </c>
      <c r="F124" s="9" t="s">
        <v>513</v>
      </c>
      <c r="G124" s="9" t="s">
        <v>39</v>
      </c>
      <c r="H124" s="9">
        <v>53</v>
      </c>
      <c r="I124" s="9" t="s">
        <v>40</v>
      </c>
      <c r="J124" s="9">
        <v>5309</v>
      </c>
      <c r="K124" s="9" t="s">
        <v>41</v>
      </c>
      <c r="L124" s="9">
        <v>5309062</v>
      </c>
      <c r="M124" s="9">
        <v>5309062007</v>
      </c>
      <c r="N124" s="9" t="s">
        <v>42</v>
      </c>
      <c r="O124" s="9">
        <v>10421</v>
      </c>
      <c r="P124" s="9" t="s">
        <v>514</v>
      </c>
      <c r="Q124" s="10">
        <v>2</v>
      </c>
      <c r="R124" s="10">
        <v>750000</v>
      </c>
      <c r="S124" s="10">
        <v>150000</v>
      </c>
      <c r="T124" s="10">
        <v>0</v>
      </c>
      <c r="U124" s="10">
        <v>200000</v>
      </c>
      <c r="V124" s="10">
        <v>0</v>
      </c>
      <c r="W124" s="10">
        <v>1100000</v>
      </c>
      <c r="X124" s="10">
        <v>6500000</v>
      </c>
      <c r="Y124" s="10">
        <v>450000</v>
      </c>
      <c r="Z124" s="10">
        <v>6150000</v>
      </c>
      <c r="AA124" s="10">
        <v>8000000</v>
      </c>
      <c r="AB124" s="10">
        <v>6500000</v>
      </c>
      <c r="AC124" s="10">
        <v>0</v>
      </c>
      <c r="AD124" s="9" t="s">
        <v>44</v>
      </c>
      <c r="AE124" s="10" t="s">
        <v>2261</v>
      </c>
      <c r="AF124" s="10">
        <v>3250000</v>
      </c>
      <c r="AG124" s="10">
        <v>1</v>
      </c>
      <c r="AH124" s="10">
        <v>1</v>
      </c>
      <c r="AI124" s="10">
        <v>1</v>
      </c>
      <c r="AJ124" s="12" t="s">
        <v>515</v>
      </c>
      <c r="AK124" s="10">
        <v>0</v>
      </c>
      <c r="AL124" s="10">
        <v>0</v>
      </c>
      <c r="AM124" s="9">
        <v>2017</v>
      </c>
      <c r="AN124" s="10">
        <v>1</v>
      </c>
      <c r="AO124" s="10">
        <v>1</v>
      </c>
      <c r="AP124" s="6"/>
      <c r="AQ124" s="7"/>
      <c r="AR124" s="8"/>
      <c r="AS124" s="4">
        <f t="shared" si="3"/>
        <v>350000</v>
      </c>
      <c r="AT124" s="4">
        <f t="shared" si="4"/>
        <v>3769999.3869919688</v>
      </c>
      <c r="AU124" s="4">
        <f t="shared" si="5"/>
        <v>2730000.6130080312</v>
      </c>
      <c r="AV124" s="9" t="s">
        <v>514</v>
      </c>
      <c r="AW124" s="12" t="s">
        <v>515</v>
      </c>
      <c r="AX124" s="10">
        <v>0</v>
      </c>
      <c r="AY124">
        <f>S124*AU124/AS124</f>
        <v>1170000.2627177276</v>
      </c>
      <c r="AZ124">
        <f>AU124-AY124</f>
        <v>1560000.3502903036</v>
      </c>
      <c r="BA124" s="10">
        <v>6500000</v>
      </c>
      <c r="BB124" s="10">
        <v>450000</v>
      </c>
      <c r="BC124" s="9" t="s">
        <v>42</v>
      </c>
      <c r="BD124" s="9">
        <v>10421</v>
      </c>
      <c r="BE124" t="s">
        <v>46</v>
      </c>
    </row>
    <row r="125" spans="1:57" ht="270.75" thickBot="1" x14ac:dyDescent="0.3">
      <c r="A125" s="9" t="s">
        <v>516</v>
      </c>
      <c r="B125" s="9">
        <v>3001</v>
      </c>
      <c r="C125" s="10">
        <v>2</v>
      </c>
      <c r="D125" s="9" t="s">
        <v>84</v>
      </c>
      <c r="E125" s="11">
        <v>46310.575776307873</v>
      </c>
      <c r="F125" s="9" t="s">
        <v>517</v>
      </c>
      <c r="G125" s="9" t="s">
        <v>39</v>
      </c>
      <c r="H125" s="9">
        <v>53</v>
      </c>
      <c r="I125" s="9" t="s">
        <v>40</v>
      </c>
      <c r="J125" s="9">
        <v>5309</v>
      </c>
      <c r="K125" s="9" t="s">
        <v>41</v>
      </c>
      <c r="L125" s="9">
        <v>5309062</v>
      </c>
      <c r="M125" s="9">
        <v>5309062007</v>
      </c>
      <c r="N125" s="9" t="s">
        <v>42</v>
      </c>
      <c r="O125" s="9">
        <v>10421</v>
      </c>
      <c r="P125" s="9" t="s">
        <v>518</v>
      </c>
      <c r="Q125" s="10">
        <v>3</v>
      </c>
      <c r="R125" s="10">
        <v>850000</v>
      </c>
      <c r="S125" s="10">
        <v>150000</v>
      </c>
      <c r="T125" s="10">
        <v>0</v>
      </c>
      <c r="U125" s="10">
        <v>200000</v>
      </c>
      <c r="V125" s="10">
        <v>0</v>
      </c>
      <c r="W125" s="10">
        <v>1200000</v>
      </c>
      <c r="X125" s="10">
        <v>15200000</v>
      </c>
      <c r="Y125" s="10">
        <v>700000</v>
      </c>
      <c r="Z125" s="10">
        <v>14850000</v>
      </c>
      <c r="AA125" s="10">
        <v>9000000</v>
      </c>
      <c r="AB125" s="10">
        <v>15200000</v>
      </c>
      <c r="AC125" s="10">
        <v>0</v>
      </c>
      <c r="AD125" s="9" t="s">
        <v>44</v>
      </c>
      <c r="AE125" s="10" t="s">
        <v>2325</v>
      </c>
      <c r="AF125" s="13">
        <v>5066666667</v>
      </c>
      <c r="AG125" s="10">
        <v>1</v>
      </c>
      <c r="AH125" s="10">
        <v>1</v>
      </c>
      <c r="AI125" s="10">
        <v>1</v>
      </c>
      <c r="AJ125" s="12" t="s">
        <v>519</v>
      </c>
      <c r="AK125" s="10">
        <v>0</v>
      </c>
      <c r="AL125" s="10">
        <v>0</v>
      </c>
      <c r="AM125" s="9">
        <v>2024</v>
      </c>
      <c r="AN125" s="10">
        <v>1</v>
      </c>
      <c r="AO125" s="10">
        <v>2</v>
      </c>
      <c r="AP125" s="6"/>
      <c r="AQ125" s="7"/>
      <c r="AR125" s="8"/>
      <c r="AS125" s="4">
        <f t="shared" si="3"/>
        <v>350000</v>
      </c>
      <c r="AT125" s="4">
        <f t="shared" si="4"/>
        <v>8815997.1503847595</v>
      </c>
      <c r="AU125" s="4">
        <f t="shared" si="5"/>
        <v>6384002.8496152405</v>
      </c>
      <c r="AV125" s="9" t="s">
        <v>518</v>
      </c>
      <c r="AW125" s="12" t="s">
        <v>519</v>
      </c>
      <c r="AX125" s="10">
        <v>0</v>
      </c>
      <c r="AY125">
        <f>S125*AU125/AS125</f>
        <v>2736001.2212636741</v>
      </c>
      <c r="AZ125">
        <f>AU125-AY125</f>
        <v>3648001.6283515664</v>
      </c>
      <c r="BA125" s="10">
        <v>15200000</v>
      </c>
      <c r="BB125" s="10">
        <v>700000</v>
      </c>
      <c r="BC125" s="9" t="s">
        <v>42</v>
      </c>
      <c r="BD125" s="9">
        <v>10421</v>
      </c>
      <c r="BE125" t="s">
        <v>46</v>
      </c>
    </row>
    <row r="126" spans="1:57" ht="270.75" thickBot="1" x14ac:dyDescent="0.3">
      <c r="A126" s="9" t="s">
        <v>520</v>
      </c>
      <c r="B126" s="9">
        <v>1001</v>
      </c>
      <c r="C126" s="10">
        <v>2</v>
      </c>
      <c r="D126" s="9" t="s">
        <v>37</v>
      </c>
      <c r="E126" s="11">
        <v>46249.374332974534</v>
      </c>
      <c r="F126" s="9" t="s">
        <v>521</v>
      </c>
      <c r="G126" s="9" t="s">
        <v>39</v>
      </c>
      <c r="H126" s="9">
        <v>53</v>
      </c>
      <c r="I126" s="9" t="s">
        <v>40</v>
      </c>
      <c r="J126" s="9">
        <v>5309</v>
      </c>
      <c r="K126" s="9" t="s">
        <v>41</v>
      </c>
      <c r="L126" s="9">
        <v>5309060</v>
      </c>
      <c r="M126" s="9">
        <v>5309060041</v>
      </c>
      <c r="N126" s="9" t="s">
        <v>42</v>
      </c>
      <c r="O126" s="9">
        <v>10421</v>
      </c>
      <c r="P126" s="9" t="s">
        <v>522</v>
      </c>
      <c r="Q126" s="10">
        <v>9</v>
      </c>
      <c r="R126" s="10">
        <v>4200000</v>
      </c>
      <c r="S126" s="10">
        <v>12000000</v>
      </c>
      <c r="T126" s="10">
        <v>0</v>
      </c>
      <c r="U126" s="10">
        <v>500000</v>
      </c>
      <c r="V126" s="10">
        <v>0</v>
      </c>
      <c r="W126" s="10">
        <v>16700000</v>
      </c>
      <c r="X126" s="10">
        <v>51000000</v>
      </c>
      <c r="Y126" s="10">
        <v>0</v>
      </c>
      <c r="Z126" s="10">
        <v>38500000</v>
      </c>
      <c r="AA126" s="10">
        <v>1500000</v>
      </c>
      <c r="AB126" s="10">
        <v>51000000</v>
      </c>
      <c r="AC126" s="10">
        <v>0</v>
      </c>
      <c r="AD126" s="9" t="s">
        <v>44</v>
      </c>
      <c r="AE126" s="10" t="s">
        <v>2326</v>
      </c>
      <c r="AF126" s="13">
        <v>5666666667</v>
      </c>
      <c r="AG126" s="10">
        <v>1</v>
      </c>
      <c r="AH126" s="10">
        <v>1</v>
      </c>
      <c r="AI126" s="10">
        <v>1</v>
      </c>
      <c r="AJ126" s="12" t="s">
        <v>523</v>
      </c>
      <c r="AK126" s="10">
        <v>0</v>
      </c>
      <c r="AL126" s="10">
        <v>0</v>
      </c>
      <c r="AM126" s="9">
        <v>2019</v>
      </c>
      <c r="AN126" s="10">
        <v>5</v>
      </c>
      <c r="AO126" s="10">
        <v>4</v>
      </c>
      <c r="AP126" s="6"/>
      <c r="AQ126" s="7"/>
      <c r="AR126" s="8"/>
      <c r="AS126" s="4">
        <f t="shared" si="3"/>
        <v>12500000</v>
      </c>
      <c r="AT126" s="4">
        <f t="shared" si="4"/>
        <v>29579998.463376705</v>
      </c>
      <c r="AU126" s="4">
        <f t="shared" si="5"/>
        <v>21420001.536623295</v>
      </c>
      <c r="AV126" s="9" t="s">
        <v>522</v>
      </c>
      <c r="AW126" s="12" t="s">
        <v>523</v>
      </c>
      <c r="AX126" s="10">
        <v>0</v>
      </c>
      <c r="AY126">
        <f>S126*AU126/AS126</f>
        <v>20563201.475158364</v>
      </c>
      <c r="AZ126">
        <f>AU126-AY126</f>
        <v>856800.06146493182</v>
      </c>
      <c r="BA126" s="10">
        <v>51000000</v>
      </c>
      <c r="BB126" s="10">
        <v>0</v>
      </c>
      <c r="BC126" s="9" t="s">
        <v>42</v>
      </c>
      <c r="BD126" s="9">
        <v>10421</v>
      </c>
      <c r="BE126" t="s">
        <v>46</v>
      </c>
    </row>
    <row r="127" spans="1:57" ht="270.75" thickBot="1" x14ac:dyDescent="0.3">
      <c r="A127" s="9" t="s">
        <v>524</v>
      </c>
      <c r="B127" s="9">
        <v>3001</v>
      </c>
      <c r="C127" s="10">
        <v>2</v>
      </c>
      <c r="D127" s="9" t="s">
        <v>37</v>
      </c>
      <c r="E127" s="14">
        <v>46215.095185185186</v>
      </c>
      <c r="F127" s="9" t="s">
        <v>525</v>
      </c>
      <c r="G127" s="9" t="s">
        <v>39</v>
      </c>
      <c r="H127" s="9">
        <v>53</v>
      </c>
      <c r="I127" s="9" t="s">
        <v>40</v>
      </c>
      <c r="J127" s="9">
        <v>5309</v>
      </c>
      <c r="K127" s="9" t="s">
        <v>41</v>
      </c>
      <c r="L127" s="9">
        <v>5309062</v>
      </c>
      <c r="M127" s="9">
        <v>5309062002</v>
      </c>
      <c r="N127" s="9" t="s">
        <v>42</v>
      </c>
      <c r="O127" s="9">
        <v>10421</v>
      </c>
      <c r="P127" s="9" t="s">
        <v>106</v>
      </c>
      <c r="Q127" s="10">
        <v>3</v>
      </c>
      <c r="R127" s="10">
        <v>0</v>
      </c>
      <c r="S127" s="10">
        <v>150000</v>
      </c>
      <c r="T127" s="10">
        <v>0</v>
      </c>
      <c r="U127" s="10">
        <v>500000</v>
      </c>
      <c r="V127" s="10">
        <v>0</v>
      </c>
      <c r="W127" s="10">
        <v>650000</v>
      </c>
      <c r="X127" s="10">
        <v>10800000</v>
      </c>
      <c r="Y127" s="10">
        <v>0</v>
      </c>
      <c r="Z127" s="10">
        <v>10150000</v>
      </c>
      <c r="AA127" s="10">
        <v>2000000</v>
      </c>
      <c r="AB127" s="10">
        <v>10800000</v>
      </c>
      <c r="AC127" s="10">
        <v>0</v>
      </c>
      <c r="AD127" s="9" t="s">
        <v>44</v>
      </c>
      <c r="AE127" s="10" t="s">
        <v>2327</v>
      </c>
      <c r="AF127" s="10">
        <v>3600000</v>
      </c>
      <c r="AG127" s="10">
        <v>1</v>
      </c>
      <c r="AH127" s="10">
        <v>1</v>
      </c>
      <c r="AI127" s="10">
        <v>1</v>
      </c>
      <c r="AJ127" s="12" t="s">
        <v>526</v>
      </c>
      <c r="AK127" s="10">
        <v>0</v>
      </c>
      <c r="AL127" s="10">
        <v>0</v>
      </c>
      <c r="AM127" s="9">
        <v>1986</v>
      </c>
      <c r="AN127" s="10">
        <v>0</v>
      </c>
      <c r="AO127" s="10">
        <v>3</v>
      </c>
      <c r="AP127" s="6"/>
      <c r="AQ127" s="7"/>
      <c r="AR127" s="8"/>
      <c r="AS127" s="4">
        <f t="shared" si="3"/>
        <v>650000</v>
      </c>
      <c r="AT127" s="4">
        <f t="shared" si="4"/>
        <v>6263998.765714529</v>
      </c>
      <c r="AU127" s="4">
        <f t="shared" si="5"/>
        <v>4536001.234285471</v>
      </c>
      <c r="AV127" s="9" t="s">
        <v>106</v>
      </c>
      <c r="AW127" s="12" t="s">
        <v>526</v>
      </c>
      <c r="AX127" s="10">
        <v>0</v>
      </c>
      <c r="AY127">
        <f>S127*AU127/AS127</f>
        <v>1046769.5156043395</v>
      </c>
      <c r="AZ127">
        <f>AU127-AY127</f>
        <v>3489231.7186811315</v>
      </c>
      <c r="BA127" s="10">
        <v>10800000</v>
      </c>
      <c r="BB127" s="10">
        <v>0</v>
      </c>
      <c r="BC127" s="9" t="s">
        <v>42</v>
      </c>
      <c r="BD127" s="9">
        <v>10421</v>
      </c>
      <c r="BE127" t="s">
        <v>46</v>
      </c>
    </row>
    <row r="128" spans="1:57" ht="270.75" thickBot="1" x14ac:dyDescent="0.3">
      <c r="A128" s="9" t="s">
        <v>527</v>
      </c>
      <c r="B128" s="9">
        <v>3001</v>
      </c>
      <c r="C128" s="10">
        <v>2</v>
      </c>
      <c r="D128" s="9" t="s">
        <v>37</v>
      </c>
      <c r="E128" s="11">
        <v>46226.150923819441</v>
      </c>
      <c r="F128" s="9" t="s">
        <v>528</v>
      </c>
      <c r="G128" s="9" t="s">
        <v>39</v>
      </c>
      <c r="H128" s="9">
        <v>53</v>
      </c>
      <c r="I128" s="9" t="s">
        <v>40</v>
      </c>
      <c r="J128" s="9">
        <v>5309</v>
      </c>
      <c r="K128" s="9" t="s">
        <v>41</v>
      </c>
      <c r="L128" s="9">
        <v>5309062</v>
      </c>
      <c r="M128" s="9">
        <v>5309062008</v>
      </c>
      <c r="N128" s="9" t="s">
        <v>42</v>
      </c>
      <c r="O128" s="9">
        <v>10421</v>
      </c>
      <c r="P128" s="9" t="s">
        <v>141</v>
      </c>
      <c r="Q128" s="10">
        <v>2</v>
      </c>
      <c r="R128" s="10">
        <v>0</v>
      </c>
      <c r="S128" s="10">
        <v>700000</v>
      </c>
      <c r="T128" s="10">
        <v>0</v>
      </c>
      <c r="U128" s="10">
        <v>100000</v>
      </c>
      <c r="V128" s="10">
        <v>0</v>
      </c>
      <c r="W128" s="10">
        <v>800000</v>
      </c>
      <c r="X128" s="10">
        <v>3600000</v>
      </c>
      <c r="Y128" s="10">
        <v>0</v>
      </c>
      <c r="Z128" s="10">
        <v>2800000</v>
      </c>
      <c r="AA128" s="10">
        <v>2400000</v>
      </c>
      <c r="AB128" s="10">
        <v>3600000</v>
      </c>
      <c r="AC128" s="10">
        <v>0</v>
      </c>
      <c r="AD128" s="9" t="s">
        <v>44</v>
      </c>
      <c r="AE128" s="10" t="s">
        <v>2328</v>
      </c>
      <c r="AF128" s="10">
        <v>1800000</v>
      </c>
      <c r="AG128" s="10">
        <v>1</v>
      </c>
      <c r="AH128" s="10">
        <v>1</v>
      </c>
      <c r="AI128" s="10">
        <v>1</v>
      </c>
      <c r="AJ128" s="12" t="s">
        <v>529</v>
      </c>
      <c r="AK128" s="10">
        <v>0</v>
      </c>
      <c r="AL128" s="10">
        <v>0</v>
      </c>
      <c r="AM128" s="9">
        <v>2020</v>
      </c>
      <c r="AN128" s="10">
        <v>0</v>
      </c>
      <c r="AO128" s="10">
        <v>2</v>
      </c>
      <c r="AP128" s="6"/>
      <c r="AQ128" s="7"/>
      <c r="AR128" s="8"/>
      <c r="AS128" s="4">
        <f t="shared" si="3"/>
        <v>800000</v>
      </c>
      <c r="AT128" s="4">
        <f t="shared" si="4"/>
        <v>2087999.403428742</v>
      </c>
      <c r="AU128" s="4">
        <f t="shared" si="5"/>
        <v>1512000.596571258</v>
      </c>
      <c r="AV128" s="9" t="s">
        <v>141</v>
      </c>
      <c r="AW128" s="12" t="s">
        <v>529</v>
      </c>
      <c r="AX128" s="10">
        <v>0</v>
      </c>
      <c r="AY128">
        <f>S128*AU128/AS128</f>
        <v>1323000.5219998509</v>
      </c>
      <c r="AZ128">
        <f>AU128-AY128</f>
        <v>189000.07457140717</v>
      </c>
      <c r="BA128" s="10">
        <v>3600000</v>
      </c>
      <c r="BB128" s="10">
        <v>0</v>
      </c>
      <c r="BC128" s="9" t="s">
        <v>42</v>
      </c>
      <c r="BD128" s="9">
        <v>10421</v>
      </c>
      <c r="BE128" t="s">
        <v>46</v>
      </c>
    </row>
    <row r="129" spans="1:57" ht="270.75" thickBot="1" x14ac:dyDescent="0.3">
      <c r="A129" s="9" t="s">
        <v>530</v>
      </c>
      <c r="B129" s="9">
        <v>3001</v>
      </c>
      <c r="C129" s="10">
        <v>2</v>
      </c>
      <c r="D129" s="9" t="s">
        <v>37</v>
      </c>
      <c r="E129" s="11">
        <v>46276.951420740741</v>
      </c>
      <c r="F129" s="9" t="s">
        <v>531</v>
      </c>
      <c r="G129" s="9" t="s">
        <v>39</v>
      </c>
      <c r="H129" s="9">
        <v>53</v>
      </c>
      <c r="I129" s="9" t="s">
        <v>40</v>
      </c>
      <c r="J129" s="9">
        <v>5309</v>
      </c>
      <c r="K129" s="9" t="s">
        <v>41</v>
      </c>
      <c r="L129" s="9">
        <v>5309074</v>
      </c>
      <c r="M129" s="9">
        <v>5309074007</v>
      </c>
      <c r="N129" s="9" t="s">
        <v>42</v>
      </c>
      <c r="O129" s="9">
        <v>10421</v>
      </c>
      <c r="P129" s="9" t="s">
        <v>152</v>
      </c>
      <c r="Q129" s="10">
        <v>3</v>
      </c>
      <c r="R129" s="10">
        <v>1200000</v>
      </c>
      <c r="S129" s="10">
        <v>2500000</v>
      </c>
      <c r="T129" s="10">
        <v>0</v>
      </c>
      <c r="U129" s="10">
        <v>150000</v>
      </c>
      <c r="V129" s="10">
        <v>0</v>
      </c>
      <c r="W129" s="10">
        <v>3850000</v>
      </c>
      <c r="X129" s="10">
        <v>15800000</v>
      </c>
      <c r="Y129" s="10">
        <v>0</v>
      </c>
      <c r="Z129" s="10">
        <v>13150000</v>
      </c>
      <c r="AA129" s="10">
        <v>1300000</v>
      </c>
      <c r="AB129" s="10">
        <v>15800000</v>
      </c>
      <c r="AC129" s="10">
        <v>0</v>
      </c>
      <c r="AD129" s="9" t="s">
        <v>44</v>
      </c>
      <c r="AE129" s="10" t="s">
        <v>2329</v>
      </c>
      <c r="AF129" s="13">
        <v>5266666667</v>
      </c>
      <c r="AG129" s="10">
        <v>1</v>
      </c>
      <c r="AH129" s="10">
        <v>1</v>
      </c>
      <c r="AI129" s="10">
        <v>1</v>
      </c>
      <c r="AJ129" s="12" t="s">
        <v>532</v>
      </c>
      <c r="AK129" s="10">
        <v>0</v>
      </c>
      <c r="AL129" s="10">
        <v>0</v>
      </c>
      <c r="AM129" s="9">
        <v>2017</v>
      </c>
      <c r="AN129" s="10">
        <v>2</v>
      </c>
      <c r="AO129" s="10">
        <v>1</v>
      </c>
      <c r="AP129" s="6"/>
      <c r="AQ129" s="7"/>
      <c r="AR129" s="8"/>
      <c r="AS129" s="4">
        <f t="shared" si="3"/>
        <v>2650000</v>
      </c>
      <c r="AT129" s="4">
        <f t="shared" si="4"/>
        <v>9164005.2963072434</v>
      </c>
      <c r="AU129" s="4">
        <f t="shared" si="5"/>
        <v>6635994.7036927566</v>
      </c>
      <c r="AV129" s="9" t="s">
        <v>152</v>
      </c>
      <c r="AW129" s="12" t="s">
        <v>532</v>
      </c>
      <c r="AX129" s="10">
        <v>0</v>
      </c>
      <c r="AY129">
        <f>S129*AU129/AS129</f>
        <v>6260372.361974298</v>
      </c>
      <c r="AZ129">
        <f>AU129-AY129</f>
        <v>375622.34171845857</v>
      </c>
      <c r="BA129" s="10">
        <v>15800000</v>
      </c>
      <c r="BB129" s="10">
        <v>0</v>
      </c>
      <c r="BC129" s="9" t="s">
        <v>42</v>
      </c>
      <c r="BD129" s="9">
        <v>10421</v>
      </c>
      <c r="BE129" t="s">
        <v>46</v>
      </c>
    </row>
    <row r="130" spans="1:57" ht="270.75" thickBot="1" x14ac:dyDescent="0.3">
      <c r="A130" s="9" t="s">
        <v>533</v>
      </c>
      <c r="B130" s="9">
        <v>1003</v>
      </c>
      <c r="C130" s="10">
        <v>2</v>
      </c>
      <c r="D130" s="9" t="s">
        <v>37</v>
      </c>
      <c r="E130" s="11">
        <v>46261.131974027776</v>
      </c>
      <c r="F130" s="9" t="s">
        <v>534</v>
      </c>
      <c r="G130" s="9" t="s">
        <v>39</v>
      </c>
      <c r="H130" s="9">
        <v>53</v>
      </c>
      <c r="I130" s="9" t="s">
        <v>40</v>
      </c>
      <c r="J130" s="9">
        <v>5309</v>
      </c>
      <c r="K130" s="9" t="s">
        <v>41</v>
      </c>
      <c r="L130" s="9">
        <v>5309062</v>
      </c>
      <c r="M130" s="9">
        <v>5309062006</v>
      </c>
      <c r="N130" s="9" t="s">
        <v>42</v>
      </c>
      <c r="O130" s="9">
        <v>10421</v>
      </c>
      <c r="P130" s="9" t="s">
        <v>535</v>
      </c>
      <c r="Q130" s="10">
        <v>2</v>
      </c>
      <c r="R130" s="10">
        <v>400000</v>
      </c>
      <c r="S130" s="10">
        <v>300000</v>
      </c>
      <c r="T130" s="10">
        <v>0</v>
      </c>
      <c r="U130" s="10">
        <v>300000</v>
      </c>
      <c r="V130" s="10">
        <v>0</v>
      </c>
      <c r="W130" s="10">
        <v>1000000</v>
      </c>
      <c r="X130" s="10">
        <v>6300000</v>
      </c>
      <c r="Y130" s="10">
        <v>0</v>
      </c>
      <c r="Z130" s="10">
        <v>5700000</v>
      </c>
      <c r="AA130" s="10">
        <v>4500000</v>
      </c>
      <c r="AB130" s="10">
        <v>6300000</v>
      </c>
      <c r="AC130" s="10">
        <v>0</v>
      </c>
      <c r="AD130" s="9" t="s">
        <v>44</v>
      </c>
      <c r="AE130" s="10" t="s">
        <v>2309</v>
      </c>
      <c r="AF130" s="10">
        <v>3150000</v>
      </c>
      <c r="AG130" s="10">
        <v>1</v>
      </c>
      <c r="AH130" s="10">
        <v>1</v>
      </c>
      <c r="AI130" s="10">
        <v>1</v>
      </c>
      <c r="AJ130" s="12" t="s">
        <v>536</v>
      </c>
      <c r="AK130" s="10">
        <v>0</v>
      </c>
      <c r="AL130" s="10">
        <v>0</v>
      </c>
      <c r="AM130" s="9">
        <v>2023</v>
      </c>
      <c r="AN130" s="10">
        <v>1</v>
      </c>
      <c r="AO130" s="10">
        <v>1</v>
      </c>
      <c r="AP130" s="6"/>
      <c r="AQ130" s="7"/>
      <c r="AR130" s="8"/>
      <c r="AS130" s="4">
        <f t="shared" si="3"/>
        <v>600000</v>
      </c>
      <c r="AT130" s="4">
        <f t="shared" si="4"/>
        <v>3653999.6153684617</v>
      </c>
      <c r="AU130" s="4">
        <f t="shared" si="5"/>
        <v>2646000.3846315383</v>
      </c>
      <c r="AV130" s="9" t="s">
        <v>535</v>
      </c>
      <c r="AW130" s="12" t="s">
        <v>536</v>
      </c>
      <c r="AX130" s="10">
        <v>0</v>
      </c>
      <c r="AY130">
        <f>S130*AU130/AS130</f>
        <v>1323000.1923157691</v>
      </c>
      <c r="AZ130">
        <f>AU130-AY130</f>
        <v>1323000.1923157691</v>
      </c>
      <c r="BA130" s="10">
        <v>6300000</v>
      </c>
      <c r="BB130" s="10">
        <v>0</v>
      </c>
      <c r="BC130" s="9" t="s">
        <v>42</v>
      </c>
      <c r="BD130" s="9">
        <v>10421</v>
      </c>
      <c r="BE130" t="s">
        <v>46</v>
      </c>
    </row>
    <row r="131" spans="1:57" ht="270.75" thickBot="1" x14ac:dyDescent="0.3">
      <c r="A131" s="9" t="s">
        <v>537</v>
      </c>
      <c r="B131" s="9">
        <v>3002</v>
      </c>
      <c r="C131" s="10">
        <v>2</v>
      </c>
      <c r="D131" s="9" t="s">
        <v>37</v>
      </c>
      <c r="E131" s="11">
        <v>46215.877316238424</v>
      </c>
      <c r="F131" s="9" t="s">
        <v>538</v>
      </c>
      <c r="G131" s="9" t="s">
        <v>39</v>
      </c>
      <c r="H131" s="9">
        <v>53</v>
      </c>
      <c r="I131" s="9" t="s">
        <v>40</v>
      </c>
      <c r="J131" s="9">
        <v>5309</v>
      </c>
      <c r="K131" s="9" t="s">
        <v>41</v>
      </c>
      <c r="L131" s="9">
        <v>5309062</v>
      </c>
      <c r="M131" s="9">
        <v>5309062004</v>
      </c>
      <c r="N131" s="9" t="s">
        <v>42</v>
      </c>
      <c r="O131" s="9">
        <v>10421</v>
      </c>
      <c r="P131" s="9" t="s">
        <v>539</v>
      </c>
      <c r="Q131" s="10">
        <v>4</v>
      </c>
      <c r="R131" s="10">
        <v>150000</v>
      </c>
      <c r="S131" s="10">
        <v>200000</v>
      </c>
      <c r="T131" s="10">
        <v>0</v>
      </c>
      <c r="U131" s="10">
        <v>100000</v>
      </c>
      <c r="V131" s="10">
        <v>0</v>
      </c>
      <c r="W131" s="10">
        <v>450000</v>
      </c>
      <c r="X131" s="10">
        <v>8500000</v>
      </c>
      <c r="Y131" s="10">
        <v>0</v>
      </c>
      <c r="Z131" s="10">
        <v>8200000</v>
      </c>
      <c r="AA131" s="10">
        <v>8450000</v>
      </c>
      <c r="AB131" s="10">
        <v>8500000</v>
      </c>
      <c r="AC131" s="10">
        <v>0</v>
      </c>
      <c r="AD131" s="9" t="s">
        <v>44</v>
      </c>
      <c r="AE131" s="10" t="s">
        <v>2330</v>
      </c>
      <c r="AF131" s="10">
        <v>2125000</v>
      </c>
      <c r="AG131" s="10">
        <v>1</v>
      </c>
      <c r="AH131" s="10">
        <v>1</v>
      </c>
      <c r="AI131" s="10">
        <v>1</v>
      </c>
      <c r="AJ131" s="12" t="s">
        <v>540</v>
      </c>
      <c r="AK131" s="10">
        <v>0</v>
      </c>
      <c r="AL131" s="10">
        <v>0</v>
      </c>
      <c r="AM131" s="9">
        <v>2000</v>
      </c>
      <c r="AN131" s="10">
        <v>2</v>
      </c>
      <c r="AO131" s="10">
        <v>2</v>
      </c>
      <c r="AP131" s="6"/>
      <c r="AQ131" s="3"/>
      <c r="AR131" s="8"/>
      <c r="AS131" s="4">
        <f t="shared" ref="AS131:AS194" si="6">AB131-Z131</f>
        <v>300000</v>
      </c>
      <c r="AT131" s="4">
        <f t="shared" ref="AT131:AT194" si="7">IF(AE131&gt;0.61,(Z131*0.58/AE131),IF(AE131&lt;0.15,(Z131*0.2/AE131),Z131))</f>
        <v>4929999.3987805611</v>
      </c>
      <c r="AU131" s="4">
        <f t="shared" ref="AU131:AU194" si="8">AB131-AT131</f>
        <v>3570000.6012194389</v>
      </c>
      <c r="AV131" s="9" t="s">
        <v>539</v>
      </c>
      <c r="AW131" s="12" t="s">
        <v>540</v>
      </c>
      <c r="AX131" s="10">
        <v>0</v>
      </c>
      <c r="AY131">
        <f>S131*AU131/AS131</f>
        <v>2380000.4008129593</v>
      </c>
      <c r="AZ131">
        <f>AU131-AY131</f>
        <v>1190000.2004064796</v>
      </c>
      <c r="BA131" s="10">
        <v>8500000</v>
      </c>
      <c r="BB131" s="10">
        <v>0</v>
      </c>
      <c r="BC131" s="9" t="s">
        <v>42</v>
      </c>
      <c r="BD131" s="9">
        <v>10421</v>
      </c>
      <c r="BE131" t="s">
        <v>46</v>
      </c>
    </row>
    <row r="132" spans="1:57" ht="270.75" thickBot="1" x14ac:dyDescent="0.3">
      <c r="A132" s="9" t="s">
        <v>541</v>
      </c>
      <c r="B132" s="9">
        <v>3002</v>
      </c>
      <c r="C132" s="10">
        <v>2</v>
      </c>
      <c r="D132" s="9" t="s">
        <v>37</v>
      </c>
      <c r="E132" s="14">
        <v>46230.464803240742</v>
      </c>
      <c r="F132" s="9" t="s">
        <v>542</v>
      </c>
      <c r="G132" s="9" t="s">
        <v>39</v>
      </c>
      <c r="H132" s="9">
        <v>53</v>
      </c>
      <c r="I132" s="9" t="s">
        <v>40</v>
      </c>
      <c r="J132" s="9">
        <v>5309</v>
      </c>
      <c r="K132" s="9" t="s">
        <v>41</v>
      </c>
      <c r="L132" s="9">
        <v>5309062</v>
      </c>
      <c r="M132" s="9">
        <v>5309062009</v>
      </c>
      <c r="N132" s="9" t="s">
        <v>42</v>
      </c>
      <c r="O132" s="9">
        <v>10421</v>
      </c>
      <c r="P132" s="9" t="s">
        <v>543</v>
      </c>
      <c r="Q132" s="10">
        <v>6</v>
      </c>
      <c r="R132" s="10">
        <v>1400000</v>
      </c>
      <c r="S132" s="10">
        <v>350000</v>
      </c>
      <c r="T132" s="10">
        <v>0</v>
      </c>
      <c r="U132" s="10">
        <v>400000</v>
      </c>
      <c r="V132" s="10">
        <v>0</v>
      </c>
      <c r="W132" s="10">
        <v>2150000</v>
      </c>
      <c r="X132" s="10">
        <v>9600000</v>
      </c>
      <c r="Y132" s="10">
        <v>0</v>
      </c>
      <c r="Z132" s="10">
        <v>8850000</v>
      </c>
      <c r="AA132" s="10">
        <v>4500000</v>
      </c>
      <c r="AB132" s="10">
        <v>9600000</v>
      </c>
      <c r="AC132" s="10">
        <v>0</v>
      </c>
      <c r="AD132" s="9" t="s">
        <v>44</v>
      </c>
      <c r="AE132" s="10" t="s">
        <v>2331</v>
      </c>
      <c r="AF132" s="10">
        <v>1600000</v>
      </c>
      <c r="AG132" s="10">
        <v>1</v>
      </c>
      <c r="AH132" s="10">
        <v>1</v>
      </c>
      <c r="AI132" s="10">
        <v>1</v>
      </c>
      <c r="AJ132" s="12" t="s">
        <v>544</v>
      </c>
      <c r="AK132" s="10">
        <v>0</v>
      </c>
      <c r="AL132" s="10">
        <v>0</v>
      </c>
      <c r="AM132" s="9">
        <v>2018</v>
      </c>
      <c r="AN132" s="10">
        <v>5</v>
      </c>
      <c r="AO132" s="10">
        <v>1</v>
      </c>
      <c r="AP132" s="6"/>
      <c r="AQ132" s="7"/>
      <c r="AR132" s="8"/>
      <c r="AS132" s="4">
        <f t="shared" si="6"/>
        <v>750000</v>
      </c>
      <c r="AT132" s="4">
        <f t="shared" si="7"/>
        <v>5568000</v>
      </c>
      <c r="AU132" s="4">
        <f t="shared" si="8"/>
        <v>4032000</v>
      </c>
      <c r="AV132" s="9" t="s">
        <v>543</v>
      </c>
      <c r="AW132" s="12" t="s">
        <v>544</v>
      </c>
      <c r="AX132" s="10">
        <v>0</v>
      </c>
      <c r="AY132">
        <f>S132*AU132/AS132</f>
        <v>1881600</v>
      </c>
      <c r="AZ132">
        <f>AU132-AY132</f>
        <v>2150400</v>
      </c>
      <c r="BA132" s="10">
        <v>9600000</v>
      </c>
      <c r="BB132" s="10">
        <v>0</v>
      </c>
      <c r="BC132" s="9" t="s">
        <v>42</v>
      </c>
      <c r="BD132" s="9">
        <v>10421</v>
      </c>
      <c r="BE132" t="s">
        <v>46</v>
      </c>
    </row>
    <row r="133" spans="1:57" ht="270.75" thickBot="1" x14ac:dyDescent="0.3">
      <c r="A133" s="9" t="s">
        <v>545</v>
      </c>
      <c r="B133" s="9">
        <v>3001</v>
      </c>
      <c r="C133" s="10">
        <v>2</v>
      </c>
      <c r="D133" s="9" t="s">
        <v>37</v>
      </c>
      <c r="E133" s="11">
        <v>46236.230232233793</v>
      </c>
      <c r="F133" s="9" t="s">
        <v>546</v>
      </c>
      <c r="G133" s="9" t="s">
        <v>39</v>
      </c>
      <c r="H133" s="9">
        <v>53</v>
      </c>
      <c r="I133" s="9" t="s">
        <v>40</v>
      </c>
      <c r="J133" s="9">
        <v>5309</v>
      </c>
      <c r="K133" s="9" t="s">
        <v>41</v>
      </c>
      <c r="L133" s="9">
        <v>5309062</v>
      </c>
      <c r="M133" s="9">
        <v>5309062004</v>
      </c>
      <c r="N133" s="9" t="s">
        <v>42</v>
      </c>
      <c r="O133" s="9">
        <v>10421</v>
      </c>
      <c r="P133" s="9" t="s">
        <v>547</v>
      </c>
      <c r="Q133" s="10">
        <v>2</v>
      </c>
      <c r="R133" s="10">
        <v>200000</v>
      </c>
      <c r="S133" s="10">
        <v>300000</v>
      </c>
      <c r="T133" s="10">
        <v>0</v>
      </c>
      <c r="U133" s="10">
        <v>100000</v>
      </c>
      <c r="V133" s="10">
        <v>0</v>
      </c>
      <c r="W133" s="10">
        <v>600000</v>
      </c>
      <c r="X133" s="10">
        <v>5500000</v>
      </c>
      <c r="Y133" s="10">
        <v>0</v>
      </c>
      <c r="Z133" s="10">
        <v>5100000</v>
      </c>
      <c r="AA133" s="10">
        <v>5150000</v>
      </c>
      <c r="AB133" s="10">
        <v>5500000</v>
      </c>
      <c r="AC133" s="10">
        <v>0</v>
      </c>
      <c r="AD133" s="9" t="s">
        <v>44</v>
      </c>
      <c r="AE133" s="10" t="s">
        <v>2332</v>
      </c>
      <c r="AF133" s="10">
        <v>2750000</v>
      </c>
      <c r="AG133" s="10">
        <v>1</v>
      </c>
      <c r="AH133" s="10">
        <v>1</v>
      </c>
      <c r="AI133" s="10">
        <v>1</v>
      </c>
      <c r="AJ133" s="12" t="s">
        <v>548</v>
      </c>
      <c r="AK133" s="10">
        <v>0</v>
      </c>
      <c r="AL133" s="10">
        <v>0</v>
      </c>
      <c r="AM133" s="9">
        <v>1990</v>
      </c>
      <c r="AN133" s="10">
        <v>1</v>
      </c>
      <c r="AO133" s="10">
        <v>1</v>
      </c>
      <c r="AP133" s="6"/>
      <c r="AQ133" s="7"/>
      <c r="AR133" s="8"/>
      <c r="AS133" s="4">
        <f t="shared" si="6"/>
        <v>400000</v>
      </c>
      <c r="AT133" s="4">
        <f t="shared" si="7"/>
        <v>3189999.0617649816</v>
      </c>
      <c r="AU133" s="4">
        <f t="shared" si="8"/>
        <v>2310000.9382350184</v>
      </c>
      <c r="AV133" s="9" t="s">
        <v>547</v>
      </c>
      <c r="AW133" s="12" t="s">
        <v>548</v>
      </c>
      <c r="AX133" s="10">
        <v>0</v>
      </c>
      <c r="AY133">
        <f>S133*AU133/AS133</f>
        <v>1732500.7036762638</v>
      </c>
      <c r="AZ133">
        <f>AU133-AY133</f>
        <v>577500.2345587546</v>
      </c>
      <c r="BA133" s="10">
        <v>5500000</v>
      </c>
      <c r="BB133" s="10">
        <v>0</v>
      </c>
      <c r="BC133" s="9" t="s">
        <v>42</v>
      </c>
      <c r="BD133" s="9">
        <v>10421</v>
      </c>
      <c r="BE133" t="s">
        <v>46</v>
      </c>
    </row>
    <row r="134" spans="1:57" ht="255.75" thickBot="1" x14ac:dyDescent="0.3">
      <c r="A134" s="9" t="s">
        <v>549</v>
      </c>
      <c r="B134" s="9">
        <v>3001</v>
      </c>
      <c r="C134" s="10">
        <v>2</v>
      </c>
      <c r="D134" s="9" t="s">
        <v>37</v>
      </c>
      <c r="E134" s="11">
        <v>46215.928377789351</v>
      </c>
      <c r="F134" s="9" t="s">
        <v>550</v>
      </c>
      <c r="G134" s="9" t="s">
        <v>39</v>
      </c>
      <c r="H134" s="9">
        <v>53</v>
      </c>
      <c r="I134" s="9" t="s">
        <v>40</v>
      </c>
      <c r="J134" s="9">
        <v>5309</v>
      </c>
      <c r="K134" s="9" t="s">
        <v>41</v>
      </c>
      <c r="L134" s="9">
        <v>5309062</v>
      </c>
      <c r="M134" s="9">
        <v>5309062004</v>
      </c>
      <c r="N134" s="9" t="s">
        <v>42</v>
      </c>
      <c r="O134" s="9">
        <v>10421</v>
      </c>
      <c r="P134" s="9" t="s">
        <v>551</v>
      </c>
      <c r="Q134" s="10">
        <v>4</v>
      </c>
      <c r="R134" s="10">
        <v>250000</v>
      </c>
      <c r="S134" s="10">
        <v>200000</v>
      </c>
      <c r="T134" s="10">
        <v>0</v>
      </c>
      <c r="U134" s="10">
        <v>100000</v>
      </c>
      <c r="V134" s="10">
        <v>0</v>
      </c>
      <c r="W134" s="10">
        <v>550000</v>
      </c>
      <c r="X134" s="10">
        <v>10500000</v>
      </c>
      <c r="Y134" s="10">
        <v>0</v>
      </c>
      <c r="Z134" s="10">
        <v>10200000</v>
      </c>
      <c r="AA134" s="10">
        <v>5100000</v>
      </c>
      <c r="AB134" s="10">
        <v>10500000</v>
      </c>
      <c r="AC134" s="10">
        <v>0</v>
      </c>
      <c r="AD134" s="9" t="s">
        <v>44</v>
      </c>
      <c r="AE134" s="10" t="s">
        <v>2225</v>
      </c>
      <c r="AF134" s="10">
        <v>2625000</v>
      </c>
      <c r="AG134" s="10">
        <v>1</v>
      </c>
      <c r="AH134" s="10">
        <v>1</v>
      </c>
      <c r="AI134" s="10">
        <v>1</v>
      </c>
      <c r="AJ134" s="12" t="s">
        <v>552</v>
      </c>
      <c r="AK134" s="10">
        <v>0</v>
      </c>
      <c r="AL134" s="10">
        <v>0</v>
      </c>
      <c r="AM134" s="9">
        <v>2012</v>
      </c>
      <c r="AN134" s="10">
        <v>2</v>
      </c>
      <c r="AO134" s="10">
        <v>2</v>
      </c>
      <c r="AP134" s="6"/>
      <c r="AQ134" s="7"/>
      <c r="AR134" s="8"/>
      <c r="AS134" s="4">
        <f t="shared" si="6"/>
        <v>300000</v>
      </c>
      <c r="AT134" s="4">
        <f t="shared" si="7"/>
        <v>6089997.3132364796</v>
      </c>
      <c r="AU134" s="4">
        <f t="shared" si="8"/>
        <v>4410002.6867635204</v>
      </c>
      <c r="AV134" s="9" t="s">
        <v>551</v>
      </c>
      <c r="AW134" s="12" t="s">
        <v>552</v>
      </c>
      <c r="AX134" s="10">
        <v>0</v>
      </c>
      <c r="AY134">
        <f>S134*AU134/AS134</f>
        <v>2940001.7911756802</v>
      </c>
      <c r="AZ134">
        <f>AU134-AY134</f>
        <v>1470000.8955878401</v>
      </c>
      <c r="BA134" s="10">
        <v>10500000</v>
      </c>
      <c r="BB134" s="10">
        <v>0</v>
      </c>
      <c r="BC134" s="9" t="s">
        <v>42</v>
      </c>
      <c r="BD134" s="9">
        <v>10421</v>
      </c>
      <c r="BE134" t="s">
        <v>46</v>
      </c>
    </row>
    <row r="135" spans="1:57" ht="255.75" thickBot="1" x14ac:dyDescent="0.3">
      <c r="A135" s="9" t="s">
        <v>553</v>
      </c>
      <c r="B135" s="9">
        <v>3002</v>
      </c>
      <c r="C135" s="10">
        <v>2</v>
      </c>
      <c r="D135" s="9" t="s">
        <v>84</v>
      </c>
      <c r="E135" s="11">
        <v>46309.339766122685</v>
      </c>
      <c r="F135" s="9" t="s">
        <v>554</v>
      </c>
      <c r="G135" s="9" t="s">
        <v>39</v>
      </c>
      <c r="H135" s="9">
        <v>53</v>
      </c>
      <c r="I135" s="9" t="s">
        <v>40</v>
      </c>
      <c r="J135" s="9">
        <v>5309</v>
      </c>
      <c r="K135" s="9" t="s">
        <v>41</v>
      </c>
      <c r="L135" s="9">
        <v>5309062</v>
      </c>
      <c r="M135" s="9">
        <v>5309062007</v>
      </c>
      <c r="N135" s="9" t="s">
        <v>42</v>
      </c>
      <c r="O135" s="9">
        <v>10421</v>
      </c>
      <c r="P135" s="9" t="s">
        <v>555</v>
      </c>
      <c r="Q135" s="10">
        <v>2</v>
      </c>
      <c r="R135" s="10">
        <v>0</v>
      </c>
      <c r="S135" s="10">
        <v>350000</v>
      </c>
      <c r="T135" s="10">
        <v>0</v>
      </c>
      <c r="U135" s="10">
        <v>350000</v>
      </c>
      <c r="V135" s="10">
        <v>0</v>
      </c>
      <c r="W135" s="10">
        <v>700000</v>
      </c>
      <c r="X135" s="10">
        <v>11500000</v>
      </c>
      <c r="Y135" s="10">
        <v>0</v>
      </c>
      <c r="Z135" s="10">
        <v>10800000</v>
      </c>
      <c r="AA135" s="10">
        <v>6400000</v>
      </c>
      <c r="AB135" s="10">
        <v>11500000</v>
      </c>
      <c r="AC135" s="10">
        <v>0</v>
      </c>
      <c r="AD135" s="9" t="s">
        <v>44</v>
      </c>
      <c r="AE135" s="10" t="s">
        <v>2333</v>
      </c>
      <c r="AF135" s="10">
        <v>5750000</v>
      </c>
      <c r="AG135" s="10">
        <v>1</v>
      </c>
      <c r="AH135" s="10">
        <v>1</v>
      </c>
      <c r="AI135" s="10">
        <v>1</v>
      </c>
      <c r="AJ135" s="12" t="s">
        <v>556</v>
      </c>
      <c r="AK135" s="10">
        <v>0</v>
      </c>
      <c r="AL135" s="10">
        <v>0</v>
      </c>
      <c r="AM135" s="9">
        <v>2013</v>
      </c>
      <c r="AN135" s="10">
        <v>0</v>
      </c>
      <c r="AO135" s="10">
        <v>2</v>
      </c>
      <c r="AP135" s="6"/>
      <c r="AQ135" s="7"/>
      <c r="AR135" s="8"/>
      <c r="AS135" s="4">
        <f t="shared" si="6"/>
        <v>700000</v>
      </c>
      <c r="AT135" s="4">
        <f t="shared" si="7"/>
        <v>6670003.0879643923</v>
      </c>
      <c r="AU135" s="4">
        <f t="shared" si="8"/>
        <v>4829996.9120356077</v>
      </c>
      <c r="AV135" s="9" t="s">
        <v>555</v>
      </c>
      <c r="AW135" s="12" t="s">
        <v>556</v>
      </c>
      <c r="AX135" s="10">
        <v>0</v>
      </c>
      <c r="AY135">
        <f>S135*AU135/AS135</f>
        <v>2414998.4560178039</v>
      </c>
      <c r="AZ135">
        <f>AU135-AY135</f>
        <v>2414998.4560178039</v>
      </c>
      <c r="BA135" s="10">
        <v>11500000</v>
      </c>
      <c r="BB135" s="10">
        <v>0</v>
      </c>
      <c r="BC135" s="9" t="s">
        <v>42</v>
      </c>
      <c r="BD135" s="9">
        <v>10421</v>
      </c>
      <c r="BE135" t="s">
        <v>46</v>
      </c>
    </row>
    <row r="136" spans="1:57" ht="270.75" thickBot="1" x14ac:dyDescent="0.3">
      <c r="A136" s="9" t="s">
        <v>557</v>
      </c>
      <c r="B136" s="9">
        <v>3001</v>
      </c>
      <c r="C136" s="10">
        <v>2</v>
      </c>
      <c r="D136" s="9" t="s">
        <v>37</v>
      </c>
      <c r="E136" s="11">
        <v>46250.53049701389</v>
      </c>
      <c r="F136" s="9" t="s">
        <v>558</v>
      </c>
      <c r="G136" s="9" t="s">
        <v>39</v>
      </c>
      <c r="H136" s="9">
        <v>53</v>
      </c>
      <c r="I136" s="9" t="s">
        <v>40</v>
      </c>
      <c r="J136" s="9">
        <v>5309</v>
      </c>
      <c r="K136" s="9" t="s">
        <v>41</v>
      </c>
      <c r="L136" s="9">
        <v>5309021</v>
      </c>
      <c r="M136" s="9">
        <v>5309021006</v>
      </c>
      <c r="N136" s="9" t="s">
        <v>42</v>
      </c>
      <c r="O136" s="9">
        <v>10421</v>
      </c>
      <c r="P136" s="9" t="s">
        <v>559</v>
      </c>
      <c r="Q136" s="10">
        <v>4</v>
      </c>
      <c r="R136" s="10">
        <v>420000</v>
      </c>
      <c r="S136" s="10">
        <v>1800000</v>
      </c>
      <c r="T136" s="10">
        <v>0</v>
      </c>
      <c r="U136" s="10">
        <v>200000</v>
      </c>
      <c r="V136" s="10">
        <v>0</v>
      </c>
      <c r="W136" s="10">
        <v>2420000</v>
      </c>
      <c r="X136" s="10">
        <v>8200000</v>
      </c>
      <c r="Y136" s="10">
        <v>750000</v>
      </c>
      <c r="Z136" s="10">
        <v>6200000</v>
      </c>
      <c r="AA136" s="10">
        <v>55200000</v>
      </c>
      <c r="AB136" s="10">
        <v>8200000</v>
      </c>
      <c r="AC136" s="10">
        <v>0</v>
      </c>
      <c r="AD136" s="9" t="s">
        <v>44</v>
      </c>
      <c r="AE136" s="10" t="s">
        <v>2334</v>
      </c>
      <c r="AF136" s="10">
        <v>2050000</v>
      </c>
      <c r="AG136" s="10">
        <v>1</v>
      </c>
      <c r="AH136" s="10">
        <v>1</v>
      </c>
      <c r="AI136" s="10">
        <v>1</v>
      </c>
      <c r="AJ136" s="12" t="s">
        <v>560</v>
      </c>
      <c r="AK136" s="10">
        <v>0</v>
      </c>
      <c r="AL136" s="10">
        <v>0</v>
      </c>
      <c r="AM136" s="9">
        <v>2005</v>
      </c>
      <c r="AN136" s="10">
        <v>1</v>
      </c>
      <c r="AO136" s="10">
        <v>3</v>
      </c>
      <c r="AP136" s="6"/>
      <c r="AQ136" s="7"/>
      <c r="AR136" s="8"/>
      <c r="AS136" s="4">
        <f t="shared" si="6"/>
        <v>2000000</v>
      </c>
      <c r="AT136" s="4">
        <f t="shared" si="7"/>
        <v>4755997.2384532159</v>
      </c>
      <c r="AU136" s="4">
        <f t="shared" si="8"/>
        <v>3444002.7615467841</v>
      </c>
      <c r="AV136" s="9" t="s">
        <v>559</v>
      </c>
      <c r="AW136" s="12" t="s">
        <v>560</v>
      </c>
      <c r="AX136" s="10">
        <v>0</v>
      </c>
      <c r="AY136">
        <f>S136*AU136/AS136</f>
        <v>3099602.4853921053</v>
      </c>
      <c r="AZ136">
        <f>AU136-AY136</f>
        <v>344400.27615467878</v>
      </c>
      <c r="BA136" s="10">
        <v>8200000</v>
      </c>
      <c r="BB136" s="10">
        <v>750000</v>
      </c>
      <c r="BC136" s="9" t="s">
        <v>42</v>
      </c>
      <c r="BD136" s="9">
        <v>10421</v>
      </c>
      <c r="BE136" t="s">
        <v>46</v>
      </c>
    </row>
    <row r="137" spans="1:57" ht="270.75" thickBot="1" x14ac:dyDescent="0.3">
      <c r="A137" s="9" t="s">
        <v>561</v>
      </c>
      <c r="B137" s="9">
        <v>3001</v>
      </c>
      <c r="C137" s="10">
        <v>2</v>
      </c>
      <c r="D137" s="9" t="s">
        <v>37</v>
      </c>
      <c r="E137" s="11">
        <v>46215.600901585647</v>
      </c>
      <c r="F137" s="9" t="s">
        <v>562</v>
      </c>
      <c r="G137" s="9" t="s">
        <v>39</v>
      </c>
      <c r="H137" s="9">
        <v>53</v>
      </c>
      <c r="I137" s="9" t="s">
        <v>40</v>
      </c>
      <c r="J137" s="9">
        <v>5309</v>
      </c>
      <c r="K137" s="9" t="s">
        <v>41</v>
      </c>
      <c r="L137" s="9">
        <v>5309062</v>
      </c>
      <c r="M137" s="9">
        <v>5309062004</v>
      </c>
      <c r="N137" s="9" t="s">
        <v>42</v>
      </c>
      <c r="O137" s="9">
        <v>10421</v>
      </c>
      <c r="P137" s="9" t="s">
        <v>563</v>
      </c>
      <c r="Q137" s="10">
        <v>6</v>
      </c>
      <c r="R137" s="10">
        <v>800000</v>
      </c>
      <c r="S137" s="10">
        <v>500000</v>
      </c>
      <c r="T137" s="10">
        <v>0</v>
      </c>
      <c r="U137" s="10">
        <v>250000</v>
      </c>
      <c r="V137" s="10">
        <v>50000</v>
      </c>
      <c r="W137" s="10">
        <v>1600000</v>
      </c>
      <c r="X137" s="10">
        <v>15600000</v>
      </c>
      <c r="Y137" s="10">
        <v>0</v>
      </c>
      <c r="Z137" s="10">
        <v>14850000</v>
      </c>
      <c r="AA137" s="10">
        <v>5050000</v>
      </c>
      <c r="AB137" s="10">
        <v>15600000</v>
      </c>
      <c r="AC137" s="10">
        <v>0</v>
      </c>
      <c r="AD137" s="9" t="s">
        <v>44</v>
      </c>
      <c r="AE137" s="10" t="s">
        <v>2335</v>
      </c>
      <c r="AF137" s="10">
        <v>2600000</v>
      </c>
      <c r="AG137" s="10">
        <v>1</v>
      </c>
      <c r="AH137" s="10">
        <v>1</v>
      </c>
      <c r="AI137" s="10">
        <v>1</v>
      </c>
      <c r="AJ137" s="12" t="s">
        <v>564</v>
      </c>
      <c r="AK137" s="10">
        <v>0</v>
      </c>
      <c r="AL137" s="10">
        <v>0</v>
      </c>
      <c r="AM137" s="9">
        <v>1990</v>
      </c>
      <c r="AN137" s="10">
        <v>2</v>
      </c>
      <c r="AO137" s="10">
        <v>4</v>
      </c>
      <c r="AP137" s="6"/>
      <c r="AQ137" s="7"/>
      <c r="AR137" s="8"/>
      <c r="AS137" s="4">
        <f t="shared" si="6"/>
        <v>750000</v>
      </c>
      <c r="AT137" s="4">
        <f t="shared" si="7"/>
        <v>9048000.7311515752</v>
      </c>
      <c r="AU137" s="4">
        <f t="shared" si="8"/>
        <v>6551999.2688484248</v>
      </c>
      <c r="AV137" s="9" t="s">
        <v>563</v>
      </c>
      <c r="AW137" s="12" t="s">
        <v>564</v>
      </c>
      <c r="AX137" s="10">
        <v>0</v>
      </c>
      <c r="AY137">
        <f>S137*AU137/AS137</f>
        <v>4367999.5125656165</v>
      </c>
      <c r="AZ137">
        <f>AU137-AY137</f>
        <v>2183999.7562828083</v>
      </c>
      <c r="BA137" s="10">
        <v>15600000</v>
      </c>
      <c r="BB137" s="10">
        <v>0</v>
      </c>
      <c r="BC137" s="9" t="s">
        <v>42</v>
      </c>
      <c r="BD137" s="9">
        <v>10421</v>
      </c>
      <c r="BE137" t="s">
        <v>46</v>
      </c>
    </row>
    <row r="138" spans="1:57" ht="270.75" thickBot="1" x14ac:dyDescent="0.3">
      <c r="A138" s="9" t="s">
        <v>565</v>
      </c>
      <c r="B138" s="9">
        <v>3001</v>
      </c>
      <c r="C138" s="10">
        <v>2</v>
      </c>
      <c r="D138" s="9" t="s">
        <v>37</v>
      </c>
      <c r="E138" s="11">
        <v>46261.780533425925</v>
      </c>
      <c r="F138" s="9" t="s">
        <v>566</v>
      </c>
      <c r="G138" s="9" t="s">
        <v>39</v>
      </c>
      <c r="H138" s="9">
        <v>53</v>
      </c>
      <c r="I138" s="9" t="s">
        <v>40</v>
      </c>
      <c r="J138" s="9">
        <v>5309</v>
      </c>
      <c r="K138" s="9" t="s">
        <v>41</v>
      </c>
      <c r="L138" s="9">
        <v>5309060</v>
      </c>
      <c r="M138" s="9">
        <v>5309060041</v>
      </c>
      <c r="N138" s="9" t="s">
        <v>42</v>
      </c>
      <c r="O138" s="9">
        <v>10421</v>
      </c>
      <c r="P138" s="9" t="s">
        <v>567</v>
      </c>
      <c r="Q138" s="10">
        <v>8</v>
      </c>
      <c r="R138" s="10">
        <v>2800000</v>
      </c>
      <c r="S138" s="10">
        <v>6000000</v>
      </c>
      <c r="T138" s="10">
        <v>0</v>
      </c>
      <c r="U138" s="10">
        <v>600000</v>
      </c>
      <c r="V138" s="10">
        <v>0</v>
      </c>
      <c r="W138" s="10">
        <v>9400000</v>
      </c>
      <c r="X138" s="10">
        <v>28000000</v>
      </c>
      <c r="Y138" s="10">
        <v>0</v>
      </c>
      <c r="Z138" s="10">
        <v>21400000</v>
      </c>
      <c r="AA138" s="10">
        <v>1500000</v>
      </c>
      <c r="AB138" s="10">
        <v>28000000</v>
      </c>
      <c r="AC138" s="10">
        <v>0</v>
      </c>
      <c r="AD138" s="9" t="s">
        <v>44</v>
      </c>
      <c r="AE138" s="10" t="s">
        <v>2336</v>
      </c>
      <c r="AF138" s="10">
        <v>3500000</v>
      </c>
      <c r="AG138" s="10">
        <v>1</v>
      </c>
      <c r="AH138" s="10">
        <v>1</v>
      </c>
      <c r="AI138" s="10">
        <v>1</v>
      </c>
      <c r="AJ138" s="12" t="s">
        <v>568</v>
      </c>
      <c r="AK138" s="10">
        <v>0</v>
      </c>
      <c r="AL138" s="10">
        <v>0</v>
      </c>
      <c r="AM138" s="9">
        <v>2009</v>
      </c>
      <c r="AN138" s="10">
        <v>5</v>
      </c>
      <c r="AO138" s="10">
        <v>3</v>
      </c>
      <c r="AP138" s="6"/>
      <c r="AQ138" s="7"/>
      <c r="AR138" s="8"/>
      <c r="AS138" s="4">
        <f t="shared" si="6"/>
        <v>6600000</v>
      </c>
      <c r="AT138" s="4">
        <f t="shared" si="7"/>
        <v>16239993.928974232</v>
      </c>
      <c r="AU138" s="4">
        <f t="shared" si="8"/>
        <v>11760006.071025768</v>
      </c>
      <c r="AV138" s="9" t="s">
        <v>567</v>
      </c>
      <c r="AW138" s="12" t="s">
        <v>568</v>
      </c>
      <c r="AX138" s="10">
        <v>0</v>
      </c>
      <c r="AY138">
        <f>S138*AU138/AS138</f>
        <v>10690914.610023426</v>
      </c>
      <c r="AZ138">
        <f>AU138-AY138</f>
        <v>1069091.4610023424</v>
      </c>
      <c r="BA138" s="10">
        <v>28000000</v>
      </c>
      <c r="BB138" s="10">
        <v>0</v>
      </c>
      <c r="BC138" s="9" t="s">
        <v>42</v>
      </c>
      <c r="BD138" s="9">
        <v>10421</v>
      </c>
      <c r="BE138" t="s">
        <v>46</v>
      </c>
    </row>
    <row r="139" spans="1:57" ht="270.75" thickBot="1" x14ac:dyDescent="0.3">
      <c r="A139" s="9" t="s">
        <v>569</v>
      </c>
      <c r="B139" s="9">
        <v>3002</v>
      </c>
      <c r="C139" s="10">
        <v>2</v>
      </c>
      <c r="D139" s="9" t="s">
        <v>37</v>
      </c>
      <c r="E139" s="11">
        <v>46216.403414340275</v>
      </c>
      <c r="F139" s="9" t="s">
        <v>570</v>
      </c>
      <c r="G139" s="9" t="s">
        <v>39</v>
      </c>
      <c r="H139" s="9">
        <v>53</v>
      </c>
      <c r="I139" s="9" t="s">
        <v>40</v>
      </c>
      <c r="J139" s="9">
        <v>5309</v>
      </c>
      <c r="K139" s="9" t="s">
        <v>41</v>
      </c>
      <c r="L139" s="9">
        <v>5309062</v>
      </c>
      <c r="M139" s="9">
        <v>5309062009</v>
      </c>
      <c r="N139" s="9" t="s">
        <v>42</v>
      </c>
      <c r="O139" s="9">
        <v>10421</v>
      </c>
      <c r="P139" s="9" t="s">
        <v>571</v>
      </c>
      <c r="Q139" s="10">
        <v>6</v>
      </c>
      <c r="R139" s="10">
        <v>700000</v>
      </c>
      <c r="S139" s="10">
        <v>300000</v>
      </c>
      <c r="T139" s="10">
        <v>0</v>
      </c>
      <c r="U139" s="10">
        <v>300000</v>
      </c>
      <c r="V139" s="10">
        <v>0</v>
      </c>
      <c r="W139" s="10">
        <v>1300000</v>
      </c>
      <c r="X139" s="10">
        <v>4800000</v>
      </c>
      <c r="Y139" s="10">
        <v>0</v>
      </c>
      <c r="Z139" s="10">
        <v>4200000</v>
      </c>
      <c r="AA139" s="10">
        <v>3500000</v>
      </c>
      <c r="AB139" s="10">
        <v>4800000</v>
      </c>
      <c r="AC139" s="10">
        <v>0</v>
      </c>
      <c r="AD139" s="9" t="s">
        <v>44</v>
      </c>
      <c r="AE139" s="10" t="s">
        <v>2226</v>
      </c>
      <c r="AF139" s="10">
        <v>800000</v>
      </c>
      <c r="AG139" s="10">
        <v>1</v>
      </c>
      <c r="AH139" s="10">
        <v>1</v>
      </c>
      <c r="AI139" s="10">
        <v>1</v>
      </c>
      <c r="AJ139" s="12" t="s">
        <v>572</v>
      </c>
      <c r="AK139" s="10">
        <v>0</v>
      </c>
      <c r="AL139" s="10">
        <v>0</v>
      </c>
      <c r="AM139" s="9">
        <v>2017</v>
      </c>
      <c r="AN139" s="10">
        <v>4</v>
      </c>
      <c r="AO139" s="10">
        <v>2</v>
      </c>
      <c r="AP139" s="6"/>
      <c r="AQ139" s="7"/>
      <c r="AR139" s="8"/>
      <c r="AS139" s="4">
        <f t="shared" si="6"/>
        <v>600000</v>
      </c>
      <c r="AT139" s="4">
        <f t="shared" si="7"/>
        <v>2784000</v>
      </c>
      <c r="AU139" s="4">
        <f t="shared" si="8"/>
        <v>2016000</v>
      </c>
      <c r="AV139" s="9" t="s">
        <v>571</v>
      </c>
      <c r="AW139" s="12" t="s">
        <v>572</v>
      </c>
      <c r="AX139" s="10">
        <v>0</v>
      </c>
      <c r="AY139">
        <f>S139*AU139/AS139</f>
        <v>1008000</v>
      </c>
      <c r="AZ139">
        <f>AU139-AY139</f>
        <v>1008000</v>
      </c>
      <c r="BA139" s="10">
        <v>4800000</v>
      </c>
      <c r="BB139" s="10">
        <v>0</v>
      </c>
      <c r="BC139" s="9" t="s">
        <v>42</v>
      </c>
      <c r="BD139" s="9">
        <v>10421</v>
      </c>
      <c r="BE139" t="s">
        <v>46</v>
      </c>
    </row>
    <row r="140" spans="1:57" ht="270.75" thickBot="1" x14ac:dyDescent="0.3">
      <c r="A140" s="9" t="s">
        <v>573</v>
      </c>
      <c r="B140" s="9">
        <v>3001</v>
      </c>
      <c r="C140" s="10">
        <v>2</v>
      </c>
      <c r="D140" s="9" t="s">
        <v>37</v>
      </c>
      <c r="E140" s="11">
        <v>46260.160678749999</v>
      </c>
      <c r="F140" s="9" t="s">
        <v>574</v>
      </c>
      <c r="G140" s="9" t="s">
        <v>39</v>
      </c>
      <c r="H140" s="9">
        <v>53</v>
      </c>
      <c r="I140" s="9" t="s">
        <v>40</v>
      </c>
      <c r="J140" s="9">
        <v>5309</v>
      </c>
      <c r="K140" s="9" t="s">
        <v>41</v>
      </c>
      <c r="L140" s="9">
        <v>5309060</v>
      </c>
      <c r="M140" s="9">
        <v>5309060041</v>
      </c>
      <c r="N140" s="9" t="s">
        <v>42</v>
      </c>
      <c r="O140" s="9">
        <v>10421</v>
      </c>
      <c r="P140" s="9" t="s">
        <v>575</v>
      </c>
      <c r="Q140" s="10">
        <v>10</v>
      </c>
      <c r="R140" s="10">
        <v>4500000</v>
      </c>
      <c r="S140" s="10">
        <v>13000000</v>
      </c>
      <c r="T140" s="10">
        <v>0</v>
      </c>
      <c r="U140" s="10">
        <v>1000000</v>
      </c>
      <c r="V140" s="10">
        <v>0</v>
      </c>
      <c r="W140" s="10">
        <v>18500000</v>
      </c>
      <c r="X140" s="10">
        <v>55000000</v>
      </c>
      <c r="Y140" s="10">
        <v>0</v>
      </c>
      <c r="Z140" s="10">
        <v>41000000</v>
      </c>
      <c r="AA140" s="10">
        <v>1600000</v>
      </c>
      <c r="AB140" s="10">
        <v>55000000</v>
      </c>
      <c r="AC140" s="10">
        <v>0</v>
      </c>
      <c r="AD140" s="9" t="s">
        <v>44</v>
      </c>
      <c r="AE140" s="10" t="s">
        <v>2337</v>
      </c>
      <c r="AF140" s="10">
        <v>5500000</v>
      </c>
      <c r="AG140" s="10">
        <v>1</v>
      </c>
      <c r="AH140" s="10">
        <v>1</v>
      </c>
      <c r="AI140" s="10">
        <v>1</v>
      </c>
      <c r="AJ140" s="12" t="s">
        <v>576</v>
      </c>
      <c r="AK140" s="10">
        <v>0</v>
      </c>
      <c r="AL140" s="10">
        <v>0</v>
      </c>
      <c r="AM140" s="9">
        <v>2009</v>
      </c>
      <c r="AN140" s="10">
        <v>6</v>
      </c>
      <c r="AO140" s="10">
        <v>4</v>
      </c>
      <c r="AP140" s="6"/>
      <c r="AQ140" s="7"/>
      <c r="AR140" s="8"/>
      <c r="AS140" s="4">
        <f t="shared" si="6"/>
        <v>14000000</v>
      </c>
      <c r="AT140" s="4">
        <f t="shared" si="7"/>
        <v>31899980.548792351</v>
      </c>
      <c r="AU140" s="4">
        <f t="shared" si="8"/>
        <v>23100019.451207649</v>
      </c>
      <c r="AV140" s="9" t="s">
        <v>575</v>
      </c>
      <c r="AW140" s="12" t="s">
        <v>576</v>
      </c>
      <c r="AX140" s="10">
        <v>0</v>
      </c>
      <c r="AY140">
        <f>S140*AU140/AS140</f>
        <v>21450018.061835673</v>
      </c>
      <c r="AZ140">
        <f>AU140-AY140</f>
        <v>1650001.3893719763</v>
      </c>
      <c r="BA140" s="10">
        <v>55000000</v>
      </c>
      <c r="BB140" s="10">
        <v>0</v>
      </c>
      <c r="BC140" s="9" t="s">
        <v>42</v>
      </c>
      <c r="BD140" s="9">
        <v>10421</v>
      </c>
      <c r="BE140" t="s">
        <v>46</v>
      </c>
    </row>
    <row r="141" spans="1:57" ht="270.75" thickBot="1" x14ac:dyDescent="0.3">
      <c r="A141" s="9" t="s">
        <v>577</v>
      </c>
      <c r="B141" s="9">
        <v>3001</v>
      </c>
      <c r="C141" s="10">
        <v>2</v>
      </c>
      <c r="D141" s="9" t="s">
        <v>37</v>
      </c>
      <c r="E141" s="11">
        <v>46265.165242002317</v>
      </c>
      <c r="F141" s="9" t="s">
        <v>578</v>
      </c>
      <c r="G141" s="9" t="s">
        <v>39</v>
      </c>
      <c r="H141" s="9">
        <v>53</v>
      </c>
      <c r="I141" s="9" t="s">
        <v>40</v>
      </c>
      <c r="J141" s="9">
        <v>5309</v>
      </c>
      <c r="K141" s="9" t="s">
        <v>41</v>
      </c>
      <c r="L141" s="9">
        <v>5309010</v>
      </c>
      <c r="M141" s="9">
        <v>5309010004</v>
      </c>
      <c r="N141" s="9" t="s">
        <v>42</v>
      </c>
      <c r="O141" s="9">
        <v>10421</v>
      </c>
      <c r="P141" s="9" t="s">
        <v>579</v>
      </c>
      <c r="Q141" s="10">
        <v>1</v>
      </c>
      <c r="R141" s="10">
        <v>0</v>
      </c>
      <c r="S141" s="10">
        <v>1000000</v>
      </c>
      <c r="T141" s="10">
        <v>0</v>
      </c>
      <c r="U141" s="10">
        <v>50000</v>
      </c>
      <c r="V141" s="10">
        <v>17500</v>
      </c>
      <c r="W141" s="10">
        <v>1067500</v>
      </c>
      <c r="X141" s="10">
        <v>7000000</v>
      </c>
      <c r="Y141" s="10">
        <v>500000</v>
      </c>
      <c r="Z141" s="10">
        <v>5950000</v>
      </c>
      <c r="AA141" s="10">
        <v>30000000</v>
      </c>
      <c r="AB141" s="10">
        <v>7000000</v>
      </c>
      <c r="AC141" s="10">
        <v>0</v>
      </c>
      <c r="AD141" s="9" t="s">
        <v>44</v>
      </c>
      <c r="AE141" s="10" t="s">
        <v>1765</v>
      </c>
      <c r="AF141" s="10">
        <v>7000000</v>
      </c>
      <c r="AG141" s="10">
        <v>0</v>
      </c>
      <c r="AH141" s="10">
        <v>1</v>
      </c>
      <c r="AI141" s="10">
        <v>1</v>
      </c>
      <c r="AJ141" s="12" t="s">
        <v>580</v>
      </c>
      <c r="AK141" s="10">
        <v>0</v>
      </c>
      <c r="AL141" s="10">
        <v>0</v>
      </c>
      <c r="AM141" s="9">
        <v>2010</v>
      </c>
      <c r="AN141" s="10">
        <v>0</v>
      </c>
      <c r="AO141" s="10">
        <v>1</v>
      </c>
      <c r="AP141" s="6"/>
      <c r="AQ141" s="7"/>
      <c r="AR141" s="8"/>
      <c r="AS141" s="4">
        <f t="shared" si="6"/>
        <v>1050000</v>
      </c>
      <c r="AT141" s="4">
        <f t="shared" si="7"/>
        <v>4059999.9999999995</v>
      </c>
      <c r="AU141" s="4">
        <f t="shared" si="8"/>
        <v>2940000.0000000005</v>
      </c>
      <c r="AV141" s="9" t="s">
        <v>579</v>
      </c>
      <c r="AW141" s="12" t="s">
        <v>580</v>
      </c>
      <c r="AX141" s="10">
        <v>0</v>
      </c>
      <c r="AY141">
        <f>S141*AU141/AS141</f>
        <v>2800000.0000000005</v>
      </c>
      <c r="AZ141">
        <f>AU141-AY141</f>
        <v>140000</v>
      </c>
      <c r="BA141" s="10">
        <v>7000000</v>
      </c>
      <c r="BB141" s="10">
        <v>500000</v>
      </c>
      <c r="BC141" s="9" t="s">
        <v>42</v>
      </c>
      <c r="BD141" s="9">
        <v>10421</v>
      </c>
      <c r="BE141" t="s">
        <v>46</v>
      </c>
    </row>
    <row r="142" spans="1:57" ht="270.75" thickBot="1" x14ac:dyDescent="0.3">
      <c r="A142" s="9" t="s">
        <v>581</v>
      </c>
      <c r="B142" s="9">
        <v>3002</v>
      </c>
      <c r="C142" s="10">
        <v>2</v>
      </c>
      <c r="D142" s="9" t="s">
        <v>113</v>
      </c>
      <c r="E142" s="11">
        <v>46315.091981423611</v>
      </c>
      <c r="F142" s="9" t="s">
        <v>582</v>
      </c>
      <c r="G142" s="9" t="s">
        <v>39</v>
      </c>
      <c r="H142" s="9">
        <v>53</v>
      </c>
      <c r="I142" s="9" t="s">
        <v>40</v>
      </c>
      <c r="J142" s="9">
        <v>5309</v>
      </c>
      <c r="K142" s="9" t="s">
        <v>41</v>
      </c>
      <c r="L142" s="9">
        <v>5309070</v>
      </c>
      <c r="M142" s="9">
        <v>5309070015</v>
      </c>
      <c r="N142" s="9" t="s">
        <v>42</v>
      </c>
      <c r="O142" s="9">
        <v>10421</v>
      </c>
      <c r="P142" s="9" t="s">
        <v>583</v>
      </c>
      <c r="Q142" s="10">
        <v>3</v>
      </c>
      <c r="R142" s="10">
        <v>900000</v>
      </c>
      <c r="S142" s="10">
        <v>8000000</v>
      </c>
      <c r="T142" s="10">
        <v>0</v>
      </c>
      <c r="U142" s="10">
        <v>100000</v>
      </c>
      <c r="V142" s="10">
        <v>0</v>
      </c>
      <c r="W142" s="10">
        <v>9000000</v>
      </c>
      <c r="X142" s="10">
        <v>9000000</v>
      </c>
      <c r="Y142" s="10">
        <v>0</v>
      </c>
      <c r="Z142" s="10">
        <v>900000</v>
      </c>
      <c r="AA142" s="10">
        <v>900000</v>
      </c>
      <c r="AB142" s="10">
        <v>9000000</v>
      </c>
      <c r="AC142" s="10">
        <v>0</v>
      </c>
      <c r="AD142" s="9" t="s">
        <v>44</v>
      </c>
      <c r="AE142" s="10" t="s">
        <v>2338</v>
      </c>
      <c r="AF142" s="10">
        <v>3000000</v>
      </c>
      <c r="AG142" s="10">
        <v>1</v>
      </c>
      <c r="AH142" s="10">
        <v>1</v>
      </c>
      <c r="AI142" s="10">
        <v>1</v>
      </c>
      <c r="AJ142" s="12" t="s">
        <v>584</v>
      </c>
      <c r="AK142" s="10">
        <v>0</v>
      </c>
      <c r="AL142" s="10">
        <v>0</v>
      </c>
      <c r="AM142" s="9">
        <v>1997</v>
      </c>
      <c r="AN142" s="10">
        <v>1</v>
      </c>
      <c r="AO142" s="10">
        <v>2</v>
      </c>
      <c r="AP142" s="6"/>
      <c r="AQ142" s="7"/>
      <c r="AR142" s="8"/>
      <c r="AS142" s="4">
        <f t="shared" si="6"/>
        <v>8100000</v>
      </c>
      <c r="AT142" s="4">
        <f t="shared" si="7"/>
        <v>5219999.9999999991</v>
      </c>
      <c r="AU142" s="4">
        <f t="shared" si="8"/>
        <v>3780000.0000000009</v>
      </c>
      <c r="AV142" s="9" t="s">
        <v>583</v>
      </c>
      <c r="AW142" s="12" t="s">
        <v>584</v>
      </c>
      <c r="AX142" s="10">
        <v>0</v>
      </c>
      <c r="AY142">
        <f>S142*AU142/AS142</f>
        <v>3733333.3333333344</v>
      </c>
      <c r="AZ142">
        <f>AU142-AY142</f>
        <v>46666.666666666511</v>
      </c>
      <c r="BA142" s="10">
        <v>9000000</v>
      </c>
      <c r="BB142" s="10">
        <v>0</v>
      </c>
      <c r="BC142" s="9" t="s">
        <v>42</v>
      </c>
      <c r="BD142" s="9">
        <v>10421</v>
      </c>
      <c r="BE142" t="s">
        <v>46</v>
      </c>
    </row>
    <row r="143" spans="1:57" ht="270.75" thickBot="1" x14ac:dyDescent="0.3">
      <c r="A143" s="9" t="s">
        <v>585</v>
      </c>
      <c r="B143" s="9">
        <v>3001</v>
      </c>
      <c r="C143" s="10">
        <v>2</v>
      </c>
      <c r="D143" s="9" t="s">
        <v>37</v>
      </c>
      <c r="E143" s="11">
        <v>46261.585878240738</v>
      </c>
      <c r="F143" s="9" t="s">
        <v>586</v>
      </c>
      <c r="G143" s="9" t="s">
        <v>39</v>
      </c>
      <c r="H143" s="9">
        <v>53</v>
      </c>
      <c r="I143" s="9" t="s">
        <v>40</v>
      </c>
      <c r="J143" s="9">
        <v>5309</v>
      </c>
      <c r="K143" s="9" t="s">
        <v>41</v>
      </c>
      <c r="L143" s="9">
        <v>5309073</v>
      </c>
      <c r="M143" s="9">
        <v>5309073003</v>
      </c>
      <c r="N143" s="9" t="s">
        <v>42</v>
      </c>
      <c r="O143" s="9">
        <v>10421</v>
      </c>
      <c r="P143" s="9" t="s">
        <v>587</v>
      </c>
      <c r="Q143" s="10">
        <v>2</v>
      </c>
      <c r="R143" s="10">
        <v>400000</v>
      </c>
      <c r="S143" s="10">
        <v>300000</v>
      </c>
      <c r="T143" s="10">
        <v>0</v>
      </c>
      <c r="U143" s="10">
        <v>200000</v>
      </c>
      <c r="V143" s="10">
        <v>0</v>
      </c>
      <c r="W143" s="10">
        <v>900000</v>
      </c>
      <c r="X143" s="10">
        <v>5000000</v>
      </c>
      <c r="Y143" s="10">
        <v>0</v>
      </c>
      <c r="Z143" s="10">
        <v>4500000</v>
      </c>
      <c r="AA143" s="10">
        <v>1500000</v>
      </c>
      <c r="AB143" s="10">
        <v>5000000</v>
      </c>
      <c r="AC143" s="10">
        <v>0</v>
      </c>
      <c r="AD143" s="9" t="s">
        <v>44</v>
      </c>
      <c r="AE143" s="10" t="s">
        <v>2339</v>
      </c>
      <c r="AF143" s="10">
        <v>2500000</v>
      </c>
      <c r="AG143" s="10">
        <v>1</v>
      </c>
      <c r="AH143" s="10">
        <v>1</v>
      </c>
      <c r="AI143" s="10">
        <v>1</v>
      </c>
      <c r="AJ143" s="12" t="s">
        <v>588</v>
      </c>
      <c r="AK143" s="10">
        <v>0</v>
      </c>
      <c r="AL143" s="10">
        <v>0</v>
      </c>
      <c r="AM143" s="9">
        <v>2019</v>
      </c>
      <c r="AN143" s="10">
        <v>1</v>
      </c>
      <c r="AO143" s="10">
        <v>1</v>
      </c>
      <c r="AP143" s="6"/>
      <c r="AQ143" s="3"/>
      <c r="AR143" s="8"/>
      <c r="AS143" s="4">
        <f t="shared" si="6"/>
        <v>500000</v>
      </c>
      <c r="AT143" s="4">
        <f t="shared" si="7"/>
        <v>2900000</v>
      </c>
      <c r="AU143" s="4">
        <f t="shared" si="8"/>
        <v>2100000</v>
      </c>
      <c r="AV143" s="9" t="s">
        <v>587</v>
      </c>
      <c r="AW143" s="12" t="s">
        <v>588</v>
      </c>
      <c r="AX143" s="10">
        <v>0</v>
      </c>
      <c r="AY143">
        <f>S143*AU143/AS143</f>
        <v>1260000</v>
      </c>
      <c r="AZ143">
        <f>AU143-AY143</f>
        <v>840000</v>
      </c>
      <c r="BA143" s="10">
        <v>5000000</v>
      </c>
      <c r="BB143" s="10">
        <v>0</v>
      </c>
      <c r="BC143" s="9" t="s">
        <v>42</v>
      </c>
      <c r="BD143" s="9">
        <v>10421</v>
      </c>
      <c r="BE143" t="s">
        <v>46</v>
      </c>
    </row>
    <row r="144" spans="1:57" ht="270.75" thickBot="1" x14ac:dyDescent="0.3">
      <c r="A144" s="9" t="s">
        <v>589</v>
      </c>
      <c r="B144" s="9">
        <v>3001</v>
      </c>
      <c r="C144" s="10">
        <v>2</v>
      </c>
      <c r="D144" s="9" t="s">
        <v>37</v>
      </c>
      <c r="E144" s="11">
        <v>46217.268255196759</v>
      </c>
      <c r="F144" s="9" t="s">
        <v>590</v>
      </c>
      <c r="G144" s="9" t="s">
        <v>39</v>
      </c>
      <c r="H144" s="9">
        <v>53</v>
      </c>
      <c r="I144" s="9" t="s">
        <v>40</v>
      </c>
      <c r="J144" s="9">
        <v>5309</v>
      </c>
      <c r="K144" s="9" t="s">
        <v>41</v>
      </c>
      <c r="L144" s="9">
        <v>5309010</v>
      </c>
      <c r="M144" s="9">
        <v>5309010002</v>
      </c>
      <c r="N144" s="9" t="s">
        <v>42</v>
      </c>
      <c r="O144" s="9">
        <v>10421</v>
      </c>
      <c r="P144" s="9" t="s">
        <v>591</v>
      </c>
      <c r="Q144" s="10">
        <v>4</v>
      </c>
      <c r="R144" s="10">
        <v>0</v>
      </c>
      <c r="S144" s="10">
        <v>100000</v>
      </c>
      <c r="T144" s="10">
        <v>0</v>
      </c>
      <c r="U144" s="10">
        <v>0</v>
      </c>
      <c r="V144" s="10">
        <v>15674</v>
      </c>
      <c r="W144" s="10">
        <v>115674</v>
      </c>
      <c r="X144" s="10">
        <v>1800000</v>
      </c>
      <c r="Y144" s="10">
        <v>0</v>
      </c>
      <c r="Z144" s="10">
        <v>1700000</v>
      </c>
      <c r="AA144" s="10">
        <v>50000000</v>
      </c>
      <c r="AB144" s="10">
        <v>1800000</v>
      </c>
      <c r="AC144" s="10">
        <v>0</v>
      </c>
      <c r="AD144" s="9" t="s">
        <v>44</v>
      </c>
      <c r="AE144" s="10" t="s">
        <v>2290</v>
      </c>
      <c r="AF144" s="10">
        <v>450000</v>
      </c>
      <c r="AG144" s="10">
        <v>1</v>
      </c>
      <c r="AH144" s="10">
        <v>1</v>
      </c>
      <c r="AI144" s="10">
        <v>1</v>
      </c>
      <c r="AJ144" s="12" t="s">
        <v>592</v>
      </c>
      <c r="AK144" s="10">
        <v>0</v>
      </c>
      <c r="AL144" s="10">
        <v>0</v>
      </c>
      <c r="AM144" s="9">
        <v>2012</v>
      </c>
      <c r="AN144" s="10">
        <v>0</v>
      </c>
      <c r="AO144" s="10">
        <v>4</v>
      </c>
      <c r="AP144" s="6"/>
      <c r="AQ144" s="7"/>
      <c r="AR144" s="8"/>
      <c r="AS144" s="4">
        <f t="shared" si="6"/>
        <v>100000</v>
      </c>
      <c r="AT144" s="4">
        <f t="shared" si="7"/>
        <v>1044000.4912943487</v>
      </c>
      <c r="AU144" s="4">
        <f t="shared" si="8"/>
        <v>755999.50870565127</v>
      </c>
      <c r="AV144" s="9" t="s">
        <v>591</v>
      </c>
      <c r="AW144" s="12" t="s">
        <v>592</v>
      </c>
      <c r="AX144" s="10">
        <v>0</v>
      </c>
      <c r="AY144">
        <f>S144*AU144/AS144</f>
        <v>755999.50870565127</v>
      </c>
      <c r="AZ144">
        <f>AU144-AY144</f>
        <v>0</v>
      </c>
      <c r="BA144" s="10">
        <v>1800000</v>
      </c>
      <c r="BB144" s="10">
        <v>0</v>
      </c>
      <c r="BC144" s="9" t="s">
        <v>42</v>
      </c>
      <c r="BD144" s="9">
        <v>10421</v>
      </c>
      <c r="BE144" t="s">
        <v>46</v>
      </c>
    </row>
    <row r="145" spans="1:57" ht="270.75" thickBot="1" x14ac:dyDescent="0.3">
      <c r="A145" s="9" t="s">
        <v>593</v>
      </c>
      <c r="B145" s="9">
        <v>1001</v>
      </c>
      <c r="C145" s="10">
        <v>2</v>
      </c>
      <c r="D145" s="9" t="s">
        <v>37</v>
      </c>
      <c r="E145" s="14">
        <v>46225.715740740743</v>
      </c>
      <c r="F145" s="9" t="s">
        <v>594</v>
      </c>
      <c r="G145" s="9" t="s">
        <v>39</v>
      </c>
      <c r="H145" s="9">
        <v>53</v>
      </c>
      <c r="I145" s="9" t="s">
        <v>40</v>
      </c>
      <c r="J145" s="9">
        <v>5309</v>
      </c>
      <c r="K145" s="9" t="s">
        <v>41</v>
      </c>
      <c r="L145" s="9">
        <v>5309021</v>
      </c>
      <c r="M145" s="9">
        <v>5309021006</v>
      </c>
      <c r="N145" s="9" t="s">
        <v>42</v>
      </c>
      <c r="O145" s="9">
        <v>10421</v>
      </c>
      <c r="P145" s="9" t="s">
        <v>595</v>
      </c>
      <c r="Q145" s="10">
        <v>2</v>
      </c>
      <c r="R145" s="10">
        <v>420000</v>
      </c>
      <c r="S145" s="10">
        <v>250000</v>
      </c>
      <c r="T145" s="10">
        <v>0</v>
      </c>
      <c r="U145" s="10">
        <v>100000</v>
      </c>
      <c r="V145" s="10">
        <v>0</v>
      </c>
      <c r="W145" s="10">
        <v>770000</v>
      </c>
      <c r="X145" s="10">
        <v>1500000</v>
      </c>
      <c r="Y145" s="10">
        <v>450000</v>
      </c>
      <c r="Z145" s="10">
        <v>1150000</v>
      </c>
      <c r="AA145" s="10">
        <v>50250000</v>
      </c>
      <c r="AB145" s="10">
        <v>1500000</v>
      </c>
      <c r="AC145" s="10">
        <v>0</v>
      </c>
      <c r="AD145" s="9" t="s">
        <v>44</v>
      </c>
      <c r="AE145" s="10" t="s">
        <v>2340</v>
      </c>
      <c r="AF145" s="10">
        <v>750000</v>
      </c>
      <c r="AG145" s="10">
        <v>1</v>
      </c>
      <c r="AH145" s="10">
        <v>1</v>
      </c>
      <c r="AI145" s="10">
        <v>1</v>
      </c>
      <c r="AJ145" s="12" t="s">
        <v>596</v>
      </c>
      <c r="AK145" s="10">
        <v>0</v>
      </c>
      <c r="AL145" s="10">
        <v>0</v>
      </c>
      <c r="AM145" s="9">
        <v>1996</v>
      </c>
      <c r="AN145" s="10">
        <v>1</v>
      </c>
      <c r="AO145" s="10">
        <v>1</v>
      </c>
      <c r="AP145" s="6"/>
      <c r="AQ145" s="7"/>
      <c r="AR145" s="8"/>
      <c r="AS145" s="4">
        <f t="shared" si="6"/>
        <v>350000</v>
      </c>
      <c r="AT145" s="4">
        <f t="shared" si="7"/>
        <v>869999.62173929496</v>
      </c>
      <c r="AU145" s="4">
        <f t="shared" si="8"/>
        <v>630000.37826070504</v>
      </c>
      <c r="AV145" s="9" t="s">
        <v>595</v>
      </c>
      <c r="AW145" s="12" t="s">
        <v>596</v>
      </c>
      <c r="AX145" s="10">
        <v>0</v>
      </c>
      <c r="AY145">
        <f>S145*AU145/AS145</f>
        <v>450000.27018621791</v>
      </c>
      <c r="AZ145">
        <f>AU145-AY145</f>
        <v>180000.10807448713</v>
      </c>
      <c r="BA145" s="10">
        <v>1500000</v>
      </c>
      <c r="BB145" s="10">
        <v>450000</v>
      </c>
      <c r="BC145" s="9" t="s">
        <v>42</v>
      </c>
      <c r="BD145" s="9">
        <v>10421</v>
      </c>
      <c r="BE145" t="s">
        <v>46</v>
      </c>
    </row>
    <row r="146" spans="1:57" ht="270.75" thickBot="1" x14ac:dyDescent="0.3">
      <c r="A146" s="9" t="s">
        <v>597</v>
      </c>
      <c r="B146" s="9">
        <v>1002</v>
      </c>
      <c r="C146" s="10">
        <v>2</v>
      </c>
      <c r="D146" s="9" t="s">
        <v>37</v>
      </c>
      <c r="E146" s="14">
        <v>46236.058379629627</v>
      </c>
      <c r="F146" s="9" t="s">
        <v>598</v>
      </c>
      <c r="G146" s="9" t="s">
        <v>39</v>
      </c>
      <c r="H146" s="9">
        <v>53</v>
      </c>
      <c r="I146" s="9" t="s">
        <v>40</v>
      </c>
      <c r="J146" s="9">
        <v>5309</v>
      </c>
      <c r="K146" s="9" t="s">
        <v>41</v>
      </c>
      <c r="L146" s="9">
        <v>5309062</v>
      </c>
      <c r="M146" s="9">
        <v>5309062002</v>
      </c>
      <c r="N146" s="9" t="s">
        <v>42</v>
      </c>
      <c r="O146" s="9">
        <v>10421</v>
      </c>
      <c r="P146" s="9" t="s">
        <v>599</v>
      </c>
      <c r="Q146" s="10">
        <v>3</v>
      </c>
      <c r="R146" s="10">
        <v>0</v>
      </c>
      <c r="S146" s="10">
        <v>150000</v>
      </c>
      <c r="T146" s="10">
        <v>0</v>
      </c>
      <c r="U146" s="10">
        <v>600000</v>
      </c>
      <c r="V146" s="10">
        <v>0</v>
      </c>
      <c r="W146" s="10">
        <v>750000</v>
      </c>
      <c r="X146" s="10">
        <v>15000000</v>
      </c>
      <c r="Y146" s="10">
        <v>0</v>
      </c>
      <c r="Z146" s="10">
        <v>14250000</v>
      </c>
      <c r="AA146" s="10">
        <v>3000000</v>
      </c>
      <c r="AB146" s="10">
        <v>15000000</v>
      </c>
      <c r="AC146" s="10">
        <v>0</v>
      </c>
      <c r="AD146" s="9" t="s">
        <v>44</v>
      </c>
      <c r="AE146" s="10" t="s">
        <v>1803</v>
      </c>
      <c r="AF146" s="10">
        <v>5000000</v>
      </c>
      <c r="AG146" s="10">
        <v>1</v>
      </c>
      <c r="AH146" s="10">
        <v>1</v>
      </c>
      <c r="AI146" s="10">
        <v>1</v>
      </c>
      <c r="AJ146" s="12" t="s">
        <v>600</v>
      </c>
      <c r="AK146" s="10">
        <v>0</v>
      </c>
      <c r="AL146" s="10">
        <v>0</v>
      </c>
      <c r="AM146" s="9">
        <v>1996</v>
      </c>
      <c r="AN146" s="10">
        <v>0</v>
      </c>
      <c r="AO146" s="10">
        <v>3</v>
      </c>
      <c r="AP146" s="6"/>
      <c r="AQ146" s="3"/>
      <c r="AR146" s="8"/>
      <c r="AS146" s="4">
        <f t="shared" si="6"/>
        <v>750000</v>
      </c>
      <c r="AT146" s="4">
        <f t="shared" si="7"/>
        <v>8700000</v>
      </c>
      <c r="AU146" s="4">
        <f t="shared" si="8"/>
        <v>6300000</v>
      </c>
      <c r="AV146" s="9" t="s">
        <v>599</v>
      </c>
      <c r="AW146" s="12" t="s">
        <v>600</v>
      </c>
      <c r="AX146" s="10">
        <v>0</v>
      </c>
      <c r="AY146">
        <f>S146*AU146/AS146</f>
        <v>1260000</v>
      </c>
      <c r="AZ146">
        <f>AU146-AY146</f>
        <v>5040000</v>
      </c>
      <c r="BA146" s="10">
        <v>15000000</v>
      </c>
      <c r="BB146" s="10">
        <v>0</v>
      </c>
      <c r="BC146" s="9" t="s">
        <v>42</v>
      </c>
      <c r="BD146" s="9">
        <v>10421</v>
      </c>
      <c r="BE146" t="s">
        <v>46</v>
      </c>
    </row>
    <row r="147" spans="1:57" ht="270.75" thickBot="1" x14ac:dyDescent="0.3">
      <c r="A147" s="9" t="s">
        <v>601</v>
      </c>
      <c r="B147" s="9">
        <v>3002</v>
      </c>
      <c r="C147" s="10">
        <v>2</v>
      </c>
      <c r="D147" s="9" t="s">
        <v>37</v>
      </c>
      <c r="E147" s="11">
        <v>46229.00278732639</v>
      </c>
      <c r="F147" s="9" t="s">
        <v>602</v>
      </c>
      <c r="G147" s="9" t="s">
        <v>39</v>
      </c>
      <c r="H147" s="9">
        <v>53</v>
      </c>
      <c r="I147" s="9" t="s">
        <v>40</v>
      </c>
      <c r="J147" s="9">
        <v>5309</v>
      </c>
      <c r="K147" s="9" t="s">
        <v>41</v>
      </c>
      <c r="L147" s="9">
        <v>5309062</v>
      </c>
      <c r="M147" s="9">
        <v>5309062006</v>
      </c>
      <c r="N147" s="9" t="s">
        <v>42</v>
      </c>
      <c r="O147" s="9">
        <v>10421</v>
      </c>
      <c r="P147" s="9" t="s">
        <v>603</v>
      </c>
      <c r="Q147" s="10">
        <v>3</v>
      </c>
      <c r="R147" s="10">
        <v>0</v>
      </c>
      <c r="S147" s="10">
        <v>450000</v>
      </c>
      <c r="T147" s="10">
        <v>0</v>
      </c>
      <c r="U147" s="10">
        <v>400000</v>
      </c>
      <c r="V147" s="10">
        <v>0</v>
      </c>
      <c r="W147" s="10">
        <v>850000</v>
      </c>
      <c r="X147" s="10">
        <v>8820000</v>
      </c>
      <c r="Y147" s="10">
        <v>0</v>
      </c>
      <c r="Z147" s="10">
        <v>7970000</v>
      </c>
      <c r="AA147" s="10">
        <v>4500000</v>
      </c>
      <c r="AB147" s="10">
        <v>8820000</v>
      </c>
      <c r="AC147" s="10">
        <v>0</v>
      </c>
      <c r="AD147" s="9" t="s">
        <v>44</v>
      </c>
      <c r="AE147" s="10" t="s">
        <v>2341</v>
      </c>
      <c r="AF147" s="10">
        <v>2940000</v>
      </c>
      <c r="AG147" s="10">
        <v>1</v>
      </c>
      <c r="AH147" s="10">
        <v>1</v>
      </c>
      <c r="AI147" s="10">
        <v>1</v>
      </c>
      <c r="AJ147" s="12" t="s">
        <v>604</v>
      </c>
      <c r="AK147" s="10">
        <v>0</v>
      </c>
      <c r="AL147" s="10">
        <v>0</v>
      </c>
      <c r="AM147" s="9">
        <v>2011</v>
      </c>
      <c r="AN147" s="10">
        <v>0</v>
      </c>
      <c r="AO147" s="10">
        <v>3</v>
      </c>
      <c r="AP147" s="6"/>
      <c r="AQ147" s="7"/>
      <c r="AR147" s="8"/>
      <c r="AS147" s="4">
        <f t="shared" si="6"/>
        <v>850000</v>
      </c>
      <c r="AT147" s="4">
        <f t="shared" si="7"/>
        <v>5115600.6675313292</v>
      </c>
      <c r="AU147" s="4">
        <f t="shared" si="8"/>
        <v>3704399.3324686708</v>
      </c>
      <c r="AV147" s="9" t="s">
        <v>603</v>
      </c>
      <c r="AW147" s="12" t="s">
        <v>604</v>
      </c>
      <c r="AX147" s="10">
        <v>0</v>
      </c>
      <c r="AY147">
        <f>S147*AU147/AS147</f>
        <v>1961152.5877775317</v>
      </c>
      <c r="AZ147">
        <f>AU147-AY147</f>
        <v>1743246.7446911391</v>
      </c>
      <c r="BA147" s="10">
        <v>8820000</v>
      </c>
      <c r="BB147" s="10">
        <v>0</v>
      </c>
      <c r="BC147" s="9" t="s">
        <v>42</v>
      </c>
      <c r="BD147" s="9">
        <v>10421</v>
      </c>
      <c r="BE147" t="s">
        <v>46</v>
      </c>
    </row>
    <row r="148" spans="1:57" ht="270.75" thickBot="1" x14ac:dyDescent="0.3">
      <c r="A148" s="9" t="s">
        <v>605</v>
      </c>
      <c r="B148" s="9">
        <v>3001</v>
      </c>
      <c r="C148" s="10">
        <v>2</v>
      </c>
      <c r="D148" s="9" t="s">
        <v>37</v>
      </c>
      <c r="E148" s="14">
        <v>46215.523472222223</v>
      </c>
      <c r="F148" s="9" t="s">
        <v>606</v>
      </c>
      <c r="G148" s="9" t="s">
        <v>39</v>
      </c>
      <c r="H148" s="9">
        <v>53</v>
      </c>
      <c r="I148" s="9" t="s">
        <v>40</v>
      </c>
      <c r="J148" s="9">
        <v>5309</v>
      </c>
      <c r="K148" s="9" t="s">
        <v>41</v>
      </c>
      <c r="L148" s="9">
        <v>5309062</v>
      </c>
      <c r="M148" s="9">
        <v>5309062006</v>
      </c>
      <c r="N148" s="9" t="s">
        <v>42</v>
      </c>
      <c r="O148" s="9">
        <v>10421</v>
      </c>
      <c r="P148" s="9" t="s">
        <v>607</v>
      </c>
      <c r="Q148" s="10">
        <v>3</v>
      </c>
      <c r="R148" s="10">
        <v>200000</v>
      </c>
      <c r="S148" s="10">
        <v>200000</v>
      </c>
      <c r="T148" s="10">
        <v>0</v>
      </c>
      <c r="U148" s="10">
        <v>100000</v>
      </c>
      <c r="V148" s="10">
        <v>0</v>
      </c>
      <c r="W148" s="10">
        <v>500000</v>
      </c>
      <c r="X148" s="10">
        <v>2520000</v>
      </c>
      <c r="Y148" s="10">
        <v>0</v>
      </c>
      <c r="Z148" s="10">
        <v>2220000</v>
      </c>
      <c r="AA148" s="10">
        <v>2400000</v>
      </c>
      <c r="AB148" s="10">
        <v>2520000</v>
      </c>
      <c r="AC148" s="10">
        <v>0</v>
      </c>
      <c r="AD148" s="9" t="s">
        <v>44</v>
      </c>
      <c r="AE148" s="10" t="s">
        <v>2342</v>
      </c>
      <c r="AF148" s="10">
        <v>840000</v>
      </c>
      <c r="AG148" s="10">
        <v>1</v>
      </c>
      <c r="AH148" s="10">
        <v>1</v>
      </c>
      <c r="AI148" s="10">
        <v>1</v>
      </c>
      <c r="AJ148" s="12" t="s">
        <v>608</v>
      </c>
      <c r="AK148" s="10">
        <v>0</v>
      </c>
      <c r="AL148" s="10">
        <v>0</v>
      </c>
      <c r="AM148" s="9">
        <v>2022</v>
      </c>
      <c r="AN148" s="10">
        <v>1</v>
      </c>
      <c r="AO148" s="10">
        <v>2</v>
      </c>
      <c r="AP148" s="6"/>
      <c r="AQ148" s="7"/>
      <c r="AR148" s="8"/>
      <c r="AS148" s="4">
        <f t="shared" si="6"/>
        <v>300000</v>
      </c>
      <c r="AT148" s="4">
        <f t="shared" si="7"/>
        <v>1461600.6320435167</v>
      </c>
      <c r="AU148" s="4">
        <f t="shared" si="8"/>
        <v>1058399.3679564833</v>
      </c>
      <c r="AV148" s="9" t="s">
        <v>607</v>
      </c>
      <c r="AW148" s="12" t="s">
        <v>608</v>
      </c>
      <c r="AX148" s="10">
        <v>0</v>
      </c>
      <c r="AY148">
        <f>S148*AU148/AS148</f>
        <v>705599.57863765559</v>
      </c>
      <c r="AZ148">
        <f>AU148-AY148</f>
        <v>352799.78931882768</v>
      </c>
      <c r="BA148" s="10">
        <v>2520000</v>
      </c>
      <c r="BB148" s="10">
        <v>0</v>
      </c>
      <c r="BC148" s="9" t="s">
        <v>42</v>
      </c>
      <c r="BD148" s="9">
        <v>10421</v>
      </c>
      <c r="BE148" t="s">
        <v>46</v>
      </c>
    </row>
    <row r="149" spans="1:57" ht="270.75" thickBot="1" x14ac:dyDescent="0.3">
      <c r="A149" s="9" t="s">
        <v>609</v>
      </c>
      <c r="B149" s="9">
        <v>3001</v>
      </c>
      <c r="C149" s="10">
        <v>2</v>
      </c>
      <c r="D149" s="9" t="s">
        <v>113</v>
      </c>
      <c r="E149" s="11">
        <v>46313.305347800924</v>
      </c>
      <c r="F149" s="9" t="s">
        <v>610</v>
      </c>
      <c r="G149" s="9" t="s">
        <v>39</v>
      </c>
      <c r="H149" s="9">
        <v>53</v>
      </c>
      <c r="I149" s="9" t="s">
        <v>40</v>
      </c>
      <c r="J149" s="9">
        <v>5309</v>
      </c>
      <c r="K149" s="9" t="s">
        <v>41</v>
      </c>
      <c r="L149" s="9">
        <v>5309073</v>
      </c>
      <c r="M149" s="9">
        <v>5309073001</v>
      </c>
      <c r="N149" s="9" t="s">
        <v>42</v>
      </c>
      <c r="O149" s="9">
        <v>10421</v>
      </c>
      <c r="P149" s="9" t="s">
        <v>611</v>
      </c>
      <c r="Q149" s="10">
        <v>2</v>
      </c>
      <c r="R149" s="10">
        <v>400000</v>
      </c>
      <c r="S149" s="10">
        <v>100000</v>
      </c>
      <c r="T149" s="10">
        <v>0</v>
      </c>
      <c r="U149" s="10">
        <v>200000</v>
      </c>
      <c r="V149" s="10">
        <v>0</v>
      </c>
      <c r="W149" s="10">
        <v>700000</v>
      </c>
      <c r="X149" s="10">
        <v>2820000</v>
      </c>
      <c r="Y149" s="10">
        <v>0</v>
      </c>
      <c r="Z149" s="10">
        <v>2520000</v>
      </c>
      <c r="AA149" s="10">
        <v>11500000</v>
      </c>
      <c r="AB149" s="10">
        <v>2820000</v>
      </c>
      <c r="AC149" s="10">
        <v>0</v>
      </c>
      <c r="AD149" s="9" t="s">
        <v>44</v>
      </c>
      <c r="AE149" s="10" t="s">
        <v>2343</v>
      </c>
      <c r="AF149" s="10">
        <v>1410000</v>
      </c>
      <c r="AG149" s="10">
        <v>0</v>
      </c>
      <c r="AH149" s="10">
        <v>1</v>
      </c>
      <c r="AI149" s="10">
        <v>1</v>
      </c>
      <c r="AJ149" s="12" t="s">
        <v>612</v>
      </c>
      <c r="AK149" s="10">
        <v>0</v>
      </c>
      <c r="AL149" s="10">
        <v>0</v>
      </c>
      <c r="AM149" s="9">
        <v>2002</v>
      </c>
      <c r="AN149" s="10">
        <v>1</v>
      </c>
      <c r="AO149" s="10">
        <v>1</v>
      </c>
      <c r="AP149" s="6"/>
      <c r="AQ149" s="3"/>
      <c r="AR149" s="8"/>
      <c r="AS149" s="4">
        <f t="shared" si="6"/>
        <v>300000</v>
      </c>
      <c r="AT149" s="4">
        <f t="shared" si="7"/>
        <v>1635600.0389428581</v>
      </c>
      <c r="AU149" s="4">
        <f t="shared" si="8"/>
        <v>1184399.9610571419</v>
      </c>
      <c r="AV149" s="9" t="s">
        <v>611</v>
      </c>
      <c r="AW149" s="12" t="s">
        <v>612</v>
      </c>
      <c r="AX149" s="10">
        <v>0</v>
      </c>
      <c r="AY149">
        <f>S149*AU149/AS149</f>
        <v>394799.98701904732</v>
      </c>
      <c r="AZ149">
        <f>AU149-AY149</f>
        <v>789599.97403809451</v>
      </c>
      <c r="BA149" s="10">
        <v>2820000</v>
      </c>
      <c r="BB149" s="10">
        <v>0</v>
      </c>
      <c r="BC149" s="9" t="s">
        <v>42</v>
      </c>
      <c r="BD149" s="9">
        <v>10421</v>
      </c>
      <c r="BE149" t="s">
        <v>46</v>
      </c>
    </row>
    <row r="150" spans="1:57" ht="270.75" thickBot="1" x14ac:dyDescent="0.3">
      <c r="A150" s="9" t="s">
        <v>613</v>
      </c>
      <c r="B150" s="9">
        <v>3001</v>
      </c>
      <c r="C150" s="10">
        <v>2</v>
      </c>
      <c r="D150" s="9" t="s">
        <v>37</v>
      </c>
      <c r="E150" s="14">
        <v>46220.712476851855</v>
      </c>
      <c r="F150" s="9" t="s">
        <v>614</v>
      </c>
      <c r="G150" s="9" t="s">
        <v>39</v>
      </c>
      <c r="H150" s="9">
        <v>53</v>
      </c>
      <c r="I150" s="9" t="s">
        <v>40</v>
      </c>
      <c r="J150" s="9">
        <v>5309</v>
      </c>
      <c r="K150" s="9" t="s">
        <v>41</v>
      </c>
      <c r="L150" s="9">
        <v>5309073</v>
      </c>
      <c r="M150" s="9">
        <v>5309073010</v>
      </c>
      <c r="N150" s="9" t="s">
        <v>42</v>
      </c>
      <c r="O150" s="9">
        <v>10421</v>
      </c>
      <c r="P150" s="9" t="s">
        <v>615</v>
      </c>
      <c r="Q150" s="10">
        <v>2</v>
      </c>
      <c r="R150" s="10">
        <v>1250000</v>
      </c>
      <c r="S150" s="10">
        <v>300000</v>
      </c>
      <c r="T150" s="10">
        <v>0</v>
      </c>
      <c r="U150" s="10">
        <v>400000</v>
      </c>
      <c r="V150" s="10">
        <v>0</v>
      </c>
      <c r="W150" s="10">
        <v>1950000</v>
      </c>
      <c r="X150" s="10">
        <v>13440000</v>
      </c>
      <c r="Y150" s="10">
        <v>0</v>
      </c>
      <c r="Z150" s="10">
        <v>12740000</v>
      </c>
      <c r="AA150" s="10">
        <v>6600000</v>
      </c>
      <c r="AB150" s="10">
        <v>13440000</v>
      </c>
      <c r="AC150" s="10">
        <v>0</v>
      </c>
      <c r="AD150" s="9" t="s">
        <v>44</v>
      </c>
      <c r="AE150" s="10" t="s">
        <v>2344</v>
      </c>
      <c r="AF150" s="10">
        <v>6720000</v>
      </c>
      <c r="AG150" s="10">
        <v>1</v>
      </c>
      <c r="AH150" s="10">
        <v>1</v>
      </c>
      <c r="AI150" s="10">
        <v>1</v>
      </c>
      <c r="AJ150" s="12" t="s">
        <v>616</v>
      </c>
      <c r="AK150" s="10">
        <v>0</v>
      </c>
      <c r="AL150" s="10">
        <v>0</v>
      </c>
      <c r="AM150" s="9">
        <v>2017</v>
      </c>
      <c r="AN150" s="10">
        <v>1</v>
      </c>
      <c r="AO150" s="10">
        <v>1</v>
      </c>
      <c r="AP150" s="6"/>
      <c r="AQ150" s="7"/>
      <c r="AR150" s="8"/>
      <c r="AS150" s="4">
        <f t="shared" si="6"/>
        <v>700000</v>
      </c>
      <c r="AT150" s="4">
        <f t="shared" si="7"/>
        <v>7795197.258831732</v>
      </c>
      <c r="AU150" s="4">
        <f t="shared" si="8"/>
        <v>5644802.741168268</v>
      </c>
      <c r="AV150" s="9" t="s">
        <v>615</v>
      </c>
      <c r="AW150" s="12" t="s">
        <v>616</v>
      </c>
      <c r="AX150" s="10">
        <v>0</v>
      </c>
      <c r="AY150">
        <f>S150*AU150/AS150</f>
        <v>2419201.1747864005</v>
      </c>
      <c r="AZ150">
        <f>AU150-AY150</f>
        <v>3225601.5663818675</v>
      </c>
      <c r="BA150" s="10">
        <v>13440000</v>
      </c>
      <c r="BB150" s="10">
        <v>0</v>
      </c>
      <c r="BC150" s="9" t="s">
        <v>42</v>
      </c>
      <c r="BD150" s="9">
        <v>10421</v>
      </c>
      <c r="BE150" t="s">
        <v>46</v>
      </c>
    </row>
    <row r="151" spans="1:57" ht="270.75" thickBot="1" x14ac:dyDescent="0.3">
      <c r="A151" s="9" t="s">
        <v>617</v>
      </c>
      <c r="B151" s="9">
        <v>3002</v>
      </c>
      <c r="C151" s="10">
        <v>2</v>
      </c>
      <c r="D151" s="9" t="s">
        <v>84</v>
      </c>
      <c r="E151" s="11">
        <v>46317.253270775465</v>
      </c>
      <c r="F151" s="9" t="s">
        <v>618</v>
      </c>
      <c r="G151" s="9" t="s">
        <v>39</v>
      </c>
      <c r="H151" s="9">
        <v>53</v>
      </c>
      <c r="I151" s="9" t="s">
        <v>40</v>
      </c>
      <c r="J151" s="9">
        <v>5309</v>
      </c>
      <c r="K151" s="9" t="s">
        <v>41</v>
      </c>
      <c r="L151" s="9">
        <v>5309062</v>
      </c>
      <c r="M151" s="9">
        <v>5309062002</v>
      </c>
      <c r="N151" s="9" t="s">
        <v>42</v>
      </c>
      <c r="O151" s="9">
        <v>10421</v>
      </c>
      <c r="P151" s="9" t="s">
        <v>106</v>
      </c>
      <c r="Q151" s="10">
        <v>2</v>
      </c>
      <c r="R151" s="10">
        <v>0</v>
      </c>
      <c r="S151" s="10">
        <v>300000</v>
      </c>
      <c r="T151" s="10">
        <v>0</v>
      </c>
      <c r="U151" s="10">
        <v>500000</v>
      </c>
      <c r="V151" s="10">
        <v>0</v>
      </c>
      <c r="W151" s="10">
        <v>800000</v>
      </c>
      <c r="X151" s="10">
        <v>8700000</v>
      </c>
      <c r="Y151" s="10">
        <v>0</v>
      </c>
      <c r="Z151" s="10">
        <v>7900000</v>
      </c>
      <c r="AA151" s="10">
        <v>4000000</v>
      </c>
      <c r="AB151" s="10">
        <v>8700000</v>
      </c>
      <c r="AC151" s="10">
        <v>0</v>
      </c>
      <c r="AD151" s="9" t="s">
        <v>44</v>
      </c>
      <c r="AE151" s="10" t="s">
        <v>2345</v>
      </c>
      <c r="AF151" s="10">
        <v>4350000</v>
      </c>
      <c r="AG151" s="10">
        <v>1</v>
      </c>
      <c r="AH151" s="10">
        <v>1</v>
      </c>
      <c r="AI151" s="10">
        <v>1</v>
      </c>
      <c r="AJ151" s="12" t="s">
        <v>619</v>
      </c>
      <c r="AK151" s="10">
        <v>0</v>
      </c>
      <c r="AL151" s="10">
        <v>0</v>
      </c>
      <c r="AM151" s="9">
        <v>1998</v>
      </c>
      <c r="AN151" s="10">
        <v>0</v>
      </c>
      <c r="AO151" s="10">
        <v>2</v>
      </c>
      <c r="AP151" s="6"/>
      <c r="AQ151" s="7"/>
      <c r="AR151" s="8"/>
      <c r="AS151" s="4">
        <f t="shared" si="6"/>
        <v>800000</v>
      </c>
      <c r="AT151" s="4">
        <f t="shared" si="7"/>
        <v>5045999.8722531674</v>
      </c>
      <c r="AU151" s="4">
        <f t="shared" si="8"/>
        <v>3654000.1277468326</v>
      </c>
      <c r="AV151" s="9" t="s">
        <v>106</v>
      </c>
      <c r="AW151" s="12" t="s">
        <v>619</v>
      </c>
      <c r="AX151" s="10">
        <v>0</v>
      </c>
      <c r="AY151">
        <f>S151*AU151/AS151</f>
        <v>1370250.0479050623</v>
      </c>
      <c r="AZ151">
        <f>AU151-AY151</f>
        <v>2283750.0798417702</v>
      </c>
      <c r="BA151" s="10">
        <v>8700000</v>
      </c>
      <c r="BB151" s="10">
        <v>0</v>
      </c>
      <c r="BC151" s="9" t="s">
        <v>42</v>
      </c>
      <c r="BD151" s="9">
        <v>10421</v>
      </c>
      <c r="BE151" t="s">
        <v>46</v>
      </c>
    </row>
    <row r="152" spans="1:57" ht="255.75" thickBot="1" x14ac:dyDescent="0.3">
      <c r="A152" s="9" t="s">
        <v>620</v>
      </c>
      <c r="B152" s="9">
        <v>3001</v>
      </c>
      <c r="C152" s="10">
        <v>2</v>
      </c>
      <c r="D152" s="9" t="s">
        <v>37</v>
      </c>
      <c r="E152" s="14">
        <v>46230.461458333331</v>
      </c>
      <c r="F152" s="9" t="s">
        <v>621</v>
      </c>
      <c r="G152" s="9" t="s">
        <v>39</v>
      </c>
      <c r="H152" s="9">
        <v>53</v>
      </c>
      <c r="I152" s="9" t="s">
        <v>40</v>
      </c>
      <c r="J152" s="9">
        <v>5309</v>
      </c>
      <c r="K152" s="9" t="s">
        <v>41</v>
      </c>
      <c r="L152" s="9">
        <v>5309062</v>
      </c>
      <c r="M152" s="9">
        <v>5309062007</v>
      </c>
      <c r="N152" s="9" t="s">
        <v>42</v>
      </c>
      <c r="O152" s="9">
        <v>10421</v>
      </c>
      <c r="P152" s="9" t="s">
        <v>622</v>
      </c>
      <c r="Q152" s="10">
        <v>3</v>
      </c>
      <c r="R152" s="10">
        <v>250000</v>
      </c>
      <c r="S152" s="10">
        <v>100000</v>
      </c>
      <c r="T152" s="10">
        <v>0</v>
      </c>
      <c r="U152" s="10">
        <v>120000</v>
      </c>
      <c r="V152" s="10">
        <v>0</v>
      </c>
      <c r="W152" s="10">
        <v>470000</v>
      </c>
      <c r="X152" s="10">
        <v>2150000</v>
      </c>
      <c r="Y152" s="10">
        <v>0</v>
      </c>
      <c r="Z152" s="10">
        <v>1930000</v>
      </c>
      <c r="AA152" s="10">
        <v>4200000</v>
      </c>
      <c r="AB152" s="10">
        <v>2150000</v>
      </c>
      <c r="AC152" s="10">
        <v>0</v>
      </c>
      <c r="AD152" s="9" t="s">
        <v>44</v>
      </c>
      <c r="AE152" s="10" t="s">
        <v>2346</v>
      </c>
      <c r="AF152" s="13">
        <v>7166666667</v>
      </c>
      <c r="AG152" s="10">
        <v>1</v>
      </c>
      <c r="AH152" s="10">
        <v>1</v>
      </c>
      <c r="AI152" s="10">
        <v>1</v>
      </c>
      <c r="AJ152" s="12" t="s">
        <v>623</v>
      </c>
      <c r="AK152" s="10">
        <v>0</v>
      </c>
      <c r="AL152" s="10">
        <v>0</v>
      </c>
      <c r="AM152" s="9">
        <v>2009</v>
      </c>
      <c r="AN152" s="10">
        <v>1</v>
      </c>
      <c r="AO152" s="10">
        <v>2</v>
      </c>
      <c r="AP152" s="6"/>
      <c r="AQ152" s="3"/>
      <c r="AR152" s="8"/>
      <c r="AS152" s="4">
        <f t="shared" si="6"/>
        <v>220000</v>
      </c>
      <c r="AT152" s="4">
        <f t="shared" si="7"/>
        <v>1247000.5815028618</v>
      </c>
      <c r="AU152" s="4">
        <f t="shared" si="8"/>
        <v>902999.41849713819</v>
      </c>
      <c r="AV152" s="9" t="s">
        <v>622</v>
      </c>
      <c r="AW152" s="12" t="s">
        <v>623</v>
      </c>
      <c r="AX152" s="10">
        <v>0</v>
      </c>
      <c r="AY152">
        <f>S152*AU152/AS152</f>
        <v>410454.2811350628</v>
      </c>
      <c r="AZ152">
        <f>AU152-AY152</f>
        <v>492545.13736207539</v>
      </c>
      <c r="BA152" s="10">
        <v>2150000</v>
      </c>
      <c r="BB152" s="10">
        <v>0</v>
      </c>
      <c r="BC152" s="9" t="s">
        <v>42</v>
      </c>
      <c r="BD152" s="9">
        <v>10421</v>
      </c>
      <c r="BE152" t="s">
        <v>46</v>
      </c>
    </row>
    <row r="153" spans="1:57" ht="270.75" thickBot="1" x14ac:dyDescent="0.3">
      <c r="A153" s="9" t="s">
        <v>624</v>
      </c>
      <c r="B153" s="9">
        <v>3001</v>
      </c>
      <c r="C153" s="10">
        <v>2</v>
      </c>
      <c r="D153" s="9" t="s">
        <v>37</v>
      </c>
      <c r="E153" s="11">
        <v>46265.555277824074</v>
      </c>
      <c r="F153" s="9" t="s">
        <v>625</v>
      </c>
      <c r="G153" s="9" t="s">
        <v>39</v>
      </c>
      <c r="H153" s="9">
        <v>53</v>
      </c>
      <c r="I153" s="9" t="s">
        <v>40</v>
      </c>
      <c r="J153" s="9">
        <v>5309</v>
      </c>
      <c r="K153" s="9" t="s">
        <v>41</v>
      </c>
      <c r="L153" s="9">
        <v>5309074</v>
      </c>
      <c r="M153" s="9">
        <v>5309074007</v>
      </c>
      <c r="N153" s="9" t="s">
        <v>42</v>
      </c>
      <c r="O153" s="9">
        <v>10421</v>
      </c>
      <c r="P153" s="9" t="s">
        <v>49</v>
      </c>
      <c r="Q153" s="10">
        <v>3</v>
      </c>
      <c r="R153" s="10">
        <v>1200000</v>
      </c>
      <c r="S153" s="10">
        <v>1500000</v>
      </c>
      <c r="T153" s="10">
        <v>0</v>
      </c>
      <c r="U153" s="10">
        <v>350000</v>
      </c>
      <c r="V153" s="10">
        <v>15000</v>
      </c>
      <c r="W153" s="10">
        <v>3065000</v>
      </c>
      <c r="X153" s="10">
        <v>13600000</v>
      </c>
      <c r="Y153" s="10">
        <v>0</v>
      </c>
      <c r="Z153" s="10">
        <v>11750000</v>
      </c>
      <c r="AA153" s="10">
        <v>1950000</v>
      </c>
      <c r="AB153" s="10">
        <v>13600000</v>
      </c>
      <c r="AC153" s="10">
        <v>0</v>
      </c>
      <c r="AD153" s="9" t="s">
        <v>44</v>
      </c>
      <c r="AE153" s="10" t="s">
        <v>2347</v>
      </c>
      <c r="AF153" s="13">
        <v>4533333333</v>
      </c>
      <c r="AG153" s="10">
        <v>1</v>
      </c>
      <c r="AH153" s="10">
        <v>1</v>
      </c>
      <c r="AI153" s="10">
        <v>1</v>
      </c>
      <c r="AJ153" s="12" t="s">
        <v>626</v>
      </c>
      <c r="AK153" s="10">
        <v>0</v>
      </c>
      <c r="AL153" s="10">
        <v>0</v>
      </c>
      <c r="AM153" s="9">
        <v>2015</v>
      </c>
      <c r="AN153" s="10">
        <v>2</v>
      </c>
      <c r="AO153" s="10">
        <v>1</v>
      </c>
      <c r="AP153" s="6"/>
      <c r="AQ153" s="7"/>
      <c r="AR153" s="8"/>
      <c r="AS153" s="4">
        <f t="shared" si="6"/>
        <v>1850000</v>
      </c>
      <c r="AT153" s="4">
        <f t="shared" si="7"/>
        <v>7887996.2406145558</v>
      </c>
      <c r="AU153" s="4">
        <f t="shared" si="8"/>
        <v>5712003.7593854442</v>
      </c>
      <c r="AV153" s="9" t="s">
        <v>49</v>
      </c>
      <c r="AW153" s="12" t="s">
        <v>626</v>
      </c>
      <c r="AX153" s="10">
        <v>0</v>
      </c>
      <c r="AY153">
        <f>S153*AU153/AS153</f>
        <v>4631354.3995017111</v>
      </c>
      <c r="AZ153">
        <f>AU153-AY153</f>
        <v>1080649.3598837331</v>
      </c>
      <c r="BA153" s="10">
        <v>13600000</v>
      </c>
      <c r="BB153" s="10">
        <v>0</v>
      </c>
      <c r="BC153" s="9" t="s">
        <v>42</v>
      </c>
      <c r="BD153" s="9">
        <v>10421</v>
      </c>
      <c r="BE153" t="s">
        <v>46</v>
      </c>
    </row>
    <row r="154" spans="1:57" ht="270.75" thickBot="1" x14ac:dyDescent="0.3">
      <c r="A154" s="9" t="s">
        <v>627</v>
      </c>
      <c r="B154" s="9">
        <v>3002</v>
      </c>
      <c r="C154" s="10">
        <v>2</v>
      </c>
      <c r="D154" s="9" t="s">
        <v>37</v>
      </c>
      <c r="E154" s="11">
        <v>46274.325807407404</v>
      </c>
      <c r="F154" s="9" t="s">
        <v>628</v>
      </c>
      <c r="G154" s="9" t="s">
        <v>39</v>
      </c>
      <c r="H154" s="9">
        <v>53</v>
      </c>
      <c r="I154" s="9" t="s">
        <v>40</v>
      </c>
      <c r="J154" s="9">
        <v>5309</v>
      </c>
      <c r="K154" s="9" t="s">
        <v>41</v>
      </c>
      <c r="L154" s="9">
        <v>5309074</v>
      </c>
      <c r="M154" s="9">
        <v>5309074007</v>
      </c>
      <c r="N154" s="9" t="s">
        <v>42</v>
      </c>
      <c r="O154" s="9">
        <v>10421</v>
      </c>
      <c r="P154" s="9" t="s">
        <v>629</v>
      </c>
      <c r="Q154" s="10">
        <v>2</v>
      </c>
      <c r="R154" s="10">
        <v>1200000</v>
      </c>
      <c r="S154" s="10">
        <v>3800000</v>
      </c>
      <c r="T154" s="10">
        <v>0</v>
      </c>
      <c r="U154" s="10">
        <v>0</v>
      </c>
      <c r="V154" s="10">
        <v>0</v>
      </c>
      <c r="W154" s="10">
        <v>5000000</v>
      </c>
      <c r="X154" s="10">
        <v>3600000</v>
      </c>
      <c r="Y154" s="10">
        <v>16000000</v>
      </c>
      <c r="Z154" s="10">
        <v>-200000</v>
      </c>
      <c r="AA154" s="10">
        <v>2100000</v>
      </c>
      <c r="AB154" s="10">
        <v>3600000</v>
      </c>
      <c r="AC154" s="10">
        <v>0</v>
      </c>
      <c r="AD154" s="9" t="s">
        <v>44</v>
      </c>
      <c r="AE154" s="10" t="s">
        <v>2348</v>
      </c>
      <c r="AF154" s="10">
        <v>1800000</v>
      </c>
      <c r="AG154" s="10">
        <v>1</v>
      </c>
      <c r="AH154" s="10">
        <v>1</v>
      </c>
      <c r="AI154" s="10">
        <v>1</v>
      </c>
      <c r="AJ154" s="12" t="s">
        <v>630</v>
      </c>
      <c r="AK154" s="10">
        <v>0</v>
      </c>
      <c r="AL154" s="10">
        <v>0</v>
      </c>
      <c r="AM154" s="9">
        <v>1997</v>
      </c>
      <c r="AN154" s="10">
        <v>2</v>
      </c>
      <c r="AO154" s="10">
        <v>0</v>
      </c>
      <c r="AP154" s="6"/>
      <c r="AQ154" s="7"/>
      <c r="AR154" s="8"/>
      <c r="AS154" s="4">
        <f t="shared" si="6"/>
        <v>3800000</v>
      </c>
      <c r="AT154" s="4">
        <f t="shared" si="7"/>
        <v>2087983.2961336307</v>
      </c>
      <c r="AU154" s="4">
        <f t="shared" si="8"/>
        <v>1512016.7038663693</v>
      </c>
      <c r="AV154" s="9" t="s">
        <v>629</v>
      </c>
      <c r="AW154" s="12" t="s">
        <v>630</v>
      </c>
      <c r="AX154" s="10">
        <v>0</v>
      </c>
      <c r="AY154">
        <f>S154*AU154/AS154</f>
        <v>1512016.7038663693</v>
      </c>
      <c r="AZ154">
        <f>AU154-AY154</f>
        <v>0</v>
      </c>
      <c r="BA154" s="10">
        <v>3600000</v>
      </c>
      <c r="BB154" s="10">
        <v>16000000</v>
      </c>
      <c r="BC154" s="9" t="s">
        <v>42</v>
      </c>
      <c r="BD154" s="9">
        <v>10421</v>
      </c>
      <c r="BE154" t="s">
        <v>46</v>
      </c>
    </row>
    <row r="155" spans="1:57" ht="255.75" thickBot="1" x14ac:dyDescent="0.3">
      <c r="A155" s="9" t="s">
        <v>631</v>
      </c>
      <c r="B155" s="9">
        <v>3001</v>
      </c>
      <c r="C155" s="10">
        <v>2</v>
      </c>
      <c r="D155" s="9" t="s">
        <v>37</v>
      </c>
      <c r="E155" s="14">
        <v>46224.249571759261</v>
      </c>
      <c r="F155" s="9" t="s">
        <v>632</v>
      </c>
      <c r="G155" s="9" t="s">
        <v>39</v>
      </c>
      <c r="H155" s="9">
        <v>53</v>
      </c>
      <c r="I155" s="9" t="s">
        <v>40</v>
      </c>
      <c r="J155" s="9">
        <v>5309</v>
      </c>
      <c r="K155" s="9" t="s">
        <v>41</v>
      </c>
      <c r="L155" s="9">
        <v>5309060</v>
      </c>
      <c r="M155" s="9">
        <v>5309060018</v>
      </c>
      <c r="N155" s="9" t="s">
        <v>42</v>
      </c>
      <c r="O155" s="9">
        <v>10421</v>
      </c>
      <c r="P155" s="9" t="s">
        <v>633</v>
      </c>
      <c r="Q155" s="10">
        <v>5</v>
      </c>
      <c r="R155" s="10">
        <v>1000000</v>
      </c>
      <c r="S155" s="10">
        <v>200000</v>
      </c>
      <c r="T155" s="10">
        <v>0</v>
      </c>
      <c r="U155" s="10">
        <v>150000</v>
      </c>
      <c r="V155" s="10">
        <v>25300</v>
      </c>
      <c r="W155" s="10">
        <v>1375300</v>
      </c>
      <c r="X155" s="10">
        <v>8500000</v>
      </c>
      <c r="Y155" s="10">
        <v>0</v>
      </c>
      <c r="Z155" s="10">
        <v>8150000</v>
      </c>
      <c r="AA155" s="10">
        <v>1000000</v>
      </c>
      <c r="AB155" s="10">
        <v>8500000</v>
      </c>
      <c r="AC155" s="10">
        <v>0</v>
      </c>
      <c r="AD155" s="9" t="s">
        <v>44</v>
      </c>
      <c r="AE155" s="10" t="s">
        <v>2349</v>
      </c>
      <c r="AF155" s="10">
        <v>1700000</v>
      </c>
      <c r="AG155" s="10">
        <v>1</v>
      </c>
      <c r="AH155" s="10">
        <v>1</v>
      </c>
      <c r="AI155" s="10">
        <v>1</v>
      </c>
      <c r="AJ155" s="12" t="s">
        <v>634</v>
      </c>
      <c r="AK155" s="10">
        <v>0</v>
      </c>
      <c r="AL155" s="10">
        <v>0</v>
      </c>
      <c r="AM155" s="9">
        <v>2016</v>
      </c>
      <c r="AN155" s="10">
        <v>2</v>
      </c>
      <c r="AO155" s="10">
        <v>3</v>
      </c>
      <c r="AP155" s="6"/>
      <c r="AQ155" s="3"/>
      <c r="AR155" s="8"/>
      <c r="AS155" s="4">
        <f t="shared" si="6"/>
        <v>350000</v>
      </c>
      <c r="AT155" s="4">
        <f t="shared" si="7"/>
        <v>4929997.5803692853</v>
      </c>
      <c r="AU155" s="4">
        <f t="shared" si="8"/>
        <v>3570002.4196307147</v>
      </c>
      <c r="AV155" s="9" t="s">
        <v>633</v>
      </c>
      <c r="AW155" s="12" t="s">
        <v>634</v>
      </c>
      <c r="AX155" s="10">
        <v>0</v>
      </c>
      <c r="AY155">
        <f>S155*AU155/AS155</f>
        <v>2040001.3826461227</v>
      </c>
      <c r="AZ155">
        <f>AU155-AY155</f>
        <v>1530001.036984592</v>
      </c>
      <c r="BA155" s="10">
        <v>8500000</v>
      </c>
      <c r="BB155" s="10">
        <v>0</v>
      </c>
      <c r="BC155" s="9" t="s">
        <v>42</v>
      </c>
      <c r="BD155" s="9">
        <v>10421</v>
      </c>
      <c r="BE155" t="s">
        <v>46</v>
      </c>
    </row>
    <row r="156" spans="1:57" ht="270.75" thickBot="1" x14ac:dyDescent="0.3">
      <c r="A156" s="9" t="s">
        <v>635</v>
      </c>
      <c r="B156" s="9">
        <v>3002</v>
      </c>
      <c r="C156" s="10">
        <v>2</v>
      </c>
      <c r="D156" s="9" t="s">
        <v>37</v>
      </c>
      <c r="E156" s="11">
        <v>46261.267405243052</v>
      </c>
      <c r="F156" s="9" t="s">
        <v>636</v>
      </c>
      <c r="G156" s="9" t="s">
        <v>39</v>
      </c>
      <c r="H156" s="9">
        <v>53</v>
      </c>
      <c r="I156" s="9" t="s">
        <v>40</v>
      </c>
      <c r="J156" s="9">
        <v>5309</v>
      </c>
      <c r="K156" s="9" t="s">
        <v>41</v>
      </c>
      <c r="L156" s="9">
        <v>5309073</v>
      </c>
      <c r="M156" s="9">
        <v>5309073004</v>
      </c>
      <c r="N156" s="9" t="s">
        <v>42</v>
      </c>
      <c r="O156" s="9">
        <v>10421</v>
      </c>
      <c r="P156" s="9" t="s">
        <v>637</v>
      </c>
      <c r="Q156" s="10">
        <v>1</v>
      </c>
      <c r="R156" s="10">
        <v>0</v>
      </c>
      <c r="S156" s="10">
        <v>3500000</v>
      </c>
      <c r="T156" s="10">
        <v>0</v>
      </c>
      <c r="U156" s="10">
        <v>500000</v>
      </c>
      <c r="V156" s="10">
        <v>0</v>
      </c>
      <c r="W156" s="10">
        <v>4000000</v>
      </c>
      <c r="X156" s="10">
        <v>12150000</v>
      </c>
      <c r="Y156" s="10">
        <v>0</v>
      </c>
      <c r="Z156" s="10">
        <v>8150000</v>
      </c>
      <c r="AA156" s="10">
        <v>5750000</v>
      </c>
      <c r="AB156" s="10">
        <v>12150000</v>
      </c>
      <c r="AC156" s="10">
        <v>0</v>
      </c>
      <c r="AD156" s="9" t="s">
        <v>44</v>
      </c>
      <c r="AE156" s="10" t="s">
        <v>2284</v>
      </c>
      <c r="AF156" s="10">
        <v>12150000</v>
      </c>
      <c r="AG156" s="10">
        <v>1</v>
      </c>
      <c r="AH156" s="10">
        <v>1</v>
      </c>
      <c r="AI156" s="10">
        <v>1</v>
      </c>
      <c r="AJ156" s="12" t="s">
        <v>638</v>
      </c>
      <c r="AK156" s="10">
        <v>0</v>
      </c>
      <c r="AL156" s="10">
        <v>0</v>
      </c>
      <c r="AM156" s="9">
        <v>2017</v>
      </c>
      <c r="AN156" s="10">
        <v>0</v>
      </c>
      <c r="AO156" s="10">
        <v>1</v>
      </c>
      <c r="AP156" s="6"/>
      <c r="AQ156" s="7"/>
      <c r="AR156" s="8"/>
      <c r="AS156" s="4">
        <f t="shared" si="6"/>
        <v>4000000</v>
      </c>
      <c r="AT156" s="4">
        <f t="shared" si="7"/>
        <v>7046998.87593883</v>
      </c>
      <c r="AU156" s="4">
        <f t="shared" si="8"/>
        <v>5103001.12406117</v>
      </c>
      <c r="AV156" s="9" t="s">
        <v>637</v>
      </c>
      <c r="AW156" s="12" t="s">
        <v>638</v>
      </c>
      <c r="AX156" s="10">
        <v>0</v>
      </c>
      <c r="AY156">
        <f>S156*AU156/AS156</f>
        <v>4465125.9835535232</v>
      </c>
      <c r="AZ156">
        <f>AU156-AY156</f>
        <v>637875.14050764684</v>
      </c>
      <c r="BA156" s="10">
        <v>12150000</v>
      </c>
      <c r="BB156" s="10">
        <v>0</v>
      </c>
      <c r="BC156" s="9" t="s">
        <v>42</v>
      </c>
      <c r="BD156" s="9">
        <v>10421</v>
      </c>
      <c r="BE156" t="s">
        <v>46</v>
      </c>
    </row>
    <row r="157" spans="1:57" ht="270.75" thickBot="1" x14ac:dyDescent="0.3">
      <c r="A157" s="9" t="s">
        <v>639</v>
      </c>
      <c r="B157" s="9">
        <v>1001</v>
      </c>
      <c r="C157" s="10">
        <v>2</v>
      </c>
      <c r="D157" s="9" t="s">
        <v>84</v>
      </c>
      <c r="E157" s="11">
        <v>46308.575722939815</v>
      </c>
      <c r="F157" s="9" t="s">
        <v>640</v>
      </c>
      <c r="G157" s="9" t="s">
        <v>39</v>
      </c>
      <c r="H157" s="9">
        <v>53</v>
      </c>
      <c r="I157" s="9" t="s">
        <v>40</v>
      </c>
      <c r="J157" s="9">
        <v>5309</v>
      </c>
      <c r="K157" s="9" t="s">
        <v>41</v>
      </c>
      <c r="L157" s="9">
        <v>5309062</v>
      </c>
      <c r="M157" s="9">
        <v>5309062006</v>
      </c>
      <c r="N157" s="9" t="s">
        <v>42</v>
      </c>
      <c r="O157" s="9">
        <v>10421</v>
      </c>
      <c r="P157" s="9" t="s">
        <v>641</v>
      </c>
      <c r="Q157" s="10">
        <v>2</v>
      </c>
      <c r="R157" s="10">
        <v>0</v>
      </c>
      <c r="S157" s="10">
        <v>700000</v>
      </c>
      <c r="T157" s="10">
        <v>0</v>
      </c>
      <c r="U157" s="10">
        <v>500000</v>
      </c>
      <c r="V157" s="10">
        <v>0</v>
      </c>
      <c r="W157" s="10">
        <v>1200000</v>
      </c>
      <c r="X157" s="10">
        <v>9000000</v>
      </c>
      <c r="Y157" s="10">
        <v>0</v>
      </c>
      <c r="Z157" s="10">
        <v>7800000</v>
      </c>
      <c r="AA157" s="10">
        <v>4500000</v>
      </c>
      <c r="AB157" s="10">
        <v>9000000</v>
      </c>
      <c r="AC157" s="10">
        <v>0</v>
      </c>
      <c r="AD157" s="9" t="s">
        <v>44</v>
      </c>
      <c r="AE157" s="10" t="s">
        <v>2292</v>
      </c>
      <c r="AF157" s="10">
        <v>4500000</v>
      </c>
      <c r="AG157" s="10">
        <v>1</v>
      </c>
      <c r="AH157" s="10">
        <v>1</v>
      </c>
      <c r="AI157" s="10">
        <v>1</v>
      </c>
      <c r="AJ157" s="12" t="s">
        <v>642</v>
      </c>
      <c r="AK157" s="10">
        <v>0</v>
      </c>
      <c r="AL157" s="10">
        <v>0</v>
      </c>
      <c r="AM157" s="9">
        <v>2015</v>
      </c>
      <c r="AN157" s="10">
        <v>0</v>
      </c>
      <c r="AO157" s="10">
        <v>2</v>
      </c>
      <c r="AP157" s="6"/>
      <c r="AQ157" s="7"/>
      <c r="AR157" s="8"/>
      <c r="AS157" s="4">
        <f t="shared" si="6"/>
        <v>1200000</v>
      </c>
      <c r="AT157" s="4">
        <f t="shared" si="7"/>
        <v>5219997.9923084648</v>
      </c>
      <c r="AU157" s="4">
        <f t="shared" si="8"/>
        <v>3780002.0076915352</v>
      </c>
      <c r="AV157" s="9" t="s">
        <v>641</v>
      </c>
      <c r="AW157" s="12" t="s">
        <v>642</v>
      </c>
      <c r="AX157" s="10">
        <v>0</v>
      </c>
      <c r="AY157">
        <f>S157*AU157/AS157</f>
        <v>2205001.1711533954</v>
      </c>
      <c r="AZ157">
        <f>AU157-AY157</f>
        <v>1575000.8365381397</v>
      </c>
      <c r="BA157" s="10">
        <v>9000000</v>
      </c>
      <c r="BB157" s="10">
        <v>0</v>
      </c>
      <c r="BC157" s="9" t="s">
        <v>42</v>
      </c>
      <c r="BD157" s="9">
        <v>10421</v>
      </c>
      <c r="BE157" t="s">
        <v>46</v>
      </c>
    </row>
    <row r="158" spans="1:57" ht="270.75" thickBot="1" x14ac:dyDescent="0.3">
      <c r="A158" s="9" t="s">
        <v>643</v>
      </c>
      <c r="B158" s="9">
        <v>3001</v>
      </c>
      <c r="C158" s="10">
        <v>2</v>
      </c>
      <c r="D158" s="9" t="s">
        <v>37</v>
      </c>
      <c r="E158" s="11">
        <v>46245.977181435184</v>
      </c>
      <c r="F158" s="9" t="s">
        <v>644</v>
      </c>
      <c r="G158" s="9" t="s">
        <v>39</v>
      </c>
      <c r="H158" s="9">
        <v>53</v>
      </c>
      <c r="I158" s="9" t="s">
        <v>40</v>
      </c>
      <c r="J158" s="9">
        <v>5309</v>
      </c>
      <c r="K158" s="9" t="s">
        <v>41</v>
      </c>
      <c r="L158" s="9">
        <v>5309062</v>
      </c>
      <c r="M158" s="9">
        <v>5309062003</v>
      </c>
      <c r="N158" s="9" t="s">
        <v>42</v>
      </c>
      <c r="O158" s="9">
        <v>10421</v>
      </c>
      <c r="P158" s="9" t="s">
        <v>645</v>
      </c>
      <c r="Q158" s="10">
        <v>3</v>
      </c>
      <c r="R158" s="10">
        <v>400000</v>
      </c>
      <c r="S158" s="10">
        <v>100000</v>
      </c>
      <c r="T158" s="10">
        <v>0</v>
      </c>
      <c r="U158" s="10">
        <v>300000</v>
      </c>
      <c r="V158" s="10">
        <v>0</v>
      </c>
      <c r="W158" s="10">
        <v>800000</v>
      </c>
      <c r="X158" s="10">
        <v>8500000</v>
      </c>
      <c r="Y158" s="10">
        <v>0</v>
      </c>
      <c r="Z158" s="10">
        <v>8100000</v>
      </c>
      <c r="AA158" s="10">
        <v>4800000</v>
      </c>
      <c r="AB158" s="10">
        <v>8500000</v>
      </c>
      <c r="AC158" s="10">
        <v>0</v>
      </c>
      <c r="AD158" s="9" t="s">
        <v>44</v>
      </c>
      <c r="AE158" s="10" t="s">
        <v>2238</v>
      </c>
      <c r="AF158" s="13">
        <v>2833333333</v>
      </c>
      <c r="AG158" s="10">
        <v>1</v>
      </c>
      <c r="AH158" s="10">
        <v>1</v>
      </c>
      <c r="AI158" s="10">
        <v>1</v>
      </c>
      <c r="AJ158" s="12" t="s">
        <v>646</v>
      </c>
      <c r="AK158" s="10">
        <v>0</v>
      </c>
      <c r="AL158" s="10">
        <v>0</v>
      </c>
      <c r="AM158" s="9">
        <v>2000</v>
      </c>
      <c r="AN158" s="10">
        <v>2</v>
      </c>
      <c r="AO158" s="10">
        <v>1</v>
      </c>
      <c r="AP158" s="6"/>
      <c r="AQ158" s="3"/>
      <c r="AR158" s="8"/>
      <c r="AS158" s="4">
        <f t="shared" si="6"/>
        <v>400000</v>
      </c>
      <c r="AT158" s="4">
        <f t="shared" si="7"/>
        <v>4930000.9129631314</v>
      </c>
      <c r="AU158" s="4">
        <f t="shared" si="8"/>
        <v>3569999.0870368686</v>
      </c>
      <c r="AV158" s="9" t="s">
        <v>645</v>
      </c>
      <c r="AW158" s="12" t="s">
        <v>646</v>
      </c>
      <c r="AX158" s="10">
        <v>0</v>
      </c>
      <c r="AY158">
        <f>S158*AU158/AS158</f>
        <v>892499.77175921702</v>
      </c>
      <c r="AZ158">
        <f>AU158-AY158</f>
        <v>2677499.3152776514</v>
      </c>
      <c r="BA158" s="10">
        <v>8500000</v>
      </c>
      <c r="BB158" s="10">
        <v>0</v>
      </c>
      <c r="BC158" s="9" t="s">
        <v>42</v>
      </c>
      <c r="BD158" s="9">
        <v>10421</v>
      </c>
      <c r="BE158" t="s">
        <v>46</v>
      </c>
    </row>
    <row r="159" spans="1:57" ht="270.75" thickBot="1" x14ac:dyDescent="0.3">
      <c r="A159" s="9" t="s">
        <v>647</v>
      </c>
      <c r="B159" s="9">
        <v>3002</v>
      </c>
      <c r="C159" s="10">
        <v>2</v>
      </c>
      <c r="D159" s="9" t="s">
        <v>37</v>
      </c>
      <c r="E159" s="11">
        <v>46238.644258576387</v>
      </c>
      <c r="F159" s="9" t="s">
        <v>648</v>
      </c>
      <c r="G159" s="9" t="s">
        <v>39</v>
      </c>
      <c r="H159" s="9">
        <v>53</v>
      </c>
      <c r="I159" s="9" t="s">
        <v>40</v>
      </c>
      <c r="J159" s="9">
        <v>5309</v>
      </c>
      <c r="K159" s="9" t="s">
        <v>41</v>
      </c>
      <c r="L159" s="9">
        <v>5309073</v>
      </c>
      <c r="M159" s="9">
        <v>5309073001</v>
      </c>
      <c r="N159" s="9" t="s">
        <v>42</v>
      </c>
      <c r="O159" s="9">
        <v>10421</v>
      </c>
      <c r="P159" s="9" t="s">
        <v>649</v>
      </c>
      <c r="Q159" s="10">
        <v>2</v>
      </c>
      <c r="R159" s="10">
        <v>0</v>
      </c>
      <c r="S159" s="10">
        <v>150000</v>
      </c>
      <c r="T159" s="10">
        <v>0</v>
      </c>
      <c r="U159" s="10">
        <v>200000</v>
      </c>
      <c r="V159" s="10">
        <v>0</v>
      </c>
      <c r="W159" s="10">
        <v>350000</v>
      </c>
      <c r="X159" s="10">
        <v>9000000</v>
      </c>
      <c r="Y159" s="10">
        <v>0</v>
      </c>
      <c r="Z159" s="10">
        <v>8650000</v>
      </c>
      <c r="AA159" s="10">
        <v>5000000</v>
      </c>
      <c r="AB159" s="10">
        <v>9000000</v>
      </c>
      <c r="AC159" s="10">
        <v>0</v>
      </c>
      <c r="AD159" s="9" t="s">
        <v>44</v>
      </c>
      <c r="AE159" s="10" t="s">
        <v>2350</v>
      </c>
      <c r="AF159" s="10">
        <v>4500000</v>
      </c>
      <c r="AG159" s="10">
        <v>1</v>
      </c>
      <c r="AH159" s="10">
        <v>1</v>
      </c>
      <c r="AI159" s="10">
        <v>1</v>
      </c>
      <c r="AJ159" s="12" t="s">
        <v>650</v>
      </c>
      <c r="AK159" s="10">
        <v>0</v>
      </c>
      <c r="AL159" s="10">
        <v>0</v>
      </c>
      <c r="AM159" s="9">
        <v>2007</v>
      </c>
      <c r="AN159" s="10">
        <v>0</v>
      </c>
      <c r="AO159" s="10">
        <v>2</v>
      </c>
      <c r="AP159" s="6"/>
      <c r="AQ159" s="7"/>
      <c r="AR159" s="8"/>
      <c r="AS159" s="4">
        <f t="shared" si="6"/>
        <v>350000</v>
      </c>
      <c r="AT159" s="4">
        <f t="shared" si="7"/>
        <v>5220000.6034682775</v>
      </c>
      <c r="AU159" s="4">
        <f t="shared" si="8"/>
        <v>3779999.3965317225</v>
      </c>
      <c r="AV159" s="9" t="s">
        <v>649</v>
      </c>
      <c r="AW159" s="12" t="s">
        <v>650</v>
      </c>
      <c r="AX159" s="10">
        <v>0</v>
      </c>
      <c r="AY159">
        <f>S159*AU159/AS159</f>
        <v>1619999.7413707383</v>
      </c>
      <c r="AZ159">
        <f>AU159-AY159</f>
        <v>2159999.655160984</v>
      </c>
      <c r="BA159" s="10">
        <v>9000000</v>
      </c>
      <c r="BB159" s="10">
        <v>0</v>
      </c>
      <c r="BC159" s="9" t="s">
        <v>42</v>
      </c>
      <c r="BD159" s="9">
        <v>10421</v>
      </c>
      <c r="BE159" t="s">
        <v>46</v>
      </c>
    </row>
    <row r="160" spans="1:57" ht="270.75" thickBot="1" x14ac:dyDescent="0.3">
      <c r="A160" s="9" t="s">
        <v>651</v>
      </c>
      <c r="B160" s="9">
        <v>1002</v>
      </c>
      <c r="C160" s="10">
        <v>2</v>
      </c>
      <c r="D160" s="9" t="s">
        <v>37</v>
      </c>
      <c r="E160" s="11">
        <v>46252.326749305554</v>
      </c>
      <c r="F160" s="9" t="s">
        <v>652</v>
      </c>
      <c r="G160" s="9" t="s">
        <v>39</v>
      </c>
      <c r="H160" s="9">
        <v>53</v>
      </c>
      <c r="I160" s="9" t="s">
        <v>40</v>
      </c>
      <c r="J160" s="9">
        <v>5309</v>
      </c>
      <c r="K160" s="9" t="s">
        <v>41</v>
      </c>
      <c r="L160" s="9">
        <v>5309074</v>
      </c>
      <c r="M160" s="9">
        <v>5309074003</v>
      </c>
      <c r="N160" s="9" t="s">
        <v>42</v>
      </c>
      <c r="O160" s="9">
        <v>10421</v>
      </c>
      <c r="P160" s="9" t="s">
        <v>49</v>
      </c>
      <c r="Q160" s="10">
        <v>3</v>
      </c>
      <c r="R160" s="10">
        <v>350000</v>
      </c>
      <c r="S160" s="10">
        <v>100000</v>
      </c>
      <c r="T160" s="10">
        <v>0</v>
      </c>
      <c r="U160" s="10">
        <v>50000</v>
      </c>
      <c r="V160" s="10">
        <v>0</v>
      </c>
      <c r="W160" s="10">
        <v>500000</v>
      </c>
      <c r="X160" s="10">
        <v>5500000</v>
      </c>
      <c r="Y160" s="10">
        <v>0</v>
      </c>
      <c r="Z160" s="10">
        <v>5350000</v>
      </c>
      <c r="AA160" s="10">
        <v>850000</v>
      </c>
      <c r="AB160" s="10">
        <v>5500000</v>
      </c>
      <c r="AC160" s="10">
        <v>0</v>
      </c>
      <c r="AD160" s="9" t="s">
        <v>44</v>
      </c>
      <c r="AE160" s="10" t="s">
        <v>2351</v>
      </c>
      <c r="AF160" s="13">
        <v>1833333333</v>
      </c>
      <c r="AG160" s="10">
        <v>1</v>
      </c>
      <c r="AH160" s="10">
        <v>1</v>
      </c>
      <c r="AI160" s="10">
        <v>1</v>
      </c>
      <c r="AJ160" s="12" t="s">
        <v>653</v>
      </c>
      <c r="AK160" s="10">
        <v>0</v>
      </c>
      <c r="AL160" s="10">
        <v>0</v>
      </c>
      <c r="AM160" s="9">
        <v>2007</v>
      </c>
      <c r="AN160" s="10">
        <v>2</v>
      </c>
      <c r="AO160" s="10">
        <v>1</v>
      </c>
      <c r="AP160" s="6"/>
      <c r="AQ160" s="7"/>
      <c r="AR160" s="8"/>
      <c r="AS160" s="4">
        <f t="shared" si="6"/>
        <v>150000</v>
      </c>
      <c r="AT160" s="4">
        <f t="shared" si="7"/>
        <v>3190000.894392774</v>
      </c>
      <c r="AU160" s="4">
        <f t="shared" si="8"/>
        <v>2309999.105607226</v>
      </c>
      <c r="AV160" s="9" t="s">
        <v>49</v>
      </c>
      <c r="AW160" s="12" t="s">
        <v>653</v>
      </c>
      <c r="AX160" s="10">
        <v>0</v>
      </c>
      <c r="AY160">
        <f>S160*AU160/AS160</f>
        <v>1539999.4037381506</v>
      </c>
      <c r="AZ160">
        <f>AU160-AY160</f>
        <v>769999.70186907542</v>
      </c>
      <c r="BA160" s="10">
        <v>5500000</v>
      </c>
      <c r="BB160" s="10">
        <v>0</v>
      </c>
      <c r="BC160" s="9" t="s">
        <v>42</v>
      </c>
      <c r="BD160" s="9">
        <v>10421</v>
      </c>
      <c r="BE160" t="s">
        <v>46</v>
      </c>
    </row>
    <row r="161" spans="1:57" ht="270.75" thickBot="1" x14ac:dyDescent="0.3">
      <c r="A161" s="9" t="s">
        <v>654</v>
      </c>
      <c r="B161" s="9">
        <v>3001</v>
      </c>
      <c r="C161" s="10">
        <v>2</v>
      </c>
      <c r="D161" s="9" t="s">
        <v>37</v>
      </c>
      <c r="E161" s="14">
        <v>46215.058206018519</v>
      </c>
      <c r="F161" s="9" t="s">
        <v>655</v>
      </c>
      <c r="G161" s="9" t="s">
        <v>39</v>
      </c>
      <c r="H161" s="9">
        <v>53</v>
      </c>
      <c r="I161" s="9" t="s">
        <v>40</v>
      </c>
      <c r="J161" s="9">
        <v>5309</v>
      </c>
      <c r="K161" s="9" t="s">
        <v>41</v>
      </c>
      <c r="L161" s="9">
        <v>5309062</v>
      </c>
      <c r="M161" s="9">
        <v>5309062006</v>
      </c>
      <c r="N161" s="9" t="s">
        <v>42</v>
      </c>
      <c r="O161" s="9">
        <v>10421</v>
      </c>
      <c r="P161" s="9" t="s">
        <v>656</v>
      </c>
      <c r="Q161" s="10">
        <v>3</v>
      </c>
      <c r="R161" s="10">
        <v>300000</v>
      </c>
      <c r="S161" s="10">
        <v>100000</v>
      </c>
      <c r="T161" s="10">
        <v>0</v>
      </c>
      <c r="U161" s="10">
        <v>200000</v>
      </c>
      <c r="V161" s="10">
        <v>0</v>
      </c>
      <c r="W161" s="10">
        <v>600000</v>
      </c>
      <c r="X161" s="10">
        <v>12600000</v>
      </c>
      <c r="Y161" s="10">
        <v>0</v>
      </c>
      <c r="Z161" s="10">
        <v>12300000</v>
      </c>
      <c r="AA161" s="10">
        <v>2400000</v>
      </c>
      <c r="AB161" s="10">
        <v>12600000</v>
      </c>
      <c r="AC161" s="10">
        <v>0</v>
      </c>
      <c r="AD161" s="9" t="s">
        <v>44</v>
      </c>
      <c r="AE161" s="10" t="s">
        <v>2315</v>
      </c>
      <c r="AF161" s="10">
        <v>4200000</v>
      </c>
      <c r="AG161" s="10">
        <v>1</v>
      </c>
      <c r="AH161" s="10">
        <v>1</v>
      </c>
      <c r="AI161" s="10">
        <v>1</v>
      </c>
      <c r="AJ161" s="12" t="s">
        <v>657</v>
      </c>
      <c r="AK161" s="10">
        <v>0</v>
      </c>
      <c r="AL161" s="10">
        <v>0</v>
      </c>
      <c r="AM161" s="9">
        <v>1999</v>
      </c>
      <c r="AN161" s="10">
        <v>1</v>
      </c>
      <c r="AO161" s="10">
        <v>2</v>
      </c>
      <c r="AP161" s="6"/>
      <c r="AQ161" s="3"/>
      <c r="AR161" s="8"/>
      <c r="AS161" s="4">
        <f t="shared" si="6"/>
        <v>300000</v>
      </c>
      <c r="AT161" s="4">
        <f t="shared" si="7"/>
        <v>7308003.5648797872</v>
      </c>
      <c r="AU161" s="4">
        <f t="shared" si="8"/>
        <v>5291996.4351202128</v>
      </c>
      <c r="AV161" s="9" t="s">
        <v>656</v>
      </c>
      <c r="AW161" s="12" t="s">
        <v>657</v>
      </c>
      <c r="AX161" s="10">
        <v>0</v>
      </c>
      <c r="AY161">
        <f>S161*AU161/AS161</f>
        <v>1763998.8117067376</v>
      </c>
      <c r="AZ161">
        <f>AU161-AY161</f>
        <v>3527997.6234134752</v>
      </c>
      <c r="BA161" s="10">
        <v>12600000</v>
      </c>
      <c r="BB161" s="10">
        <v>0</v>
      </c>
      <c r="BC161" s="9" t="s">
        <v>42</v>
      </c>
      <c r="BD161" s="9">
        <v>10421</v>
      </c>
      <c r="BE161" t="s">
        <v>46</v>
      </c>
    </row>
    <row r="162" spans="1:57" ht="255.75" thickBot="1" x14ac:dyDescent="0.3">
      <c r="A162" s="9" t="s">
        <v>658</v>
      </c>
      <c r="B162" s="9">
        <v>1001</v>
      </c>
      <c r="C162" s="10">
        <v>2</v>
      </c>
      <c r="D162" s="9" t="s">
        <v>37</v>
      </c>
      <c r="E162" s="11">
        <v>46262.002262395836</v>
      </c>
      <c r="F162" s="9" t="s">
        <v>659</v>
      </c>
      <c r="G162" s="9" t="s">
        <v>39</v>
      </c>
      <c r="H162" s="9">
        <v>53</v>
      </c>
      <c r="I162" s="9" t="s">
        <v>40</v>
      </c>
      <c r="J162" s="9">
        <v>5309</v>
      </c>
      <c r="K162" s="9" t="s">
        <v>41</v>
      </c>
      <c r="L162" s="9">
        <v>5309060</v>
      </c>
      <c r="M162" s="9">
        <v>5309060041</v>
      </c>
      <c r="N162" s="9" t="s">
        <v>42</v>
      </c>
      <c r="O162" s="9">
        <v>10421</v>
      </c>
      <c r="P162" s="9" t="s">
        <v>660</v>
      </c>
      <c r="Q162" s="10">
        <v>11</v>
      </c>
      <c r="R162" s="10">
        <v>5000000</v>
      </c>
      <c r="S162" s="10">
        <v>15000000</v>
      </c>
      <c r="T162" s="10">
        <v>0</v>
      </c>
      <c r="U162" s="10">
        <v>1500000</v>
      </c>
      <c r="V162" s="10">
        <v>0</v>
      </c>
      <c r="W162" s="10">
        <v>21500000</v>
      </c>
      <c r="X162" s="10">
        <v>63000000</v>
      </c>
      <c r="Y162" s="10">
        <v>0</v>
      </c>
      <c r="Z162" s="10">
        <v>46500000</v>
      </c>
      <c r="AA162" s="10">
        <v>1600000</v>
      </c>
      <c r="AB162" s="10">
        <v>63000000</v>
      </c>
      <c r="AC162" s="10">
        <v>0</v>
      </c>
      <c r="AD162" s="9" t="s">
        <v>44</v>
      </c>
      <c r="AE162" s="10" t="s">
        <v>2352</v>
      </c>
      <c r="AF162" s="13">
        <v>5727272727</v>
      </c>
      <c r="AG162" s="10">
        <v>1</v>
      </c>
      <c r="AH162" s="10">
        <v>1</v>
      </c>
      <c r="AI162" s="10">
        <v>1</v>
      </c>
      <c r="AJ162" s="12" t="s">
        <v>661</v>
      </c>
      <c r="AK162" s="10">
        <v>0</v>
      </c>
      <c r="AL162" s="10">
        <v>0</v>
      </c>
      <c r="AM162" s="9">
        <v>2005</v>
      </c>
      <c r="AN162" s="10">
        <v>8</v>
      </c>
      <c r="AO162" s="10">
        <v>3</v>
      </c>
      <c r="AP162" s="6"/>
      <c r="AQ162" s="7"/>
      <c r="AR162" s="8"/>
      <c r="AS162" s="4">
        <f t="shared" si="6"/>
        <v>16500000</v>
      </c>
      <c r="AT162" s="4">
        <f t="shared" si="7"/>
        <v>36540011.787100576</v>
      </c>
      <c r="AU162" s="4">
        <f t="shared" si="8"/>
        <v>26459988.212899424</v>
      </c>
      <c r="AV162" s="9" t="s">
        <v>660</v>
      </c>
      <c r="AW162" s="12" t="s">
        <v>661</v>
      </c>
      <c r="AX162" s="10">
        <v>0</v>
      </c>
      <c r="AY162">
        <f>S162*AU162/AS162</f>
        <v>24054534.738999479</v>
      </c>
      <c r="AZ162">
        <f>AU162-AY162</f>
        <v>2405453.4738999456</v>
      </c>
      <c r="BA162" s="10">
        <v>63000000</v>
      </c>
      <c r="BB162" s="10">
        <v>0</v>
      </c>
      <c r="BC162" s="9" t="s">
        <v>42</v>
      </c>
      <c r="BD162" s="9">
        <v>10421</v>
      </c>
      <c r="BE162" t="s">
        <v>46</v>
      </c>
    </row>
    <row r="163" spans="1:57" ht="270.75" thickBot="1" x14ac:dyDescent="0.3">
      <c r="A163" s="9" t="s">
        <v>662</v>
      </c>
      <c r="B163" s="9">
        <v>3002</v>
      </c>
      <c r="C163" s="10">
        <v>2</v>
      </c>
      <c r="D163" s="9" t="s">
        <v>84</v>
      </c>
      <c r="E163" s="11">
        <v>46315.235394710646</v>
      </c>
      <c r="F163" s="9" t="s">
        <v>663</v>
      </c>
      <c r="G163" s="9" t="s">
        <v>39</v>
      </c>
      <c r="H163" s="9">
        <v>53</v>
      </c>
      <c r="I163" s="9" t="s">
        <v>40</v>
      </c>
      <c r="J163" s="9">
        <v>5309</v>
      </c>
      <c r="K163" s="9" t="s">
        <v>41</v>
      </c>
      <c r="L163" s="9">
        <v>5309062</v>
      </c>
      <c r="M163" s="9">
        <v>5309062012</v>
      </c>
      <c r="N163" s="9" t="s">
        <v>42</v>
      </c>
      <c r="O163" s="9">
        <v>10421</v>
      </c>
      <c r="P163" s="9" t="s">
        <v>664</v>
      </c>
      <c r="Q163" s="10">
        <v>4</v>
      </c>
      <c r="R163" s="10">
        <v>250000</v>
      </c>
      <c r="S163" s="10">
        <v>200000</v>
      </c>
      <c r="T163" s="10">
        <v>0</v>
      </c>
      <c r="U163" s="10">
        <v>100000</v>
      </c>
      <c r="V163" s="10">
        <v>0</v>
      </c>
      <c r="W163" s="10">
        <v>550000</v>
      </c>
      <c r="X163" s="10">
        <v>4500000</v>
      </c>
      <c r="Y163" s="10">
        <v>500000</v>
      </c>
      <c r="Z163" s="10">
        <v>4200000</v>
      </c>
      <c r="AA163" s="10">
        <v>3800000</v>
      </c>
      <c r="AB163" s="10">
        <v>4500000</v>
      </c>
      <c r="AC163" s="10">
        <v>0</v>
      </c>
      <c r="AD163" s="9" t="s">
        <v>44</v>
      </c>
      <c r="AE163" s="10" t="s">
        <v>2228</v>
      </c>
      <c r="AF163" s="10">
        <v>1125000</v>
      </c>
      <c r="AG163" s="10">
        <v>1</v>
      </c>
      <c r="AH163" s="10">
        <v>1</v>
      </c>
      <c r="AI163" s="10">
        <v>1</v>
      </c>
      <c r="AJ163" s="12" t="s">
        <v>665</v>
      </c>
      <c r="AK163" s="10">
        <v>0</v>
      </c>
      <c r="AL163" s="10">
        <v>0</v>
      </c>
      <c r="AM163" s="9">
        <v>2023</v>
      </c>
      <c r="AN163" s="10">
        <v>2</v>
      </c>
      <c r="AO163" s="10">
        <v>2</v>
      </c>
      <c r="AP163" s="6"/>
      <c r="AQ163" s="7"/>
      <c r="AR163" s="8"/>
      <c r="AS163" s="4">
        <f t="shared" si="6"/>
        <v>300000</v>
      </c>
      <c r="AT163" s="4">
        <f t="shared" si="7"/>
        <v>2610000.9321431899</v>
      </c>
      <c r="AU163" s="4">
        <f t="shared" si="8"/>
        <v>1889999.0678568101</v>
      </c>
      <c r="AV163" s="9" t="s">
        <v>664</v>
      </c>
      <c r="AW163" s="12" t="s">
        <v>665</v>
      </c>
      <c r="AX163" s="10">
        <v>0</v>
      </c>
      <c r="AY163">
        <f>S163*AU163/AS163</f>
        <v>1259999.3785712067</v>
      </c>
      <c r="AZ163">
        <f>AU163-AY163</f>
        <v>629999.68928560335</v>
      </c>
      <c r="BA163" s="10">
        <v>4500000</v>
      </c>
      <c r="BB163" s="10">
        <v>500000</v>
      </c>
      <c r="BC163" s="9" t="s">
        <v>42</v>
      </c>
      <c r="BD163" s="9">
        <v>10421</v>
      </c>
      <c r="BE163" t="s">
        <v>46</v>
      </c>
    </row>
    <row r="164" spans="1:57" ht="270.75" thickBot="1" x14ac:dyDescent="0.3">
      <c r="A164" s="9" t="s">
        <v>666</v>
      </c>
      <c r="B164" s="9">
        <v>3002</v>
      </c>
      <c r="C164" s="10">
        <v>2</v>
      </c>
      <c r="D164" s="9" t="s">
        <v>37</v>
      </c>
      <c r="E164" s="11">
        <v>46245.959406886577</v>
      </c>
      <c r="F164" s="9" t="s">
        <v>667</v>
      </c>
      <c r="G164" s="9" t="s">
        <v>39</v>
      </c>
      <c r="H164" s="9">
        <v>53</v>
      </c>
      <c r="I164" s="9" t="s">
        <v>40</v>
      </c>
      <c r="J164" s="9">
        <v>5309</v>
      </c>
      <c r="K164" s="9" t="s">
        <v>41</v>
      </c>
      <c r="L164" s="9">
        <v>5309021</v>
      </c>
      <c r="M164" s="9">
        <v>5309021003</v>
      </c>
      <c r="N164" s="9" t="s">
        <v>42</v>
      </c>
      <c r="O164" s="9">
        <v>10421</v>
      </c>
      <c r="P164" s="9" t="s">
        <v>49</v>
      </c>
      <c r="Q164" s="10">
        <v>3</v>
      </c>
      <c r="R164" s="10">
        <v>55000</v>
      </c>
      <c r="S164" s="10">
        <v>50000</v>
      </c>
      <c r="T164" s="10">
        <v>0</v>
      </c>
      <c r="U164" s="10">
        <v>65000</v>
      </c>
      <c r="V164" s="10">
        <v>0</v>
      </c>
      <c r="W164" s="10">
        <v>170000</v>
      </c>
      <c r="X164" s="10">
        <v>4527500</v>
      </c>
      <c r="Y164" s="10">
        <v>153000</v>
      </c>
      <c r="Z164" s="10">
        <v>4412500</v>
      </c>
      <c r="AA164" s="10">
        <v>75100000</v>
      </c>
      <c r="AB164" s="10">
        <v>4527500</v>
      </c>
      <c r="AC164" s="10">
        <v>0</v>
      </c>
      <c r="AD164" s="9" t="s">
        <v>44</v>
      </c>
      <c r="AE164" s="10" t="s">
        <v>2353</v>
      </c>
      <c r="AF164" s="13">
        <v>1509166667</v>
      </c>
      <c r="AG164" s="10">
        <v>1</v>
      </c>
      <c r="AH164" s="10">
        <v>1</v>
      </c>
      <c r="AI164" s="10">
        <v>1</v>
      </c>
      <c r="AJ164" s="12" t="s">
        <v>668</v>
      </c>
      <c r="AK164" s="10">
        <v>0</v>
      </c>
      <c r="AL164" s="10">
        <v>0</v>
      </c>
      <c r="AM164" s="9">
        <v>1992</v>
      </c>
      <c r="AN164" s="10">
        <v>1</v>
      </c>
      <c r="AO164" s="10">
        <v>2</v>
      </c>
      <c r="AP164" s="6"/>
      <c r="AQ164" s="3"/>
      <c r="AR164" s="8"/>
      <c r="AS164" s="4">
        <f t="shared" si="6"/>
        <v>115000</v>
      </c>
      <c r="AT164" s="4">
        <f t="shared" si="7"/>
        <v>2625949.1073260824</v>
      </c>
      <c r="AU164" s="4">
        <f t="shared" si="8"/>
        <v>1901550.8926739176</v>
      </c>
      <c r="AV164" s="9" t="s">
        <v>49</v>
      </c>
      <c r="AW164" s="12" t="s">
        <v>668</v>
      </c>
      <c r="AX164" s="10">
        <v>0</v>
      </c>
      <c r="AY164">
        <f>S164*AU164/AS164</f>
        <v>826761.25768431195</v>
      </c>
      <c r="AZ164">
        <f>AU164-AY164</f>
        <v>1074789.6349896058</v>
      </c>
      <c r="BA164" s="10">
        <v>4527500</v>
      </c>
      <c r="BB164" s="10">
        <v>153000</v>
      </c>
      <c r="BC164" s="9" t="s">
        <v>42</v>
      </c>
      <c r="BD164" s="9">
        <v>10421</v>
      </c>
      <c r="BE164" t="s">
        <v>46</v>
      </c>
    </row>
    <row r="165" spans="1:57" ht="270.75" thickBot="1" x14ac:dyDescent="0.3">
      <c r="A165" s="9" t="s">
        <v>669</v>
      </c>
      <c r="B165" s="9">
        <v>3002</v>
      </c>
      <c r="C165" s="10">
        <v>2</v>
      </c>
      <c r="D165" s="9" t="s">
        <v>37</v>
      </c>
      <c r="E165" s="11">
        <v>46213.344212187498</v>
      </c>
      <c r="F165" s="9" t="s">
        <v>670</v>
      </c>
      <c r="G165" s="9" t="s">
        <v>39</v>
      </c>
      <c r="H165" s="9">
        <v>53</v>
      </c>
      <c r="I165" s="9" t="s">
        <v>40</v>
      </c>
      <c r="J165" s="9">
        <v>5309</v>
      </c>
      <c r="K165" s="9" t="s">
        <v>41</v>
      </c>
      <c r="L165" s="9">
        <v>5309010</v>
      </c>
      <c r="M165" s="9">
        <v>5309010014</v>
      </c>
      <c r="N165" s="9" t="s">
        <v>42</v>
      </c>
      <c r="O165" s="9">
        <v>10421</v>
      </c>
      <c r="P165" s="9" t="s">
        <v>671</v>
      </c>
      <c r="Q165" s="10">
        <v>2</v>
      </c>
      <c r="R165" s="10">
        <v>0</v>
      </c>
      <c r="S165" s="10">
        <v>50000</v>
      </c>
      <c r="T165" s="10">
        <v>0</v>
      </c>
      <c r="U165" s="10">
        <v>160000</v>
      </c>
      <c r="V165" s="10">
        <v>12000</v>
      </c>
      <c r="W165" s="10">
        <v>222000</v>
      </c>
      <c r="X165" s="10">
        <v>2978000</v>
      </c>
      <c r="Y165" s="10">
        <v>0</v>
      </c>
      <c r="Z165" s="10">
        <v>2768000</v>
      </c>
      <c r="AA165" s="10">
        <v>18000000</v>
      </c>
      <c r="AB165" s="10">
        <v>2978000</v>
      </c>
      <c r="AC165" s="10">
        <v>0</v>
      </c>
      <c r="AD165" s="9" t="s">
        <v>44</v>
      </c>
      <c r="AE165" s="10" t="s">
        <v>2354</v>
      </c>
      <c r="AF165" s="10">
        <v>1489000</v>
      </c>
      <c r="AG165" s="10">
        <v>1</v>
      </c>
      <c r="AH165" s="10">
        <v>1</v>
      </c>
      <c r="AI165" s="10">
        <v>1</v>
      </c>
      <c r="AJ165" s="12" t="s">
        <v>672</v>
      </c>
      <c r="AK165" s="10">
        <v>0</v>
      </c>
      <c r="AL165" s="10">
        <v>0</v>
      </c>
      <c r="AM165" s="9">
        <v>1990</v>
      </c>
      <c r="AN165" s="10">
        <v>0</v>
      </c>
      <c r="AO165" s="10">
        <v>2</v>
      </c>
      <c r="AP165" s="6"/>
      <c r="AQ165" s="7"/>
      <c r="AR165" s="8"/>
      <c r="AS165" s="4">
        <f t="shared" si="6"/>
        <v>210000</v>
      </c>
      <c r="AT165" s="4">
        <f t="shared" si="7"/>
        <v>1727239.7666229508</v>
      </c>
      <c r="AU165" s="4">
        <f t="shared" si="8"/>
        <v>1250760.2333770492</v>
      </c>
      <c r="AV165" s="9" t="s">
        <v>671</v>
      </c>
      <c r="AW165" s="12" t="s">
        <v>672</v>
      </c>
      <c r="AX165" s="10">
        <v>0</v>
      </c>
      <c r="AY165">
        <f>S165*AU165/AS165</f>
        <v>297800.05556596408</v>
      </c>
      <c r="AZ165">
        <f>AU165-AY165</f>
        <v>952960.17781108513</v>
      </c>
      <c r="BA165" s="10">
        <v>2978000</v>
      </c>
      <c r="BB165" s="10">
        <v>0</v>
      </c>
      <c r="BC165" s="9" t="s">
        <v>42</v>
      </c>
      <c r="BD165" s="9">
        <v>10421</v>
      </c>
      <c r="BE165" t="s">
        <v>46</v>
      </c>
    </row>
    <row r="166" spans="1:57" ht="270.75" thickBot="1" x14ac:dyDescent="0.3">
      <c r="A166" s="9" t="s">
        <v>673</v>
      </c>
      <c r="B166" s="9">
        <v>1</v>
      </c>
      <c r="C166" s="10">
        <v>2</v>
      </c>
      <c r="D166" s="9" t="s">
        <v>37</v>
      </c>
      <c r="E166" s="11">
        <v>46223.058609872685</v>
      </c>
      <c r="F166" s="9" t="s">
        <v>674</v>
      </c>
      <c r="G166" s="9" t="s">
        <v>39</v>
      </c>
      <c r="H166" s="9">
        <v>53</v>
      </c>
      <c r="I166" s="9" t="s">
        <v>40</v>
      </c>
      <c r="J166" s="9">
        <v>5309</v>
      </c>
      <c r="K166" s="9" t="s">
        <v>41</v>
      </c>
      <c r="L166" s="9">
        <v>5309010</v>
      </c>
      <c r="M166" s="9">
        <v>5309010004</v>
      </c>
      <c r="N166" s="9" t="s">
        <v>42</v>
      </c>
      <c r="O166" s="9">
        <v>10421</v>
      </c>
      <c r="P166" s="9" t="s">
        <v>675</v>
      </c>
      <c r="Q166" s="10">
        <v>8</v>
      </c>
      <c r="R166" s="10">
        <v>5000000</v>
      </c>
      <c r="S166" s="10">
        <v>6000000</v>
      </c>
      <c r="T166" s="10">
        <v>0</v>
      </c>
      <c r="U166" s="10">
        <v>100000</v>
      </c>
      <c r="V166" s="10">
        <v>40000</v>
      </c>
      <c r="W166" s="10">
        <v>11140000</v>
      </c>
      <c r="X166" s="10">
        <v>24000000</v>
      </c>
      <c r="Y166" s="10">
        <v>300000</v>
      </c>
      <c r="Z166" s="10">
        <v>17900000</v>
      </c>
      <c r="AA166" s="10">
        <v>150000000</v>
      </c>
      <c r="AB166" s="10">
        <v>24000000</v>
      </c>
      <c r="AC166" s="10">
        <v>0</v>
      </c>
      <c r="AD166" s="9" t="s">
        <v>44</v>
      </c>
      <c r="AE166" s="10" t="s">
        <v>2355</v>
      </c>
      <c r="AF166" s="10">
        <v>3000000</v>
      </c>
      <c r="AG166" s="10">
        <v>1</v>
      </c>
      <c r="AH166" s="10">
        <v>1</v>
      </c>
      <c r="AI166" s="10">
        <v>1</v>
      </c>
      <c r="AJ166" s="12" t="s">
        <v>676</v>
      </c>
      <c r="AK166" s="10">
        <v>0</v>
      </c>
      <c r="AL166" s="10">
        <v>0</v>
      </c>
      <c r="AM166" s="9">
        <v>2006</v>
      </c>
      <c r="AN166" s="10">
        <v>4</v>
      </c>
      <c r="AO166" s="10">
        <v>4</v>
      </c>
      <c r="AP166" s="6"/>
      <c r="AQ166" s="7"/>
      <c r="AR166" s="8"/>
      <c r="AS166" s="4">
        <f t="shared" si="6"/>
        <v>6100000</v>
      </c>
      <c r="AT166" s="4">
        <f t="shared" si="7"/>
        <v>13920006.221231831</v>
      </c>
      <c r="AU166" s="4">
        <f t="shared" si="8"/>
        <v>10079993.778768169</v>
      </c>
      <c r="AV166" s="9" t="s">
        <v>675</v>
      </c>
      <c r="AW166" s="12" t="s">
        <v>676</v>
      </c>
      <c r="AX166" s="10">
        <v>0</v>
      </c>
      <c r="AY166">
        <f>S166*AU166/AS166</f>
        <v>9914747.9791162312</v>
      </c>
      <c r="AZ166">
        <f>AU166-AY166</f>
        <v>165245.79965193756</v>
      </c>
      <c r="BA166" s="10">
        <v>24000000</v>
      </c>
      <c r="BB166" s="10">
        <v>300000</v>
      </c>
      <c r="BC166" s="9" t="s">
        <v>42</v>
      </c>
      <c r="BD166" s="9">
        <v>10421</v>
      </c>
      <c r="BE166" t="s">
        <v>46</v>
      </c>
    </row>
    <row r="167" spans="1:57" ht="270.75" thickBot="1" x14ac:dyDescent="0.3">
      <c r="A167" s="9" t="s">
        <v>677</v>
      </c>
      <c r="B167" s="9">
        <v>3001</v>
      </c>
      <c r="C167" s="10">
        <v>2</v>
      </c>
      <c r="D167" s="9" t="s">
        <v>37</v>
      </c>
      <c r="E167" s="11">
        <v>46263.037285393519</v>
      </c>
      <c r="F167" s="9" t="s">
        <v>678</v>
      </c>
      <c r="G167" s="9" t="s">
        <v>39</v>
      </c>
      <c r="H167" s="9">
        <v>53</v>
      </c>
      <c r="I167" s="9" t="s">
        <v>40</v>
      </c>
      <c r="J167" s="9">
        <v>5309</v>
      </c>
      <c r="K167" s="9" t="s">
        <v>41</v>
      </c>
      <c r="L167" s="9">
        <v>5309073</v>
      </c>
      <c r="M167" s="9">
        <v>5309073003</v>
      </c>
      <c r="N167" s="9" t="s">
        <v>42</v>
      </c>
      <c r="O167" s="9">
        <v>10421</v>
      </c>
      <c r="P167" s="9" t="s">
        <v>679</v>
      </c>
      <c r="Q167" s="10">
        <v>2</v>
      </c>
      <c r="R167" s="10">
        <v>600000</v>
      </c>
      <c r="S167" s="10">
        <v>400000</v>
      </c>
      <c r="T167" s="10">
        <v>0</v>
      </c>
      <c r="U167" s="10">
        <v>0</v>
      </c>
      <c r="V167" s="10">
        <v>0</v>
      </c>
      <c r="W167" s="10">
        <v>1000000</v>
      </c>
      <c r="X167" s="10">
        <v>6000000</v>
      </c>
      <c r="Y167" s="10">
        <v>0</v>
      </c>
      <c r="Z167" s="10">
        <v>5600000</v>
      </c>
      <c r="AA167" s="10">
        <v>1500000</v>
      </c>
      <c r="AB167" s="10">
        <v>6000000</v>
      </c>
      <c r="AC167" s="10">
        <v>0</v>
      </c>
      <c r="AD167" s="9" t="s">
        <v>44</v>
      </c>
      <c r="AE167" s="10" t="s">
        <v>2228</v>
      </c>
      <c r="AF167" s="10">
        <v>3000000</v>
      </c>
      <c r="AG167" s="10">
        <v>1</v>
      </c>
      <c r="AH167" s="10">
        <v>1</v>
      </c>
      <c r="AI167" s="10">
        <v>1</v>
      </c>
      <c r="AJ167" s="12" t="s">
        <v>680</v>
      </c>
      <c r="AK167" s="10">
        <v>0</v>
      </c>
      <c r="AL167" s="10">
        <v>0</v>
      </c>
      <c r="AM167" s="9">
        <v>2020</v>
      </c>
      <c r="AN167" s="10">
        <v>1</v>
      </c>
      <c r="AO167" s="10">
        <v>1</v>
      </c>
      <c r="AP167" s="6"/>
      <c r="AQ167" s="3"/>
      <c r="AR167" s="8"/>
      <c r="AS167" s="4">
        <f t="shared" si="6"/>
        <v>400000</v>
      </c>
      <c r="AT167" s="4">
        <f t="shared" si="7"/>
        <v>3480001.2428575871</v>
      </c>
      <c r="AU167" s="4">
        <f t="shared" si="8"/>
        <v>2519998.7571424129</v>
      </c>
      <c r="AV167" s="9" t="s">
        <v>679</v>
      </c>
      <c r="AW167" s="12" t="s">
        <v>680</v>
      </c>
      <c r="AX167" s="10">
        <v>0</v>
      </c>
      <c r="AY167">
        <f>S167*AU167/AS167</f>
        <v>2519998.7571424129</v>
      </c>
      <c r="AZ167">
        <f>AU167-AY167</f>
        <v>0</v>
      </c>
      <c r="BA167" s="10">
        <v>6000000</v>
      </c>
      <c r="BB167" s="10">
        <v>0</v>
      </c>
      <c r="BC167" s="9" t="s">
        <v>42</v>
      </c>
      <c r="BD167" s="9">
        <v>10421</v>
      </c>
      <c r="BE167" t="s">
        <v>46</v>
      </c>
    </row>
    <row r="168" spans="1:57" ht="270.75" thickBot="1" x14ac:dyDescent="0.3">
      <c r="A168" s="9" t="s">
        <v>681</v>
      </c>
      <c r="B168" s="9">
        <v>1001</v>
      </c>
      <c r="C168" s="10">
        <v>2</v>
      </c>
      <c r="D168" s="9" t="s">
        <v>37</v>
      </c>
      <c r="E168" s="11">
        <v>46215.29278290509</v>
      </c>
      <c r="F168" s="9" t="s">
        <v>682</v>
      </c>
      <c r="G168" s="9" t="s">
        <v>39</v>
      </c>
      <c r="H168" s="9">
        <v>53</v>
      </c>
      <c r="I168" s="9" t="s">
        <v>40</v>
      </c>
      <c r="J168" s="9">
        <v>5309</v>
      </c>
      <c r="K168" s="9" t="s">
        <v>41</v>
      </c>
      <c r="L168" s="9">
        <v>5309062</v>
      </c>
      <c r="M168" s="9">
        <v>5309062006</v>
      </c>
      <c r="N168" s="9" t="s">
        <v>42</v>
      </c>
      <c r="O168" s="9">
        <v>10421</v>
      </c>
      <c r="P168" s="9" t="s">
        <v>683</v>
      </c>
      <c r="Q168" s="10">
        <v>1</v>
      </c>
      <c r="R168" s="10">
        <v>0</v>
      </c>
      <c r="S168" s="10">
        <v>200000</v>
      </c>
      <c r="T168" s="10">
        <v>0</v>
      </c>
      <c r="U168" s="10">
        <v>200000</v>
      </c>
      <c r="V168" s="10">
        <v>0</v>
      </c>
      <c r="W168" s="10">
        <v>400000</v>
      </c>
      <c r="X168" s="10">
        <v>2760000</v>
      </c>
      <c r="Y168" s="10">
        <v>0</v>
      </c>
      <c r="Z168" s="10">
        <v>2360000</v>
      </c>
      <c r="AA168" s="10">
        <v>3500000</v>
      </c>
      <c r="AB168" s="10">
        <v>2760000</v>
      </c>
      <c r="AC168" s="10">
        <v>0</v>
      </c>
      <c r="AD168" s="9" t="s">
        <v>44</v>
      </c>
      <c r="AE168" s="10" t="s">
        <v>2356</v>
      </c>
      <c r="AF168" s="10">
        <v>2760000</v>
      </c>
      <c r="AG168" s="10">
        <v>1</v>
      </c>
      <c r="AH168" s="10">
        <v>1</v>
      </c>
      <c r="AI168" s="10">
        <v>1</v>
      </c>
      <c r="AJ168" s="12" t="s">
        <v>684</v>
      </c>
      <c r="AK168" s="10">
        <v>0</v>
      </c>
      <c r="AL168" s="10">
        <v>0</v>
      </c>
      <c r="AM168" s="9">
        <v>2021</v>
      </c>
      <c r="AN168" s="10">
        <v>0</v>
      </c>
      <c r="AO168" s="10">
        <v>1</v>
      </c>
      <c r="AP168" s="6"/>
      <c r="AQ168" s="7"/>
      <c r="AR168" s="8"/>
      <c r="AS168" s="4">
        <f t="shared" si="6"/>
        <v>400000</v>
      </c>
      <c r="AT168" s="4">
        <f t="shared" si="7"/>
        <v>1600800.8682309792</v>
      </c>
      <c r="AU168" s="4">
        <f t="shared" si="8"/>
        <v>1159199.1317690208</v>
      </c>
      <c r="AV168" s="9" t="s">
        <v>683</v>
      </c>
      <c r="AW168" s="12" t="s">
        <v>684</v>
      </c>
      <c r="AX168" s="10">
        <v>0</v>
      </c>
      <c r="AY168">
        <f>S168*AU168/AS168</f>
        <v>579599.5658845104</v>
      </c>
      <c r="AZ168">
        <f>AU168-AY168</f>
        <v>579599.5658845104</v>
      </c>
      <c r="BA168" s="10">
        <v>2760000</v>
      </c>
      <c r="BB168" s="10">
        <v>0</v>
      </c>
      <c r="BC168" s="9" t="s">
        <v>42</v>
      </c>
      <c r="BD168" s="9">
        <v>10421</v>
      </c>
      <c r="BE168" t="s">
        <v>46</v>
      </c>
    </row>
    <row r="169" spans="1:57" ht="270.75" thickBot="1" x14ac:dyDescent="0.3">
      <c r="A169" s="9" t="s">
        <v>685</v>
      </c>
      <c r="B169" s="9">
        <v>3001</v>
      </c>
      <c r="C169" s="10">
        <v>2</v>
      </c>
      <c r="D169" s="9" t="s">
        <v>37</v>
      </c>
      <c r="E169" s="14">
        <v>46220.968946759262</v>
      </c>
      <c r="F169" s="9" t="s">
        <v>686</v>
      </c>
      <c r="G169" s="9" t="s">
        <v>39</v>
      </c>
      <c r="H169" s="9">
        <v>53</v>
      </c>
      <c r="I169" s="9" t="s">
        <v>40</v>
      </c>
      <c r="J169" s="9">
        <v>5309</v>
      </c>
      <c r="K169" s="9" t="s">
        <v>41</v>
      </c>
      <c r="L169" s="9">
        <v>5309073</v>
      </c>
      <c r="M169" s="9">
        <v>5309073011</v>
      </c>
      <c r="N169" s="9" t="s">
        <v>42</v>
      </c>
      <c r="O169" s="9">
        <v>10421</v>
      </c>
      <c r="P169" s="9" t="s">
        <v>687</v>
      </c>
      <c r="Q169" s="10">
        <v>2</v>
      </c>
      <c r="R169" s="10">
        <v>960000</v>
      </c>
      <c r="S169" s="10">
        <v>200000</v>
      </c>
      <c r="T169" s="10">
        <v>0</v>
      </c>
      <c r="U169" s="10">
        <v>400000</v>
      </c>
      <c r="V169" s="10">
        <v>0</v>
      </c>
      <c r="W169" s="10">
        <v>1560000</v>
      </c>
      <c r="X169" s="10">
        <v>4500000</v>
      </c>
      <c r="Y169" s="10">
        <v>0</v>
      </c>
      <c r="Z169" s="10">
        <v>3900000</v>
      </c>
      <c r="AA169" s="10">
        <v>4000000</v>
      </c>
      <c r="AB169" s="10">
        <v>4500000</v>
      </c>
      <c r="AC169" s="10">
        <v>0</v>
      </c>
      <c r="AD169" s="9" t="s">
        <v>44</v>
      </c>
      <c r="AE169" s="10" t="s">
        <v>2292</v>
      </c>
      <c r="AF169" s="10">
        <v>2250000</v>
      </c>
      <c r="AG169" s="10">
        <v>1</v>
      </c>
      <c r="AH169" s="10">
        <v>1</v>
      </c>
      <c r="AI169" s="10">
        <v>1</v>
      </c>
      <c r="AJ169" s="12" t="s">
        <v>688</v>
      </c>
      <c r="AK169" s="10">
        <v>0</v>
      </c>
      <c r="AL169" s="10">
        <v>0</v>
      </c>
      <c r="AM169" s="9">
        <v>2015</v>
      </c>
      <c r="AN169" s="10">
        <v>1</v>
      </c>
      <c r="AO169" s="10">
        <v>1</v>
      </c>
      <c r="AP169" s="6"/>
      <c r="AQ169" s="7"/>
      <c r="AR169" s="8"/>
      <c r="AS169" s="4">
        <f t="shared" si="6"/>
        <v>600000</v>
      </c>
      <c r="AT169" s="4">
        <f t="shared" si="7"/>
        <v>2609998.9961542324</v>
      </c>
      <c r="AU169" s="4">
        <f t="shared" si="8"/>
        <v>1890001.0038457676</v>
      </c>
      <c r="AV169" s="9" t="s">
        <v>687</v>
      </c>
      <c r="AW169" s="12" t="s">
        <v>688</v>
      </c>
      <c r="AX169" s="10">
        <v>0</v>
      </c>
      <c r="AY169">
        <f>S169*AU169/AS169</f>
        <v>630000.33461525582</v>
      </c>
      <c r="AZ169">
        <f>AU169-AY169</f>
        <v>1260000.6692305119</v>
      </c>
      <c r="BA169" s="10">
        <v>4500000</v>
      </c>
      <c r="BB169" s="10">
        <v>0</v>
      </c>
      <c r="BC169" s="9" t="s">
        <v>42</v>
      </c>
      <c r="BD169" s="9">
        <v>10421</v>
      </c>
      <c r="BE169" t="s">
        <v>46</v>
      </c>
    </row>
    <row r="170" spans="1:57" ht="270.75" thickBot="1" x14ac:dyDescent="0.3">
      <c r="A170" s="9" t="s">
        <v>689</v>
      </c>
      <c r="B170" s="9">
        <v>3001</v>
      </c>
      <c r="C170" s="10">
        <v>2</v>
      </c>
      <c r="D170" s="9" t="s">
        <v>37</v>
      </c>
      <c r="E170" s="14">
        <v>46214.756967592592</v>
      </c>
      <c r="F170" s="9" t="s">
        <v>690</v>
      </c>
      <c r="G170" s="9" t="s">
        <v>39</v>
      </c>
      <c r="H170" s="9">
        <v>53</v>
      </c>
      <c r="I170" s="9" t="s">
        <v>40</v>
      </c>
      <c r="J170" s="9">
        <v>5309</v>
      </c>
      <c r="K170" s="9" t="s">
        <v>41</v>
      </c>
      <c r="L170" s="9">
        <v>5309062</v>
      </c>
      <c r="M170" s="9">
        <v>5309062009</v>
      </c>
      <c r="N170" s="9" t="s">
        <v>42</v>
      </c>
      <c r="O170" s="9">
        <v>10421</v>
      </c>
      <c r="P170" s="9" t="s">
        <v>691</v>
      </c>
      <c r="Q170" s="10">
        <v>8</v>
      </c>
      <c r="R170" s="10">
        <v>1050000</v>
      </c>
      <c r="S170" s="10">
        <v>300000</v>
      </c>
      <c r="T170" s="10">
        <v>0</v>
      </c>
      <c r="U170" s="10">
        <v>400000</v>
      </c>
      <c r="V170" s="10">
        <v>0</v>
      </c>
      <c r="W170" s="10">
        <v>1750000</v>
      </c>
      <c r="X170" s="10">
        <v>7200000</v>
      </c>
      <c r="Y170" s="10">
        <v>0</v>
      </c>
      <c r="Z170" s="10">
        <v>6500000</v>
      </c>
      <c r="AA170" s="10">
        <v>4800000</v>
      </c>
      <c r="AB170" s="10">
        <v>7200000</v>
      </c>
      <c r="AC170" s="10">
        <v>0</v>
      </c>
      <c r="AD170" s="9" t="s">
        <v>44</v>
      </c>
      <c r="AE170" s="10" t="s">
        <v>2246</v>
      </c>
      <c r="AF170" s="10">
        <v>900000</v>
      </c>
      <c r="AG170" s="10">
        <v>1</v>
      </c>
      <c r="AH170" s="10">
        <v>1</v>
      </c>
      <c r="AI170" s="10">
        <v>1</v>
      </c>
      <c r="AJ170" s="12" t="s">
        <v>692</v>
      </c>
      <c r="AK170" s="10">
        <v>0</v>
      </c>
      <c r="AL170" s="10">
        <v>0</v>
      </c>
      <c r="AM170" s="9">
        <v>2019</v>
      </c>
      <c r="AN170" s="10">
        <v>6</v>
      </c>
      <c r="AO170" s="10">
        <v>2</v>
      </c>
      <c r="AP170" s="6"/>
      <c r="AQ170" s="7"/>
      <c r="AR170" s="8"/>
      <c r="AS170" s="4">
        <f t="shared" si="6"/>
        <v>700000</v>
      </c>
      <c r="AT170" s="4">
        <f t="shared" si="7"/>
        <v>4175998.972061791</v>
      </c>
      <c r="AU170" s="4">
        <f t="shared" si="8"/>
        <v>3024001.027938209</v>
      </c>
      <c r="AV170" s="9" t="s">
        <v>691</v>
      </c>
      <c r="AW170" s="12" t="s">
        <v>692</v>
      </c>
      <c r="AX170" s="10">
        <v>0</v>
      </c>
      <c r="AY170">
        <f>S170*AU170/AS170</f>
        <v>1296000.4405449466</v>
      </c>
      <c r="AZ170">
        <f>AU170-AY170</f>
        <v>1728000.5873932624</v>
      </c>
      <c r="BA170" s="10">
        <v>7200000</v>
      </c>
      <c r="BB170" s="10">
        <v>0</v>
      </c>
      <c r="BC170" s="9" t="s">
        <v>42</v>
      </c>
      <c r="BD170" s="9">
        <v>10421</v>
      </c>
      <c r="BE170" t="s">
        <v>46</v>
      </c>
    </row>
    <row r="171" spans="1:57" ht="270.75" thickBot="1" x14ac:dyDescent="0.3">
      <c r="A171" s="9" t="s">
        <v>693</v>
      </c>
      <c r="B171" s="9">
        <v>3001</v>
      </c>
      <c r="C171" s="10">
        <v>2</v>
      </c>
      <c r="D171" s="9" t="s">
        <v>37</v>
      </c>
      <c r="E171" s="11">
        <v>46252.317660335648</v>
      </c>
      <c r="F171" s="9" t="s">
        <v>694</v>
      </c>
      <c r="G171" s="9" t="s">
        <v>39</v>
      </c>
      <c r="H171" s="9">
        <v>53</v>
      </c>
      <c r="I171" s="9" t="s">
        <v>40</v>
      </c>
      <c r="J171" s="9">
        <v>5309</v>
      </c>
      <c r="K171" s="9" t="s">
        <v>41</v>
      </c>
      <c r="L171" s="9">
        <v>5309073</v>
      </c>
      <c r="M171" s="9">
        <v>5309073006</v>
      </c>
      <c r="N171" s="9" t="s">
        <v>42</v>
      </c>
      <c r="O171" s="9">
        <v>10421</v>
      </c>
      <c r="P171" s="9" t="s">
        <v>695</v>
      </c>
      <c r="Q171" s="10">
        <v>3</v>
      </c>
      <c r="R171" s="10">
        <v>2600000</v>
      </c>
      <c r="S171" s="10">
        <v>350000</v>
      </c>
      <c r="T171" s="10">
        <v>0</v>
      </c>
      <c r="U171" s="10">
        <v>150000</v>
      </c>
      <c r="V171" s="10">
        <v>0</v>
      </c>
      <c r="W171" s="10">
        <v>3100000</v>
      </c>
      <c r="X171" s="10">
        <v>18900000</v>
      </c>
      <c r="Y171" s="10">
        <v>0</v>
      </c>
      <c r="Z171" s="10">
        <v>18400000</v>
      </c>
      <c r="AA171" s="10">
        <v>5350000</v>
      </c>
      <c r="AB171" s="10">
        <v>18900000</v>
      </c>
      <c r="AC171" s="10">
        <v>0</v>
      </c>
      <c r="AD171" s="9" t="s">
        <v>44</v>
      </c>
      <c r="AE171" s="10" t="s">
        <v>2357</v>
      </c>
      <c r="AF171" s="10">
        <v>6300000</v>
      </c>
      <c r="AG171" s="10">
        <v>1</v>
      </c>
      <c r="AH171" s="10">
        <v>1</v>
      </c>
      <c r="AI171" s="10">
        <v>1</v>
      </c>
      <c r="AJ171" s="12" t="s">
        <v>696</v>
      </c>
      <c r="AK171" s="10">
        <v>0</v>
      </c>
      <c r="AL171" s="10">
        <v>0</v>
      </c>
      <c r="AM171" s="9">
        <v>2010</v>
      </c>
      <c r="AN171" s="10">
        <v>2</v>
      </c>
      <c r="AO171" s="10">
        <v>1</v>
      </c>
      <c r="AP171" s="6"/>
      <c r="AQ171" s="7"/>
      <c r="AR171" s="8"/>
      <c r="AS171" s="4">
        <f t="shared" si="6"/>
        <v>500000</v>
      </c>
      <c r="AT171" s="4">
        <f t="shared" si="7"/>
        <v>10961999.702119574</v>
      </c>
      <c r="AU171" s="4">
        <f t="shared" si="8"/>
        <v>7938000.297880426</v>
      </c>
      <c r="AV171" s="9" t="s">
        <v>695</v>
      </c>
      <c r="AW171" s="12" t="s">
        <v>696</v>
      </c>
      <c r="AX171" s="10">
        <v>0</v>
      </c>
      <c r="AY171">
        <f>S171*AU171/AS171</f>
        <v>5556600.2085162979</v>
      </c>
      <c r="AZ171">
        <f>AU171-AY171</f>
        <v>2381400.0893641282</v>
      </c>
      <c r="BA171" s="10">
        <v>18900000</v>
      </c>
      <c r="BB171" s="10">
        <v>0</v>
      </c>
      <c r="BC171" s="9" t="s">
        <v>42</v>
      </c>
      <c r="BD171" s="9">
        <v>10421</v>
      </c>
      <c r="BE171" t="s">
        <v>46</v>
      </c>
    </row>
    <row r="172" spans="1:57" ht="270.75" thickBot="1" x14ac:dyDescent="0.3">
      <c r="A172" s="9" t="s">
        <v>697</v>
      </c>
      <c r="B172" s="9">
        <v>3001</v>
      </c>
      <c r="C172" s="10">
        <v>2</v>
      </c>
      <c r="D172" s="9" t="s">
        <v>113</v>
      </c>
      <c r="E172" s="11">
        <v>46283.382048715277</v>
      </c>
      <c r="F172" s="9" t="s">
        <v>698</v>
      </c>
      <c r="G172" s="9" t="s">
        <v>39</v>
      </c>
      <c r="H172" s="9">
        <v>53</v>
      </c>
      <c r="I172" s="9" t="s">
        <v>40</v>
      </c>
      <c r="J172" s="9">
        <v>5309</v>
      </c>
      <c r="K172" s="9" t="s">
        <v>41</v>
      </c>
      <c r="L172" s="9">
        <v>5309060</v>
      </c>
      <c r="M172" s="9">
        <v>5309060042</v>
      </c>
      <c r="N172" s="9" t="s">
        <v>42</v>
      </c>
      <c r="O172" s="9">
        <v>10421</v>
      </c>
      <c r="P172" s="9" t="s">
        <v>699</v>
      </c>
      <c r="Q172" s="10">
        <v>3</v>
      </c>
      <c r="R172" s="10">
        <v>840000</v>
      </c>
      <c r="S172" s="10">
        <v>1150000</v>
      </c>
      <c r="T172" s="10">
        <v>0</v>
      </c>
      <c r="U172" s="10">
        <v>100000</v>
      </c>
      <c r="V172" s="10">
        <v>0</v>
      </c>
      <c r="W172" s="10">
        <v>2090000</v>
      </c>
      <c r="X172" s="10">
        <v>7500000</v>
      </c>
      <c r="Y172" s="10">
        <v>0</v>
      </c>
      <c r="Z172" s="10">
        <v>6250000</v>
      </c>
      <c r="AA172" s="10">
        <v>12000000</v>
      </c>
      <c r="AB172" s="10">
        <v>7500000</v>
      </c>
      <c r="AC172" s="10">
        <v>0</v>
      </c>
      <c r="AD172" s="9" t="s">
        <v>44</v>
      </c>
      <c r="AE172" s="10" t="s">
        <v>2358</v>
      </c>
      <c r="AF172" s="10">
        <v>2500000</v>
      </c>
      <c r="AG172" s="10">
        <v>1</v>
      </c>
      <c r="AH172" s="10">
        <v>1</v>
      </c>
      <c r="AI172" s="10">
        <v>1</v>
      </c>
      <c r="AJ172" s="12" t="s">
        <v>700</v>
      </c>
      <c r="AK172" s="10">
        <v>0</v>
      </c>
      <c r="AL172" s="10">
        <v>0</v>
      </c>
      <c r="AM172" s="9">
        <v>2020</v>
      </c>
      <c r="AN172" s="10">
        <v>1</v>
      </c>
      <c r="AO172" s="10">
        <v>2</v>
      </c>
      <c r="AP172" s="6"/>
      <c r="AQ172" s="7"/>
      <c r="AR172" s="8"/>
      <c r="AS172" s="4">
        <f t="shared" si="6"/>
        <v>1250000</v>
      </c>
      <c r="AT172" s="4">
        <f t="shared" si="7"/>
        <v>4350001.7400006959</v>
      </c>
      <c r="AU172" s="4">
        <f t="shared" si="8"/>
        <v>3149998.2599993041</v>
      </c>
      <c r="AV172" s="9" t="s">
        <v>699</v>
      </c>
      <c r="AW172" s="12" t="s">
        <v>700</v>
      </c>
      <c r="AX172" s="10">
        <v>0</v>
      </c>
      <c r="AY172">
        <f>S172*AU172/AS172</f>
        <v>2897998.3991993596</v>
      </c>
      <c r="AZ172">
        <f>AU172-AY172</f>
        <v>251999.86079994449</v>
      </c>
      <c r="BA172" s="10">
        <v>7500000</v>
      </c>
      <c r="BB172" s="10">
        <v>0</v>
      </c>
      <c r="BC172" s="9" t="s">
        <v>42</v>
      </c>
      <c r="BD172" s="9">
        <v>10421</v>
      </c>
      <c r="BE172" t="s">
        <v>46</v>
      </c>
    </row>
    <row r="173" spans="1:57" ht="270.75" thickBot="1" x14ac:dyDescent="0.3">
      <c r="A173" s="9" t="s">
        <v>701</v>
      </c>
      <c r="B173" s="9">
        <v>3002</v>
      </c>
      <c r="C173" s="10">
        <v>2</v>
      </c>
      <c r="D173" s="9" t="s">
        <v>37</v>
      </c>
      <c r="E173" s="14">
        <v>46234.605231481481</v>
      </c>
      <c r="F173" s="9" t="s">
        <v>702</v>
      </c>
      <c r="G173" s="9" t="s">
        <v>39</v>
      </c>
      <c r="H173" s="9">
        <v>53</v>
      </c>
      <c r="I173" s="9" t="s">
        <v>40</v>
      </c>
      <c r="J173" s="9">
        <v>5309</v>
      </c>
      <c r="K173" s="9" t="s">
        <v>41</v>
      </c>
      <c r="L173" s="9">
        <v>5309074</v>
      </c>
      <c r="M173" s="9">
        <v>5309074002</v>
      </c>
      <c r="N173" s="9" t="s">
        <v>42</v>
      </c>
      <c r="O173" s="9">
        <v>10421</v>
      </c>
      <c r="P173" s="9" t="s">
        <v>49</v>
      </c>
      <c r="Q173" s="10">
        <v>2</v>
      </c>
      <c r="R173" s="10">
        <v>1500000</v>
      </c>
      <c r="S173" s="10">
        <v>1000000</v>
      </c>
      <c r="T173" s="10">
        <v>0</v>
      </c>
      <c r="U173" s="10">
        <v>250000</v>
      </c>
      <c r="V173" s="10">
        <v>0</v>
      </c>
      <c r="W173" s="10">
        <v>2750000</v>
      </c>
      <c r="X173" s="10">
        <v>5750000</v>
      </c>
      <c r="Y173" s="10">
        <v>0</v>
      </c>
      <c r="Z173" s="10">
        <v>4500000</v>
      </c>
      <c r="AA173" s="10">
        <v>5250000</v>
      </c>
      <c r="AB173" s="10">
        <v>5750000</v>
      </c>
      <c r="AC173" s="10">
        <v>0</v>
      </c>
      <c r="AD173" s="9" t="s">
        <v>44</v>
      </c>
      <c r="AE173" s="10" t="s">
        <v>2359</v>
      </c>
      <c r="AF173" s="10">
        <v>2875000</v>
      </c>
      <c r="AG173" s="10">
        <v>1</v>
      </c>
      <c r="AH173" s="10">
        <v>1</v>
      </c>
      <c r="AI173" s="10">
        <v>1</v>
      </c>
      <c r="AJ173" s="12" t="s">
        <v>703</v>
      </c>
      <c r="AK173" s="10">
        <v>0</v>
      </c>
      <c r="AL173" s="10">
        <v>0</v>
      </c>
      <c r="AM173" s="9">
        <v>1988</v>
      </c>
      <c r="AN173" s="10">
        <v>1</v>
      </c>
      <c r="AO173" s="10">
        <v>1</v>
      </c>
      <c r="AP173" s="6"/>
      <c r="AQ173" s="7"/>
      <c r="AR173" s="8"/>
      <c r="AS173" s="4">
        <f t="shared" si="6"/>
        <v>1250000</v>
      </c>
      <c r="AT173" s="4">
        <f t="shared" si="7"/>
        <v>3334998.7030560598</v>
      </c>
      <c r="AU173" s="4">
        <f t="shared" si="8"/>
        <v>2415001.2969439402</v>
      </c>
      <c r="AV173" s="9" t="s">
        <v>49</v>
      </c>
      <c r="AW173" s="12" t="s">
        <v>703</v>
      </c>
      <c r="AX173" s="10">
        <v>0</v>
      </c>
      <c r="AY173">
        <f>S173*AU173/AS173</f>
        <v>1932001.0375551523</v>
      </c>
      <c r="AZ173">
        <f>AU173-AY173</f>
        <v>483000.2593887879</v>
      </c>
      <c r="BA173" s="10">
        <v>5750000</v>
      </c>
      <c r="BB173" s="10">
        <v>0</v>
      </c>
      <c r="BC173" s="9" t="s">
        <v>42</v>
      </c>
      <c r="BD173" s="9">
        <v>10421</v>
      </c>
      <c r="BE173" t="s">
        <v>46</v>
      </c>
    </row>
    <row r="174" spans="1:57" ht="270.75" thickBot="1" x14ac:dyDescent="0.3">
      <c r="A174" s="9" t="s">
        <v>704</v>
      </c>
      <c r="B174" s="9">
        <v>1002</v>
      </c>
      <c r="C174" s="10">
        <v>2</v>
      </c>
      <c r="D174" s="9" t="s">
        <v>37</v>
      </c>
      <c r="E174" s="11">
        <v>46250.529413067132</v>
      </c>
      <c r="F174" s="9" t="s">
        <v>705</v>
      </c>
      <c r="G174" s="9" t="s">
        <v>39</v>
      </c>
      <c r="H174" s="9">
        <v>53</v>
      </c>
      <c r="I174" s="9" t="s">
        <v>40</v>
      </c>
      <c r="J174" s="9">
        <v>5309</v>
      </c>
      <c r="K174" s="9" t="s">
        <v>41</v>
      </c>
      <c r="L174" s="9">
        <v>5309021</v>
      </c>
      <c r="M174" s="9">
        <v>5309021006</v>
      </c>
      <c r="N174" s="9" t="s">
        <v>42</v>
      </c>
      <c r="O174" s="9">
        <v>10421</v>
      </c>
      <c r="P174" s="9" t="s">
        <v>706</v>
      </c>
      <c r="Q174" s="10">
        <v>2</v>
      </c>
      <c r="R174" s="10">
        <v>250000</v>
      </c>
      <c r="S174" s="10">
        <v>750000</v>
      </c>
      <c r="T174" s="10">
        <v>0</v>
      </c>
      <c r="U174" s="10">
        <v>100000</v>
      </c>
      <c r="V174" s="10">
        <v>0</v>
      </c>
      <c r="W174" s="10">
        <v>1100000</v>
      </c>
      <c r="X174" s="10">
        <v>4200000</v>
      </c>
      <c r="Y174" s="10">
        <v>1000000</v>
      </c>
      <c r="Z174" s="10">
        <v>3350000</v>
      </c>
      <c r="AA174" s="10">
        <v>50500000</v>
      </c>
      <c r="AB174" s="10">
        <v>4200000</v>
      </c>
      <c r="AC174" s="10">
        <v>0</v>
      </c>
      <c r="AD174" s="9" t="s">
        <v>44</v>
      </c>
      <c r="AE174" s="10" t="s">
        <v>2360</v>
      </c>
      <c r="AF174" s="10">
        <v>2100000</v>
      </c>
      <c r="AG174" s="10">
        <v>1</v>
      </c>
      <c r="AH174" s="10">
        <v>1</v>
      </c>
      <c r="AI174" s="10">
        <v>1</v>
      </c>
      <c r="AJ174" s="12" t="s">
        <v>707</v>
      </c>
      <c r="AK174" s="10">
        <v>0</v>
      </c>
      <c r="AL174" s="10">
        <v>0</v>
      </c>
      <c r="AM174" s="9">
        <v>2009</v>
      </c>
      <c r="AN174" s="10">
        <v>1</v>
      </c>
      <c r="AO174" s="10">
        <v>1</v>
      </c>
      <c r="AP174" s="6"/>
      <c r="AQ174" s="7"/>
      <c r="AR174" s="8"/>
      <c r="AS174" s="4">
        <f t="shared" si="6"/>
        <v>850000</v>
      </c>
      <c r="AT174" s="4">
        <f t="shared" si="7"/>
        <v>2436000.1454328443</v>
      </c>
      <c r="AU174" s="4">
        <f t="shared" si="8"/>
        <v>1763999.8545671557</v>
      </c>
      <c r="AV174" s="9" t="s">
        <v>706</v>
      </c>
      <c r="AW174" s="12" t="s">
        <v>707</v>
      </c>
      <c r="AX174" s="10">
        <v>0</v>
      </c>
      <c r="AY174">
        <f>S174*AU174/AS174</f>
        <v>1556470.459912196</v>
      </c>
      <c r="AZ174">
        <f>AU174-AY174</f>
        <v>207529.39465495967</v>
      </c>
      <c r="BA174" s="10">
        <v>4200000</v>
      </c>
      <c r="BB174" s="10">
        <v>1000000</v>
      </c>
      <c r="BC174" s="9" t="s">
        <v>42</v>
      </c>
      <c r="BD174" s="9">
        <v>10421</v>
      </c>
      <c r="BE174" t="s">
        <v>46</v>
      </c>
    </row>
    <row r="175" spans="1:57" ht="270.75" thickBot="1" x14ac:dyDescent="0.3">
      <c r="A175" s="9" t="s">
        <v>708</v>
      </c>
      <c r="B175" s="9">
        <v>3001</v>
      </c>
      <c r="C175" s="10">
        <v>2</v>
      </c>
      <c r="D175" s="9" t="s">
        <v>37</v>
      </c>
      <c r="E175" s="11">
        <v>46235.116825196761</v>
      </c>
      <c r="F175" s="9" t="s">
        <v>709</v>
      </c>
      <c r="G175" s="9" t="s">
        <v>39</v>
      </c>
      <c r="H175" s="9">
        <v>53</v>
      </c>
      <c r="I175" s="9" t="s">
        <v>40</v>
      </c>
      <c r="J175" s="9">
        <v>5309</v>
      </c>
      <c r="K175" s="9" t="s">
        <v>41</v>
      </c>
      <c r="L175" s="9">
        <v>5309062</v>
      </c>
      <c r="M175" s="9">
        <v>5309062003</v>
      </c>
      <c r="N175" s="9" t="s">
        <v>42</v>
      </c>
      <c r="O175" s="9">
        <v>10421</v>
      </c>
      <c r="P175" s="9" t="s">
        <v>710</v>
      </c>
      <c r="Q175" s="10">
        <v>2</v>
      </c>
      <c r="R175" s="10">
        <v>200000</v>
      </c>
      <c r="S175" s="10">
        <v>150000</v>
      </c>
      <c r="T175" s="10">
        <v>0</v>
      </c>
      <c r="U175" s="10">
        <v>400000</v>
      </c>
      <c r="V175" s="10">
        <v>0</v>
      </c>
      <c r="W175" s="10">
        <v>750000</v>
      </c>
      <c r="X175" s="10">
        <v>6000000</v>
      </c>
      <c r="Y175" s="10">
        <v>0</v>
      </c>
      <c r="Z175" s="10">
        <v>5450000</v>
      </c>
      <c r="AA175" s="10">
        <v>4800000</v>
      </c>
      <c r="AB175" s="10">
        <v>6000000</v>
      </c>
      <c r="AC175" s="10">
        <v>0</v>
      </c>
      <c r="AD175" s="9" t="s">
        <v>44</v>
      </c>
      <c r="AE175" s="10" t="s">
        <v>2361</v>
      </c>
      <c r="AF175" s="10">
        <v>3000000</v>
      </c>
      <c r="AG175" s="10">
        <v>1</v>
      </c>
      <c r="AH175" s="10">
        <v>1</v>
      </c>
      <c r="AI175" s="10">
        <v>1</v>
      </c>
      <c r="AJ175" s="12" t="s">
        <v>711</v>
      </c>
      <c r="AK175" s="10">
        <v>0</v>
      </c>
      <c r="AL175" s="10">
        <v>0</v>
      </c>
      <c r="AM175" s="9">
        <v>2020</v>
      </c>
      <c r="AN175" s="10">
        <v>1</v>
      </c>
      <c r="AO175" s="10">
        <v>1</v>
      </c>
      <c r="AP175" s="6"/>
      <c r="AQ175" s="7"/>
      <c r="AR175" s="8"/>
      <c r="AS175" s="4">
        <f t="shared" si="6"/>
        <v>550000</v>
      </c>
      <c r="AT175" s="4">
        <f t="shared" si="7"/>
        <v>3480001.277064689</v>
      </c>
      <c r="AU175" s="4">
        <f t="shared" si="8"/>
        <v>2519998.722935311</v>
      </c>
      <c r="AV175" s="9" t="s">
        <v>710</v>
      </c>
      <c r="AW175" s="12" t="s">
        <v>711</v>
      </c>
      <c r="AX175" s="10">
        <v>0</v>
      </c>
      <c r="AY175">
        <f>S175*AU175/AS175</f>
        <v>687272.37898235756</v>
      </c>
      <c r="AZ175">
        <f>AU175-AY175</f>
        <v>1832726.3439529533</v>
      </c>
      <c r="BA175" s="10">
        <v>6000000</v>
      </c>
      <c r="BB175" s="10">
        <v>0</v>
      </c>
      <c r="BC175" s="9" t="s">
        <v>42</v>
      </c>
      <c r="BD175" s="9">
        <v>10421</v>
      </c>
      <c r="BE175" t="s">
        <v>46</v>
      </c>
    </row>
    <row r="176" spans="1:57" ht="255.75" thickBot="1" x14ac:dyDescent="0.3">
      <c r="A176" s="9" t="s">
        <v>712</v>
      </c>
      <c r="B176" s="9">
        <v>3001</v>
      </c>
      <c r="C176" s="10">
        <v>2</v>
      </c>
      <c r="D176" s="9" t="s">
        <v>37</v>
      </c>
      <c r="E176" s="11">
        <v>46253.199689293979</v>
      </c>
      <c r="F176" s="9" t="s">
        <v>713</v>
      </c>
      <c r="G176" s="9" t="s">
        <v>39</v>
      </c>
      <c r="H176" s="9">
        <v>53</v>
      </c>
      <c r="I176" s="9" t="s">
        <v>40</v>
      </c>
      <c r="J176" s="9">
        <v>5309</v>
      </c>
      <c r="K176" s="9" t="s">
        <v>41</v>
      </c>
      <c r="L176" s="9">
        <v>5309062</v>
      </c>
      <c r="M176" s="9">
        <v>5309062012</v>
      </c>
      <c r="N176" s="9" t="s">
        <v>42</v>
      </c>
      <c r="O176" s="9">
        <v>10421</v>
      </c>
      <c r="P176" s="9" t="s">
        <v>714</v>
      </c>
      <c r="Q176" s="10">
        <v>4</v>
      </c>
      <c r="R176" s="10">
        <v>520000</v>
      </c>
      <c r="S176" s="10">
        <v>150000</v>
      </c>
      <c r="T176" s="10">
        <v>0</v>
      </c>
      <c r="U176" s="10">
        <v>0</v>
      </c>
      <c r="V176" s="10">
        <v>0</v>
      </c>
      <c r="W176" s="10">
        <v>670000</v>
      </c>
      <c r="X176" s="10">
        <v>800000</v>
      </c>
      <c r="Y176" s="10">
        <v>0</v>
      </c>
      <c r="Z176" s="10">
        <v>650000</v>
      </c>
      <c r="AA176" s="10">
        <v>3500000</v>
      </c>
      <c r="AB176" s="10">
        <v>800000</v>
      </c>
      <c r="AC176" s="10">
        <v>0</v>
      </c>
      <c r="AD176" s="9" t="s">
        <v>44</v>
      </c>
      <c r="AE176" s="10" t="s">
        <v>2362</v>
      </c>
      <c r="AF176" s="10">
        <v>200000</v>
      </c>
      <c r="AG176" s="10">
        <v>0</v>
      </c>
      <c r="AH176" s="10">
        <v>1</v>
      </c>
      <c r="AI176" s="10">
        <v>1</v>
      </c>
      <c r="AJ176" s="12" t="s">
        <v>715</v>
      </c>
      <c r="AK176" s="10">
        <v>0</v>
      </c>
      <c r="AL176" s="10">
        <v>0</v>
      </c>
      <c r="AM176" s="9">
        <v>2021</v>
      </c>
      <c r="AN176" s="10">
        <v>2</v>
      </c>
      <c r="AO176" s="10">
        <v>2</v>
      </c>
      <c r="AP176" s="6"/>
      <c r="AQ176" s="7"/>
      <c r="AR176" s="8"/>
      <c r="AS176" s="4">
        <f t="shared" si="6"/>
        <v>150000</v>
      </c>
      <c r="AT176" s="4">
        <f t="shared" si="7"/>
        <v>464000</v>
      </c>
      <c r="AU176" s="4">
        <f t="shared" si="8"/>
        <v>336000</v>
      </c>
      <c r="AV176" s="9" t="s">
        <v>714</v>
      </c>
      <c r="AW176" s="12" t="s">
        <v>715</v>
      </c>
      <c r="AX176" s="10">
        <v>0</v>
      </c>
      <c r="AY176">
        <f>S176*AU176/AS176</f>
        <v>336000</v>
      </c>
      <c r="AZ176">
        <f>AU176-AY176</f>
        <v>0</v>
      </c>
      <c r="BA176" s="10">
        <v>800000</v>
      </c>
      <c r="BB176" s="10">
        <v>0</v>
      </c>
      <c r="BC176" s="9" t="s">
        <v>42</v>
      </c>
      <c r="BD176" s="9">
        <v>10421</v>
      </c>
      <c r="BE176" t="s">
        <v>46</v>
      </c>
    </row>
    <row r="177" spans="1:57" ht="270.75" thickBot="1" x14ac:dyDescent="0.3">
      <c r="A177" s="9" t="s">
        <v>716</v>
      </c>
      <c r="B177" s="9">
        <v>3003</v>
      </c>
      <c r="C177" s="10">
        <v>2</v>
      </c>
      <c r="D177" s="9" t="s">
        <v>37</v>
      </c>
      <c r="E177" s="11">
        <v>46293.15391158565</v>
      </c>
      <c r="F177" s="9" t="s">
        <v>717</v>
      </c>
      <c r="G177" s="9" t="s">
        <v>39</v>
      </c>
      <c r="H177" s="9">
        <v>53</v>
      </c>
      <c r="I177" s="9" t="s">
        <v>40</v>
      </c>
      <c r="J177" s="9">
        <v>5309</v>
      </c>
      <c r="K177" s="9" t="s">
        <v>41</v>
      </c>
      <c r="L177" s="9">
        <v>5309062</v>
      </c>
      <c r="M177" s="9">
        <v>5309062013</v>
      </c>
      <c r="N177" s="9" t="s">
        <v>42</v>
      </c>
      <c r="O177" s="9">
        <v>10421</v>
      </c>
      <c r="P177" s="9" t="s">
        <v>718</v>
      </c>
      <c r="Q177" s="10">
        <v>3</v>
      </c>
      <c r="R177" s="10">
        <v>500000</v>
      </c>
      <c r="S177" s="10">
        <v>500000</v>
      </c>
      <c r="T177" s="10">
        <v>0</v>
      </c>
      <c r="U177" s="10">
        <v>200000</v>
      </c>
      <c r="V177" s="10">
        <v>0</v>
      </c>
      <c r="W177" s="10">
        <v>1200000</v>
      </c>
      <c r="X177" s="10">
        <v>4950000</v>
      </c>
      <c r="Y177" s="10">
        <v>0</v>
      </c>
      <c r="Z177" s="10">
        <v>4250000</v>
      </c>
      <c r="AA177" s="10">
        <v>350024</v>
      </c>
      <c r="AB177" s="10">
        <v>4950000</v>
      </c>
      <c r="AC177" s="10">
        <v>0</v>
      </c>
      <c r="AD177" s="9" t="s">
        <v>44</v>
      </c>
      <c r="AE177" s="10" t="s">
        <v>2363</v>
      </c>
      <c r="AF177" s="10">
        <v>1650000</v>
      </c>
      <c r="AG177" s="10">
        <v>1</v>
      </c>
      <c r="AH177" s="10">
        <v>1</v>
      </c>
      <c r="AI177" s="10">
        <v>1</v>
      </c>
      <c r="AJ177" s="12" t="s">
        <v>719</v>
      </c>
      <c r="AK177" s="10">
        <v>0</v>
      </c>
      <c r="AL177" s="10">
        <v>0</v>
      </c>
      <c r="AM177" s="9">
        <v>1990</v>
      </c>
      <c r="AN177" s="10">
        <v>1</v>
      </c>
      <c r="AO177" s="10">
        <v>2</v>
      </c>
      <c r="AP177" s="6"/>
      <c r="AQ177" s="7"/>
      <c r="AR177" s="8"/>
      <c r="AS177" s="4">
        <f t="shared" si="6"/>
        <v>700000</v>
      </c>
      <c r="AT177" s="4">
        <f t="shared" si="7"/>
        <v>2870999.5271294899</v>
      </c>
      <c r="AU177" s="4">
        <f t="shared" si="8"/>
        <v>2079000.4728705101</v>
      </c>
      <c r="AV177" s="9" t="s">
        <v>718</v>
      </c>
      <c r="AW177" s="12" t="s">
        <v>719</v>
      </c>
      <c r="AX177" s="10">
        <v>0</v>
      </c>
      <c r="AY177">
        <f>S177*AU177/AS177</f>
        <v>1485000.3377646501</v>
      </c>
      <c r="AZ177">
        <f>AU177-AY177</f>
        <v>594000.13510585995</v>
      </c>
      <c r="BA177" s="10">
        <v>4950000</v>
      </c>
      <c r="BB177" s="10">
        <v>0</v>
      </c>
      <c r="BC177" s="9" t="s">
        <v>42</v>
      </c>
      <c r="BD177" s="9">
        <v>10421</v>
      </c>
      <c r="BE177" t="s">
        <v>46</v>
      </c>
    </row>
    <row r="178" spans="1:57" ht="270.75" thickBot="1" x14ac:dyDescent="0.3">
      <c r="A178" s="9" t="s">
        <v>720</v>
      </c>
      <c r="B178" s="9">
        <v>1001</v>
      </c>
      <c r="C178" s="10">
        <v>2</v>
      </c>
      <c r="D178" s="9" t="s">
        <v>37</v>
      </c>
      <c r="E178" s="11">
        <v>46273.13305665509</v>
      </c>
      <c r="F178" s="9" t="s">
        <v>721</v>
      </c>
      <c r="G178" s="9" t="s">
        <v>39</v>
      </c>
      <c r="H178" s="9">
        <v>53</v>
      </c>
      <c r="I178" s="9" t="s">
        <v>40</v>
      </c>
      <c r="J178" s="9">
        <v>5309</v>
      </c>
      <c r="K178" s="9" t="s">
        <v>41</v>
      </c>
      <c r="L178" s="9">
        <v>5309070</v>
      </c>
      <c r="M178" s="9">
        <v>5309070014</v>
      </c>
      <c r="N178" s="9" t="s">
        <v>42</v>
      </c>
      <c r="O178" s="9">
        <v>10421</v>
      </c>
      <c r="P178" s="9" t="s">
        <v>722</v>
      </c>
      <c r="Q178" s="10">
        <v>4</v>
      </c>
      <c r="R178" s="10">
        <v>14400000</v>
      </c>
      <c r="S178" s="10">
        <v>1000000</v>
      </c>
      <c r="T178" s="10">
        <v>0</v>
      </c>
      <c r="U178" s="10">
        <v>2400000</v>
      </c>
      <c r="V178" s="10">
        <v>0</v>
      </c>
      <c r="W178" s="10">
        <v>17800000</v>
      </c>
      <c r="X178" s="10">
        <v>48000000</v>
      </c>
      <c r="Y178" s="10">
        <v>0</v>
      </c>
      <c r="Z178" s="10">
        <v>44600000</v>
      </c>
      <c r="AA178" s="10">
        <v>750000</v>
      </c>
      <c r="AB178" s="10">
        <v>48000000</v>
      </c>
      <c r="AC178" s="10">
        <v>0</v>
      </c>
      <c r="AD178" s="9" t="s">
        <v>44</v>
      </c>
      <c r="AE178" s="10" t="s">
        <v>2364</v>
      </c>
      <c r="AF178" s="10">
        <v>12000000</v>
      </c>
      <c r="AG178" s="10">
        <v>1</v>
      </c>
      <c r="AH178" s="10">
        <v>1</v>
      </c>
      <c r="AI178" s="10">
        <v>1</v>
      </c>
      <c r="AJ178" s="12" t="s">
        <v>723</v>
      </c>
      <c r="AK178" s="10">
        <v>0</v>
      </c>
      <c r="AL178" s="10">
        <v>0</v>
      </c>
      <c r="AM178" s="9">
        <v>2024</v>
      </c>
      <c r="AN178" s="10">
        <v>2</v>
      </c>
      <c r="AO178" s="10">
        <v>2</v>
      </c>
      <c r="AP178" s="6"/>
      <c r="AQ178" s="7"/>
      <c r="AR178" s="8"/>
      <c r="AS178" s="4">
        <f t="shared" si="6"/>
        <v>3400000</v>
      </c>
      <c r="AT178" s="4">
        <f t="shared" si="7"/>
        <v>27839990.012559637</v>
      </c>
      <c r="AU178" s="4">
        <f t="shared" si="8"/>
        <v>20160009.987440363</v>
      </c>
      <c r="AV178" s="9" t="s">
        <v>722</v>
      </c>
      <c r="AW178" s="12" t="s">
        <v>723</v>
      </c>
      <c r="AX178" s="10">
        <v>0</v>
      </c>
      <c r="AY178">
        <f>S178*AU178/AS178</f>
        <v>5929414.7021883419</v>
      </c>
      <c r="AZ178">
        <f>AU178-AY178</f>
        <v>14230595.28525202</v>
      </c>
      <c r="BA178" s="10">
        <v>48000000</v>
      </c>
      <c r="BB178" s="10">
        <v>0</v>
      </c>
      <c r="BC178" s="9" t="s">
        <v>42</v>
      </c>
      <c r="BD178" s="9">
        <v>10421</v>
      </c>
      <c r="BE178" t="s">
        <v>46</v>
      </c>
    </row>
    <row r="179" spans="1:57" ht="270.75" thickBot="1" x14ac:dyDescent="0.3">
      <c r="A179" s="9" t="s">
        <v>724</v>
      </c>
      <c r="B179" s="9">
        <v>3001</v>
      </c>
      <c r="C179" s="10">
        <v>2</v>
      </c>
      <c r="D179" s="9" t="s">
        <v>37</v>
      </c>
      <c r="E179" s="11">
        <v>46266.5036783912</v>
      </c>
      <c r="F179" s="9" t="s">
        <v>725</v>
      </c>
      <c r="G179" s="9" t="s">
        <v>39</v>
      </c>
      <c r="H179" s="9">
        <v>53</v>
      </c>
      <c r="I179" s="9" t="s">
        <v>40</v>
      </c>
      <c r="J179" s="9">
        <v>5309</v>
      </c>
      <c r="K179" s="9" t="s">
        <v>41</v>
      </c>
      <c r="L179" s="9">
        <v>5309073</v>
      </c>
      <c r="M179" s="9">
        <v>5309073011</v>
      </c>
      <c r="N179" s="9" t="s">
        <v>42</v>
      </c>
      <c r="O179" s="9">
        <v>10421</v>
      </c>
      <c r="P179" s="9" t="s">
        <v>726</v>
      </c>
      <c r="Q179" s="10">
        <v>2</v>
      </c>
      <c r="R179" s="10">
        <v>0</v>
      </c>
      <c r="S179" s="10">
        <v>200000</v>
      </c>
      <c r="T179" s="10">
        <v>0</v>
      </c>
      <c r="U179" s="10">
        <v>300000</v>
      </c>
      <c r="V179" s="10">
        <v>0</v>
      </c>
      <c r="W179" s="10">
        <v>500000</v>
      </c>
      <c r="X179" s="10">
        <v>1600000</v>
      </c>
      <c r="Y179" s="10">
        <v>0</v>
      </c>
      <c r="Z179" s="10">
        <v>1100000</v>
      </c>
      <c r="AA179" s="10">
        <v>5000000</v>
      </c>
      <c r="AB179" s="10">
        <v>1600000</v>
      </c>
      <c r="AC179" s="10">
        <v>0</v>
      </c>
      <c r="AD179" s="9" t="s">
        <v>44</v>
      </c>
      <c r="AE179" s="10" t="s">
        <v>2365</v>
      </c>
      <c r="AF179" s="10">
        <v>800000</v>
      </c>
      <c r="AG179" s="10">
        <v>0</v>
      </c>
      <c r="AH179" s="10">
        <v>1</v>
      </c>
      <c r="AI179" s="10">
        <v>1</v>
      </c>
      <c r="AJ179" s="12" t="s">
        <v>727</v>
      </c>
      <c r="AK179" s="10">
        <v>0</v>
      </c>
      <c r="AL179" s="10">
        <v>0</v>
      </c>
      <c r="AM179" s="9">
        <v>2015</v>
      </c>
      <c r="AN179" s="10">
        <v>0</v>
      </c>
      <c r="AO179" s="10">
        <v>2</v>
      </c>
      <c r="AP179" s="6"/>
      <c r="AQ179" s="7"/>
      <c r="AR179" s="8"/>
      <c r="AS179" s="4">
        <f t="shared" si="6"/>
        <v>500000</v>
      </c>
      <c r="AT179" s="4">
        <f t="shared" si="7"/>
        <v>928000</v>
      </c>
      <c r="AU179" s="4">
        <f t="shared" si="8"/>
        <v>672000</v>
      </c>
      <c r="AV179" s="9" t="s">
        <v>726</v>
      </c>
      <c r="AW179" s="12" t="s">
        <v>727</v>
      </c>
      <c r="AX179" s="10">
        <v>0</v>
      </c>
      <c r="AY179">
        <f>S179*AU179/AS179</f>
        <v>268800</v>
      </c>
      <c r="AZ179">
        <f>AU179-AY179</f>
        <v>403200</v>
      </c>
      <c r="BA179" s="10">
        <v>1600000</v>
      </c>
      <c r="BB179" s="10">
        <v>0</v>
      </c>
      <c r="BC179" s="9" t="s">
        <v>42</v>
      </c>
      <c r="BD179" s="9">
        <v>10421</v>
      </c>
      <c r="BE179" t="s">
        <v>46</v>
      </c>
    </row>
    <row r="180" spans="1:57" ht="270.75" thickBot="1" x14ac:dyDescent="0.3">
      <c r="A180" s="9" t="s">
        <v>728</v>
      </c>
      <c r="B180" s="9">
        <v>3001</v>
      </c>
      <c r="C180" s="10">
        <v>2</v>
      </c>
      <c r="D180" s="9" t="s">
        <v>37</v>
      </c>
      <c r="E180" s="14">
        <v>46216.375972222224</v>
      </c>
      <c r="F180" s="9" t="s">
        <v>729</v>
      </c>
      <c r="G180" s="9" t="s">
        <v>39</v>
      </c>
      <c r="H180" s="9">
        <v>53</v>
      </c>
      <c r="I180" s="9" t="s">
        <v>40</v>
      </c>
      <c r="J180" s="9">
        <v>5309</v>
      </c>
      <c r="K180" s="9" t="s">
        <v>41</v>
      </c>
      <c r="L180" s="9">
        <v>5309062</v>
      </c>
      <c r="M180" s="9">
        <v>5309062006</v>
      </c>
      <c r="N180" s="9" t="s">
        <v>42</v>
      </c>
      <c r="O180" s="9">
        <v>10421</v>
      </c>
      <c r="P180" s="9" t="s">
        <v>730</v>
      </c>
      <c r="Q180" s="10">
        <v>2</v>
      </c>
      <c r="R180" s="10">
        <v>560000</v>
      </c>
      <c r="S180" s="10">
        <v>100000</v>
      </c>
      <c r="T180" s="10">
        <v>0</v>
      </c>
      <c r="U180" s="10">
        <v>0</v>
      </c>
      <c r="V180" s="10">
        <v>0</v>
      </c>
      <c r="W180" s="10">
        <v>660000</v>
      </c>
      <c r="X180" s="10">
        <v>5000000</v>
      </c>
      <c r="Y180" s="10">
        <v>8500000</v>
      </c>
      <c r="Z180" s="10">
        <v>4900000</v>
      </c>
      <c r="AA180" s="10">
        <v>100000000</v>
      </c>
      <c r="AB180" s="10">
        <v>5000000</v>
      </c>
      <c r="AC180" s="10">
        <v>0</v>
      </c>
      <c r="AD180" s="9" t="s">
        <v>44</v>
      </c>
      <c r="AE180" s="10" t="s">
        <v>365</v>
      </c>
      <c r="AF180" s="10">
        <v>2500000</v>
      </c>
      <c r="AG180" s="10">
        <v>1</v>
      </c>
      <c r="AH180" s="10">
        <v>1</v>
      </c>
      <c r="AI180" s="10">
        <v>1</v>
      </c>
      <c r="AJ180" s="12" t="s">
        <v>731</v>
      </c>
      <c r="AK180" s="10">
        <v>0</v>
      </c>
      <c r="AL180" s="10">
        <v>0</v>
      </c>
      <c r="AM180" s="9">
        <v>1997</v>
      </c>
      <c r="AN180" s="10">
        <v>1</v>
      </c>
      <c r="AO180" s="10">
        <v>1</v>
      </c>
      <c r="AP180" s="6"/>
      <c r="AQ180" s="7"/>
      <c r="AR180" s="8"/>
      <c r="AS180" s="4">
        <f t="shared" si="6"/>
        <v>100000</v>
      </c>
      <c r="AT180" s="4">
        <f t="shared" si="7"/>
        <v>2900000</v>
      </c>
      <c r="AU180" s="4">
        <f t="shared" si="8"/>
        <v>2100000</v>
      </c>
      <c r="AV180" s="9" t="s">
        <v>730</v>
      </c>
      <c r="AW180" s="12" t="s">
        <v>731</v>
      </c>
      <c r="AX180" s="10">
        <v>0</v>
      </c>
      <c r="AY180">
        <f>S180*AU180/AS180</f>
        <v>2100000</v>
      </c>
      <c r="AZ180">
        <f>AU180-AY180</f>
        <v>0</v>
      </c>
      <c r="BA180" s="10">
        <v>5000000</v>
      </c>
      <c r="BB180" s="10">
        <v>8500000</v>
      </c>
      <c r="BC180" s="9" t="s">
        <v>42</v>
      </c>
      <c r="BD180" s="9">
        <v>10421</v>
      </c>
      <c r="BE180" t="s">
        <v>46</v>
      </c>
    </row>
    <row r="181" spans="1:57" ht="270.75" thickBot="1" x14ac:dyDescent="0.3">
      <c r="A181" s="9" t="s">
        <v>728</v>
      </c>
      <c r="B181" s="9">
        <v>3002</v>
      </c>
      <c r="C181" s="10">
        <v>2</v>
      </c>
      <c r="D181" s="9" t="s">
        <v>37</v>
      </c>
      <c r="E181" s="14">
        <v>46216.375972222224</v>
      </c>
      <c r="F181" s="9" t="s">
        <v>729</v>
      </c>
      <c r="G181" s="9" t="s">
        <v>39</v>
      </c>
      <c r="H181" s="9">
        <v>53</v>
      </c>
      <c r="I181" s="9" t="s">
        <v>40</v>
      </c>
      <c r="J181" s="9">
        <v>5309</v>
      </c>
      <c r="K181" s="9" t="s">
        <v>41</v>
      </c>
      <c r="L181" s="9">
        <v>5309062</v>
      </c>
      <c r="M181" s="9">
        <v>5309062006</v>
      </c>
      <c r="N181" s="9" t="s">
        <v>42</v>
      </c>
      <c r="O181" s="9">
        <v>10421</v>
      </c>
      <c r="P181" s="9" t="s">
        <v>732</v>
      </c>
      <c r="Q181" s="10">
        <v>2</v>
      </c>
      <c r="R181" s="10">
        <v>300000</v>
      </c>
      <c r="S181" s="10">
        <v>300000</v>
      </c>
      <c r="T181" s="10">
        <v>0</v>
      </c>
      <c r="U181" s="10">
        <v>200000</v>
      </c>
      <c r="V181" s="10">
        <v>0</v>
      </c>
      <c r="W181" s="10">
        <v>800000</v>
      </c>
      <c r="X181" s="10">
        <v>5500000</v>
      </c>
      <c r="Y181" s="10">
        <v>0</v>
      </c>
      <c r="Z181" s="10">
        <v>5000000</v>
      </c>
      <c r="AA181" s="10">
        <v>40000000</v>
      </c>
      <c r="AB181" s="10">
        <v>5500000</v>
      </c>
      <c r="AC181" s="10">
        <v>0</v>
      </c>
      <c r="AD181" s="9" t="s">
        <v>44</v>
      </c>
      <c r="AE181" s="10" t="s">
        <v>2366</v>
      </c>
      <c r="AF181" s="10">
        <v>2750000</v>
      </c>
      <c r="AG181" s="10">
        <v>1</v>
      </c>
      <c r="AH181" s="10">
        <v>1</v>
      </c>
      <c r="AI181" s="10">
        <v>1</v>
      </c>
      <c r="AJ181" s="12" t="s">
        <v>731</v>
      </c>
      <c r="AK181" s="10">
        <v>0</v>
      </c>
      <c r="AL181" s="10">
        <v>0</v>
      </c>
      <c r="AM181" s="9">
        <v>2017</v>
      </c>
      <c r="AN181" s="10">
        <v>1</v>
      </c>
      <c r="AO181" s="10">
        <v>1</v>
      </c>
      <c r="AP181" s="6"/>
      <c r="AQ181" s="7"/>
      <c r="AR181" s="8"/>
      <c r="AS181" s="4">
        <f t="shared" si="6"/>
        <v>500000</v>
      </c>
      <c r="AT181" s="4">
        <f t="shared" si="7"/>
        <v>3189999.681000032</v>
      </c>
      <c r="AU181" s="4">
        <f t="shared" si="8"/>
        <v>2310000.318999968</v>
      </c>
      <c r="AV181" s="9" t="s">
        <v>732</v>
      </c>
      <c r="AW181" s="12" t="s">
        <v>731</v>
      </c>
      <c r="AX181" s="10">
        <v>0</v>
      </c>
      <c r="AY181">
        <f>S181*AU181/AS181</f>
        <v>1386000.1913999808</v>
      </c>
      <c r="AZ181">
        <f>AU181-AY181</f>
        <v>924000.1275999872</v>
      </c>
      <c r="BA181" s="10">
        <v>5500000</v>
      </c>
      <c r="BB181" s="10">
        <v>0</v>
      </c>
      <c r="BC181" s="9" t="s">
        <v>42</v>
      </c>
      <c r="BD181" s="9">
        <v>10421</v>
      </c>
      <c r="BE181" t="s">
        <v>46</v>
      </c>
    </row>
    <row r="182" spans="1:57" ht="255.75" thickBot="1" x14ac:dyDescent="0.3">
      <c r="A182" s="9" t="s">
        <v>733</v>
      </c>
      <c r="B182" s="9">
        <v>3002</v>
      </c>
      <c r="C182" s="10">
        <v>2</v>
      </c>
      <c r="D182" s="9" t="s">
        <v>37</v>
      </c>
      <c r="E182" s="11">
        <v>46238.633342465277</v>
      </c>
      <c r="F182" s="9" t="s">
        <v>734</v>
      </c>
      <c r="G182" s="9" t="s">
        <v>39</v>
      </c>
      <c r="H182" s="9">
        <v>53</v>
      </c>
      <c r="I182" s="9" t="s">
        <v>40</v>
      </c>
      <c r="J182" s="9">
        <v>5309</v>
      </c>
      <c r="K182" s="9" t="s">
        <v>41</v>
      </c>
      <c r="L182" s="9">
        <v>5309073</v>
      </c>
      <c r="M182" s="9">
        <v>5309073001</v>
      </c>
      <c r="N182" s="9" t="s">
        <v>42</v>
      </c>
      <c r="O182" s="9">
        <v>10421</v>
      </c>
      <c r="P182" s="9" t="s">
        <v>735</v>
      </c>
      <c r="Q182" s="10">
        <v>4</v>
      </c>
      <c r="R182" s="10">
        <v>2100000</v>
      </c>
      <c r="S182" s="10">
        <v>15000</v>
      </c>
      <c r="T182" s="10">
        <v>0</v>
      </c>
      <c r="U182" s="10">
        <v>300000</v>
      </c>
      <c r="V182" s="10">
        <v>0</v>
      </c>
      <c r="W182" s="10">
        <v>2415000</v>
      </c>
      <c r="X182" s="10">
        <v>30000000</v>
      </c>
      <c r="Y182" s="10">
        <v>0</v>
      </c>
      <c r="Z182" s="10">
        <v>29685000</v>
      </c>
      <c r="AA182" s="10">
        <v>13000000</v>
      </c>
      <c r="AB182" s="10">
        <v>30000000</v>
      </c>
      <c r="AC182" s="10">
        <v>0</v>
      </c>
      <c r="AD182" s="9" t="s">
        <v>44</v>
      </c>
      <c r="AE182" s="10" t="s">
        <v>2367</v>
      </c>
      <c r="AF182" s="10">
        <v>7500000</v>
      </c>
      <c r="AG182" s="10">
        <v>1</v>
      </c>
      <c r="AH182" s="10">
        <v>1</v>
      </c>
      <c r="AI182" s="10">
        <v>1</v>
      </c>
      <c r="AJ182" s="12" t="s">
        <v>736</v>
      </c>
      <c r="AK182" s="10">
        <v>0</v>
      </c>
      <c r="AL182" s="10">
        <v>0</v>
      </c>
      <c r="AM182" s="9">
        <v>1992</v>
      </c>
      <c r="AN182" s="10">
        <v>3</v>
      </c>
      <c r="AO182" s="10">
        <v>1</v>
      </c>
      <c r="AP182" s="6"/>
      <c r="AQ182" s="7"/>
      <c r="AR182" s="8"/>
      <c r="AS182" s="4">
        <f t="shared" si="6"/>
        <v>315000</v>
      </c>
      <c r="AT182" s="4">
        <f t="shared" si="7"/>
        <v>17400000</v>
      </c>
      <c r="AU182" s="4">
        <f t="shared" si="8"/>
        <v>12600000</v>
      </c>
      <c r="AV182" s="9" t="s">
        <v>735</v>
      </c>
      <c r="AW182" s="12" t="s">
        <v>736</v>
      </c>
      <c r="AX182" s="10">
        <v>0</v>
      </c>
      <c r="AY182">
        <f>S182*AU182/AS182</f>
        <v>600000</v>
      </c>
      <c r="AZ182">
        <f>AU182-AY182</f>
        <v>12000000</v>
      </c>
      <c r="BA182" s="10">
        <v>30000000</v>
      </c>
      <c r="BB182" s="10">
        <v>0</v>
      </c>
      <c r="BC182" s="9" t="s">
        <v>42</v>
      </c>
      <c r="BD182" s="9">
        <v>10421</v>
      </c>
      <c r="BE182" t="s">
        <v>46</v>
      </c>
    </row>
    <row r="183" spans="1:57" ht="270.75" thickBot="1" x14ac:dyDescent="0.3">
      <c r="A183" s="9" t="s">
        <v>737</v>
      </c>
      <c r="B183" s="9">
        <v>3001</v>
      </c>
      <c r="C183" s="10">
        <v>2</v>
      </c>
      <c r="D183" s="9" t="s">
        <v>37</v>
      </c>
      <c r="E183" s="11">
        <v>46247.601205624997</v>
      </c>
      <c r="F183" s="9" t="s">
        <v>738</v>
      </c>
      <c r="G183" s="9" t="s">
        <v>39</v>
      </c>
      <c r="H183" s="9">
        <v>53</v>
      </c>
      <c r="I183" s="9" t="s">
        <v>40</v>
      </c>
      <c r="J183" s="9">
        <v>5309</v>
      </c>
      <c r="K183" s="9" t="s">
        <v>41</v>
      </c>
      <c r="L183" s="9">
        <v>5309062</v>
      </c>
      <c r="M183" s="9">
        <v>5309062008</v>
      </c>
      <c r="N183" s="9" t="s">
        <v>42</v>
      </c>
      <c r="O183" s="9">
        <v>10421</v>
      </c>
      <c r="P183" s="9" t="s">
        <v>49</v>
      </c>
      <c r="Q183" s="10">
        <v>7</v>
      </c>
      <c r="R183" s="10">
        <v>1800000</v>
      </c>
      <c r="S183" s="10">
        <v>200000</v>
      </c>
      <c r="T183" s="10">
        <v>0</v>
      </c>
      <c r="U183" s="10">
        <v>200000</v>
      </c>
      <c r="V183" s="10">
        <v>0</v>
      </c>
      <c r="W183" s="10">
        <v>2200000</v>
      </c>
      <c r="X183" s="10">
        <v>11600000</v>
      </c>
      <c r="Y183" s="10">
        <v>0</v>
      </c>
      <c r="Z183" s="10">
        <v>11200000</v>
      </c>
      <c r="AA183" s="10">
        <v>9000000</v>
      </c>
      <c r="AB183" s="10">
        <v>11600000</v>
      </c>
      <c r="AC183" s="10">
        <v>0</v>
      </c>
      <c r="AD183" s="9" t="s">
        <v>44</v>
      </c>
      <c r="AE183" s="10" t="s">
        <v>2368</v>
      </c>
      <c r="AF183" s="13">
        <v>1657142857</v>
      </c>
      <c r="AG183" s="10">
        <v>1</v>
      </c>
      <c r="AH183" s="10">
        <v>1</v>
      </c>
      <c r="AI183" s="10">
        <v>1</v>
      </c>
      <c r="AJ183" s="12" t="s">
        <v>739</v>
      </c>
      <c r="AK183" s="10">
        <v>0</v>
      </c>
      <c r="AL183" s="10">
        <v>0</v>
      </c>
      <c r="AM183" s="9">
        <v>2000</v>
      </c>
      <c r="AN183" s="10">
        <v>3</v>
      </c>
      <c r="AO183" s="10">
        <v>4</v>
      </c>
      <c r="AP183" s="6"/>
      <c r="AQ183" s="7"/>
      <c r="AR183" s="8"/>
      <c r="AS183" s="4">
        <f t="shared" si="6"/>
        <v>400000</v>
      </c>
      <c r="AT183" s="4">
        <f t="shared" si="7"/>
        <v>6728001.682000421</v>
      </c>
      <c r="AU183" s="4">
        <f t="shared" si="8"/>
        <v>4871998.317999579</v>
      </c>
      <c r="AV183" s="9" t="s">
        <v>49</v>
      </c>
      <c r="AW183" s="12" t="s">
        <v>739</v>
      </c>
      <c r="AX183" s="10">
        <v>0</v>
      </c>
      <c r="AY183">
        <f>S183*AU183/AS183</f>
        <v>2435999.1589997895</v>
      </c>
      <c r="AZ183">
        <f>AU183-AY183</f>
        <v>2435999.1589997895</v>
      </c>
      <c r="BA183" s="10">
        <v>11600000</v>
      </c>
      <c r="BB183" s="10">
        <v>0</v>
      </c>
      <c r="BC183" s="9" t="s">
        <v>42</v>
      </c>
      <c r="BD183" s="9">
        <v>10421</v>
      </c>
      <c r="BE183" t="s">
        <v>46</v>
      </c>
    </row>
    <row r="184" spans="1:57" ht="270.75" thickBot="1" x14ac:dyDescent="0.3">
      <c r="A184" s="9" t="s">
        <v>740</v>
      </c>
      <c r="B184" s="9">
        <v>3001</v>
      </c>
      <c r="C184" s="10">
        <v>2</v>
      </c>
      <c r="D184" s="9" t="s">
        <v>37</v>
      </c>
      <c r="E184" s="14">
        <v>46245.270810185182</v>
      </c>
      <c r="F184" s="9" t="s">
        <v>741</v>
      </c>
      <c r="G184" s="9" t="s">
        <v>39</v>
      </c>
      <c r="H184" s="9">
        <v>53</v>
      </c>
      <c r="I184" s="9" t="s">
        <v>40</v>
      </c>
      <c r="J184" s="9">
        <v>5309</v>
      </c>
      <c r="K184" s="9" t="s">
        <v>41</v>
      </c>
      <c r="L184" s="9">
        <v>5309073</v>
      </c>
      <c r="M184" s="9">
        <v>5309073003</v>
      </c>
      <c r="N184" s="9" t="s">
        <v>42</v>
      </c>
      <c r="O184" s="9">
        <v>10421</v>
      </c>
      <c r="P184" s="9" t="s">
        <v>110</v>
      </c>
      <c r="Q184" s="10">
        <v>1</v>
      </c>
      <c r="R184" s="10">
        <v>0</v>
      </c>
      <c r="S184" s="10">
        <v>1400000</v>
      </c>
      <c r="T184" s="10">
        <v>0</v>
      </c>
      <c r="U184" s="10">
        <v>200000</v>
      </c>
      <c r="V184" s="10">
        <v>0</v>
      </c>
      <c r="W184" s="10">
        <v>1600000</v>
      </c>
      <c r="X184" s="10">
        <v>6000000</v>
      </c>
      <c r="Y184" s="10">
        <v>0</v>
      </c>
      <c r="Z184" s="10">
        <v>4400000</v>
      </c>
      <c r="AA184" s="10">
        <v>20000000</v>
      </c>
      <c r="AB184" s="10">
        <v>6000000</v>
      </c>
      <c r="AC184" s="10">
        <v>0</v>
      </c>
      <c r="AD184" s="9" t="s">
        <v>44</v>
      </c>
      <c r="AE184" s="10" t="s">
        <v>2369</v>
      </c>
      <c r="AF184" s="10">
        <v>6000000</v>
      </c>
      <c r="AG184" s="10">
        <v>0</v>
      </c>
      <c r="AH184" s="10">
        <v>1</v>
      </c>
      <c r="AI184" s="10">
        <v>1</v>
      </c>
      <c r="AJ184" s="12" t="s">
        <v>742</v>
      </c>
      <c r="AK184" s="10">
        <v>0</v>
      </c>
      <c r="AL184" s="10">
        <v>0</v>
      </c>
      <c r="AM184" s="9">
        <v>2015</v>
      </c>
      <c r="AN184" s="10">
        <v>0</v>
      </c>
      <c r="AO184" s="10">
        <v>1</v>
      </c>
      <c r="AP184" s="6"/>
      <c r="AQ184" s="7"/>
      <c r="AR184" s="8"/>
      <c r="AS184" s="4">
        <f t="shared" si="6"/>
        <v>1600000</v>
      </c>
      <c r="AT184" s="4">
        <f t="shared" si="7"/>
        <v>3480001.5818189005</v>
      </c>
      <c r="AU184" s="4">
        <f t="shared" si="8"/>
        <v>2519998.4181810995</v>
      </c>
      <c r="AV184" s="9" t="s">
        <v>110</v>
      </c>
      <c r="AW184" s="12" t="s">
        <v>742</v>
      </c>
      <c r="AX184" s="10">
        <v>0</v>
      </c>
      <c r="AY184">
        <f>S184*AU184/AS184</f>
        <v>2204998.6159084621</v>
      </c>
      <c r="AZ184">
        <f>AU184-AY184</f>
        <v>314999.80227263737</v>
      </c>
      <c r="BA184" s="10">
        <v>6000000</v>
      </c>
      <c r="BB184" s="10">
        <v>0</v>
      </c>
      <c r="BC184" s="9" t="s">
        <v>42</v>
      </c>
      <c r="BD184" s="9">
        <v>10421</v>
      </c>
      <c r="BE184" t="s">
        <v>46</v>
      </c>
    </row>
    <row r="185" spans="1:57" ht="270.75" thickBot="1" x14ac:dyDescent="0.3">
      <c r="A185" s="9" t="s">
        <v>743</v>
      </c>
      <c r="B185" s="9">
        <v>3002</v>
      </c>
      <c r="C185" s="10">
        <v>2</v>
      </c>
      <c r="D185" s="9" t="s">
        <v>37</v>
      </c>
      <c r="E185" s="11">
        <v>46231.402757511576</v>
      </c>
      <c r="F185" s="9" t="s">
        <v>744</v>
      </c>
      <c r="G185" s="9" t="s">
        <v>39</v>
      </c>
      <c r="H185" s="9">
        <v>53</v>
      </c>
      <c r="I185" s="9" t="s">
        <v>40</v>
      </c>
      <c r="J185" s="9">
        <v>5309</v>
      </c>
      <c r="K185" s="9" t="s">
        <v>41</v>
      </c>
      <c r="L185" s="9">
        <v>5309062</v>
      </c>
      <c r="M185" s="9">
        <v>5309062005</v>
      </c>
      <c r="N185" s="9" t="s">
        <v>42</v>
      </c>
      <c r="O185" s="9">
        <v>10421</v>
      </c>
      <c r="P185" s="9" t="s">
        <v>745</v>
      </c>
      <c r="Q185" s="10">
        <v>7</v>
      </c>
      <c r="R185" s="10">
        <v>0</v>
      </c>
      <c r="S185" s="10">
        <v>500000</v>
      </c>
      <c r="T185" s="10">
        <v>0</v>
      </c>
      <c r="U185" s="10">
        <v>250000</v>
      </c>
      <c r="V185" s="10">
        <v>0</v>
      </c>
      <c r="W185" s="10">
        <v>750000</v>
      </c>
      <c r="X185" s="10">
        <v>9000000</v>
      </c>
      <c r="Y185" s="10">
        <v>750000</v>
      </c>
      <c r="Z185" s="10">
        <v>8250000</v>
      </c>
      <c r="AA185" s="10">
        <v>3675000</v>
      </c>
      <c r="AB185" s="10">
        <v>9000000</v>
      </c>
      <c r="AC185" s="10">
        <v>0</v>
      </c>
      <c r="AD185" s="9" t="s">
        <v>44</v>
      </c>
      <c r="AE185" s="10" t="s">
        <v>2236</v>
      </c>
      <c r="AF185" s="13">
        <v>1285714286</v>
      </c>
      <c r="AG185" s="10">
        <v>1</v>
      </c>
      <c r="AH185" s="10">
        <v>1</v>
      </c>
      <c r="AI185" s="10">
        <v>1</v>
      </c>
      <c r="AJ185" s="12" t="s">
        <v>746</v>
      </c>
      <c r="AK185" s="10">
        <v>0</v>
      </c>
      <c r="AL185" s="10">
        <v>0</v>
      </c>
      <c r="AM185" s="9">
        <v>1998</v>
      </c>
      <c r="AN185" s="10">
        <v>0</v>
      </c>
      <c r="AO185" s="10">
        <v>7</v>
      </c>
      <c r="AP185" s="6"/>
      <c r="AQ185" s="7"/>
      <c r="AR185" s="8"/>
      <c r="AS185" s="4">
        <f t="shared" si="6"/>
        <v>750000</v>
      </c>
      <c r="AT185" s="4">
        <f t="shared" si="7"/>
        <v>5219998.1018188717</v>
      </c>
      <c r="AU185" s="4">
        <f t="shared" si="8"/>
        <v>3780001.8981811283</v>
      </c>
      <c r="AV185" s="9" t="s">
        <v>745</v>
      </c>
      <c r="AW185" s="12" t="s">
        <v>746</v>
      </c>
      <c r="AX185" s="10">
        <v>0</v>
      </c>
      <c r="AY185">
        <f>S185*AU185/AS185</f>
        <v>2520001.2654540855</v>
      </c>
      <c r="AZ185">
        <f>AU185-AY185</f>
        <v>1260000.6327270428</v>
      </c>
      <c r="BA185" s="10">
        <v>9000000</v>
      </c>
      <c r="BB185" s="10">
        <v>750000</v>
      </c>
      <c r="BC185" s="9" t="s">
        <v>42</v>
      </c>
      <c r="BD185" s="9">
        <v>10421</v>
      </c>
      <c r="BE185" t="s">
        <v>46</v>
      </c>
    </row>
    <row r="186" spans="1:57" ht="270.75" thickBot="1" x14ac:dyDescent="0.3">
      <c r="A186" s="9" t="s">
        <v>747</v>
      </c>
      <c r="B186" s="9">
        <v>3001</v>
      </c>
      <c r="C186" s="10">
        <v>2</v>
      </c>
      <c r="D186" s="9" t="s">
        <v>37</v>
      </c>
      <c r="E186" s="11">
        <v>46262.283917499997</v>
      </c>
      <c r="F186" s="9" t="s">
        <v>748</v>
      </c>
      <c r="G186" s="9" t="s">
        <v>39</v>
      </c>
      <c r="H186" s="9">
        <v>53</v>
      </c>
      <c r="I186" s="9" t="s">
        <v>40</v>
      </c>
      <c r="J186" s="9">
        <v>5309</v>
      </c>
      <c r="K186" s="9" t="s">
        <v>41</v>
      </c>
      <c r="L186" s="9">
        <v>5309073</v>
      </c>
      <c r="M186" s="9">
        <v>5309073004</v>
      </c>
      <c r="N186" s="9" t="s">
        <v>42</v>
      </c>
      <c r="O186" s="9">
        <v>10421</v>
      </c>
      <c r="P186" s="9" t="s">
        <v>749</v>
      </c>
      <c r="Q186" s="10">
        <v>2</v>
      </c>
      <c r="R186" s="10">
        <v>0</v>
      </c>
      <c r="S186" s="10">
        <v>2250000</v>
      </c>
      <c r="T186" s="10">
        <v>0</v>
      </c>
      <c r="U186" s="10">
        <v>525000</v>
      </c>
      <c r="V186" s="10">
        <v>0</v>
      </c>
      <c r="W186" s="10">
        <v>2775000</v>
      </c>
      <c r="X186" s="10">
        <v>10520000</v>
      </c>
      <c r="Y186" s="10">
        <v>0</v>
      </c>
      <c r="Z186" s="10">
        <v>7745000</v>
      </c>
      <c r="AA186" s="10">
        <v>7850000</v>
      </c>
      <c r="AB186" s="10">
        <v>10520000</v>
      </c>
      <c r="AC186" s="10">
        <v>0</v>
      </c>
      <c r="AD186" s="9" t="s">
        <v>44</v>
      </c>
      <c r="AE186" s="10" t="s">
        <v>2370</v>
      </c>
      <c r="AF186" s="10">
        <v>5260000</v>
      </c>
      <c r="AG186" s="10">
        <v>1</v>
      </c>
      <c r="AH186" s="10">
        <v>1</v>
      </c>
      <c r="AI186" s="10">
        <v>1</v>
      </c>
      <c r="AJ186" s="12" t="s">
        <v>750</v>
      </c>
      <c r="AK186" s="10">
        <v>0</v>
      </c>
      <c r="AL186" s="10">
        <v>0</v>
      </c>
      <c r="AM186" s="9">
        <v>2016</v>
      </c>
      <c r="AN186" s="10">
        <v>0</v>
      </c>
      <c r="AO186" s="10">
        <v>2</v>
      </c>
      <c r="AP186" s="6"/>
      <c r="AQ186" s="7"/>
      <c r="AR186" s="8"/>
      <c r="AS186" s="4">
        <f t="shared" si="6"/>
        <v>2775000</v>
      </c>
      <c r="AT186" s="4">
        <f t="shared" si="7"/>
        <v>6101597.7626161855</v>
      </c>
      <c r="AU186" s="4">
        <f t="shared" si="8"/>
        <v>4418402.2373838145</v>
      </c>
      <c r="AV186" s="9" t="s">
        <v>749</v>
      </c>
      <c r="AW186" s="12" t="s">
        <v>750</v>
      </c>
      <c r="AX186" s="10">
        <v>0</v>
      </c>
      <c r="AY186">
        <f>S186*AU186/AS186</f>
        <v>3582488.3005814711</v>
      </c>
      <c r="AZ186">
        <f>AU186-AY186</f>
        <v>835913.93680234347</v>
      </c>
      <c r="BA186" s="10">
        <v>10520000</v>
      </c>
      <c r="BB186" s="10">
        <v>0</v>
      </c>
      <c r="BC186" s="9" t="s">
        <v>42</v>
      </c>
      <c r="BD186" s="9">
        <v>10421</v>
      </c>
      <c r="BE186" t="s">
        <v>46</v>
      </c>
    </row>
    <row r="187" spans="1:57" ht="270.75" thickBot="1" x14ac:dyDescent="0.3">
      <c r="A187" s="9" t="s">
        <v>751</v>
      </c>
      <c r="B187" s="9">
        <v>3002</v>
      </c>
      <c r="C187" s="10">
        <v>2</v>
      </c>
      <c r="D187" s="9" t="s">
        <v>37</v>
      </c>
      <c r="E187" s="11">
        <v>46228.237296064814</v>
      </c>
      <c r="F187" s="9" t="s">
        <v>752</v>
      </c>
      <c r="G187" s="9" t="s">
        <v>39</v>
      </c>
      <c r="H187" s="9">
        <v>53</v>
      </c>
      <c r="I187" s="9" t="s">
        <v>40</v>
      </c>
      <c r="J187" s="9">
        <v>5309</v>
      </c>
      <c r="K187" s="9" t="s">
        <v>41</v>
      </c>
      <c r="L187" s="9">
        <v>5309070</v>
      </c>
      <c r="M187" s="9">
        <v>5309070057</v>
      </c>
      <c r="N187" s="9" t="s">
        <v>42</v>
      </c>
      <c r="O187" s="9">
        <v>10421</v>
      </c>
      <c r="P187" s="9" t="s">
        <v>753</v>
      </c>
      <c r="Q187" s="10">
        <v>2</v>
      </c>
      <c r="R187" s="10">
        <v>0</v>
      </c>
      <c r="S187" s="10">
        <v>150000</v>
      </c>
      <c r="T187" s="10">
        <v>0</v>
      </c>
      <c r="U187" s="10">
        <v>300000</v>
      </c>
      <c r="V187" s="10">
        <v>15647</v>
      </c>
      <c r="W187" s="10">
        <v>465647</v>
      </c>
      <c r="X187" s="10">
        <v>3000000</v>
      </c>
      <c r="Y187" s="10">
        <v>0</v>
      </c>
      <c r="Z187" s="10">
        <v>2550000</v>
      </c>
      <c r="AA187" s="10">
        <v>1750000</v>
      </c>
      <c r="AB187" s="10">
        <v>3000000</v>
      </c>
      <c r="AC187" s="10">
        <v>0</v>
      </c>
      <c r="AD187" s="9" t="s">
        <v>44</v>
      </c>
      <c r="AE187" s="10" t="s">
        <v>1765</v>
      </c>
      <c r="AF187" s="10">
        <v>1500000</v>
      </c>
      <c r="AG187" s="10">
        <v>1</v>
      </c>
      <c r="AH187" s="10">
        <v>1</v>
      </c>
      <c r="AI187" s="10">
        <v>1</v>
      </c>
      <c r="AJ187" s="12" t="s">
        <v>754</v>
      </c>
      <c r="AK187" s="10">
        <v>0</v>
      </c>
      <c r="AL187" s="10">
        <v>0</v>
      </c>
      <c r="AM187" s="9">
        <v>1998</v>
      </c>
      <c r="AN187" s="10">
        <v>0</v>
      </c>
      <c r="AO187" s="10">
        <v>2</v>
      </c>
      <c r="AP187" s="6"/>
      <c r="AQ187" s="7"/>
      <c r="AR187" s="8"/>
      <c r="AS187" s="4">
        <f t="shared" si="6"/>
        <v>450000</v>
      </c>
      <c r="AT187" s="4">
        <f t="shared" si="7"/>
        <v>1740000</v>
      </c>
      <c r="AU187" s="4">
        <f t="shared" si="8"/>
        <v>1260000</v>
      </c>
      <c r="AV187" s="9" t="s">
        <v>753</v>
      </c>
      <c r="AW187" s="12" t="s">
        <v>754</v>
      </c>
      <c r="AX187" s="10">
        <v>0</v>
      </c>
      <c r="AY187">
        <f>S187*AU187/AS187</f>
        <v>420000</v>
      </c>
      <c r="AZ187">
        <f>AU187-AY187</f>
        <v>840000</v>
      </c>
      <c r="BA187" s="10">
        <v>3000000</v>
      </c>
      <c r="BB187" s="10">
        <v>0</v>
      </c>
      <c r="BC187" s="9" t="s">
        <v>42</v>
      </c>
      <c r="BD187" s="9">
        <v>10421</v>
      </c>
      <c r="BE187" t="s">
        <v>46</v>
      </c>
    </row>
    <row r="188" spans="1:57" ht="270.75" thickBot="1" x14ac:dyDescent="0.3">
      <c r="A188" s="9" t="s">
        <v>755</v>
      </c>
      <c r="B188" s="9">
        <v>1001</v>
      </c>
      <c r="C188" s="10">
        <v>2</v>
      </c>
      <c r="D188" s="9" t="s">
        <v>37</v>
      </c>
      <c r="E188" s="11">
        <v>46280.612808773149</v>
      </c>
      <c r="F188" s="9" t="s">
        <v>756</v>
      </c>
      <c r="G188" s="9" t="s">
        <v>39</v>
      </c>
      <c r="H188" s="9">
        <v>53</v>
      </c>
      <c r="I188" s="9" t="s">
        <v>40</v>
      </c>
      <c r="J188" s="9">
        <v>5309</v>
      </c>
      <c r="K188" s="9" t="s">
        <v>41</v>
      </c>
      <c r="L188" s="9">
        <v>5309070</v>
      </c>
      <c r="M188" s="9">
        <v>5309070013</v>
      </c>
      <c r="N188" s="9" t="s">
        <v>42</v>
      </c>
      <c r="O188" s="9">
        <v>10421</v>
      </c>
      <c r="P188" s="9" t="s">
        <v>757</v>
      </c>
      <c r="Q188" s="10">
        <v>2</v>
      </c>
      <c r="R188" s="10">
        <v>0</v>
      </c>
      <c r="S188" s="10">
        <v>2000000</v>
      </c>
      <c r="T188" s="10">
        <v>0</v>
      </c>
      <c r="U188" s="10">
        <v>500000</v>
      </c>
      <c r="V188" s="10">
        <v>0</v>
      </c>
      <c r="W188" s="10">
        <v>2500000</v>
      </c>
      <c r="X188" s="10">
        <v>9000000</v>
      </c>
      <c r="Y188" s="10">
        <v>4000000</v>
      </c>
      <c r="Z188" s="10">
        <v>6500000</v>
      </c>
      <c r="AA188" s="10">
        <v>5000000</v>
      </c>
      <c r="AB188" s="10">
        <v>9000000</v>
      </c>
      <c r="AC188" s="10">
        <v>0</v>
      </c>
      <c r="AD188" s="9" t="s">
        <v>44</v>
      </c>
      <c r="AE188" s="10" t="s">
        <v>2371</v>
      </c>
      <c r="AF188" s="10">
        <v>4500000</v>
      </c>
      <c r="AG188" s="10">
        <v>1</v>
      </c>
      <c r="AH188" s="10">
        <v>1</v>
      </c>
      <c r="AI188" s="10">
        <v>1</v>
      </c>
      <c r="AJ188" s="12" t="s">
        <v>758</v>
      </c>
      <c r="AK188" s="10">
        <v>0</v>
      </c>
      <c r="AL188" s="10">
        <v>0</v>
      </c>
      <c r="AM188" s="9">
        <v>2020</v>
      </c>
      <c r="AN188" s="10">
        <v>0</v>
      </c>
      <c r="AO188" s="10">
        <v>2</v>
      </c>
      <c r="AP188" s="6"/>
      <c r="AQ188" s="7"/>
      <c r="AR188" s="8"/>
      <c r="AS188" s="4">
        <f t="shared" si="6"/>
        <v>2500000</v>
      </c>
      <c r="AT188" s="4">
        <f t="shared" si="7"/>
        <v>5220001.6061543394</v>
      </c>
      <c r="AU188" s="4">
        <f t="shared" si="8"/>
        <v>3779998.3938456606</v>
      </c>
      <c r="AV188" s="9" t="s">
        <v>757</v>
      </c>
      <c r="AW188" s="12" t="s">
        <v>758</v>
      </c>
      <c r="AX188" s="10">
        <v>0</v>
      </c>
      <c r="AY188">
        <f>S188*AU188/AS188</f>
        <v>3023998.7150765285</v>
      </c>
      <c r="AZ188">
        <f>AU188-AY188</f>
        <v>755999.67876913212</v>
      </c>
      <c r="BA188" s="10">
        <v>9000000</v>
      </c>
      <c r="BB188" s="10">
        <v>4000000</v>
      </c>
      <c r="BC188" s="9" t="s">
        <v>42</v>
      </c>
      <c r="BD188" s="9">
        <v>10421</v>
      </c>
      <c r="BE188" t="s">
        <v>46</v>
      </c>
    </row>
    <row r="189" spans="1:57" ht="270.75" thickBot="1" x14ac:dyDescent="0.3">
      <c r="A189" s="9" t="s">
        <v>759</v>
      </c>
      <c r="B189" s="9">
        <v>3001</v>
      </c>
      <c r="C189" s="10">
        <v>2</v>
      </c>
      <c r="D189" s="9" t="s">
        <v>37</v>
      </c>
      <c r="E189" s="11">
        <v>46293.103498252312</v>
      </c>
      <c r="F189" s="9" t="s">
        <v>760</v>
      </c>
      <c r="G189" s="9" t="s">
        <v>39</v>
      </c>
      <c r="H189" s="9">
        <v>53</v>
      </c>
      <c r="I189" s="9" t="s">
        <v>40</v>
      </c>
      <c r="J189" s="9">
        <v>5309</v>
      </c>
      <c r="K189" s="9" t="s">
        <v>41</v>
      </c>
      <c r="L189" s="9">
        <v>5309074</v>
      </c>
      <c r="M189" s="9">
        <v>5309074002</v>
      </c>
      <c r="N189" s="9" t="s">
        <v>42</v>
      </c>
      <c r="O189" s="9">
        <v>10421</v>
      </c>
      <c r="P189" s="9" t="s">
        <v>49</v>
      </c>
      <c r="Q189" s="10">
        <v>2</v>
      </c>
      <c r="R189" s="10">
        <v>1500000</v>
      </c>
      <c r="S189" s="10">
        <v>1000000</v>
      </c>
      <c r="T189" s="10">
        <v>0</v>
      </c>
      <c r="U189" s="10">
        <v>400000</v>
      </c>
      <c r="V189" s="10">
        <v>0</v>
      </c>
      <c r="W189" s="10">
        <v>2900000</v>
      </c>
      <c r="X189" s="10">
        <v>5200000</v>
      </c>
      <c r="Y189" s="10">
        <v>0</v>
      </c>
      <c r="Z189" s="10">
        <v>3800000</v>
      </c>
      <c r="AA189" s="10">
        <v>5200000</v>
      </c>
      <c r="AB189" s="10">
        <v>5200000</v>
      </c>
      <c r="AC189" s="10">
        <v>0</v>
      </c>
      <c r="AD189" s="9" t="s">
        <v>44</v>
      </c>
      <c r="AE189" s="10" t="s">
        <v>2372</v>
      </c>
      <c r="AF189" s="10">
        <v>2600000</v>
      </c>
      <c r="AG189" s="10">
        <v>1</v>
      </c>
      <c r="AH189" s="10">
        <v>1</v>
      </c>
      <c r="AI189" s="10">
        <v>1</v>
      </c>
      <c r="AJ189" s="12" t="s">
        <v>761</v>
      </c>
      <c r="AK189" s="10">
        <v>0</v>
      </c>
      <c r="AL189" s="10">
        <v>0</v>
      </c>
      <c r="AM189" s="9">
        <v>1989</v>
      </c>
      <c r="AN189" s="10">
        <v>1</v>
      </c>
      <c r="AO189" s="10">
        <v>1</v>
      </c>
      <c r="AP189" s="6"/>
      <c r="AQ189" s="7"/>
      <c r="AR189" s="8"/>
      <c r="AS189" s="4">
        <f t="shared" si="6"/>
        <v>1400000</v>
      </c>
      <c r="AT189" s="4">
        <f t="shared" si="7"/>
        <v>3016000.9524213532</v>
      </c>
      <c r="AU189" s="4">
        <f t="shared" si="8"/>
        <v>2183999.0475786468</v>
      </c>
      <c r="AV189" s="9" t="s">
        <v>49</v>
      </c>
      <c r="AW189" s="12" t="s">
        <v>761</v>
      </c>
      <c r="AX189" s="10">
        <v>0</v>
      </c>
      <c r="AY189">
        <f>S189*AU189/AS189</f>
        <v>1559999.3196990334</v>
      </c>
      <c r="AZ189">
        <f>AU189-AY189</f>
        <v>623999.72787961341</v>
      </c>
      <c r="BA189" s="10">
        <v>5200000</v>
      </c>
      <c r="BB189" s="10">
        <v>0</v>
      </c>
      <c r="BC189" s="9" t="s">
        <v>42</v>
      </c>
      <c r="BD189" s="9">
        <v>10421</v>
      </c>
      <c r="BE189" t="s">
        <v>46</v>
      </c>
    </row>
    <row r="190" spans="1:57" ht="270.75" thickBot="1" x14ac:dyDescent="0.3">
      <c r="A190" s="9" t="s">
        <v>762</v>
      </c>
      <c r="B190" s="9">
        <v>3002</v>
      </c>
      <c r="C190" s="10">
        <v>2</v>
      </c>
      <c r="D190" s="9" t="s">
        <v>37</v>
      </c>
      <c r="E190" s="11">
        <v>46239.505974189815</v>
      </c>
      <c r="F190" s="9" t="s">
        <v>763</v>
      </c>
      <c r="G190" s="9" t="s">
        <v>39</v>
      </c>
      <c r="H190" s="9">
        <v>53</v>
      </c>
      <c r="I190" s="9" t="s">
        <v>40</v>
      </c>
      <c r="J190" s="9">
        <v>5309</v>
      </c>
      <c r="K190" s="9" t="s">
        <v>41</v>
      </c>
      <c r="L190" s="9">
        <v>5309062</v>
      </c>
      <c r="M190" s="9">
        <v>5309062005</v>
      </c>
      <c r="N190" s="9" t="s">
        <v>42</v>
      </c>
      <c r="O190" s="9">
        <v>10421</v>
      </c>
      <c r="P190" s="9" t="s">
        <v>764</v>
      </c>
      <c r="Q190" s="10">
        <v>2</v>
      </c>
      <c r="R190" s="10">
        <v>0</v>
      </c>
      <c r="S190" s="10">
        <v>180000</v>
      </c>
      <c r="T190" s="10">
        <v>0</v>
      </c>
      <c r="U190" s="10">
        <v>0</v>
      </c>
      <c r="V190" s="10">
        <v>0</v>
      </c>
      <c r="W190" s="10">
        <v>180000</v>
      </c>
      <c r="X190" s="10">
        <v>6500000</v>
      </c>
      <c r="Y190" s="10">
        <v>0</v>
      </c>
      <c r="Z190" s="10">
        <v>6320000</v>
      </c>
      <c r="AA190" s="10">
        <v>2200000</v>
      </c>
      <c r="AB190" s="10">
        <v>6500000</v>
      </c>
      <c r="AC190" s="10">
        <v>0</v>
      </c>
      <c r="AD190" s="9" t="s">
        <v>44</v>
      </c>
      <c r="AE190" s="10" t="s">
        <v>2373</v>
      </c>
      <c r="AF190" s="10">
        <v>3250000</v>
      </c>
      <c r="AG190" s="10">
        <v>1</v>
      </c>
      <c r="AH190" s="10">
        <v>1</v>
      </c>
      <c r="AI190" s="10">
        <v>1</v>
      </c>
      <c r="AJ190" s="12" t="s">
        <v>765</v>
      </c>
      <c r="AK190" s="10">
        <v>0</v>
      </c>
      <c r="AL190" s="10">
        <v>0</v>
      </c>
      <c r="AM190" s="9">
        <v>2000</v>
      </c>
      <c r="AN190" s="10">
        <v>0</v>
      </c>
      <c r="AO190" s="10">
        <v>2</v>
      </c>
      <c r="AP190" s="6"/>
      <c r="AQ190" s="7"/>
      <c r="AR190" s="8"/>
      <c r="AS190" s="4">
        <f t="shared" si="6"/>
        <v>180000</v>
      </c>
      <c r="AT190" s="4">
        <f t="shared" si="7"/>
        <v>3769998.8069624025</v>
      </c>
      <c r="AU190" s="4">
        <f t="shared" si="8"/>
        <v>2730001.1930375975</v>
      </c>
      <c r="AV190" s="9" t="s">
        <v>764</v>
      </c>
      <c r="AW190" s="12" t="s">
        <v>765</v>
      </c>
      <c r="AX190" s="10">
        <v>0</v>
      </c>
      <c r="AY190">
        <f>S190*AU190/AS190</f>
        <v>2730001.1930375975</v>
      </c>
      <c r="AZ190">
        <f>AU190-AY190</f>
        <v>0</v>
      </c>
      <c r="BA190" s="10">
        <v>6500000</v>
      </c>
      <c r="BB190" s="10">
        <v>0</v>
      </c>
      <c r="BC190" s="9" t="s">
        <v>42</v>
      </c>
      <c r="BD190" s="9">
        <v>10421</v>
      </c>
      <c r="BE190" t="s">
        <v>46</v>
      </c>
    </row>
    <row r="191" spans="1:57" ht="255.75" thickBot="1" x14ac:dyDescent="0.3">
      <c r="A191" s="9" t="s">
        <v>766</v>
      </c>
      <c r="B191" s="9">
        <v>1001</v>
      </c>
      <c r="C191" s="10">
        <v>2</v>
      </c>
      <c r="D191" s="9" t="s">
        <v>37</v>
      </c>
      <c r="E191" s="11">
        <v>46256.03262233796</v>
      </c>
      <c r="F191" s="9" t="s">
        <v>767</v>
      </c>
      <c r="G191" s="9" t="s">
        <v>39</v>
      </c>
      <c r="H191" s="9">
        <v>53</v>
      </c>
      <c r="I191" s="9" t="s">
        <v>40</v>
      </c>
      <c r="J191" s="9">
        <v>5309</v>
      </c>
      <c r="K191" s="9" t="s">
        <v>41</v>
      </c>
      <c r="L191" s="9">
        <v>5309060</v>
      </c>
      <c r="M191" s="9">
        <v>5309060028</v>
      </c>
      <c r="N191" s="9" t="s">
        <v>42</v>
      </c>
      <c r="O191" s="9">
        <v>10421</v>
      </c>
      <c r="P191" s="9" t="s">
        <v>768</v>
      </c>
      <c r="Q191" s="10">
        <v>1</v>
      </c>
      <c r="R191" s="10">
        <v>0</v>
      </c>
      <c r="S191" s="10">
        <v>5000000</v>
      </c>
      <c r="T191" s="10">
        <v>0</v>
      </c>
      <c r="U191" s="10">
        <v>0</v>
      </c>
      <c r="V191" s="10">
        <v>0</v>
      </c>
      <c r="W191" s="10">
        <v>5000000</v>
      </c>
      <c r="X191" s="10">
        <v>14000000</v>
      </c>
      <c r="Y191" s="10">
        <v>0</v>
      </c>
      <c r="Z191" s="10">
        <v>9000000</v>
      </c>
      <c r="AA191" s="10">
        <v>1000</v>
      </c>
      <c r="AB191" s="10">
        <v>14000000</v>
      </c>
      <c r="AC191" s="10">
        <v>0</v>
      </c>
      <c r="AD191" s="9" t="s">
        <v>44</v>
      </c>
      <c r="AE191" s="10" t="s">
        <v>2374</v>
      </c>
      <c r="AF191" s="10">
        <v>14000000</v>
      </c>
      <c r="AG191" s="10">
        <v>1</v>
      </c>
      <c r="AH191" s="10">
        <v>1</v>
      </c>
      <c r="AI191" s="10">
        <v>1</v>
      </c>
      <c r="AJ191" s="12" t="s">
        <v>769</v>
      </c>
      <c r="AK191" s="10">
        <v>0</v>
      </c>
      <c r="AL191" s="10">
        <v>0</v>
      </c>
      <c r="AM191" s="9">
        <v>2019</v>
      </c>
      <c r="AN191" s="10">
        <v>0</v>
      </c>
      <c r="AO191" s="10">
        <v>1</v>
      </c>
      <c r="AP191" s="6"/>
      <c r="AQ191" s="7"/>
      <c r="AR191" s="8"/>
      <c r="AS191" s="4">
        <f t="shared" si="6"/>
        <v>5000000</v>
      </c>
      <c r="AT191" s="4">
        <f t="shared" si="7"/>
        <v>8120001.8044448448</v>
      </c>
      <c r="AU191" s="4">
        <f t="shared" si="8"/>
        <v>5879998.1955551552</v>
      </c>
      <c r="AV191" s="9" t="s">
        <v>768</v>
      </c>
      <c r="AW191" s="12" t="s">
        <v>769</v>
      </c>
      <c r="AX191" s="10">
        <v>0</v>
      </c>
      <c r="AY191">
        <f>S191*AU191/AS191</f>
        <v>5879998.1955551552</v>
      </c>
      <c r="AZ191">
        <f>AU191-AY191</f>
        <v>0</v>
      </c>
      <c r="BA191" s="10">
        <v>14000000</v>
      </c>
      <c r="BB191" s="10">
        <v>0</v>
      </c>
      <c r="BC191" s="9" t="s">
        <v>42</v>
      </c>
      <c r="BD191" s="9">
        <v>10421</v>
      </c>
      <c r="BE191" t="s">
        <v>46</v>
      </c>
    </row>
    <row r="192" spans="1:57" ht="270.75" thickBot="1" x14ac:dyDescent="0.3">
      <c r="A192" s="9" t="s">
        <v>770</v>
      </c>
      <c r="B192" s="9">
        <v>3001</v>
      </c>
      <c r="C192" s="10">
        <v>2</v>
      </c>
      <c r="D192" s="9" t="s">
        <v>37</v>
      </c>
      <c r="E192" s="11">
        <v>46263.037861793979</v>
      </c>
      <c r="F192" s="9" t="s">
        <v>771</v>
      </c>
      <c r="G192" s="9" t="s">
        <v>39</v>
      </c>
      <c r="H192" s="9">
        <v>53</v>
      </c>
      <c r="I192" s="9" t="s">
        <v>40</v>
      </c>
      <c r="J192" s="9">
        <v>5309</v>
      </c>
      <c r="K192" s="9" t="s">
        <v>41</v>
      </c>
      <c r="L192" s="9">
        <v>5309073</v>
      </c>
      <c r="M192" s="9">
        <v>5309073003</v>
      </c>
      <c r="N192" s="9" t="s">
        <v>42</v>
      </c>
      <c r="O192" s="9">
        <v>10421</v>
      </c>
      <c r="P192" s="9" t="s">
        <v>772</v>
      </c>
      <c r="Q192" s="10">
        <v>2</v>
      </c>
      <c r="R192" s="10">
        <v>500000</v>
      </c>
      <c r="S192" s="10">
        <v>300000</v>
      </c>
      <c r="T192" s="10">
        <v>0</v>
      </c>
      <c r="U192" s="10">
        <v>0</v>
      </c>
      <c r="V192" s="10">
        <v>0</v>
      </c>
      <c r="W192" s="10">
        <v>800000</v>
      </c>
      <c r="X192" s="10">
        <v>3000000</v>
      </c>
      <c r="Y192" s="10">
        <v>0</v>
      </c>
      <c r="Z192" s="10">
        <v>2700000</v>
      </c>
      <c r="AA192" s="10">
        <v>1500000</v>
      </c>
      <c r="AB192" s="10">
        <v>3000000</v>
      </c>
      <c r="AC192" s="10">
        <v>0</v>
      </c>
      <c r="AD192" s="9" t="s">
        <v>44</v>
      </c>
      <c r="AE192" s="10" t="s">
        <v>2339</v>
      </c>
      <c r="AF192" s="10">
        <v>1500000</v>
      </c>
      <c r="AG192" s="10">
        <v>1</v>
      </c>
      <c r="AH192" s="10">
        <v>1</v>
      </c>
      <c r="AI192" s="10">
        <v>1</v>
      </c>
      <c r="AJ192" s="12" t="s">
        <v>773</v>
      </c>
      <c r="AK192" s="10">
        <v>0</v>
      </c>
      <c r="AL192" s="10">
        <v>0</v>
      </c>
      <c r="AM192" s="9">
        <v>2022</v>
      </c>
      <c r="AN192" s="10">
        <v>1</v>
      </c>
      <c r="AO192" s="10">
        <v>1</v>
      </c>
      <c r="AP192" s="6"/>
      <c r="AQ192" s="7"/>
      <c r="AR192" s="8"/>
      <c r="AS192" s="4">
        <f t="shared" si="6"/>
        <v>300000</v>
      </c>
      <c r="AT192" s="4">
        <f t="shared" si="7"/>
        <v>1740000</v>
      </c>
      <c r="AU192" s="4">
        <f t="shared" si="8"/>
        <v>1260000</v>
      </c>
      <c r="AV192" s="9" t="s">
        <v>772</v>
      </c>
      <c r="AW192" s="12" t="s">
        <v>773</v>
      </c>
      <c r="AX192" s="10">
        <v>0</v>
      </c>
      <c r="AY192">
        <f>S192*AU192/AS192</f>
        <v>1260000</v>
      </c>
      <c r="AZ192">
        <f>AU192-AY192</f>
        <v>0</v>
      </c>
      <c r="BA192" s="10">
        <v>3000000</v>
      </c>
      <c r="BB192" s="10">
        <v>0</v>
      </c>
      <c r="BC192" s="9" t="s">
        <v>42</v>
      </c>
      <c r="BD192" s="9">
        <v>10421</v>
      </c>
      <c r="BE192" t="s">
        <v>46</v>
      </c>
    </row>
    <row r="193" spans="1:57" ht="270.75" thickBot="1" x14ac:dyDescent="0.3">
      <c r="A193" s="9" t="s">
        <v>774</v>
      </c>
      <c r="B193" s="9">
        <v>3002</v>
      </c>
      <c r="C193" s="10">
        <v>2</v>
      </c>
      <c r="D193" s="9" t="s">
        <v>37</v>
      </c>
      <c r="E193" s="11">
        <v>46244.648903900466</v>
      </c>
      <c r="F193" s="9" t="s">
        <v>775</v>
      </c>
      <c r="G193" s="9" t="s">
        <v>39</v>
      </c>
      <c r="H193" s="9">
        <v>53</v>
      </c>
      <c r="I193" s="9" t="s">
        <v>40</v>
      </c>
      <c r="J193" s="9">
        <v>5309</v>
      </c>
      <c r="K193" s="9" t="s">
        <v>41</v>
      </c>
      <c r="L193" s="9">
        <v>5309062</v>
      </c>
      <c r="M193" s="9">
        <v>5309062013</v>
      </c>
      <c r="N193" s="9" t="s">
        <v>42</v>
      </c>
      <c r="O193" s="9">
        <v>10421</v>
      </c>
      <c r="P193" s="9" t="s">
        <v>776</v>
      </c>
      <c r="Q193" s="10">
        <v>4</v>
      </c>
      <c r="R193" s="10">
        <v>600000</v>
      </c>
      <c r="S193" s="10">
        <v>300000</v>
      </c>
      <c r="T193" s="10">
        <v>0</v>
      </c>
      <c r="U193" s="10">
        <v>100000</v>
      </c>
      <c r="V193" s="10">
        <v>350000</v>
      </c>
      <c r="W193" s="10">
        <v>1350000</v>
      </c>
      <c r="X193" s="10">
        <v>4850000</v>
      </c>
      <c r="Y193" s="10">
        <v>0</v>
      </c>
      <c r="Z193" s="10">
        <v>4450000</v>
      </c>
      <c r="AA193" s="10">
        <v>2750000</v>
      </c>
      <c r="AB193" s="10">
        <v>4850000</v>
      </c>
      <c r="AC193" s="10">
        <v>0</v>
      </c>
      <c r="AD193" s="9" t="s">
        <v>44</v>
      </c>
      <c r="AE193" s="10" t="s">
        <v>2375</v>
      </c>
      <c r="AF193" s="10">
        <v>1212500</v>
      </c>
      <c r="AG193" s="10">
        <v>1</v>
      </c>
      <c r="AH193" s="10">
        <v>1</v>
      </c>
      <c r="AI193" s="10">
        <v>1</v>
      </c>
      <c r="AJ193" s="12" t="s">
        <v>777</v>
      </c>
      <c r="AK193" s="10">
        <v>0</v>
      </c>
      <c r="AL193" s="10">
        <v>0</v>
      </c>
      <c r="AM193" s="9">
        <v>2020</v>
      </c>
      <c r="AN193" s="10">
        <v>2</v>
      </c>
      <c r="AO193" s="10">
        <v>2</v>
      </c>
      <c r="AP193" s="6"/>
      <c r="AQ193" s="7"/>
      <c r="AR193" s="8"/>
      <c r="AS193" s="4">
        <f t="shared" si="6"/>
        <v>400000</v>
      </c>
      <c r="AT193" s="4">
        <f t="shared" si="7"/>
        <v>2812999.3046518574</v>
      </c>
      <c r="AU193" s="4">
        <f t="shared" si="8"/>
        <v>2037000.6953481426</v>
      </c>
      <c r="AV193" s="9" t="s">
        <v>776</v>
      </c>
      <c r="AW193" s="12" t="s">
        <v>777</v>
      </c>
      <c r="AX193" s="10">
        <v>0</v>
      </c>
      <c r="AY193">
        <f>S193*AU193/AS193</f>
        <v>1527750.521511107</v>
      </c>
      <c r="AZ193">
        <f>AU193-AY193</f>
        <v>509250.17383703566</v>
      </c>
      <c r="BA193" s="10">
        <v>4850000</v>
      </c>
      <c r="BB193" s="10">
        <v>0</v>
      </c>
      <c r="BC193" s="9" t="s">
        <v>42</v>
      </c>
      <c r="BD193" s="9">
        <v>10421</v>
      </c>
      <c r="BE193" t="s">
        <v>46</v>
      </c>
    </row>
    <row r="194" spans="1:57" ht="270.75" thickBot="1" x14ac:dyDescent="0.3">
      <c r="A194" s="9" t="s">
        <v>778</v>
      </c>
      <c r="B194" s="9">
        <v>3001</v>
      </c>
      <c r="C194" s="10">
        <v>2</v>
      </c>
      <c r="D194" s="9" t="s">
        <v>37</v>
      </c>
      <c r="E194" s="11">
        <v>46259.037343645832</v>
      </c>
      <c r="F194" s="9" t="s">
        <v>779</v>
      </c>
      <c r="G194" s="9" t="s">
        <v>39</v>
      </c>
      <c r="H194" s="9">
        <v>53</v>
      </c>
      <c r="I194" s="9" t="s">
        <v>40</v>
      </c>
      <c r="J194" s="9">
        <v>5309</v>
      </c>
      <c r="K194" s="9" t="s">
        <v>41</v>
      </c>
      <c r="L194" s="9">
        <v>5309073</v>
      </c>
      <c r="M194" s="9">
        <v>5309073001</v>
      </c>
      <c r="N194" s="9" t="s">
        <v>42</v>
      </c>
      <c r="O194" s="9">
        <v>10421</v>
      </c>
      <c r="P194" s="9" t="s">
        <v>780</v>
      </c>
      <c r="Q194" s="10">
        <v>1</v>
      </c>
      <c r="R194" s="10">
        <v>0</v>
      </c>
      <c r="S194" s="10">
        <v>150000</v>
      </c>
      <c r="T194" s="10">
        <v>0</v>
      </c>
      <c r="U194" s="10">
        <v>150000</v>
      </c>
      <c r="V194" s="10">
        <v>0</v>
      </c>
      <c r="W194" s="10">
        <v>300000</v>
      </c>
      <c r="X194" s="10">
        <v>4500000</v>
      </c>
      <c r="Y194" s="10">
        <v>0</v>
      </c>
      <c r="Z194" s="10">
        <v>4200000</v>
      </c>
      <c r="AA194" s="10">
        <v>4500000</v>
      </c>
      <c r="AB194" s="10">
        <v>4500000</v>
      </c>
      <c r="AC194" s="10">
        <v>0</v>
      </c>
      <c r="AD194" s="9" t="s">
        <v>44</v>
      </c>
      <c r="AE194" s="10" t="s">
        <v>2228</v>
      </c>
      <c r="AF194" s="10">
        <v>4500000</v>
      </c>
      <c r="AG194" s="10">
        <v>1</v>
      </c>
      <c r="AH194" s="10">
        <v>1</v>
      </c>
      <c r="AI194" s="10">
        <v>1</v>
      </c>
      <c r="AJ194" s="12" t="s">
        <v>781</v>
      </c>
      <c r="AK194" s="10">
        <v>0</v>
      </c>
      <c r="AL194" s="10">
        <v>0</v>
      </c>
      <c r="AM194" s="9">
        <v>2002</v>
      </c>
      <c r="AN194" s="10">
        <v>0</v>
      </c>
      <c r="AO194" s="10">
        <v>1</v>
      </c>
      <c r="AP194" s="6"/>
      <c r="AQ194" s="7"/>
      <c r="AR194" s="8"/>
      <c r="AS194" s="4">
        <f t="shared" si="6"/>
        <v>300000</v>
      </c>
      <c r="AT194" s="4">
        <f t="shared" si="7"/>
        <v>2610000.9321431899</v>
      </c>
      <c r="AU194" s="4">
        <f t="shared" si="8"/>
        <v>1889999.0678568101</v>
      </c>
      <c r="AV194" s="9" t="s">
        <v>780</v>
      </c>
      <c r="AW194" s="12" t="s">
        <v>781</v>
      </c>
      <c r="AX194" s="10">
        <v>0</v>
      </c>
      <c r="AY194">
        <f>S194*AU194/AS194</f>
        <v>944999.53392840491</v>
      </c>
      <c r="AZ194">
        <f>AU194-AY194</f>
        <v>944999.53392840514</v>
      </c>
      <c r="BA194" s="10">
        <v>4500000</v>
      </c>
      <c r="BB194" s="10">
        <v>0</v>
      </c>
      <c r="BC194" s="9" t="s">
        <v>42</v>
      </c>
      <c r="BD194" s="9">
        <v>10421</v>
      </c>
      <c r="BE194" t="s">
        <v>46</v>
      </c>
    </row>
    <row r="195" spans="1:57" ht="270.75" thickBot="1" x14ac:dyDescent="0.3">
      <c r="A195" s="9" t="s">
        <v>782</v>
      </c>
      <c r="B195" s="9">
        <v>2001</v>
      </c>
      <c r="C195" s="10">
        <v>2</v>
      </c>
      <c r="D195" s="9" t="s">
        <v>37</v>
      </c>
      <c r="E195" s="14">
        <v>46231.130208333336</v>
      </c>
      <c r="F195" s="9" t="s">
        <v>783</v>
      </c>
      <c r="G195" s="9" t="s">
        <v>39</v>
      </c>
      <c r="H195" s="9">
        <v>53</v>
      </c>
      <c r="I195" s="9" t="s">
        <v>40</v>
      </c>
      <c r="J195" s="9">
        <v>5309</v>
      </c>
      <c r="K195" s="9" t="s">
        <v>41</v>
      </c>
      <c r="L195" s="9">
        <v>5309060</v>
      </c>
      <c r="M195" s="9">
        <v>5309060027</v>
      </c>
      <c r="N195" s="9" t="s">
        <v>42</v>
      </c>
      <c r="O195" s="9">
        <v>10421</v>
      </c>
      <c r="P195" s="9" t="s">
        <v>784</v>
      </c>
      <c r="Q195" s="10">
        <v>6</v>
      </c>
      <c r="R195" s="10">
        <v>0</v>
      </c>
      <c r="S195" s="10">
        <v>1000000</v>
      </c>
      <c r="T195" s="10">
        <v>0</v>
      </c>
      <c r="U195" s="10">
        <v>250000</v>
      </c>
      <c r="V195" s="10">
        <v>0</v>
      </c>
      <c r="W195" s="10">
        <v>1250000</v>
      </c>
      <c r="X195" s="10">
        <v>8000000</v>
      </c>
      <c r="Y195" s="10">
        <v>4000000</v>
      </c>
      <c r="Z195" s="10">
        <v>6750000</v>
      </c>
      <c r="AA195" s="10">
        <v>6000000</v>
      </c>
      <c r="AB195" s="10">
        <v>8000000</v>
      </c>
      <c r="AC195" s="10">
        <v>0</v>
      </c>
      <c r="AD195" s="9" t="s">
        <v>44</v>
      </c>
      <c r="AE195" s="10" t="s">
        <v>2376</v>
      </c>
      <c r="AF195" s="13">
        <v>1333333333</v>
      </c>
      <c r="AG195" s="10">
        <v>1</v>
      </c>
      <c r="AH195" s="10">
        <v>1</v>
      </c>
      <c r="AI195" s="10">
        <v>1</v>
      </c>
      <c r="AJ195" s="12" t="s">
        <v>785</v>
      </c>
      <c r="AK195" s="10">
        <v>0</v>
      </c>
      <c r="AL195" s="10">
        <v>0</v>
      </c>
      <c r="AM195" s="9">
        <v>2023</v>
      </c>
      <c r="AN195" s="10">
        <v>0</v>
      </c>
      <c r="AO195" s="10">
        <v>6</v>
      </c>
      <c r="AP195" s="6"/>
      <c r="AQ195" s="7"/>
      <c r="AR195" s="8"/>
      <c r="AS195" s="4">
        <f t="shared" ref="AS195:AS258" si="9">AB195-Z195</f>
        <v>1250000</v>
      </c>
      <c r="AT195" s="4">
        <f t="shared" ref="AT195:AT258" si="10">IF(AE195&gt;0.61,(Z195*0.58/AE195),IF(AE195&lt;0.15,(Z195*0.2/AE195),Z195))</f>
        <v>4639999.9999999991</v>
      </c>
      <c r="AU195" s="4">
        <f t="shared" ref="AU195:AU258" si="11">AB195-AT195</f>
        <v>3360000.0000000009</v>
      </c>
      <c r="AV195" s="9" t="s">
        <v>784</v>
      </c>
      <c r="AW195" s="12" t="s">
        <v>785</v>
      </c>
      <c r="AX195" s="10">
        <v>0</v>
      </c>
      <c r="AY195">
        <f>S195*AU195/AS195</f>
        <v>2688000.0000000009</v>
      </c>
      <c r="AZ195">
        <f>AU195-AY195</f>
        <v>672000</v>
      </c>
      <c r="BA195" s="10">
        <v>8000000</v>
      </c>
      <c r="BB195" s="10">
        <v>4000000</v>
      </c>
      <c r="BC195" s="9" t="s">
        <v>42</v>
      </c>
      <c r="BD195" s="9">
        <v>10421</v>
      </c>
      <c r="BE195" t="s">
        <v>46</v>
      </c>
    </row>
    <row r="196" spans="1:57" ht="270.75" thickBot="1" x14ac:dyDescent="0.3">
      <c r="A196" s="9" t="s">
        <v>786</v>
      </c>
      <c r="B196" s="9">
        <v>3001</v>
      </c>
      <c r="C196" s="10">
        <v>2</v>
      </c>
      <c r="D196" s="9" t="s">
        <v>37</v>
      </c>
      <c r="E196" s="11">
        <v>46214.978556898146</v>
      </c>
      <c r="F196" s="9" t="s">
        <v>787</v>
      </c>
      <c r="G196" s="9" t="s">
        <v>39</v>
      </c>
      <c r="H196" s="9">
        <v>53</v>
      </c>
      <c r="I196" s="9" t="s">
        <v>40</v>
      </c>
      <c r="J196" s="9">
        <v>5309</v>
      </c>
      <c r="K196" s="9" t="s">
        <v>41</v>
      </c>
      <c r="L196" s="9">
        <v>5309062</v>
      </c>
      <c r="M196" s="9">
        <v>5309062003</v>
      </c>
      <c r="N196" s="9" t="s">
        <v>42</v>
      </c>
      <c r="O196" s="9">
        <v>10421</v>
      </c>
      <c r="P196" s="9" t="s">
        <v>788</v>
      </c>
      <c r="Q196" s="10">
        <v>2</v>
      </c>
      <c r="R196" s="10">
        <v>200000</v>
      </c>
      <c r="S196" s="10">
        <v>100000</v>
      </c>
      <c r="T196" s="10">
        <v>0</v>
      </c>
      <c r="U196" s="10">
        <v>400000</v>
      </c>
      <c r="V196" s="10">
        <v>0</v>
      </c>
      <c r="W196" s="10">
        <v>700000</v>
      </c>
      <c r="X196" s="10">
        <v>6000000</v>
      </c>
      <c r="Y196" s="10">
        <v>0</v>
      </c>
      <c r="Z196" s="10">
        <v>5500000</v>
      </c>
      <c r="AA196" s="10">
        <v>4800000</v>
      </c>
      <c r="AB196" s="10">
        <v>6000000</v>
      </c>
      <c r="AC196" s="10">
        <v>0</v>
      </c>
      <c r="AD196" s="9" t="s">
        <v>44</v>
      </c>
      <c r="AE196" s="10" t="s">
        <v>2236</v>
      </c>
      <c r="AF196" s="10">
        <v>3000000</v>
      </c>
      <c r="AG196" s="10">
        <v>1</v>
      </c>
      <c r="AH196" s="10">
        <v>1</v>
      </c>
      <c r="AI196" s="10">
        <v>1</v>
      </c>
      <c r="AJ196" s="12" t="s">
        <v>789</v>
      </c>
      <c r="AK196" s="10">
        <v>0</v>
      </c>
      <c r="AL196" s="10">
        <v>0</v>
      </c>
      <c r="AM196" s="9">
        <v>1990</v>
      </c>
      <c r="AN196" s="10">
        <v>1</v>
      </c>
      <c r="AO196" s="10">
        <v>1</v>
      </c>
      <c r="AP196" s="6"/>
      <c r="AQ196" s="7"/>
      <c r="AR196" s="8"/>
      <c r="AS196" s="4">
        <f t="shared" si="9"/>
        <v>500000</v>
      </c>
      <c r="AT196" s="4">
        <f t="shared" si="10"/>
        <v>3479998.7345459145</v>
      </c>
      <c r="AU196" s="4">
        <f t="shared" si="11"/>
        <v>2520001.2654540855</v>
      </c>
      <c r="AV196" s="9" t="s">
        <v>788</v>
      </c>
      <c r="AW196" s="12" t="s">
        <v>789</v>
      </c>
      <c r="AX196" s="10">
        <v>0</v>
      </c>
      <c r="AY196">
        <f>S196*AU196/AS196</f>
        <v>504000.25309081713</v>
      </c>
      <c r="AZ196">
        <f>AU196-AY196</f>
        <v>2016001.0123632685</v>
      </c>
      <c r="BA196" s="10">
        <v>6000000</v>
      </c>
      <c r="BB196" s="10">
        <v>0</v>
      </c>
      <c r="BC196" s="9" t="s">
        <v>42</v>
      </c>
      <c r="BD196" s="9">
        <v>10421</v>
      </c>
      <c r="BE196" t="s">
        <v>46</v>
      </c>
    </row>
    <row r="197" spans="1:57" ht="270.75" thickBot="1" x14ac:dyDescent="0.3">
      <c r="A197" s="9" t="s">
        <v>790</v>
      </c>
      <c r="B197" s="9">
        <v>3003</v>
      </c>
      <c r="C197" s="10">
        <v>2</v>
      </c>
      <c r="D197" s="9" t="s">
        <v>37</v>
      </c>
      <c r="E197" s="11">
        <v>46207.713823217593</v>
      </c>
      <c r="F197" s="9" t="s">
        <v>791</v>
      </c>
      <c r="G197" s="9" t="s">
        <v>39</v>
      </c>
      <c r="H197" s="9">
        <v>53</v>
      </c>
      <c r="I197" s="9" t="s">
        <v>40</v>
      </c>
      <c r="J197" s="9">
        <v>5309</v>
      </c>
      <c r="K197" s="9" t="s">
        <v>41</v>
      </c>
      <c r="L197" s="9">
        <v>5309021</v>
      </c>
      <c r="M197" s="9">
        <v>5309021004</v>
      </c>
      <c r="N197" s="9" t="s">
        <v>42</v>
      </c>
      <c r="O197" s="9">
        <v>10421</v>
      </c>
      <c r="P197" s="9" t="s">
        <v>792</v>
      </c>
      <c r="Q197" s="10">
        <v>2</v>
      </c>
      <c r="R197" s="10">
        <v>0</v>
      </c>
      <c r="S197" s="10">
        <v>200000</v>
      </c>
      <c r="T197" s="10">
        <v>0</v>
      </c>
      <c r="U197" s="10">
        <v>200000</v>
      </c>
      <c r="V197" s="10">
        <v>0</v>
      </c>
      <c r="W197" s="10">
        <v>400000</v>
      </c>
      <c r="X197" s="10">
        <v>8000000</v>
      </c>
      <c r="Y197" s="10">
        <v>0</v>
      </c>
      <c r="Z197" s="10">
        <v>7600000</v>
      </c>
      <c r="AA197" s="10">
        <v>20000000</v>
      </c>
      <c r="AB197" s="10">
        <v>8000000</v>
      </c>
      <c r="AC197" s="10">
        <v>0</v>
      </c>
      <c r="AD197" s="9" t="s">
        <v>44</v>
      </c>
      <c r="AE197" s="10" t="s">
        <v>1803</v>
      </c>
      <c r="AF197" s="10">
        <v>4000000</v>
      </c>
      <c r="AG197" s="10">
        <v>0</v>
      </c>
      <c r="AH197" s="10">
        <v>1</v>
      </c>
      <c r="AI197" s="10">
        <v>1</v>
      </c>
      <c r="AJ197" s="12" t="s">
        <v>793</v>
      </c>
      <c r="AK197" s="10">
        <v>0</v>
      </c>
      <c r="AL197" s="10">
        <v>0</v>
      </c>
      <c r="AM197" s="9">
        <v>2023</v>
      </c>
      <c r="AN197" s="10">
        <v>0</v>
      </c>
      <c r="AO197" s="10">
        <v>2</v>
      </c>
      <c r="AP197" s="6"/>
      <c r="AQ197" s="7"/>
      <c r="AR197" s="8"/>
      <c r="AS197" s="4">
        <f t="shared" si="9"/>
        <v>400000</v>
      </c>
      <c r="AT197" s="4">
        <f t="shared" si="10"/>
        <v>4640000</v>
      </c>
      <c r="AU197" s="4">
        <f t="shared" si="11"/>
        <v>3360000</v>
      </c>
      <c r="AV197" s="9" t="s">
        <v>792</v>
      </c>
      <c r="AW197" s="12" t="s">
        <v>793</v>
      </c>
      <c r="AX197" s="10">
        <v>0</v>
      </c>
      <c r="AY197">
        <f>S197*AU197/AS197</f>
        <v>1680000</v>
      </c>
      <c r="AZ197">
        <f>AU197-AY197</f>
        <v>1680000</v>
      </c>
      <c r="BA197" s="10">
        <v>8000000</v>
      </c>
      <c r="BB197" s="10">
        <v>0</v>
      </c>
      <c r="BC197" s="9" t="s">
        <v>42</v>
      </c>
      <c r="BD197" s="9">
        <v>10421</v>
      </c>
      <c r="BE197" t="s">
        <v>46</v>
      </c>
    </row>
    <row r="198" spans="1:57" ht="270.75" thickBot="1" x14ac:dyDescent="0.3">
      <c r="A198" s="9" t="s">
        <v>794</v>
      </c>
      <c r="B198" s="9">
        <v>3001</v>
      </c>
      <c r="C198" s="10">
        <v>2</v>
      </c>
      <c r="D198" s="9" t="s">
        <v>37</v>
      </c>
      <c r="E198" s="11">
        <v>46253.335346516207</v>
      </c>
      <c r="F198" s="9" t="s">
        <v>795</v>
      </c>
      <c r="G198" s="9" t="s">
        <v>39</v>
      </c>
      <c r="H198" s="9">
        <v>53</v>
      </c>
      <c r="I198" s="9" t="s">
        <v>40</v>
      </c>
      <c r="J198" s="9">
        <v>5309</v>
      </c>
      <c r="K198" s="9" t="s">
        <v>41</v>
      </c>
      <c r="L198" s="9">
        <v>5309062</v>
      </c>
      <c r="M198" s="9">
        <v>5309062012</v>
      </c>
      <c r="N198" s="9" t="s">
        <v>42</v>
      </c>
      <c r="O198" s="9">
        <v>10421</v>
      </c>
      <c r="P198" s="9" t="s">
        <v>796</v>
      </c>
      <c r="Q198" s="10">
        <v>4</v>
      </c>
      <c r="R198" s="10">
        <v>500000</v>
      </c>
      <c r="S198" s="10">
        <v>120000</v>
      </c>
      <c r="T198" s="10">
        <v>0</v>
      </c>
      <c r="U198" s="10">
        <v>100000</v>
      </c>
      <c r="V198" s="10">
        <v>0</v>
      </c>
      <c r="W198" s="10">
        <v>720000</v>
      </c>
      <c r="X198" s="10">
        <v>6500000</v>
      </c>
      <c r="Y198" s="10">
        <v>0</v>
      </c>
      <c r="Z198" s="10">
        <v>6280000</v>
      </c>
      <c r="AA198" s="10">
        <v>3500000</v>
      </c>
      <c r="AB198" s="10">
        <v>6500000</v>
      </c>
      <c r="AC198" s="10">
        <v>0</v>
      </c>
      <c r="AD198" s="9" t="s">
        <v>44</v>
      </c>
      <c r="AE198" s="10" t="s">
        <v>2377</v>
      </c>
      <c r="AF198" s="10">
        <v>1625000</v>
      </c>
      <c r="AG198" s="10">
        <v>1</v>
      </c>
      <c r="AH198" s="10">
        <v>1</v>
      </c>
      <c r="AI198" s="10">
        <v>1</v>
      </c>
      <c r="AJ198" s="12" t="s">
        <v>797</v>
      </c>
      <c r="AK198" s="10">
        <v>0</v>
      </c>
      <c r="AL198" s="10">
        <v>0</v>
      </c>
      <c r="AM198" s="9">
        <v>2021</v>
      </c>
      <c r="AN198" s="10">
        <v>3</v>
      </c>
      <c r="AO198" s="10">
        <v>1</v>
      </c>
      <c r="AP198" s="6"/>
      <c r="AQ198" s="7"/>
      <c r="AR198" s="8"/>
      <c r="AS198" s="4">
        <f t="shared" si="9"/>
        <v>220000</v>
      </c>
      <c r="AT198" s="4">
        <f t="shared" si="10"/>
        <v>3769999.399681624</v>
      </c>
      <c r="AU198" s="4">
        <f t="shared" si="11"/>
        <v>2730000.600318376</v>
      </c>
      <c r="AV198" s="9" t="s">
        <v>796</v>
      </c>
      <c r="AW198" s="12" t="s">
        <v>797</v>
      </c>
      <c r="AX198" s="10">
        <v>0</v>
      </c>
      <c r="AY198">
        <f>S198*AU198/AS198</f>
        <v>1489091.2365372961</v>
      </c>
      <c r="AZ198">
        <f>AU198-AY198</f>
        <v>1240909.3637810799</v>
      </c>
      <c r="BA198" s="10">
        <v>6500000</v>
      </c>
      <c r="BB198" s="10">
        <v>0</v>
      </c>
      <c r="BC198" s="9" t="s">
        <v>42</v>
      </c>
      <c r="BD198" s="9">
        <v>10421</v>
      </c>
      <c r="BE198" t="s">
        <v>46</v>
      </c>
    </row>
    <row r="199" spans="1:57" ht="270.75" thickBot="1" x14ac:dyDescent="0.3">
      <c r="A199" s="9" t="s">
        <v>798</v>
      </c>
      <c r="B199" s="9">
        <v>1001</v>
      </c>
      <c r="C199" s="10">
        <v>2</v>
      </c>
      <c r="D199" s="9" t="s">
        <v>37</v>
      </c>
      <c r="E199" s="11">
        <v>46216.995060810186</v>
      </c>
      <c r="F199" s="9" t="s">
        <v>799</v>
      </c>
      <c r="G199" s="9" t="s">
        <v>39</v>
      </c>
      <c r="H199" s="9">
        <v>53</v>
      </c>
      <c r="I199" s="9" t="s">
        <v>40</v>
      </c>
      <c r="J199" s="9">
        <v>5309</v>
      </c>
      <c r="K199" s="9" t="s">
        <v>41</v>
      </c>
      <c r="L199" s="9">
        <v>5309010</v>
      </c>
      <c r="M199" s="9">
        <v>5309010004</v>
      </c>
      <c r="N199" s="9" t="s">
        <v>42</v>
      </c>
      <c r="O199" s="9">
        <v>10421</v>
      </c>
      <c r="P199" s="9" t="s">
        <v>800</v>
      </c>
      <c r="Q199" s="10">
        <v>1</v>
      </c>
      <c r="R199" s="10">
        <v>0</v>
      </c>
      <c r="S199" s="10">
        <v>400000</v>
      </c>
      <c r="T199" s="10">
        <v>0</v>
      </c>
      <c r="U199" s="10">
        <v>100000</v>
      </c>
      <c r="V199" s="10">
        <v>100000</v>
      </c>
      <c r="W199" s="10">
        <v>600000</v>
      </c>
      <c r="X199" s="10">
        <v>3000000</v>
      </c>
      <c r="Y199" s="10">
        <v>500000</v>
      </c>
      <c r="Z199" s="10">
        <v>2500000</v>
      </c>
      <c r="AA199" s="10">
        <v>30000000</v>
      </c>
      <c r="AB199" s="10">
        <v>3000000</v>
      </c>
      <c r="AC199" s="10">
        <v>0</v>
      </c>
      <c r="AD199" s="9" t="s">
        <v>44</v>
      </c>
      <c r="AE199" s="10" t="s">
        <v>2358</v>
      </c>
      <c r="AF199" s="10">
        <v>3000000</v>
      </c>
      <c r="AG199" s="10">
        <v>1</v>
      </c>
      <c r="AH199" s="10">
        <v>1</v>
      </c>
      <c r="AI199" s="10">
        <v>1</v>
      </c>
      <c r="AJ199" s="12" t="s">
        <v>801</v>
      </c>
      <c r="AK199" s="10">
        <v>0</v>
      </c>
      <c r="AL199" s="10">
        <v>0</v>
      </c>
      <c r="AM199" s="9">
        <v>2024</v>
      </c>
      <c r="AN199" s="10">
        <v>0</v>
      </c>
      <c r="AO199" s="10">
        <v>1</v>
      </c>
      <c r="AP199" s="6"/>
      <c r="AQ199" s="7"/>
      <c r="AR199" s="8"/>
      <c r="AS199" s="4">
        <f t="shared" si="9"/>
        <v>500000</v>
      </c>
      <c r="AT199" s="4">
        <f t="shared" si="10"/>
        <v>1740000.6960002785</v>
      </c>
      <c r="AU199" s="4">
        <f t="shared" si="11"/>
        <v>1259999.3039997215</v>
      </c>
      <c r="AV199" s="9" t="s">
        <v>800</v>
      </c>
      <c r="AW199" s="12" t="s">
        <v>801</v>
      </c>
      <c r="AX199" s="10">
        <v>0</v>
      </c>
      <c r="AY199">
        <f>S199*AU199/AS199</f>
        <v>1007999.4431997773</v>
      </c>
      <c r="AZ199">
        <f>AU199-AY199</f>
        <v>251999.86079994426</v>
      </c>
      <c r="BA199" s="10">
        <v>3000000</v>
      </c>
      <c r="BB199" s="10">
        <v>500000</v>
      </c>
      <c r="BC199" s="9" t="s">
        <v>42</v>
      </c>
      <c r="BD199" s="9">
        <v>10421</v>
      </c>
      <c r="BE199" t="s">
        <v>46</v>
      </c>
    </row>
    <row r="200" spans="1:57" ht="270.75" thickBot="1" x14ac:dyDescent="0.3">
      <c r="A200" s="9" t="s">
        <v>802</v>
      </c>
      <c r="B200" s="9">
        <v>1001</v>
      </c>
      <c r="C200" s="10">
        <v>2</v>
      </c>
      <c r="D200" s="9" t="s">
        <v>37</v>
      </c>
      <c r="E200" s="11">
        <v>46248.0703597338</v>
      </c>
      <c r="F200" s="9" t="s">
        <v>803</v>
      </c>
      <c r="G200" s="9" t="s">
        <v>39</v>
      </c>
      <c r="H200" s="9">
        <v>53</v>
      </c>
      <c r="I200" s="9" t="s">
        <v>40</v>
      </c>
      <c r="J200" s="9">
        <v>5309</v>
      </c>
      <c r="K200" s="9" t="s">
        <v>41</v>
      </c>
      <c r="L200" s="9">
        <v>5309062</v>
      </c>
      <c r="M200" s="9">
        <v>5309062013</v>
      </c>
      <c r="N200" s="9" t="s">
        <v>42</v>
      </c>
      <c r="O200" s="9">
        <v>10421</v>
      </c>
      <c r="P200" s="9" t="s">
        <v>804</v>
      </c>
      <c r="Q200" s="10">
        <v>4</v>
      </c>
      <c r="R200" s="10">
        <v>600000</v>
      </c>
      <c r="S200" s="10">
        <v>200000</v>
      </c>
      <c r="T200" s="10">
        <v>0</v>
      </c>
      <c r="U200" s="10">
        <v>150000</v>
      </c>
      <c r="V200" s="10">
        <v>50000</v>
      </c>
      <c r="W200" s="10">
        <v>1000000</v>
      </c>
      <c r="X200" s="10">
        <v>4500000</v>
      </c>
      <c r="Y200" s="10">
        <v>0</v>
      </c>
      <c r="Z200" s="10">
        <v>4150000</v>
      </c>
      <c r="AA200" s="10">
        <v>2400000</v>
      </c>
      <c r="AB200" s="10">
        <v>4500000</v>
      </c>
      <c r="AC200" s="10">
        <v>0</v>
      </c>
      <c r="AD200" s="9" t="s">
        <v>44</v>
      </c>
      <c r="AE200" s="10" t="s">
        <v>2291</v>
      </c>
      <c r="AF200" s="10">
        <v>1125000</v>
      </c>
      <c r="AG200" s="10">
        <v>1</v>
      </c>
      <c r="AH200" s="10">
        <v>1</v>
      </c>
      <c r="AI200" s="10">
        <v>1</v>
      </c>
      <c r="AJ200" s="12" t="s">
        <v>805</v>
      </c>
      <c r="AK200" s="10">
        <v>0</v>
      </c>
      <c r="AL200" s="10">
        <v>0</v>
      </c>
      <c r="AM200" s="9">
        <v>2005</v>
      </c>
      <c r="AN200" s="10">
        <v>2</v>
      </c>
      <c r="AO200" s="10">
        <v>2</v>
      </c>
      <c r="AP200" s="6"/>
      <c r="AQ200" s="7"/>
      <c r="AR200" s="8"/>
      <c r="AS200" s="4">
        <f t="shared" si="9"/>
        <v>350000</v>
      </c>
      <c r="AT200" s="4">
        <f t="shared" si="10"/>
        <v>2610000.6289158142</v>
      </c>
      <c r="AU200" s="4">
        <f t="shared" si="11"/>
        <v>1889999.3710841858</v>
      </c>
      <c r="AV200" s="9" t="s">
        <v>804</v>
      </c>
      <c r="AW200" s="12" t="s">
        <v>805</v>
      </c>
      <c r="AX200" s="10">
        <v>0</v>
      </c>
      <c r="AY200">
        <f>S200*AU200/AS200</f>
        <v>1079999.6406195348</v>
      </c>
      <c r="AZ200">
        <f>AU200-AY200</f>
        <v>809999.73046465102</v>
      </c>
      <c r="BA200" s="10">
        <v>4500000</v>
      </c>
      <c r="BB200" s="10">
        <v>0</v>
      </c>
      <c r="BC200" s="9" t="s">
        <v>42</v>
      </c>
      <c r="BD200" s="9">
        <v>10421</v>
      </c>
      <c r="BE200" t="s">
        <v>46</v>
      </c>
    </row>
    <row r="201" spans="1:57" ht="270.75" thickBot="1" x14ac:dyDescent="0.3">
      <c r="A201" s="9" t="s">
        <v>806</v>
      </c>
      <c r="B201" s="9">
        <v>3001</v>
      </c>
      <c r="C201" s="10">
        <v>2</v>
      </c>
      <c r="D201" s="9" t="s">
        <v>37</v>
      </c>
      <c r="E201" s="11">
        <v>46254.94199861111</v>
      </c>
      <c r="F201" s="9" t="s">
        <v>807</v>
      </c>
      <c r="G201" s="9" t="s">
        <v>39</v>
      </c>
      <c r="H201" s="9">
        <v>53</v>
      </c>
      <c r="I201" s="9" t="s">
        <v>40</v>
      </c>
      <c r="J201" s="9">
        <v>5309</v>
      </c>
      <c r="K201" s="9" t="s">
        <v>41</v>
      </c>
      <c r="L201" s="9">
        <v>5309062</v>
      </c>
      <c r="M201" s="9">
        <v>5309062006</v>
      </c>
      <c r="N201" s="9" t="s">
        <v>42</v>
      </c>
      <c r="O201" s="9">
        <v>10421</v>
      </c>
      <c r="P201" s="9" t="s">
        <v>808</v>
      </c>
      <c r="Q201" s="10">
        <v>1</v>
      </c>
      <c r="R201" s="10">
        <v>0</v>
      </c>
      <c r="S201" s="10">
        <v>250000</v>
      </c>
      <c r="T201" s="10">
        <v>0</v>
      </c>
      <c r="U201" s="10">
        <v>0</v>
      </c>
      <c r="V201" s="10">
        <v>200000</v>
      </c>
      <c r="W201" s="10">
        <v>450000</v>
      </c>
      <c r="X201" s="10">
        <v>6260000</v>
      </c>
      <c r="Y201" s="10">
        <v>0</v>
      </c>
      <c r="Z201" s="10">
        <v>6010000</v>
      </c>
      <c r="AA201" s="10">
        <v>4500000</v>
      </c>
      <c r="AB201" s="10">
        <v>6260000</v>
      </c>
      <c r="AC201" s="10">
        <v>0</v>
      </c>
      <c r="AD201" s="9" t="s">
        <v>44</v>
      </c>
      <c r="AE201" s="10" t="s">
        <v>2378</v>
      </c>
      <c r="AF201" s="10">
        <v>6260000</v>
      </c>
      <c r="AG201" s="10">
        <v>1</v>
      </c>
      <c r="AH201" s="10">
        <v>1</v>
      </c>
      <c r="AI201" s="10">
        <v>1</v>
      </c>
      <c r="AJ201" s="12" t="s">
        <v>810</v>
      </c>
      <c r="AK201" s="10">
        <v>0</v>
      </c>
      <c r="AL201" s="10">
        <v>0</v>
      </c>
      <c r="AM201" s="9">
        <v>2014</v>
      </c>
      <c r="AN201" s="10">
        <v>0</v>
      </c>
      <c r="AO201" s="10">
        <v>1</v>
      </c>
      <c r="AP201" s="6"/>
      <c r="AQ201" s="7"/>
      <c r="AR201" s="8"/>
      <c r="AS201" s="4">
        <f t="shared" si="9"/>
        <v>250000</v>
      </c>
      <c r="AT201" s="4">
        <f t="shared" si="10"/>
        <v>3630799.6133591086</v>
      </c>
      <c r="AU201" s="4">
        <f t="shared" si="11"/>
        <v>2629200.3866408914</v>
      </c>
      <c r="AV201" s="9" t="s">
        <v>808</v>
      </c>
      <c r="AW201" s="12" t="s">
        <v>810</v>
      </c>
      <c r="AX201" s="10">
        <v>0</v>
      </c>
      <c r="AY201">
        <f>S201*AU201/AS201</f>
        <v>2629200.3866408914</v>
      </c>
      <c r="AZ201">
        <f>AU201-AY201</f>
        <v>0</v>
      </c>
      <c r="BA201" s="10">
        <v>6260000</v>
      </c>
      <c r="BB201" s="10">
        <v>0</v>
      </c>
      <c r="BC201" s="9" t="s">
        <v>42</v>
      </c>
      <c r="BD201" s="9">
        <v>10421</v>
      </c>
      <c r="BE201" t="s">
        <v>46</v>
      </c>
    </row>
    <row r="202" spans="1:57" ht="270.75" thickBot="1" x14ac:dyDescent="0.3">
      <c r="A202" s="9" t="s">
        <v>811</v>
      </c>
      <c r="B202" s="9">
        <v>1001</v>
      </c>
      <c r="C202" s="10">
        <v>2</v>
      </c>
      <c r="D202" s="9" t="s">
        <v>37</v>
      </c>
      <c r="E202" s="11">
        <v>46223.408662106478</v>
      </c>
      <c r="F202" s="9" t="s">
        <v>812</v>
      </c>
      <c r="G202" s="9" t="s">
        <v>39</v>
      </c>
      <c r="H202" s="9">
        <v>53</v>
      </c>
      <c r="I202" s="9" t="s">
        <v>40</v>
      </c>
      <c r="J202" s="9">
        <v>5309</v>
      </c>
      <c r="K202" s="9" t="s">
        <v>41</v>
      </c>
      <c r="L202" s="9">
        <v>5309062</v>
      </c>
      <c r="M202" s="9">
        <v>5309062002</v>
      </c>
      <c r="N202" s="9" t="s">
        <v>42</v>
      </c>
      <c r="O202" s="9">
        <v>10421</v>
      </c>
      <c r="P202" s="9" t="s">
        <v>106</v>
      </c>
      <c r="Q202" s="10">
        <v>2</v>
      </c>
      <c r="R202" s="10">
        <v>0</v>
      </c>
      <c r="S202" s="10">
        <v>100000</v>
      </c>
      <c r="T202" s="10">
        <v>0</v>
      </c>
      <c r="U202" s="10">
        <v>500000</v>
      </c>
      <c r="V202" s="10">
        <v>0</v>
      </c>
      <c r="W202" s="10">
        <v>600000</v>
      </c>
      <c r="X202" s="10">
        <v>10000000</v>
      </c>
      <c r="Y202" s="10">
        <v>0</v>
      </c>
      <c r="Z202" s="10">
        <v>9400000</v>
      </c>
      <c r="AA202" s="10">
        <v>1500000</v>
      </c>
      <c r="AB202" s="10">
        <v>10000000</v>
      </c>
      <c r="AC202" s="10">
        <v>0</v>
      </c>
      <c r="AD202" s="9" t="s">
        <v>44</v>
      </c>
      <c r="AE202" s="10" t="s">
        <v>1727</v>
      </c>
      <c r="AF202" s="10">
        <v>5000000</v>
      </c>
      <c r="AG202" s="10">
        <v>1</v>
      </c>
      <c r="AH202" s="10">
        <v>1</v>
      </c>
      <c r="AI202" s="10">
        <v>1</v>
      </c>
      <c r="AJ202" s="12" t="s">
        <v>813</v>
      </c>
      <c r="AK202" s="10">
        <v>0</v>
      </c>
      <c r="AL202" s="10">
        <v>0</v>
      </c>
      <c r="AM202" s="9">
        <v>1987</v>
      </c>
      <c r="AN202" s="10">
        <v>0</v>
      </c>
      <c r="AO202" s="10">
        <v>2</v>
      </c>
      <c r="AP202" s="6"/>
      <c r="AQ202" s="7"/>
      <c r="AR202" s="8"/>
      <c r="AS202" s="4">
        <f t="shared" si="9"/>
        <v>600000</v>
      </c>
      <c r="AT202" s="4">
        <f t="shared" si="10"/>
        <v>5800000</v>
      </c>
      <c r="AU202" s="4">
        <f t="shared" si="11"/>
        <v>4200000</v>
      </c>
      <c r="AV202" s="9" t="s">
        <v>106</v>
      </c>
      <c r="AW202" s="12" t="s">
        <v>813</v>
      </c>
      <c r="AX202" s="10">
        <v>0</v>
      </c>
      <c r="AY202">
        <f>S202*AU202/AS202</f>
        <v>700000</v>
      </c>
      <c r="AZ202">
        <f>AU202-AY202</f>
        <v>3500000</v>
      </c>
      <c r="BA202" s="10">
        <v>10000000</v>
      </c>
      <c r="BB202" s="10">
        <v>0</v>
      </c>
      <c r="BC202" s="9" t="s">
        <v>42</v>
      </c>
      <c r="BD202" s="9">
        <v>10421</v>
      </c>
      <c r="BE202" t="s">
        <v>46</v>
      </c>
    </row>
    <row r="203" spans="1:57" ht="270.75" thickBot="1" x14ac:dyDescent="0.3">
      <c r="A203" s="9" t="s">
        <v>814</v>
      </c>
      <c r="B203" s="9">
        <v>3001</v>
      </c>
      <c r="C203" s="10">
        <v>2</v>
      </c>
      <c r="D203" s="9" t="s">
        <v>37</v>
      </c>
      <c r="E203" s="11">
        <v>46264.246643865743</v>
      </c>
      <c r="F203" s="9" t="s">
        <v>815</v>
      </c>
      <c r="G203" s="9" t="s">
        <v>39</v>
      </c>
      <c r="H203" s="9">
        <v>53</v>
      </c>
      <c r="I203" s="9" t="s">
        <v>40</v>
      </c>
      <c r="J203" s="9">
        <v>5309</v>
      </c>
      <c r="K203" s="9" t="s">
        <v>41</v>
      </c>
      <c r="L203" s="9">
        <v>5309074</v>
      </c>
      <c r="M203" s="9">
        <v>5309074006</v>
      </c>
      <c r="N203" s="9" t="s">
        <v>42</v>
      </c>
      <c r="O203" s="9">
        <v>10421</v>
      </c>
      <c r="P203" s="9" t="s">
        <v>49</v>
      </c>
      <c r="Q203" s="10">
        <v>2</v>
      </c>
      <c r="R203" s="10">
        <v>0</v>
      </c>
      <c r="S203" s="10">
        <v>200000</v>
      </c>
      <c r="T203" s="10">
        <v>0</v>
      </c>
      <c r="U203" s="10">
        <v>0</v>
      </c>
      <c r="V203" s="10">
        <v>0</v>
      </c>
      <c r="W203" s="10">
        <v>200000</v>
      </c>
      <c r="X203" s="10">
        <v>4000000</v>
      </c>
      <c r="Y203" s="10">
        <v>0</v>
      </c>
      <c r="Z203" s="10">
        <v>3800000</v>
      </c>
      <c r="AA203" s="10">
        <v>2000000</v>
      </c>
      <c r="AB203" s="10">
        <v>4000000</v>
      </c>
      <c r="AC203" s="10">
        <v>0</v>
      </c>
      <c r="AD203" s="9" t="s">
        <v>44</v>
      </c>
      <c r="AE203" s="10" t="s">
        <v>1803</v>
      </c>
      <c r="AF203" s="10">
        <v>2000000</v>
      </c>
      <c r="AG203" s="10">
        <v>1</v>
      </c>
      <c r="AH203" s="10">
        <v>1</v>
      </c>
      <c r="AI203" s="10">
        <v>1</v>
      </c>
      <c r="AJ203" s="12" t="s">
        <v>816</v>
      </c>
      <c r="AK203" s="10">
        <v>0</v>
      </c>
      <c r="AL203" s="10">
        <v>0</v>
      </c>
      <c r="AM203" s="9">
        <v>2020</v>
      </c>
      <c r="AN203" s="10">
        <v>0</v>
      </c>
      <c r="AO203" s="10">
        <v>2</v>
      </c>
      <c r="AP203" s="6"/>
      <c r="AQ203" s="7"/>
      <c r="AR203" s="8"/>
      <c r="AS203" s="4">
        <f t="shared" si="9"/>
        <v>200000</v>
      </c>
      <c r="AT203" s="4">
        <f t="shared" si="10"/>
        <v>2320000</v>
      </c>
      <c r="AU203" s="4">
        <f t="shared" si="11"/>
        <v>1680000</v>
      </c>
      <c r="AV203" s="9" t="s">
        <v>49</v>
      </c>
      <c r="AW203" s="12" t="s">
        <v>816</v>
      </c>
      <c r="AX203" s="10">
        <v>0</v>
      </c>
      <c r="AY203">
        <f>S203*AU203/AS203</f>
        <v>1680000</v>
      </c>
      <c r="AZ203">
        <f>AU203-AY203</f>
        <v>0</v>
      </c>
      <c r="BA203" s="10">
        <v>4000000</v>
      </c>
      <c r="BB203" s="10">
        <v>0</v>
      </c>
      <c r="BC203" s="9" t="s">
        <v>42</v>
      </c>
      <c r="BD203" s="9">
        <v>10421</v>
      </c>
      <c r="BE203" t="s">
        <v>46</v>
      </c>
    </row>
    <row r="204" spans="1:57" ht="270.75" thickBot="1" x14ac:dyDescent="0.3">
      <c r="A204" s="9" t="s">
        <v>817</v>
      </c>
      <c r="B204" s="9">
        <v>3001</v>
      </c>
      <c r="C204" s="10">
        <v>2</v>
      </c>
      <c r="D204" s="9" t="s">
        <v>37</v>
      </c>
      <c r="E204" s="14">
        <v>46214.772847222222</v>
      </c>
      <c r="F204" s="9" t="s">
        <v>818</v>
      </c>
      <c r="G204" s="9" t="s">
        <v>39</v>
      </c>
      <c r="H204" s="9">
        <v>53</v>
      </c>
      <c r="I204" s="9" t="s">
        <v>40</v>
      </c>
      <c r="J204" s="9">
        <v>5309</v>
      </c>
      <c r="K204" s="9" t="s">
        <v>41</v>
      </c>
      <c r="L204" s="9">
        <v>5309062</v>
      </c>
      <c r="M204" s="9">
        <v>5309062005</v>
      </c>
      <c r="N204" s="9" t="s">
        <v>42</v>
      </c>
      <c r="O204" s="9">
        <v>10421</v>
      </c>
      <c r="P204" s="9" t="s">
        <v>819</v>
      </c>
      <c r="Q204" s="10">
        <v>3</v>
      </c>
      <c r="R204" s="10">
        <v>600000</v>
      </c>
      <c r="S204" s="10">
        <v>800000</v>
      </c>
      <c r="T204" s="10">
        <v>0</v>
      </c>
      <c r="U204" s="10">
        <v>300000</v>
      </c>
      <c r="V204" s="10">
        <v>0</v>
      </c>
      <c r="W204" s="10">
        <v>1700000</v>
      </c>
      <c r="X204" s="10">
        <v>3500000</v>
      </c>
      <c r="Y204" s="10">
        <v>2000000</v>
      </c>
      <c r="Z204" s="10">
        <v>2400000</v>
      </c>
      <c r="AA204" s="10">
        <v>2300000</v>
      </c>
      <c r="AB204" s="10">
        <v>3500000</v>
      </c>
      <c r="AC204" s="10">
        <v>0</v>
      </c>
      <c r="AD204" s="9" t="s">
        <v>44</v>
      </c>
      <c r="AE204" s="10" t="s">
        <v>2379</v>
      </c>
      <c r="AF204" s="13">
        <v>1166666667</v>
      </c>
      <c r="AG204" s="10">
        <v>1</v>
      </c>
      <c r="AH204" s="10">
        <v>1</v>
      </c>
      <c r="AI204" s="10">
        <v>1</v>
      </c>
      <c r="AJ204" s="12" t="s">
        <v>820</v>
      </c>
      <c r="AK204" s="10">
        <v>0</v>
      </c>
      <c r="AL204" s="10">
        <v>0</v>
      </c>
      <c r="AM204" s="9">
        <v>2018</v>
      </c>
      <c r="AN204" s="10">
        <v>1</v>
      </c>
      <c r="AO204" s="10">
        <v>2</v>
      </c>
      <c r="AP204" s="6"/>
      <c r="AQ204" s="7"/>
      <c r="AR204" s="8"/>
      <c r="AS204" s="4">
        <f t="shared" si="9"/>
        <v>1100000</v>
      </c>
      <c r="AT204" s="4">
        <f t="shared" si="10"/>
        <v>2030000.8458336857</v>
      </c>
      <c r="AU204" s="4">
        <f t="shared" si="11"/>
        <v>1469999.1541663143</v>
      </c>
      <c r="AV204" s="9" t="s">
        <v>819</v>
      </c>
      <c r="AW204" s="12" t="s">
        <v>820</v>
      </c>
      <c r="AX204" s="10">
        <v>0</v>
      </c>
      <c r="AY204">
        <f>S204*AU204/AS204</f>
        <v>1069090.2939391378</v>
      </c>
      <c r="AZ204">
        <f>AU204-AY204</f>
        <v>400908.86022717645</v>
      </c>
      <c r="BA204" s="10">
        <v>3500000</v>
      </c>
      <c r="BB204" s="10">
        <v>2000000</v>
      </c>
      <c r="BC204" s="9" t="s">
        <v>42</v>
      </c>
      <c r="BD204" s="9">
        <v>10421</v>
      </c>
      <c r="BE204" t="s">
        <v>46</v>
      </c>
    </row>
    <row r="205" spans="1:57" ht="270.75" thickBot="1" x14ac:dyDescent="0.3">
      <c r="A205" s="9" t="s">
        <v>821</v>
      </c>
      <c r="B205" s="9">
        <v>3001</v>
      </c>
      <c r="C205" s="10">
        <v>2</v>
      </c>
      <c r="D205" s="9" t="s">
        <v>37</v>
      </c>
      <c r="E205" s="11">
        <v>46226.150077025464</v>
      </c>
      <c r="F205" s="9" t="s">
        <v>822</v>
      </c>
      <c r="G205" s="9" t="s">
        <v>39</v>
      </c>
      <c r="H205" s="9">
        <v>53</v>
      </c>
      <c r="I205" s="9" t="s">
        <v>40</v>
      </c>
      <c r="J205" s="9">
        <v>5309</v>
      </c>
      <c r="K205" s="9" t="s">
        <v>41</v>
      </c>
      <c r="L205" s="9">
        <v>5309062</v>
      </c>
      <c r="M205" s="9">
        <v>5309062008</v>
      </c>
      <c r="N205" s="9" t="s">
        <v>42</v>
      </c>
      <c r="O205" s="9">
        <v>10421</v>
      </c>
      <c r="P205" s="9" t="s">
        <v>823</v>
      </c>
      <c r="Q205" s="10">
        <v>2</v>
      </c>
      <c r="R205" s="10">
        <v>0</v>
      </c>
      <c r="S205" s="10">
        <v>200000</v>
      </c>
      <c r="T205" s="10">
        <v>0</v>
      </c>
      <c r="U205" s="10">
        <v>100000</v>
      </c>
      <c r="V205" s="10">
        <v>0</v>
      </c>
      <c r="W205" s="10">
        <v>300000</v>
      </c>
      <c r="X205" s="10">
        <v>5400000</v>
      </c>
      <c r="Y205" s="10">
        <v>0</v>
      </c>
      <c r="Z205" s="10">
        <v>5100000</v>
      </c>
      <c r="AA205" s="10">
        <v>4800000</v>
      </c>
      <c r="AB205" s="10">
        <v>5400000</v>
      </c>
      <c r="AC205" s="10">
        <v>0</v>
      </c>
      <c r="AD205" s="9" t="s">
        <v>44</v>
      </c>
      <c r="AE205" s="10" t="s">
        <v>2290</v>
      </c>
      <c r="AF205" s="10">
        <v>2700000</v>
      </c>
      <c r="AG205" s="10">
        <v>1</v>
      </c>
      <c r="AH205" s="10">
        <v>1</v>
      </c>
      <c r="AI205" s="10">
        <v>1</v>
      </c>
      <c r="AJ205" s="12" t="s">
        <v>824</v>
      </c>
      <c r="AK205" s="10">
        <v>0</v>
      </c>
      <c r="AL205" s="10">
        <v>0</v>
      </c>
      <c r="AM205" s="9">
        <v>1990</v>
      </c>
      <c r="AN205" s="10">
        <v>0</v>
      </c>
      <c r="AO205" s="10">
        <v>2</v>
      </c>
      <c r="AP205" s="6"/>
      <c r="AQ205" s="7"/>
      <c r="AR205" s="8"/>
      <c r="AS205" s="4">
        <f t="shared" si="9"/>
        <v>300000</v>
      </c>
      <c r="AT205" s="4">
        <f t="shared" si="10"/>
        <v>3132001.4738830468</v>
      </c>
      <c r="AU205" s="4">
        <f t="shared" si="11"/>
        <v>2267998.5261169532</v>
      </c>
      <c r="AV205" s="9" t="s">
        <v>823</v>
      </c>
      <c r="AW205" s="12" t="s">
        <v>824</v>
      </c>
      <c r="AX205" s="10">
        <v>0</v>
      </c>
      <c r="AY205">
        <f>S205*AU205/AS205</f>
        <v>1511999.0174113021</v>
      </c>
      <c r="AZ205">
        <f>AU205-AY205</f>
        <v>755999.50870565115</v>
      </c>
      <c r="BA205" s="10">
        <v>5400000</v>
      </c>
      <c r="BB205" s="10">
        <v>0</v>
      </c>
      <c r="BC205" s="9" t="s">
        <v>42</v>
      </c>
      <c r="BD205" s="9">
        <v>10421</v>
      </c>
      <c r="BE205" t="s">
        <v>46</v>
      </c>
    </row>
    <row r="206" spans="1:57" ht="270.75" thickBot="1" x14ac:dyDescent="0.3">
      <c r="A206" s="9" t="s">
        <v>825</v>
      </c>
      <c r="B206" s="9">
        <v>3001</v>
      </c>
      <c r="C206" s="10">
        <v>2</v>
      </c>
      <c r="D206" s="9" t="s">
        <v>37</v>
      </c>
      <c r="E206" s="11">
        <v>46259.57893476852</v>
      </c>
      <c r="F206" s="9" t="s">
        <v>826</v>
      </c>
      <c r="G206" s="9" t="s">
        <v>39</v>
      </c>
      <c r="H206" s="9">
        <v>53</v>
      </c>
      <c r="I206" s="9" t="s">
        <v>40</v>
      </c>
      <c r="J206" s="9">
        <v>5309</v>
      </c>
      <c r="K206" s="9" t="s">
        <v>41</v>
      </c>
      <c r="L206" s="9">
        <v>5309073</v>
      </c>
      <c r="M206" s="9">
        <v>5309073004</v>
      </c>
      <c r="N206" s="9" t="s">
        <v>42</v>
      </c>
      <c r="O206" s="9">
        <v>10421</v>
      </c>
      <c r="P206" s="9" t="s">
        <v>827</v>
      </c>
      <c r="Q206" s="10">
        <v>3</v>
      </c>
      <c r="R206" s="10">
        <v>0</v>
      </c>
      <c r="S206" s="10">
        <v>2300000</v>
      </c>
      <c r="T206" s="10">
        <v>0</v>
      </c>
      <c r="U206" s="10">
        <v>500000</v>
      </c>
      <c r="V206" s="10">
        <v>0</v>
      </c>
      <c r="W206" s="10">
        <v>2800000</v>
      </c>
      <c r="X206" s="10">
        <v>11650000</v>
      </c>
      <c r="Y206" s="10">
        <v>0</v>
      </c>
      <c r="Z206" s="10">
        <v>8850000</v>
      </c>
      <c r="AA206" s="10">
        <v>10000000</v>
      </c>
      <c r="AB206" s="10">
        <v>11650000</v>
      </c>
      <c r="AC206" s="10">
        <v>0</v>
      </c>
      <c r="AD206" s="9" t="s">
        <v>44</v>
      </c>
      <c r="AE206" s="10" t="s">
        <v>2380</v>
      </c>
      <c r="AF206" s="13">
        <v>3883333333</v>
      </c>
      <c r="AG206" s="10">
        <v>1</v>
      </c>
      <c r="AH206" s="10">
        <v>1</v>
      </c>
      <c r="AI206" s="10">
        <v>1</v>
      </c>
      <c r="AJ206" s="12" t="s">
        <v>828</v>
      </c>
      <c r="AK206" s="10">
        <v>0</v>
      </c>
      <c r="AL206" s="10">
        <v>0</v>
      </c>
      <c r="AM206" s="9">
        <v>2016</v>
      </c>
      <c r="AN206" s="10">
        <v>0</v>
      </c>
      <c r="AO206" s="10">
        <v>3</v>
      </c>
      <c r="AP206" s="6"/>
      <c r="AQ206" s="7"/>
      <c r="AR206" s="8"/>
      <c r="AS206" s="4">
        <f t="shared" si="9"/>
        <v>2800000</v>
      </c>
      <c r="AT206" s="4">
        <f t="shared" si="10"/>
        <v>6756996.907814974</v>
      </c>
      <c r="AU206" s="4">
        <f t="shared" si="11"/>
        <v>4893003.092185026</v>
      </c>
      <c r="AV206" s="9" t="s">
        <v>827</v>
      </c>
      <c r="AW206" s="12" t="s">
        <v>828</v>
      </c>
      <c r="AX206" s="10">
        <v>0</v>
      </c>
      <c r="AY206">
        <f>S206*AU206/AS206</f>
        <v>4019252.5400091289</v>
      </c>
      <c r="AZ206">
        <f>AU206-AY206</f>
        <v>873750.55217589717</v>
      </c>
      <c r="BA206" s="10">
        <v>11650000</v>
      </c>
      <c r="BB206" s="10">
        <v>0</v>
      </c>
      <c r="BC206" s="9" t="s">
        <v>42</v>
      </c>
      <c r="BD206" s="9">
        <v>10421</v>
      </c>
      <c r="BE206" t="s">
        <v>46</v>
      </c>
    </row>
    <row r="207" spans="1:57" ht="270.75" thickBot="1" x14ac:dyDescent="0.3">
      <c r="A207" s="9" t="s">
        <v>829</v>
      </c>
      <c r="B207" s="9">
        <v>3001</v>
      </c>
      <c r="C207" s="10">
        <v>2</v>
      </c>
      <c r="D207" s="9" t="s">
        <v>84</v>
      </c>
      <c r="E207" s="11">
        <v>46315.264269270832</v>
      </c>
      <c r="F207" s="9" t="s">
        <v>830</v>
      </c>
      <c r="G207" s="9" t="s">
        <v>39</v>
      </c>
      <c r="H207" s="9">
        <v>53</v>
      </c>
      <c r="I207" s="9" t="s">
        <v>40</v>
      </c>
      <c r="J207" s="9">
        <v>5309</v>
      </c>
      <c r="K207" s="9" t="s">
        <v>41</v>
      </c>
      <c r="L207" s="9">
        <v>5309062</v>
      </c>
      <c r="M207" s="9">
        <v>5309062004</v>
      </c>
      <c r="N207" s="9" t="s">
        <v>42</v>
      </c>
      <c r="O207" s="9">
        <v>10421</v>
      </c>
      <c r="P207" s="9" t="s">
        <v>831</v>
      </c>
      <c r="Q207" s="10">
        <v>3</v>
      </c>
      <c r="R207" s="10">
        <v>0</v>
      </c>
      <c r="S207" s="10">
        <v>150000</v>
      </c>
      <c r="T207" s="10">
        <v>0</v>
      </c>
      <c r="U207" s="10">
        <v>50000</v>
      </c>
      <c r="V207" s="10">
        <v>0</v>
      </c>
      <c r="W207" s="10">
        <v>200000</v>
      </c>
      <c r="X207" s="10">
        <v>10500000</v>
      </c>
      <c r="Y207" s="10">
        <v>0</v>
      </c>
      <c r="Z207" s="10">
        <v>10300000</v>
      </c>
      <c r="AA207" s="10">
        <v>5100000</v>
      </c>
      <c r="AB207" s="10">
        <v>10500000</v>
      </c>
      <c r="AC207" s="10">
        <v>0</v>
      </c>
      <c r="AD207" s="9" t="s">
        <v>44</v>
      </c>
      <c r="AE207" s="10" t="s">
        <v>2381</v>
      </c>
      <c r="AF207" s="10">
        <v>3500000</v>
      </c>
      <c r="AG207" s="10">
        <v>1</v>
      </c>
      <c r="AH207" s="10">
        <v>1</v>
      </c>
      <c r="AI207" s="10">
        <v>1</v>
      </c>
      <c r="AJ207" s="12" t="s">
        <v>832</v>
      </c>
      <c r="AK207" s="10">
        <v>0</v>
      </c>
      <c r="AL207" s="10">
        <v>0</v>
      </c>
      <c r="AM207" s="9">
        <v>2023</v>
      </c>
      <c r="AN207" s="10">
        <v>0</v>
      </c>
      <c r="AO207" s="10">
        <v>3</v>
      </c>
      <c r="AP207" s="6"/>
      <c r="AQ207" s="7"/>
      <c r="AR207" s="8"/>
      <c r="AS207" s="4">
        <f t="shared" si="9"/>
        <v>200000</v>
      </c>
      <c r="AT207" s="4">
        <f t="shared" si="10"/>
        <v>6090002.3650494618</v>
      </c>
      <c r="AU207" s="4">
        <f t="shared" si="11"/>
        <v>4409997.6349505382</v>
      </c>
      <c r="AV207" s="9" t="s">
        <v>831</v>
      </c>
      <c r="AW207" s="12" t="s">
        <v>832</v>
      </c>
      <c r="AX207" s="10">
        <v>0</v>
      </c>
      <c r="AY207">
        <f>S207*AU207/AS207</f>
        <v>3307498.2262129034</v>
      </c>
      <c r="AZ207">
        <f>AU207-AY207</f>
        <v>1102499.4087376348</v>
      </c>
      <c r="BA207" s="10">
        <v>10500000</v>
      </c>
      <c r="BB207" s="10">
        <v>0</v>
      </c>
      <c r="BC207" s="9" t="s">
        <v>42</v>
      </c>
      <c r="BD207" s="9">
        <v>10421</v>
      </c>
      <c r="BE207" t="s">
        <v>46</v>
      </c>
    </row>
    <row r="208" spans="1:57" ht="270.75" thickBot="1" x14ac:dyDescent="0.3">
      <c r="A208" s="9" t="s">
        <v>833</v>
      </c>
      <c r="B208" s="9">
        <v>3001</v>
      </c>
      <c r="C208" s="10">
        <v>2</v>
      </c>
      <c r="D208" s="9" t="s">
        <v>37</v>
      </c>
      <c r="E208" s="11">
        <v>46263.03838111111</v>
      </c>
      <c r="F208" s="9" t="s">
        <v>834</v>
      </c>
      <c r="G208" s="9" t="s">
        <v>39</v>
      </c>
      <c r="H208" s="9">
        <v>53</v>
      </c>
      <c r="I208" s="9" t="s">
        <v>40</v>
      </c>
      <c r="J208" s="9">
        <v>5309</v>
      </c>
      <c r="K208" s="9" t="s">
        <v>41</v>
      </c>
      <c r="L208" s="9">
        <v>5309073</v>
      </c>
      <c r="M208" s="9">
        <v>5309073003</v>
      </c>
      <c r="N208" s="9" t="s">
        <v>42</v>
      </c>
      <c r="O208" s="9">
        <v>10421</v>
      </c>
      <c r="P208" s="9" t="s">
        <v>835</v>
      </c>
      <c r="Q208" s="10">
        <v>2</v>
      </c>
      <c r="R208" s="10">
        <v>600000</v>
      </c>
      <c r="S208" s="10">
        <v>200000</v>
      </c>
      <c r="T208" s="10">
        <v>0</v>
      </c>
      <c r="U208" s="10">
        <v>50000</v>
      </c>
      <c r="V208" s="10">
        <v>0</v>
      </c>
      <c r="W208" s="10">
        <v>850000</v>
      </c>
      <c r="X208" s="10">
        <v>6000000</v>
      </c>
      <c r="Y208" s="10">
        <v>0</v>
      </c>
      <c r="Z208" s="10">
        <v>5750000</v>
      </c>
      <c r="AA208" s="10">
        <v>1500000</v>
      </c>
      <c r="AB208" s="10">
        <v>6000000</v>
      </c>
      <c r="AC208" s="10">
        <v>0</v>
      </c>
      <c r="AD208" s="9" t="s">
        <v>44</v>
      </c>
      <c r="AE208" s="10" t="s">
        <v>2257</v>
      </c>
      <c r="AF208" s="10">
        <v>3000000</v>
      </c>
      <c r="AG208" s="10">
        <v>1</v>
      </c>
      <c r="AH208" s="10">
        <v>1</v>
      </c>
      <c r="AI208" s="10">
        <v>1</v>
      </c>
      <c r="AJ208" s="12" t="s">
        <v>836</v>
      </c>
      <c r="AK208" s="10">
        <v>0</v>
      </c>
      <c r="AL208" s="10">
        <v>0</v>
      </c>
      <c r="AM208" s="9">
        <v>2022</v>
      </c>
      <c r="AN208" s="10">
        <v>1</v>
      </c>
      <c r="AO208" s="10">
        <v>1</v>
      </c>
      <c r="AP208" s="6"/>
      <c r="AQ208" s="7"/>
      <c r="AR208" s="8"/>
      <c r="AS208" s="4">
        <f t="shared" si="9"/>
        <v>250000</v>
      </c>
      <c r="AT208" s="4">
        <f t="shared" si="10"/>
        <v>3480001.2104352037</v>
      </c>
      <c r="AU208" s="4">
        <f t="shared" si="11"/>
        <v>2519998.7895647963</v>
      </c>
      <c r="AV208" s="9" t="s">
        <v>835</v>
      </c>
      <c r="AW208" s="12" t="s">
        <v>836</v>
      </c>
      <c r="AX208" s="10">
        <v>0</v>
      </c>
      <c r="AY208">
        <f>S208*AU208/AS208</f>
        <v>2015999.0316518368</v>
      </c>
      <c r="AZ208">
        <f>AU208-AY208</f>
        <v>503999.75791295944</v>
      </c>
      <c r="BA208" s="10">
        <v>6000000</v>
      </c>
      <c r="BB208" s="10">
        <v>0</v>
      </c>
      <c r="BC208" s="9" t="s">
        <v>42</v>
      </c>
      <c r="BD208" s="9">
        <v>10421</v>
      </c>
      <c r="BE208" t="s">
        <v>46</v>
      </c>
    </row>
    <row r="209" spans="1:57" ht="270.75" thickBot="1" x14ac:dyDescent="0.3">
      <c r="A209" s="9" t="s">
        <v>837</v>
      </c>
      <c r="B209" s="9">
        <v>3001</v>
      </c>
      <c r="C209" s="10">
        <v>2</v>
      </c>
      <c r="D209" s="9" t="s">
        <v>84</v>
      </c>
      <c r="E209" s="11">
        <v>46309.365313530092</v>
      </c>
      <c r="F209" s="9" t="s">
        <v>838</v>
      </c>
      <c r="G209" s="9" t="s">
        <v>39</v>
      </c>
      <c r="H209" s="9">
        <v>53</v>
      </c>
      <c r="I209" s="9" t="s">
        <v>40</v>
      </c>
      <c r="J209" s="9">
        <v>5309</v>
      </c>
      <c r="K209" s="9" t="s">
        <v>41</v>
      </c>
      <c r="L209" s="9">
        <v>5309062</v>
      </c>
      <c r="M209" s="9">
        <v>5309062009</v>
      </c>
      <c r="N209" s="9" t="s">
        <v>42</v>
      </c>
      <c r="O209" s="9">
        <v>10421</v>
      </c>
      <c r="P209" s="9" t="s">
        <v>839</v>
      </c>
      <c r="Q209" s="10">
        <v>8</v>
      </c>
      <c r="R209" s="10">
        <v>2310000</v>
      </c>
      <c r="S209" s="10">
        <v>400000</v>
      </c>
      <c r="T209" s="10">
        <v>0</v>
      </c>
      <c r="U209" s="10">
        <v>700000</v>
      </c>
      <c r="V209" s="10">
        <v>0</v>
      </c>
      <c r="W209" s="10">
        <v>3410000</v>
      </c>
      <c r="X209" s="10">
        <v>15600000</v>
      </c>
      <c r="Y209" s="10">
        <v>0</v>
      </c>
      <c r="Z209" s="10">
        <v>14500000</v>
      </c>
      <c r="AA209" s="10">
        <v>4800000</v>
      </c>
      <c r="AB209" s="10">
        <v>15600000</v>
      </c>
      <c r="AC209" s="10">
        <v>0</v>
      </c>
      <c r="AD209" s="9" t="s">
        <v>44</v>
      </c>
      <c r="AE209" s="10" t="s">
        <v>2382</v>
      </c>
      <c r="AF209" s="10">
        <v>1950000</v>
      </c>
      <c r="AG209" s="10">
        <v>1</v>
      </c>
      <c r="AH209" s="10">
        <v>1</v>
      </c>
      <c r="AI209" s="10">
        <v>1</v>
      </c>
      <c r="AJ209" s="12" t="s">
        <v>840</v>
      </c>
      <c r="AK209" s="10">
        <v>0</v>
      </c>
      <c r="AL209" s="10">
        <v>0</v>
      </c>
      <c r="AM209" s="9">
        <v>2019</v>
      </c>
      <c r="AN209" s="10">
        <v>7</v>
      </c>
      <c r="AO209" s="10">
        <v>1</v>
      </c>
      <c r="AP209" s="6"/>
      <c r="AQ209" s="7"/>
      <c r="AR209" s="8"/>
      <c r="AS209" s="4">
        <f t="shared" si="9"/>
        <v>1100000</v>
      </c>
      <c r="AT209" s="4">
        <f t="shared" si="10"/>
        <v>9048001.7472003382</v>
      </c>
      <c r="AU209" s="4">
        <f t="shared" si="11"/>
        <v>6551998.2527996618</v>
      </c>
      <c r="AV209" s="9" t="s">
        <v>839</v>
      </c>
      <c r="AW209" s="12" t="s">
        <v>840</v>
      </c>
      <c r="AX209" s="10">
        <v>0</v>
      </c>
      <c r="AY209">
        <f>S209*AU209/AS209</f>
        <v>2382544.8191998769</v>
      </c>
      <c r="AZ209">
        <f>AU209-AY209</f>
        <v>4169453.433599785</v>
      </c>
      <c r="BA209" s="10">
        <v>15600000</v>
      </c>
      <c r="BB209" s="10">
        <v>0</v>
      </c>
      <c r="BC209" s="9" t="s">
        <v>42</v>
      </c>
      <c r="BD209" s="9">
        <v>10421</v>
      </c>
      <c r="BE209" t="s">
        <v>46</v>
      </c>
    </row>
    <row r="210" spans="1:57" ht="270.75" thickBot="1" x14ac:dyDescent="0.3">
      <c r="A210" s="9" t="s">
        <v>841</v>
      </c>
      <c r="B210" s="9">
        <v>3002</v>
      </c>
      <c r="C210" s="10">
        <v>2</v>
      </c>
      <c r="D210" s="9" t="s">
        <v>37</v>
      </c>
      <c r="E210" s="14">
        <v>46221.230254629627</v>
      </c>
      <c r="F210" s="9" t="s">
        <v>842</v>
      </c>
      <c r="G210" s="9" t="s">
        <v>39</v>
      </c>
      <c r="H210" s="9">
        <v>53</v>
      </c>
      <c r="I210" s="9" t="s">
        <v>40</v>
      </c>
      <c r="J210" s="9">
        <v>5309</v>
      </c>
      <c r="K210" s="9" t="s">
        <v>41</v>
      </c>
      <c r="L210" s="9">
        <v>5309062</v>
      </c>
      <c r="M210" s="9">
        <v>5309062003</v>
      </c>
      <c r="N210" s="9" t="s">
        <v>42</v>
      </c>
      <c r="O210" s="9">
        <v>10421</v>
      </c>
      <c r="P210" s="9" t="s">
        <v>843</v>
      </c>
      <c r="Q210" s="10">
        <v>3</v>
      </c>
      <c r="R210" s="10">
        <v>200000</v>
      </c>
      <c r="S210" s="10">
        <v>100000</v>
      </c>
      <c r="T210" s="10">
        <v>0</v>
      </c>
      <c r="U210" s="10">
        <v>400000</v>
      </c>
      <c r="V210" s="10">
        <v>0</v>
      </c>
      <c r="W210" s="10">
        <v>700000</v>
      </c>
      <c r="X210" s="10">
        <v>4000000</v>
      </c>
      <c r="Y210" s="10">
        <v>0</v>
      </c>
      <c r="Z210" s="10">
        <v>3500000</v>
      </c>
      <c r="AA210" s="10">
        <v>4800000</v>
      </c>
      <c r="AB210" s="10">
        <v>4000000</v>
      </c>
      <c r="AC210" s="10">
        <v>0</v>
      </c>
      <c r="AD210" s="9" t="s">
        <v>44</v>
      </c>
      <c r="AE210" s="10" t="s">
        <v>2226</v>
      </c>
      <c r="AF210" s="13">
        <v>1333333333</v>
      </c>
      <c r="AG210" s="10">
        <v>1</v>
      </c>
      <c r="AH210" s="10">
        <v>1</v>
      </c>
      <c r="AI210" s="10">
        <v>1</v>
      </c>
      <c r="AJ210" s="12" t="s">
        <v>844</v>
      </c>
      <c r="AK210" s="10">
        <v>0</v>
      </c>
      <c r="AL210" s="10">
        <v>0</v>
      </c>
      <c r="AM210" s="9">
        <v>2000</v>
      </c>
      <c r="AN210" s="10">
        <v>1</v>
      </c>
      <c r="AO210" s="10">
        <v>2</v>
      </c>
      <c r="AP210" s="6"/>
      <c r="AQ210" s="7"/>
      <c r="AR210" s="8"/>
      <c r="AS210" s="4">
        <f t="shared" si="9"/>
        <v>500000</v>
      </c>
      <c r="AT210" s="4">
        <f t="shared" si="10"/>
        <v>2319999.9999999995</v>
      </c>
      <c r="AU210" s="4">
        <f t="shared" si="11"/>
        <v>1680000.0000000005</v>
      </c>
      <c r="AV210" s="9" t="s">
        <v>843</v>
      </c>
      <c r="AW210" s="12" t="s">
        <v>844</v>
      </c>
      <c r="AX210" s="10">
        <v>0</v>
      </c>
      <c r="AY210">
        <f>S210*AU210/AS210</f>
        <v>336000.00000000012</v>
      </c>
      <c r="AZ210">
        <f>AU210-AY210</f>
        <v>1344000.0000000005</v>
      </c>
      <c r="BA210" s="10">
        <v>4000000</v>
      </c>
      <c r="BB210" s="10">
        <v>0</v>
      </c>
      <c r="BC210" s="9" t="s">
        <v>42</v>
      </c>
      <c r="BD210" s="9">
        <v>10421</v>
      </c>
      <c r="BE210" t="s">
        <v>46</v>
      </c>
    </row>
    <row r="211" spans="1:57" ht="270.75" thickBot="1" x14ac:dyDescent="0.3">
      <c r="A211" s="9" t="s">
        <v>845</v>
      </c>
      <c r="B211" s="9">
        <v>3001</v>
      </c>
      <c r="C211" s="10">
        <v>2</v>
      </c>
      <c r="D211" s="9" t="s">
        <v>37</v>
      </c>
      <c r="E211" s="11">
        <v>46215.364185497689</v>
      </c>
      <c r="F211" s="9" t="s">
        <v>846</v>
      </c>
      <c r="G211" s="9" t="s">
        <v>39</v>
      </c>
      <c r="H211" s="9">
        <v>53</v>
      </c>
      <c r="I211" s="9" t="s">
        <v>40</v>
      </c>
      <c r="J211" s="9">
        <v>5309</v>
      </c>
      <c r="K211" s="9" t="s">
        <v>41</v>
      </c>
      <c r="L211" s="9">
        <v>5309062</v>
      </c>
      <c r="M211" s="9">
        <v>5309062004</v>
      </c>
      <c r="N211" s="9" t="s">
        <v>42</v>
      </c>
      <c r="O211" s="9">
        <v>10421</v>
      </c>
      <c r="P211" s="9" t="s">
        <v>847</v>
      </c>
      <c r="Q211" s="10">
        <v>2</v>
      </c>
      <c r="R211" s="10">
        <v>0</v>
      </c>
      <c r="S211" s="10">
        <v>450000</v>
      </c>
      <c r="T211" s="10">
        <v>0</v>
      </c>
      <c r="U211" s="10">
        <v>100000</v>
      </c>
      <c r="V211" s="10">
        <v>0</v>
      </c>
      <c r="W211" s="10">
        <v>550000</v>
      </c>
      <c r="X211" s="10">
        <v>11400000</v>
      </c>
      <c r="Y211" s="10">
        <v>0</v>
      </c>
      <c r="Z211" s="10">
        <v>10850000</v>
      </c>
      <c r="AA211" s="10">
        <v>5100000</v>
      </c>
      <c r="AB211" s="10">
        <v>11400000</v>
      </c>
      <c r="AC211" s="10">
        <v>0</v>
      </c>
      <c r="AD211" s="9" t="s">
        <v>44</v>
      </c>
      <c r="AE211" s="10" t="s">
        <v>2383</v>
      </c>
      <c r="AF211" s="10">
        <v>5700000</v>
      </c>
      <c r="AG211" s="10">
        <v>1</v>
      </c>
      <c r="AH211" s="10">
        <v>1</v>
      </c>
      <c r="AI211" s="10">
        <v>1</v>
      </c>
      <c r="AJ211" s="12" t="s">
        <v>848</v>
      </c>
      <c r="AK211" s="10">
        <v>0</v>
      </c>
      <c r="AL211" s="10">
        <v>0</v>
      </c>
      <c r="AM211" s="9">
        <v>2023</v>
      </c>
      <c r="AN211" s="10">
        <v>0</v>
      </c>
      <c r="AO211" s="10">
        <v>2</v>
      </c>
      <c r="AP211" s="6"/>
      <c r="AQ211" s="7"/>
      <c r="AR211" s="8"/>
      <c r="AS211" s="4">
        <f t="shared" si="9"/>
        <v>550000</v>
      </c>
      <c r="AT211" s="4">
        <f t="shared" si="10"/>
        <v>6612002.6813651426</v>
      </c>
      <c r="AU211" s="4">
        <f t="shared" si="11"/>
        <v>4787997.3186348574</v>
      </c>
      <c r="AV211" s="9" t="s">
        <v>847</v>
      </c>
      <c r="AW211" s="12" t="s">
        <v>848</v>
      </c>
      <c r="AX211" s="10">
        <v>0</v>
      </c>
      <c r="AY211">
        <f>S211*AU211/AS211</f>
        <v>3917452.3516103378</v>
      </c>
      <c r="AZ211">
        <f>AU211-AY211</f>
        <v>870544.96702451957</v>
      </c>
      <c r="BA211" s="10">
        <v>11400000</v>
      </c>
      <c r="BB211" s="10">
        <v>0</v>
      </c>
      <c r="BC211" s="9" t="s">
        <v>42</v>
      </c>
      <c r="BD211" s="9">
        <v>10421</v>
      </c>
      <c r="BE211" t="s">
        <v>46</v>
      </c>
    </row>
    <row r="212" spans="1:57" ht="270.75" thickBot="1" x14ac:dyDescent="0.3">
      <c r="A212" s="9" t="s">
        <v>849</v>
      </c>
      <c r="B212" s="9">
        <v>3002</v>
      </c>
      <c r="C212" s="10">
        <v>2</v>
      </c>
      <c r="D212" s="9" t="s">
        <v>37</v>
      </c>
      <c r="E212" s="11">
        <v>46262.49154909722</v>
      </c>
      <c r="F212" s="9" t="s">
        <v>850</v>
      </c>
      <c r="G212" s="9" t="s">
        <v>39</v>
      </c>
      <c r="H212" s="9">
        <v>53</v>
      </c>
      <c r="I212" s="9" t="s">
        <v>40</v>
      </c>
      <c r="J212" s="9">
        <v>5309</v>
      </c>
      <c r="K212" s="9" t="s">
        <v>41</v>
      </c>
      <c r="L212" s="9">
        <v>5309031</v>
      </c>
      <c r="M212" s="9">
        <v>5309031003</v>
      </c>
      <c r="N212" s="9" t="s">
        <v>42</v>
      </c>
      <c r="O212" s="9">
        <v>10421</v>
      </c>
      <c r="P212" s="9" t="s">
        <v>851</v>
      </c>
      <c r="Q212" s="10">
        <v>3</v>
      </c>
      <c r="R212" s="10">
        <v>126000</v>
      </c>
      <c r="S212" s="10">
        <v>225000</v>
      </c>
      <c r="T212" s="10">
        <v>0</v>
      </c>
      <c r="U212" s="10">
        <v>0</v>
      </c>
      <c r="V212" s="10">
        <v>5000</v>
      </c>
      <c r="W212" s="10">
        <v>356000</v>
      </c>
      <c r="X212" s="10">
        <v>1260000</v>
      </c>
      <c r="Y212" s="10">
        <v>0</v>
      </c>
      <c r="Z212" s="10">
        <v>1035000</v>
      </c>
      <c r="AA212" s="10">
        <v>2100000</v>
      </c>
      <c r="AB212" s="10">
        <v>1260000</v>
      </c>
      <c r="AC212" s="10">
        <v>0</v>
      </c>
      <c r="AD212" s="9" t="s">
        <v>44</v>
      </c>
      <c r="AE212" s="10" t="s">
        <v>2384</v>
      </c>
      <c r="AF212" s="10">
        <v>420000</v>
      </c>
      <c r="AG212" s="10">
        <v>1</v>
      </c>
      <c r="AH212" s="10">
        <v>1</v>
      </c>
      <c r="AI212" s="10">
        <v>1</v>
      </c>
      <c r="AJ212" s="12" t="s">
        <v>852</v>
      </c>
      <c r="AK212" s="10">
        <v>0</v>
      </c>
      <c r="AL212" s="10">
        <v>0</v>
      </c>
      <c r="AM212" s="9">
        <v>2015</v>
      </c>
      <c r="AN212" s="10">
        <v>1</v>
      </c>
      <c r="AO212" s="10">
        <v>2</v>
      </c>
      <c r="AP212" s="6"/>
      <c r="AQ212" s="7"/>
      <c r="AR212" s="8"/>
      <c r="AS212" s="4">
        <f t="shared" si="9"/>
        <v>225000</v>
      </c>
      <c r="AT212" s="4">
        <f t="shared" si="10"/>
        <v>730799.61871324247</v>
      </c>
      <c r="AU212" s="4">
        <f t="shared" si="11"/>
        <v>529200.38128675753</v>
      </c>
      <c r="AV212" s="9" t="s">
        <v>851</v>
      </c>
      <c r="AW212" s="12" t="s">
        <v>852</v>
      </c>
      <c r="AX212" s="10">
        <v>0</v>
      </c>
      <c r="AY212">
        <f>S212*AU212/AS212</f>
        <v>529200.38128675753</v>
      </c>
      <c r="AZ212">
        <f>AU212-AY212</f>
        <v>0</v>
      </c>
      <c r="BA212" s="10">
        <v>1260000</v>
      </c>
      <c r="BB212" s="10">
        <v>0</v>
      </c>
      <c r="BC212" s="9" t="s">
        <v>42</v>
      </c>
      <c r="BD212" s="9">
        <v>10421</v>
      </c>
      <c r="BE212" t="s">
        <v>46</v>
      </c>
    </row>
    <row r="213" spans="1:57" ht="270.75" thickBot="1" x14ac:dyDescent="0.3">
      <c r="A213" s="9" t="s">
        <v>853</v>
      </c>
      <c r="B213" s="9">
        <v>3001</v>
      </c>
      <c r="C213" s="10">
        <v>2</v>
      </c>
      <c r="D213" s="9" t="s">
        <v>37</v>
      </c>
      <c r="E213" s="14">
        <v>46238.9608912037</v>
      </c>
      <c r="F213" s="9" t="s">
        <v>854</v>
      </c>
      <c r="G213" s="9" t="s">
        <v>39</v>
      </c>
      <c r="H213" s="9">
        <v>53</v>
      </c>
      <c r="I213" s="9" t="s">
        <v>40</v>
      </c>
      <c r="J213" s="9">
        <v>5309</v>
      </c>
      <c r="K213" s="9" t="s">
        <v>41</v>
      </c>
      <c r="L213" s="9">
        <v>5309072</v>
      </c>
      <c r="M213" s="9">
        <v>5309072006</v>
      </c>
      <c r="N213" s="9" t="s">
        <v>42</v>
      </c>
      <c r="O213" s="9">
        <v>10421</v>
      </c>
      <c r="P213" s="9" t="s">
        <v>855</v>
      </c>
      <c r="Q213" s="10">
        <v>1</v>
      </c>
      <c r="R213" s="10">
        <v>0</v>
      </c>
      <c r="S213" s="10">
        <v>100000</v>
      </c>
      <c r="T213" s="10">
        <v>0</v>
      </c>
      <c r="U213" s="10">
        <v>50000</v>
      </c>
      <c r="V213" s="10">
        <v>0</v>
      </c>
      <c r="W213" s="10">
        <v>150000</v>
      </c>
      <c r="X213" s="10">
        <v>700000</v>
      </c>
      <c r="Y213" s="10">
        <v>0</v>
      </c>
      <c r="Z213" s="10">
        <v>550000</v>
      </c>
      <c r="AA213" s="10">
        <v>10000000</v>
      </c>
      <c r="AB213" s="10">
        <v>700000</v>
      </c>
      <c r="AC213" s="10">
        <v>0</v>
      </c>
      <c r="AD213" s="9" t="s">
        <v>44</v>
      </c>
      <c r="AE213" s="10" t="s">
        <v>2385</v>
      </c>
      <c r="AF213" s="10">
        <v>700000</v>
      </c>
      <c r="AG213" s="10">
        <v>1</v>
      </c>
      <c r="AH213" s="10">
        <v>1</v>
      </c>
      <c r="AI213" s="10">
        <v>1</v>
      </c>
      <c r="AJ213" s="12" t="s">
        <v>856</v>
      </c>
      <c r="AK213" s="10">
        <v>0</v>
      </c>
      <c r="AL213" s="10">
        <v>0</v>
      </c>
      <c r="AM213" s="9">
        <v>2020</v>
      </c>
      <c r="AN213" s="10">
        <v>0</v>
      </c>
      <c r="AO213" s="10">
        <v>1</v>
      </c>
      <c r="AP213" s="6"/>
      <c r="AQ213" s="7"/>
      <c r="AR213" s="8"/>
      <c r="AS213" s="4">
        <f t="shared" si="9"/>
        <v>150000</v>
      </c>
      <c r="AT213" s="4">
        <f t="shared" si="10"/>
        <v>406000.1476364173</v>
      </c>
      <c r="AU213" s="4">
        <f t="shared" si="11"/>
        <v>293999.8523635827</v>
      </c>
      <c r="AV213" s="9" t="s">
        <v>855</v>
      </c>
      <c r="AW213" s="12" t="s">
        <v>856</v>
      </c>
      <c r="AX213" s="10">
        <v>0</v>
      </c>
      <c r="AY213">
        <f>S213*AU213/AS213</f>
        <v>195999.9015757218</v>
      </c>
      <c r="AZ213">
        <f>AU213-AY213</f>
        <v>97999.9507878609</v>
      </c>
      <c r="BA213" s="10">
        <v>700000</v>
      </c>
      <c r="BB213" s="10">
        <v>0</v>
      </c>
      <c r="BC213" s="9" t="s">
        <v>42</v>
      </c>
      <c r="BD213" s="9">
        <v>10421</v>
      </c>
      <c r="BE213" t="s">
        <v>46</v>
      </c>
    </row>
    <row r="214" spans="1:57" ht="270.75" thickBot="1" x14ac:dyDescent="0.3">
      <c r="A214" s="9" t="s">
        <v>857</v>
      </c>
      <c r="B214" s="9">
        <v>3001</v>
      </c>
      <c r="C214" s="10">
        <v>2</v>
      </c>
      <c r="D214" s="9" t="s">
        <v>37</v>
      </c>
      <c r="E214" s="14">
        <v>46216.544062499997</v>
      </c>
      <c r="F214" s="9" t="s">
        <v>858</v>
      </c>
      <c r="G214" s="9" t="s">
        <v>39</v>
      </c>
      <c r="H214" s="9">
        <v>53</v>
      </c>
      <c r="I214" s="9" t="s">
        <v>40</v>
      </c>
      <c r="J214" s="9">
        <v>5309</v>
      </c>
      <c r="K214" s="9" t="s">
        <v>41</v>
      </c>
      <c r="L214" s="9">
        <v>5309062</v>
      </c>
      <c r="M214" s="9">
        <v>5309062009</v>
      </c>
      <c r="N214" s="9" t="s">
        <v>42</v>
      </c>
      <c r="O214" s="9">
        <v>10421</v>
      </c>
      <c r="P214" s="9" t="s">
        <v>859</v>
      </c>
      <c r="Q214" s="10">
        <v>7</v>
      </c>
      <c r="R214" s="10">
        <v>1750000</v>
      </c>
      <c r="S214" s="10">
        <v>500000</v>
      </c>
      <c r="T214" s="10">
        <v>0</v>
      </c>
      <c r="U214" s="10">
        <v>300000</v>
      </c>
      <c r="V214" s="10">
        <v>0</v>
      </c>
      <c r="W214" s="10">
        <v>2550000</v>
      </c>
      <c r="X214" s="10">
        <v>10000000</v>
      </c>
      <c r="Y214" s="10">
        <v>0</v>
      </c>
      <c r="Z214" s="10">
        <v>9200000</v>
      </c>
      <c r="AA214" s="10">
        <v>6300000</v>
      </c>
      <c r="AB214" s="10">
        <v>10000000</v>
      </c>
      <c r="AC214" s="10">
        <v>0</v>
      </c>
      <c r="AD214" s="9" t="s">
        <v>44</v>
      </c>
      <c r="AE214" s="10" t="s">
        <v>340</v>
      </c>
      <c r="AF214" s="13">
        <v>1428571429</v>
      </c>
      <c r="AG214" s="10">
        <v>1</v>
      </c>
      <c r="AH214" s="10">
        <v>1</v>
      </c>
      <c r="AI214" s="10">
        <v>1</v>
      </c>
      <c r="AJ214" s="12" t="s">
        <v>860</v>
      </c>
      <c r="AK214" s="10">
        <v>0</v>
      </c>
      <c r="AL214" s="10">
        <v>0</v>
      </c>
      <c r="AM214" s="9">
        <v>2017</v>
      </c>
      <c r="AN214" s="10">
        <v>5</v>
      </c>
      <c r="AO214" s="10">
        <v>2</v>
      </c>
      <c r="AP214" s="6"/>
      <c r="AQ214" s="7"/>
      <c r="AR214" s="8"/>
      <c r="AS214" s="4">
        <f t="shared" si="9"/>
        <v>800000</v>
      </c>
      <c r="AT214" s="4">
        <f t="shared" si="10"/>
        <v>5800000</v>
      </c>
      <c r="AU214" s="4">
        <f t="shared" si="11"/>
        <v>4200000</v>
      </c>
      <c r="AV214" s="9" t="s">
        <v>859</v>
      </c>
      <c r="AW214" s="12" t="s">
        <v>860</v>
      </c>
      <c r="AX214" s="10">
        <v>0</v>
      </c>
      <c r="AY214">
        <f>S214*AU214/AS214</f>
        <v>2625000</v>
      </c>
      <c r="AZ214">
        <f>AU214-AY214</f>
        <v>1575000</v>
      </c>
      <c r="BA214" s="10">
        <v>10000000</v>
      </c>
      <c r="BB214" s="10">
        <v>0</v>
      </c>
      <c r="BC214" s="9" t="s">
        <v>42</v>
      </c>
      <c r="BD214" s="9">
        <v>10421</v>
      </c>
      <c r="BE214" t="s">
        <v>46</v>
      </c>
    </row>
    <row r="215" spans="1:57" ht="270.75" thickBot="1" x14ac:dyDescent="0.3">
      <c r="A215" s="9" t="s">
        <v>861</v>
      </c>
      <c r="B215" s="9">
        <v>3001</v>
      </c>
      <c r="C215" s="10">
        <v>2</v>
      </c>
      <c r="D215" s="9" t="s">
        <v>37</v>
      </c>
      <c r="E215" s="11">
        <v>46241.178325555557</v>
      </c>
      <c r="F215" s="9" t="s">
        <v>862</v>
      </c>
      <c r="G215" s="9" t="s">
        <v>39</v>
      </c>
      <c r="H215" s="9">
        <v>53</v>
      </c>
      <c r="I215" s="9" t="s">
        <v>40</v>
      </c>
      <c r="J215" s="9">
        <v>5309</v>
      </c>
      <c r="K215" s="9" t="s">
        <v>41</v>
      </c>
      <c r="L215" s="9">
        <v>5309062</v>
      </c>
      <c r="M215" s="9">
        <v>5309062006</v>
      </c>
      <c r="N215" s="9" t="s">
        <v>42</v>
      </c>
      <c r="O215" s="9">
        <v>10421</v>
      </c>
      <c r="P215" s="9" t="s">
        <v>863</v>
      </c>
      <c r="Q215" s="10">
        <v>2</v>
      </c>
      <c r="R215" s="10">
        <v>0</v>
      </c>
      <c r="S215" s="10">
        <v>500000</v>
      </c>
      <c r="T215" s="10">
        <v>0</v>
      </c>
      <c r="U215" s="10">
        <v>300000</v>
      </c>
      <c r="V215" s="10">
        <v>0</v>
      </c>
      <c r="W215" s="10">
        <v>800000</v>
      </c>
      <c r="X215" s="10">
        <v>10400000</v>
      </c>
      <c r="Y215" s="10">
        <v>0</v>
      </c>
      <c r="Z215" s="10">
        <v>9600000</v>
      </c>
      <c r="AA215" s="10">
        <v>4500000</v>
      </c>
      <c r="AB215" s="10">
        <v>10400000</v>
      </c>
      <c r="AC215" s="10">
        <v>0</v>
      </c>
      <c r="AD215" s="9" t="s">
        <v>44</v>
      </c>
      <c r="AE215" s="10" t="s">
        <v>2307</v>
      </c>
      <c r="AF215" s="10">
        <v>5200000</v>
      </c>
      <c r="AG215" s="10">
        <v>1</v>
      </c>
      <c r="AH215" s="10">
        <v>1</v>
      </c>
      <c r="AI215" s="10">
        <v>1</v>
      </c>
      <c r="AJ215" s="12" t="s">
        <v>864</v>
      </c>
      <c r="AK215" s="10">
        <v>0</v>
      </c>
      <c r="AL215" s="10">
        <v>0</v>
      </c>
      <c r="AM215" s="9">
        <v>2005</v>
      </c>
      <c r="AN215" s="10">
        <v>0</v>
      </c>
      <c r="AO215" s="10">
        <v>2</v>
      </c>
      <c r="AP215" s="6"/>
      <c r="AQ215" s="7"/>
      <c r="AR215" s="8"/>
      <c r="AS215" s="4">
        <f t="shared" si="9"/>
        <v>800000</v>
      </c>
      <c r="AT215" s="4">
        <f t="shared" si="10"/>
        <v>6031999.4973333748</v>
      </c>
      <c r="AU215" s="4">
        <f t="shared" si="11"/>
        <v>4368000.5026666252</v>
      </c>
      <c r="AV215" s="9" t="s">
        <v>863</v>
      </c>
      <c r="AW215" s="12" t="s">
        <v>864</v>
      </c>
      <c r="AX215" s="10">
        <v>0</v>
      </c>
      <c r="AY215">
        <f>S215*AU215/AS215</f>
        <v>2730000.3141666404</v>
      </c>
      <c r="AZ215">
        <f>AU215-AY215</f>
        <v>1638000.1884999848</v>
      </c>
      <c r="BA215" s="10">
        <v>10400000</v>
      </c>
      <c r="BB215" s="10">
        <v>0</v>
      </c>
      <c r="BC215" s="9" t="s">
        <v>42</v>
      </c>
      <c r="BD215" s="9">
        <v>10421</v>
      </c>
      <c r="BE215" t="s">
        <v>46</v>
      </c>
    </row>
    <row r="216" spans="1:57" ht="270.75" thickBot="1" x14ac:dyDescent="0.3">
      <c r="A216" s="9" t="s">
        <v>865</v>
      </c>
      <c r="B216" s="9">
        <v>3001</v>
      </c>
      <c r="C216" s="10">
        <v>2</v>
      </c>
      <c r="D216" s="9" t="s">
        <v>37</v>
      </c>
      <c r="E216" s="14">
        <v>46215.38181712963</v>
      </c>
      <c r="F216" s="9" t="s">
        <v>866</v>
      </c>
      <c r="G216" s="9" t="s">
        <v>39</v>
      </c>
      <c r="H216" s="9">
        <v>53</v>
      </c>
      <c r="I216" s="9" t="s">
        <v>40</v>
      </c>
      <c r="J216" s="9">
        <v>5309</v>
      </c>
      <c r="K216" s="9" t="s">
        <v>41</v>
      </c>
      <c r="L216" s="9">
        <v>5309062</v>
      </c>
      <c r="M216" s="9">
        <v>5309062004</v>
      </c>
      <c r="N216" s="9" t="s">
        <v>42</v>
      </c>
      <c r="O216" s="9">
        <v>10421</v>
      </c>
      <c r="P216" s="9" t="s">
        <v>867</v>
      </c>
      <c r="Q216" s="10">
        <v>5</v>
      </c>
      <c r="R216" s="10">
        <v>300000</v>
      </c>
      <c r="S216" s="10">
        <v>500000</v>
      </c>
      <c r="T216" s="10">
        <v>0</v>
      </c>
      <c r="U216" s="10">
        <v>150000</v>
      </c>
      <c r="V216" s="10">
        <v>50000</v>
      </c>
      <c r="W216" s="10">
        <v>1000000</v>
      </c>
      <c r="X216" s="10">
        <v>10800000</v>
      </c>
      <c r="Y216" s="10">
        <v>0</v>
      </c>
      <c r="Z216" s="10">
        <v>10150000</v>
      </c>
      <c r="AA216" s="10">
        <v>4800300</v>
      </c>
      <c r="AB216" s="10">
        <v>10800000</v>
      </c>
      <c r="AC216" s="10">
        <v>0</v>
      </c>
      <c r="AD216" s="9" t="s">
        <v>44</v>
      </c>
      <c r="AE216" s="10" t="s">
        <v>2327</v>
      </c>
      <c r="AF216" s="10">
        <v>2160000</v>
      </c>
      <c r="AG216" s="10">
        <v>1</v>
      </c>
      <c r="AH216" s="10">
        <v>1</v>
      </c>
      <c r="AI216" s="10">
        <v>1</v>
      </c>
      <c r="AJ216" s="12" t="s">
        <v>868</v>
      </c>
      <c r="AK216" s="10">
        <v>0</v>
      </c>
      <c r="AL216" s="10">
        <v>0</v>
      </c>
      <c r="AM216" s="9">
        <v>1990</v>
      </c>
      <c r="AN216" s="10">
        <v>3</v>
      </c>
      <c r="AO216" s="10">
        <v>2</v>
      </c>
      <c r="AP216" s="6"/>
      <c r="AQ216" s="7"/>
      <c r="AR216" s="8"/>
      <c r="AS216" s="4">
        <f t="shared" si="9"/>
        <v>650000</v>
      </c>
      <c r="AT216" s="4">
        <f t="shared" si="10"/>
        <v>6263998.765714529</v>
      </c>
      <c r="AU216" s="4">
        <f t="shared" si="11"/>
        <v>4536001.234285471</v>
      </c>
      <c r="AV216" s="9" t="s">
        <v>867</v>
      </c>
      <c r="AW216" s="12" t="s">
        <v>868</v>
      </c>
      <c r="AX216" s="10">
        <v>0</v>
      </c>
      <c r="AY216">
        <f>S216*AU216/AS216</f>
        <v>3489231.7186811315</v>
      </c>
      <c r="AZ216">
        <f>AU216-AY216</f>
        <v>1046769.5156043395</v>
      </c>
      <c r="BA216" s="10">
        <v>10800000</v>
      </c>
      <c r="BB216" s="10">
        <v>0</v>
      </c>
      <c r="BC216" s="9" t="s">
        <v>42</v>
      </c>
      <c r="BD216" s="9">
        <v>10421</v>
      </c>
      <c r="BE216" t="s">
        <v>46</v>
      </c>
    </row>
    <row r="217" spans="1:57" ht="270.75" thickBot="1" x14ac:dyDescent="0.3">
      <c r="A217" s="9" t="s">
        <v>869</v>
      </c>
      <c r="B217" s="9">
        <v>3001</v>
      </c>
      <c r="C217" s="10">
        <v>2</v>
      </c>
      <c r="D217" s="9" t="s">
        <v>37</v>
      </c>
      <c r="E217" s="11">
        <v>46264.151254976852</v>
      </c>
      <c r="F217" s="9" t="s">
        <v>870</v>
      </c>
      <c r="G217" s="9" t="s">
        <v>39</v>
      </c>
      <c r="H217" s="9">
        <v>53</v>
      </c>
      <c r="I217" s="9" t="s">
        <v>40</v>
      </c>
      <c r="J217" s="9">
        <v>5309</v>
      </c>
      <c r="K217" s="9" t="s">
        <v>41</v>
      </c>
      <c r="L217" s="9">
        <v>5309074</v>
      </c>
      <c r="M217" s="9">
        <v>5309074006</v>
      </c>
      <c r="N217" s="9" t="s">
        <v>42</v>
      </c>
      <c r="O217" s="9">
        <v>10421</v>
      </c>
      <c r="P217" s="9" t="s">
        <v>152</v>
      </c>
      <c r="Q217" s="10">
        <v>2</v>
      </c>
      <c r="R217" s="10">
        <v>0</v>
      </c>
      <c r="S217" s="10">
        <v>150000</v>
      </c>
      <c r="T217" s="10">
        <v>0</v>
      </c>
      <c r="U217" s="10">
        <v>0</v>
      </c>
      <c r="V217" s="10">
        <v>0</v>
      </c>
      <c r="W217" s="10">
        <v>150000</v>
      </c>
      <c r="X217" s="10">
        <v>3000000</v>
      </c>
      <c r="Y217" s="10">
        <v>0</v>
      </c>
      <c r="Z217" s="10">
        <v>2850000</v>
      </c>
      <c r="AA217" s="10">
        <v>2000000</v>
      </c>
      <c r="AB217" s="10">
        <v>3000000</v>
      </c>
      <c r="AC217" s="10">
        <v>0</v>
      </c>
      <c r="AD217" s="9" t="s">
        <v>44</v>
      </c>
      <c r="AE217" s="10" t="s">
        <v>1803</v>
      </c>
      <c r="AF217" s="10">
        <v>1500000</v>
      </c>
      <c r="AG217" s="10">
        <v>1</v>
      </c>
      <c r="AH217" s="10">
        <v>1</v>
      </c>
      <c r="AI217" s="10">
        <v>1</v>
      </c>
      <c r="AJ217" s="12" t="s">
        <v>871</v>
      </c>
      <c r="AK217" s="10">
        <v>0</v>
      </c>
      <c r="AL217" s="10">
        <v>0</v>
      </c>
      <c r="AM217" s="9">
        <v>2000</v>
      </c>
      <c r="AN217" s="10">
        <v>0</v>
      </c>
      <c r="AO217" s="10">
        <v>2</v>
      </c>
      <c r="AP217" s="6"/>
      <c r="AQ217" s="7"/>
      <c r="AR217" s="8"/>
      <c r="AS217" s="4">
        <f t="shared" si="9"/>
        <v>150000</v>
      </c>
      <c r="AT217" s="4">
        <f t="shared" si="10"/>
        <v>1740000</v>
      </c>
      <c r="AU217" s="4">
        <f t="shared" si="11"/>
        <v>1260000</v>
      </c>
      <c r="AV217" s="9" t="s">
        <v>152</v>
      </c>
      <c r="AW217" s="12" t="s">
        <v>871</v>
      </c>
      <c r="AX217" s="10">
        <v>0</v>
      </c>
      <c r="AY217">
        <f>S217*AU217/AS217</f>
        <v>1260000</v>
      </c>
      <c r="AZ217">
        <f>AU217-AY217</f>
        <v>0</v>
      </c>
      <c r="BA217" s="10">
        <v>3000000</v>
      </c>
      <c r="BB217" s="10">
        <v>0</v>
      </c>
      <c r="BC217" s="9" t="s">
        <v>42</v>
      </c>
      <c r="BD217" s="9">
        <v>10421</v>
      </c>
      <c r="BE217" t="s">
        <v>46</v>
      </c>
    </row>
    <row r="218" spans="1:57" ht="270.75" thickBot="1" x14ac:dyDescent="0.3">
      <c r="A218" s="9" t="s">
        <v>872</v>
      </c>
      <c r="B218" s="9">
        <v>3002</v>
      </c>
      <c r="C218" s="10">
        <v>2</v>
      </c>
      <c r="D218" s="9" t="s">
        <v>37</v>
      </c>
      <c r="E218" s="14">
        <v>46232.33630787037</v>
      </c>
      <c r="F218" s="9" t="s">
        <v>873</v>
      </c>
      <c r="G218" s="9" t="s">
        <v>39</v>
      </c>
      <c r="H218" s="9">
        <v>53</v>
      </c>
      <c r="I218" s="9" t="s">
        <v>40</v>
      </c>
      <c r="J218" s="9">
        <v>5309</v>
      </c>
      <c r="K218" s="9" t="s">
        <v>41</v>
      </c>
      <c r="L218" s="9">
        <v>5309062</v>
      </c>
      <c r="M218" s="9">
        <v>5309062005</v>
      </c>
      <c r="N218" s="9" t="s">
        <v>42</v>
      </c>
      <c r="O218" s="9">
        <v>10421</v>
      </c>
      <c r="P218" s="9" t="s">
        <v>874</v>
      </c>
      <c r="Q218" s="10">
        <v>1</v>
      </c>
      <c r="R218" s="10">
        <v>0</v>
      </c>
      <c r="S218" s="10">
        <v>100000</v>
      </c>
      <c r="T218" s="10">
        <v>0</v>
      </c>
      <c r="U218" s="10">
        <v>100000</v>
      </c>
      <c r="V218" s="10">
        <v>0</v>
      </c>
      <c r="W218" s="10">
        <v>200000</v>
      </c>
      <c r="X218" s="10">
        <v>5400000</v>
      </c>
      <c r="Y218" s="10">
        <v>0</v>
      </c>
      <c r="Z218" s="10">
        <v>5200000</v>
      </c>
      <c r="AA218" s="10">
        <v>2000000</v>
      </c>
      <c r="AB218" s="10">
        <v>5400000</v>
      </c>
      <c r="AC218" s="10">
        <v>0</v>
      </c>
      <c r="AD218" s="9" t="s">
        <v>44</v>
      </c>
      <c r="AE218" s="10" t="s">
        <v>2386</v>
      </c>
      <c r="AF218" s="10">
        <v>5400000</v>
      </c>
      <c r="AG218" s="10">
        <v>1</v>
      </c>
      <c r="AH218" s="10">
        <v>1</v>
      </c>
      <c r="AI218" s="10">
        <v>1</v>
      </c>
      <c r="AJ218" s="12" t="s">
        <v>875</v>
      </c>
      <c r="AK218" s="10">
        <v>0</v>
      </c>
      <c r="AL218" s="10">
        <v>0</v>
      </c>
      <c r="AM218" s="9">
        <v>2014</v>
      </c>
      <c r="AN218" s="10">
        <v>0</v>
      </c>
      <c r="AO218" s="10">
        <v>1</v>
      </c>
      <c r="AP218" s="6"/>
      <c r="AQ218" s="7"/>
      <c r="AR218" s="8"/>
      <c r="AS218" s="4">
        <f t="shared" si="9"/>
        <v>200000</v>
      </c>
      <c r="AT218" s="4">
        <f t="shared" si="10"/>
        <v>3131999.8795384662</v>
      </c>
      <c r="AU218" s="4">
        <f t="shared" si="11"/>
        <v>2268000.1204615338</v>
      </c>
      <c r="AV218" s="9" t="s">
        <v>874</v>
      </c>
      <c r="AW218" s="12" t="s">
        <v>875</v>
      </c>
      <c r="AX218" s="10">
        <v>0</v>
      </c>
      <c r="AY218">
        <f>S218*AU218/AS218</f>
        <v>1134000.0602307669</v>
      </c>
      <c r="AZ218">
        <f>AU218-AY218</f>
        <v>1134000.0602307669</v>
      </c>
      <c r="BA218" s="10">
        <v>5400000</v>
      </c>
      <c r="BB218" s="10">
        <v>0</v>
      </c>
      <c r="BC218" s="9" t="s">
        <v>42</v>
      </c>
      <c r="BD218" s="9">
        <v>10421</v>
      </c>
      <c r="BE218" t="s">
        <v>46</v>
      </c>
    </row>
    <row r="219" spans="1:57" ht="270.75" thickBot="1" x14ac:dyDescent="0.3">
      <c r="A219" s="9" t="s">
        <v>876</v>
      </c>
      <c r="B219" s="9">
        <v>3001</v>
      </c>
      <c r="C219" s="10">
        <v>2</v>
      </c>
      <c r="D219" s="9" t="s">
        <v>37</v>
      </c>
      <c r="E219" s="11">
        <v>46248.063657384257</v>
      </c>
      <c r="F219" s="9" t="s">
        <v>877</v>
      </c>
      <c r="G219" s="9" t="s">
        <v>39</v>
      </c>
      <c r="H219" s="9">
        <v>53</v>
      </c>
      <c r="I219" s="9" t="s">
        <v>40</v>
      </c>
      <c r="J219" s="9">
        <v>5309</v>
      </c>
      <c r="K219" s="9" t="s">
        <v>41</v>
      </c>
      <c r="L219" s="9">
        <v>5309062</v>
      </c>
      <c r="M219" s="9">
        <v>5309062013</v>
      </c>
      <c r="N219" s="9" t="s">
        <v>42</v>
      </c>
      <c r="O219" s="9">
        <v>10421</v>
      </c>
      <c r="P219" s="9" t="s">
        <v>878</v>
      </c>
      <c r="Q219" s="10">
        <v>5</v>
      </c>
      <c r="R219" s="10">
        <v>900000</v>
      </c>
      <c r="S219" s="10">
        <v>250000</v>
      </c>
      <c r="T219" s="10">
        <v>0</v>
      </c>
      <c r="U219" s="10">
        <v>100000</v>
      </c>
      <c r="V219" s="10">
        <v>0</v>
      </c>
      <c r="W219" s="10">
        <v>1250000</v>
      </c>
      <c r="X219" s="10">
        <v>6350000</v>
      </c>
      <c r="Y219" s="10">
        <v>0</v>
      </c>
      <c r="Z219" s="10">
        <v>6000000</v>
      </c>
      <c r="AA219" s="10">
        <v>2400000</v>
      </c>
      <c r="AB219" s="10">
        <v>6350000</v>
      </c>
      <c r="AC219" s="10">
        <v>0</v>
      </c>
      <c r="AD219" s="9" t="s">
        <v>44</v>
      </c>
      <c r="AE219" s="10" t="s">
        <v>2387</v>
      </c>
      <c r="AF219" s="10">
        <v>1270000</v>
      </c>
      <c r="AG219" s="10">
        <v>1</v>
      </c>
      <c r="AH219" s="10">
        <v>1</v>
      </c>
      <c r="AI219" s="10">
        <v>1</v>
      </c>
      <c r="AJ219" s="12" t="s">
        <v>879</v>
      </c>
      <c r="AK219" s="10">
        <v>0</v>
      </c>
      <c r="AL219" s="10">
        <v>0</v>
      </c>
      <c r="AM219" s="9">
        <v>2005</v>
      </c>
      <c r="AN219" s="10">
        <v>3</v>
      </c>
      <c r="AO219" s="10">
        <v>2</v>
      </c>
      <c r="AP219" s="6"/>
      <c r="AQ219" s="7"/>
      <c r="AR219" s="8"/>
      <c r="AS219" s="4">
        <f t="shared" si="9"/>
        <v>350000</v>
      </c>
      <c r="AT219" s="4">
        <f t="shared" si="10"/>
        <v>3682999.5703167161</v>
      </c>
      <c r="AU219" s="4">
        <f t="shared" si="11"/>
        <v>2667000.4296832839</v>
      </c>
      <c r="AV219" s="9" t="s">
        <v>878</v>
      </c>
      <c r="AW219" s="12" t="s">
        <v>879</v>
      </c>
      <c r="AX219" s="10">
        <v>0</v>
      </c>
      <c r="AY219">
        <f>S219*AU219/AS219</f>
        <v>1905000.3069166313</v>
      </c>
      <c r="AZ219">
        <f>AU219-AY219</f>
        <v>762000.12276665261</v>
      </c>
      <c r="BA219" s="10">
        <v>6350000</v>
      </c>
      <c r="BB219" s="10">
        <v>0</v>
      </c>
      <c r="BC219" s="9" t="s">
        <v>42</v>
      </c>
      <c r="BD219" s="9">
        <v>10421</v>
      </c>
      <c r="BE219" t="s">
        <v>46</v>
      </c>
    </row>
    <row r="220" spans="1:57" ht="270.75" thickBot="1" x14ac:dyDescent="0.3">
      <c r="A220" s="9" t="s">
        <v>880</v>
      </c>
      <c r="B220" s="9">
        <v>3001</v>
      </c>
      <c r="C220" s="10">
        <v>2</v>
      </c>
      <c r="D220" s="9" t="s">
        <v>37</v>
      </c>
      <c r="E220" s="14">
        <v>46243.330995370372</v>
      </c>
      <c r="F220" s="9" t="s">
        <v>881</v>
      </c>
      <c r="G220" s="9" t="s">
        <v>39</v>
      </c>
      <c r="H220" s="9">
        <v>53</v>
      </c>
      <c r="I220" s="9" t="s">
        <v>40</v>
      </c>
      <c r="J220" s="9">
        <v>5309</v>
      </c>
      <c r="K220" s="9" t="s">
        <v>41</v>
      </c>
      <c r="L220" s="9">
        <v>5309062</v>
      </c>
      <c r="M220" s="9">
        <v>5309062002</v>
      </c>
      <c r="N220" s="9" t="s">
        <v>42</v>
      </c>
      <c r="O220" s="9">
        <v>10421</v>
      </c>
      <c r="P220" s="9" t="s">
        <v>106</v>
      </c>
      <c r="Q220" s="10">
        <v>2</v>
      </c>
      <c r="R220" s="10">
        <v>0</v>
      </c>
      <c r="S220" s="10">
        <v>100000</v>
      </c>
      <c r="T220" s="10">
        <v>0</v>
      </c>
      <c r="U220" s="10">
        <v>600000</v>
      </c>
      <c r="V220" s="10">
        <v>0</v>
      </c>
      <c r="W220" s="10">
        <v>700000</v>
      </c>
      <c r="X220" s="10">
        <v>9000000</v>
      </c>
      <c r="Y220" s="10">
        <v>0</v>
      </c>
      <c r="Z220" s="10">
        <v>8300000</v>
      </c>
      <c r="AA220" s="10">
        <v>1500000</v>
      </c>
      <c r="AB220" s="10">
        <v>9000000</v>
      </c>
      <c r="AC220" s="10">
        <v>0</v>
      </c>
      <c r="AD220" s="9" t="s">
        <v>44</v>
      </c>
      <c r="AE220" s="10" t="s">
        <v>2291</v>
      </c>
      <c r="AF220" s="10">
        <v>4500000</v>
      </c>
      <c r="AG220" s="10">
        <v>1</v>
      </c>
      <c r="AH220" s="10">
        <v>1</v>
      </c>
      <c r="AI220" s="10">
        <v>1</v>
      </c>
      <c r="AJ220" s="12" t="s">
        <v>882</v>
      </c>
      <c r="AK220" s="10">
        <v>0</v>
      </c>
      <c r="AL220" s="10">
        <v>0</v>
      </c>
      <c r="AM220" s="9">
        <v>2005</v>
      </c>
      <c r="AN220" s="10">
        <v>0</v>
      </c>
      <c r="AO220" s="10">
        <v>2</v>
      </c>
      <c r="AP220" s="6"/>
      <c r="AQ220" s="7"/>
      <c r="AR220" s="8"/>
      <c r="AS220" s="4">
        <f t="shared" si="9"/>
        <v>700000</v>
      </c>
      <c r="AT220" s="4">
        <f t="shared" si="10"/>
        <v>5220001.2578316284</v>
      </c>
      <c r="AU220" s="4">
        <f t="shared" si="11"/>
        <v>3779998.7421683716</v>
      </c>
      <c r="AV220" s="9" t="s">
        <v>106</v>
      </c>
      <c r="AW220" s="12" t="s">
        <v>882</v>
      </c>
      <c r="AX220" s="10">
        <v>0</v>
      </c>
      <c r="AY220">
        <f>S220*AU220/AS220</f>
        <v>539999.82030976738</v>
      </c>
      <c r="AZ220">
        <f>AU220-AY220</f>
        <v>3239998.9218586041</v>
      </c>
      <c r="BA220" s="10">
        <v>9000000</v>
      </c>
      <c r="BB220" s="10">
        <v>0</v>
      </c>
      <c r="BC220" s="9" t="s">
        <v>42</v>
      </c>
      <c r="BD220" s="9">
        <v>10421</v>
      </c>
      <c r="BE220" t="s">
        <v>46</v>
      </c>
    </row>
    <row r="221" spans="1:57" ht="270.75" thickBot="1" x14ac:dyDescent="0.3">
      <c r="A221" s="9" t="s">
        <v>883</v>
      </c>
      <c r="B221" s="9">
        <v>3002</v>
      </c>
      <c r="C221" s="10">
        <v>2</v>
      </c>
      <c r="D221" s="9" t="s">
        <v>37</v>
      </c>
      <c r="E221" s="14">
        <v>46238.117766203701</v>
      </c>
      <c r="F221" s="9" t="s">
        <v>884</v>
      </c>
      <c r="G221" s="9" t="s">
        <v>39</v>
      </c>
      <c r="H221" s="9">
        <v>53</v>
      </c>
      <c r="I221" s="9" t="s">
        <v>40</v>
      </c>
      <c r="J221" s="9">
        <v>5309</v>
      </c>
      <c r="K221" s="9" t="s">
        <v>41</v>
      </c>
      <c r="L221" s="9">
        <v>5309062</v>
      </c>
      <c r="M221" s="9">
        <v>5309062010</v>
      </c>
      <c r="N221" s="9" t="s">
        <v>42</v>
      </c>
      <c r="O221" s="9">
        <v>10421</v>
      </c>
      <c r="P221" s="9" t="s">
        <v>885</v>
      </c>
      <c r="Q221" s="10">
        <v>2</v>
      </c>
      <c r="R221" s="10">
        <v>0</v>
      </c>
      <c r="S221" s="10">
        <v>200000</v>
      </c>
      <c r="T221" s="10">
        <v>0</v>
      </c>
      <c r="U221" s="10">
        <v>100000</v>
      </c>
      <c r="V221" s="10">
        <v>0</v>
      </c>
      <c r="W221" s="10">
        <v>300000</v>
      </c>
      <c r="X221" s="10">
        <v>2000000</v>
      </c>
      <c r="Y221" s="10">
        <v>0</v>
      </c>
      <c r="Z221" s="10">
        <v>1700000</v>
      </c>
      <c r="AA221" s="10">
        <v>6400000</v>
      </c>
      <c r="AB221" s="10">
        <v>2000000</v>
      </c>
      <c r="AC221" s="10">
        <v>0</v>
      </c>
      <c r="AD221" s="9" t="s">
        <v>44</v>
      </c>
      <c r="AE221" s="10" t="s">
        <v>1765</v>
      </c>
      <c r="AF221" s="10">
        <v>1000000</v>
      </c>
      <c r="AG221" s="10">
        <v>0</v>
      </c>
      <c r="AH221" s="10">
        <v>1</v>
      </c>
      <c r="AI221" s="10">
        <v>1</v>
      </c>
      <c r="AJ221" s="12" t="s">
        <v>886</v>
      </c>
      <c r="AK221" s="10">
        <v>0</v>
      </c>
      <c r="AL221" s="10">
        <v>0</v>
      </c>
      <c r="AM221" s="9">
        <v>2025</v>
      </c>
      <c r="AN221" s="10">
        <v>0</v>
      </c>
      <c r="AO221" s="10">
        <v>2</v>
      </c>
      <c r="AP221" s="6"/>
      <c r="AQ221" s="7"/>
      <c r="AR221" s="8"/>
      <c r="AS221" s="4">
        <f t="shared" si="9"/>
        <v>300000</v>
      </c>
      <c r="AT221" s="4">
        <f t="shared" si="10"/>
        <v>1160000</v>
      </c>
      <c r="AU221" s="4">
        <f t="shared" si="11"/>
        <v>840000</v>
      </c>
      <c r="AV221" s="9" t="s">
        <v>885</v>
      </c>
      <c r="AW221" s="12" t="s">
        <v>886</v>
      </c>
      <c r="AX221" s="10">
        <v>0</v>
      </c>
      <c r="AY221">
        <f>S221*AU221/AS221</f>
        <v>560000</v>
      </c>
      <c r="AZ221">
        <f>AU221-AY221</f>
        <v>280000</v>
      </c>
      <c r="BA221" s="10">
        <v>2000000</v>
      </c>
      <c r="BB221" s="10">
        <v>0</v>
      </c>
      <c r="BC221" s="9" t="s">
        <v>42</v>
      </c>
      <c r="BD221" s="9">
        <v>10421</v>
      </c>
      <c r="BE221" t="s">
        <v>46</v>
      </c>
    </row>
    <row r="222" spans="1:57" ht="255.75" thickBot="1" x14ac:dyDescent="0.3">
      <c r="A222" s="9" t="s">
        <v>887</v>
      </c>
      <c r="B222" s="9">
        <v>3001</v>
      </c>
      <c r="C222" s="10">
        <v>2</v>
      </c>
      <c r="D222" s="9" t="s">
        <v>37</v>
      </c>
      <c r="E222" s="11">
        <v>46217.131031261575</v>
      </c>
      <c r="F222" s="9" t="s">
        <v>888</v>
      </c>
      <c r="G222" s="9" t="s">
        <v>39</v>
      </c>
      <c r="H222" s="9">
        <v>53</v>
      </c>
      <c r="I222" s="9" t="s">
        <v>40</v>
      </c>
      <c r="J222" s="9">
        <v>5309</v>
      </c>
      <c r="K222" s="9" t="s">
        <v>41</v>
      </c>
      <c r="L222" s="9">
        <v>5309062</v>
      </c>
      <c r="M222" s="9">
        <v>5309062006</v>
      </c>
      <c r="N222" s="9" t="s">
        <v>42</v>
      </c>
      <c r="O222" s="9">
        <v>10421</v>
      </c>
      <c r="P222" s="9" t="s">
        <v>889</v>
      </c>
      <c r="Q222" s="10">
        <v>2</v>
      </c>
      <c r="R222" s="10">
        <v>0</v>
      </c>
      <c r="S222" s="10">
        <v>500000</v>
      </c>
      <c r="T222" s="10">
        <v>0</v>
      </c>
      <c r="U222" s="10">
        <v>400000</v>
      </c>
      <c r="V222" s="10">
        <v>0</v>
      </c>
      <c r="W222" s="10">
        <v>900000</v>
      </c>
      <c r="X222" s="10">
        <v>7270000</v>
      </c>
      <c r="Y222" s="10">
        <v>0</v>
      </c>
      <c r="Z222" s="10">
        <v>6370000</v>
      </c>
      <c r="AA222" s="10">
        <v>45</v>
      </c>
      <c r="AB222" s="10">
        <v>7270000</v>
      </c>
      <c r="AC222" s="10">
        <v>0</v>
      </c>
      <c r="AD222" s="9" t="s">
        <v>44</v>
      </c>
      <c r="AE222" s="10" t="s">
        <v>2388</v>
      </c>
      <c r="AF222" s="10">
        <v>3635000</v>
      </c>
      <c r="AG222" s="10">
        <v>1</v>
      </c>
      <c r="AH222" s="10">
        <v>1</v>
      </c>
      <c r="AI222" s="10">
        <v>1</v>
      </c>
      <c r="AJ222" s="12" t="s">
        <v>890</v>
      </c>
      <c r="AK222" s="10">
        <v>0</v>
      </c>
      <c r="AL222" s="10">
        <v>0</v>
      </c>
      <c r="AM222" s="9">
        <v>2011</v>
      </c>
      <c r="AN222" s="10">
        <v>0</v>
      </c>
      <c r="AO222" s="10">
        <v>2</v>
      </c>
      <c r="AP222" s="6"/>
      <c r="AQ222" s="7"/>
      <c r="AR222" s="8"/>
      <c r="AS222" s="4">
        <f t="shared" si="9"/>
        <v>900000</v>
      </c>
      <c r="AT222" s="4">
        <f t="shared" si="10"/>
        <v>4216597.961205381</v>
      </c>
      <c r="AU222" s="4">
        <f t="shared" si="11"/>
        <v>3053402.038794619</v>
      </c>
      <c r="AV222" s="9" t="s">
        <v>889</v>
      </c>
      <c r="AW222" s="12" t="s">
        <v>890</v>
      </c>
      <c r="AX222" s="10">
        <v>0</v>
      </c>
      <c r="AY222">
        <f>S222*AU222/AS222</f>
        <v>1696334.4659970107</v>
      </c>
      <c r="AZ222">
        <f>AU222-AY222</f>
        <v>1357067.5727976083</v>
      </c>
      <c r="BA222" s="10">
        <v>7270000</v>
      </c>
      <c r="BB222" s="10">
        <v>0</v>
      </c>
      <c r="BC222" s="9" t="s">
        <v>42</v>
      </c>
      <c r="BD222" s="9">
        <v>10421</v>
      </c>
      <c r="BE222" t="s">
        <v>46</v>
      </c>
    </row>
    <row r="223" spans="1:57" ht="270.75" thickBot="1" x14ac:dyDescent="0.3">
      <c r="A223" s="9" t="s">
        <v>891</v>
      </c>
      <c r="B223" s="9">
        <v>3003</v>
      </c>
      <c r="C223" s="10">
        <v>2</v>
      </c>
      <c r="D223" s="9" t="s">
        <v>37</v>
      </c>
      <c r="E223" s="14">
        <v>46245.268043981479</v>
      </c>
      <c r="F223" s="9" t="s">
        <v>892</v>
      </c>
      <c r="G223" s="9" t="s">
        <v>39</v>
      </c>
      <c r="H223" s="9">
        <v>53</v>
      </c>
      <c r="I223" s="9" t="s">
        <v>40</v>
      </c>
      <c r="J223" s="9">
        <v>5309</v>
      </c>
      <c r="K223" s="9" t="s">
        <v>41</v>
      </c>
      <c r="L223" s="9">
        <v>5309073</v>
      </c>
      <c r="M223" s="9">
        <v>5309073003</v>
      </c>
      <c r="N223" s="9" t="s">
        <v>42</v>
      </c>
      <c r="O223" s="9">
        <v>10421</v>
      </c>
      <c r="P223" s="9" t="s">
        <v>893</v>
      </c>
      <c r="Q223" s="10">
        <v>1</v>
      </c>
      <c r="R223" s="10">
        <v>0</v>
      </c>
      <c r="S223" s="10">
        <v>1500000</v>
      </c>
      <c r="T223" s="10">
        <v>0</v>
      </c>
      <c r="U223" s="10">
        <v>0</v>
      </c>
      <c r="V223" s="10">
        <v>0</v>
      </c>
      <c r="W223" s="10">
        <v>1500000</v>
      </c>
      <c r="X223" s="10">
        <v>6000000</v>
      </c>
      <c r="Y223" s="10">
        <v>0</v>
      </c>
      <c r="Z223" s="10">
        <v>4500000</v>
      </c>
      <c r="AA223" s="10">
        <v>15000000</v>
      </c>
      <c r="AB223" s="10">
        <v>6000000</v>
      </c>
      <c r="AC223" s="10">
        <v>0</v>
      </c>
      <c r="AD223" s="9" t="s">
        <v>44</v>
      </c>
      <c r="AE223" s="10" t="s">
        <v>77</v>
      </c>
      <c r="AF223" s="10">
        <v>6000000</v>
      </c>
      <c r="AG223" s="10">
        <v>0</v>
      </c>
      <c r="AH223" s="10">
        <v>1</v>
      </c>
      <c r="AI223" s="10">
        <v>1</v>
      </c>
      <c r="AJ223" s="12" t="s">
        <v>2389</v>
      </c>
      <c r="AK223" s="10">
        <v>0</v>
      </c>
      <c r="AL223" s="10">
        <v>0</v>
      </c>
      <c r="AM223" s="9">
        <v>2015</v>
      </c>
      <c r="AN223" s="10">
        <v>0</v>
      </c>
      <c r="AO223" s="10">
        <v>1</v>
      </c>
      <c r="AP223" s="6"/>
      <c r="AQ223" s="7"/>
      <c r="AR223" s="8"/>
      <c r="AS223" s="4">
        <f t="shared" si="9"/>
        <v>1500000</v>
      </c>
      <c r="AT223" s="4">
        <f t="shared" si="10"/>
        <v>3480000</v>
      </c>
      <c r="AU223" s="4">
        <f t="shared" si="11"/>
        <v>2520000</v>
      </c>
      <c r="AV223" s="9" t="s">
        <v>893</v>
      </c>
      <c r="AW223" s="12" t="s">
        <v>2389</v>
      </c>
      <c r="AX223" s="10">
        <v>0</v>
      </c>
      <c r="AY223">
        <f>S223*AU223/AS223</f>
        <v>2520000</v>
      </c>
      <c r="AZ223">
        <f>AU223-AY223</f>
        <v>0</v>
      </c>
      <c r="BA223" s="10">
        <v>6000000</v>
      </c>
      <c r="BB223" s="10">
        <v>0</v>
      </c>
      <c r="BC223" s="9" t="s">
        <v>42</v>
      </c>
      <c r="BD223" s="9">
        <v>10421</v>
      </c>
      <c r="BE223" t="s">
        <v>46</v>
      </c>
    </row>
    <row r="224" spans="1:57" ht="270.75" thickBot="1" x14ac:dyDescent="0.3">
      <c r="A224" s="9" t="s">
        <v>894</v>
      </c>
      <c r="B224" s="9">
        <v>3001</v>
      </c>
      <c r="C224" s="10">
        <v>2</v>
      </c>
      <c r="D224" s="9" t="s">
        <v>37</v>
      </c>
      <c r="E224" s="11">
        <v>46235.796468877314</v>
      </c>
      <c r="F224" s="9" t="s">
        <v>895</v>
      </c>
      <c r="G224" s="9" t="s">
        <v>39</v>
      </c>
      <c r="H224" s="9">
        <v>53</v>
      </c>
      <c r="I224" s="9" t="s">
        <v>40</v>
      </c>
      <c r="J224" s="9">
        <v>5309</v>
      </c>
      <c r="K224" s="9" t="s">
        <v>41</v>
      </c>
      <c r="L224" s="9">
        <v>5309073</v>
      </c>
      <c r="M224" s="9">
        <v>5309073001</v>
      </c>
      <c r="N224" s="9" t="s">
        <v>42</v>
      </c>
      <c r="O224" s="9">
        <v>10421</v>
      </c>
      <c r="P224" s="9" t="s">
        <v>896</v>
      </c>
      <c r="Q224" s="10">
        <v>2</v>
      </c>
      <c r="R224" s="10">
        <v>450000</v>
      </c>
      <c r="S224" s="10">
        <v>100000</v>
      </c>
      <c r="T224" s="10">
        <v>0</v>
      </c>
      <c r="U224" s="10">
        <v>350000</v>
      </c>
      <c r="V224" s="10">
        <v>0</v>
      </c>
      <c r="W224" s="10">
        <v>900000</v>
      </c>
      <c r="X224" s="10">
        <v>12000000</v>
      </c>
      <c r="Y224" s="10">
        <v>0</v>
      </c>
      <c r="Z224" s="10">
        <v>11550000</v>
      </c>
      <c r="AA224" s="10">
        <v>40000000</v>
      </c>
      <c r="AB224" s="10">
        <v>12000000</v>
      </c>
      <c r="AC224" s="10">
        <v>0</v>
      </c>
      <c r="AD224" s="9" t="s">
        <v>44</v>
      </c>
      <c r="AE224" s="10" t="s">
        <v>2223</v>
      </c>
      <c r="AF224" s="10">
        <v>6000000</v>
      </c>
      <c r="AG224" s="10">
        <v>0</v>
      </c>
      <c r="AH224" s="10">
        <v>1</v>
      </c>
      <c r="AI224" s="10">
        <v>1</v>
      </c>
      <c r="AJ224" s="12" t="s">
        <v>897</v>
      </c>
      <c r="AK224" s="10">
        <v>0</v>
      </c>
      <c r="AL224" s="10">
        <v>0</v>
      </c>
      <c r="AM224" s="9">
        <v>2000</v>
      </c>
      <c r="AN224" s="10">
        <v>1</v>
      </c>
      <c r="AO224" s="10">
        <v>1</v>
      </c>
      <c r="AP224" s="6"/>
      <c r="AQ224" s="7"/>
      <c r="AR224" s="8"/>
      <c r="AS224" s="4">
        <f t="shared" si="9"/>
        <v>450000</v>
      </c>
      <c r="AT224" s="4">
        <f t="shared" si="10"/>
        <v>6960000</v>
      </c>
      <c r="AU224" s="4">
        <f t="shared" si="11"/>
        <v>5040000</v>
      </c>
      <c r="AV224" s="9" t="s">
        <v>896</v>
      </c>
      <c r="AW224" s="12" t="s">
        <v>897</v>
      </c>
      <c r="AX224" s="10">
        <v>0</v>
      </c>
      <c r="AY224">
        <f>S224*AU224/AS224</f>
        <v>1120000</v>
      </c>
      <c r="AZ224">
        <f>AU224-AY224</f>
        <v>3920000</v>
      </c>
      <c r="BA224" s="10">
        <v>12000000</v>
      </c>
      <c r="BB224" s="10">
        <v>0</v>
      </c>
      <c r="BC224" s="9" t="s">
        <v>42</v>
      </c>
      <c r="BD224" s="9">
        <v>10421</v>
      </c>
      <c r="BE224" t="s">
        <v>46</v>
      </c>
    </row>
    <row r="225" spans="1:57" ht="270.75" thickBot="1" x14ac:dyDescent="0.3">
      <c r="A225" s="9" t="s">
        <v>898</v>
      </c>
      <c r="B225" s="9">
        <v>3001</v>
      </c>
      <c r="C225" s="10">
        <v>2</v>
      </c>
      <c r="D225" s="9" t="s">
        <v>37</v>
      </c>
      <c r="E225" s="11">
        <v>46216.147889444444</v>
      </c>
      <c r="F225" s="9" t="s">
        <v>899</v>
      </c>
      <c r="G225" s="9" t="s">
        <v>39</v>
      </c>
      <c r="H225" s="9">
        <v>53</v>
      </c>
      <c r="I225" s="9" t="s">
        <v>40</v>
      </c>
      <c r="J225" s="9">
        <v>5309</v>
      </c>
      <c r="K225" s="9" t="s">
        <v>41</v>
      </c>
      <c r="L225" s="9">
        <v>5309062</v>
      </c>
      <c r="M225" s="9">
        <v>5309062009</v>
      </c>
      <c r="N225" s="9" t="s">
        <v>42</v>
      </c>
      <c r="O225" s="9">
        <v>10421</v>
      </c>
      <c r="P225" s="9" t="s">
        <v>900</v>
      </c>
      <c r="Q225" s="10">
        <v>10</v>
      </c>
      <c r="R225" s="10">
        <v>3150000</v>
      </c>
      <c r="S225" s="10">
        <v>500000</v>
      </c>
      <c r="T225" s="10">
        <v>0</v>
      </c>
      <c r="U225" s="10">
        <v>700000</v>
      </c>
      <c r="V225" s="10">
        <v>0</v>
      </c>
      <c r="W225" s="10">
        <v>4350000</v>
      </c>
      <c r="X225" s="10">
        <v>21600000</v>
      </c>
      <c r="Y225" s="10">
        <v>0</v>
      </c>
      <c r="Z225" s="10">
        <v>20400000</v>
      </c>
      <c r="AA225" s="10">
        <v>8400000</v>
      </c>
      <c r="AB225" s="10">
        <v>21600000</v>
      </c>
      <c r="AC225" s="10">
        <v>0</v>
      </c>
      <c r="AD225" s="9" t="s">
        <v>44</v>
      </c>
      <c r="AE225" s="10" t="s">
        <v>2290</v>
      </c>
      <c r="AF225" s="10">
        <v>2160000</v>
      </c>
      <c r="AG225" s="10">
        <v>1</v>
      </c>
      <c r="AH225" s="10">
        <v>1</v>
      </c>
      <c r="AI225" s="10">
        <v>1</v>
      </c>
      <c r="AJ225" s="12" t="s">
        <v>901</v>
      </c>
      <c r="AK225" s="10">
        <v>0</v>
      </c>
      <c r="AL225" s="10">
        <v>0</v>
      </c>
      <c r="AM225" s="9">
        <v>1990</v>
      </c>
      <c r="AN225" s="10">
        <v>7</v>
      </c>
      <c r="AO225" s="10">
        <v>3</v>
      </c>
      <c r="AP225" s="6"/>
      <c r="AQ225" s="7"/>
      <c r="AR225" s="8"/>
      <c r="AS225" s="4">
        <f t="shared" si="9"/>
        <v>1200000</v>
      </c>
      <c r="AT225" s="4">
        <f t="shared" si="10"/>
        <v>12528005.895532187</v>
      </c>
      <c r="AU225" s="4">
        <f t="shared" si="11"/>
        <v>9071994.1044678129</v>
      </c>
      <c r="AV225" s="9" t="s">
        <v>900</v>
      </c>
      <c r="AW225" s="12" t="s">
        <v>901</v>
      </c>
      <c r="AX225" s="10">
        <v>0</v>
      </c>
      <c r="AY225">
        <f>S225*AU225/AS225</f>
        <v>3779997.5435282551</v>
      </c>
      <c r="AZ225">
        <f>AU225-AY225</f>
        <v>5291996.5609395579</v>
      </c>
      <c r="BA225" s="10">
        <v>21600000</v>
      </c>
      <c r="BB225" s="10">
        <v>0</v>
      </c>
      <c r="BC225" s="9" t="s">
        <v>42</v>
      </c>
      <c r="BD225" s="9">
        <v>10421</v>
      </c>
      <c r="BE225" t="s">
        <v>46</v>
      </c>
    </row>
    <row r="226" spans="1:57" ht="270.75" thickBot="1" x14ac:dyDescent="0.3">
      <c r="A226" s="9" t="s">
        <v>902</v>
      </c>
      <c r="B226" s="9">
        <v>3001</v>
      </c>
      <c r="C226" s="10">
        <v>2</v>
      </c>
      <c r="D226" s="9" t="s">
        <v>37</v>
      </c>
      <c r="E226" s="11">
        <v>46243.052530277775</v>
      </c>
      <c r="F226" s="9" t="s">
        <v>903</v>
      </c>
      <c r="G226" s="9" t="s">
        <v>39</v>
      </c>
      <c r="H226" s="9">
        <v>53</v>
      </c>
      <c r="I226" s="9" t="s">
        <v>40</v>
      </c>
      <c r="J226" s="9">
        <v>5309</v>
      </c>
      <c r="K226" s="9" t="s">
        <v>41</v>
      </c>
      <c r="L226" s="9">
        <v>5309074</v>
      </c>
      <c r="M226" s="9">
        <v>5309074002</v>
      </c>
      <c r="N226" s="9" t="s">
        <v>42</v>
      </c>
      <c r="O226" s="9">
        <v>10421</v>
      </c>
      <c r="P226" s="9" t="s">
        <v>49</v>
      </c>
      <c r="Q226" s="10">
        <v>2</v>
      </c>
      <c r="R226" s="10">
        <v>1100000</v>
      </c>
      <c r="S226" s="10">
        <v>900000</v>
      </c>
      <c r="T226" s="10">
        <v>0</v>
      </c>
      <c r="U226" s="10">
        <v>500000</v>
      </c>
      <c r="V226" s="10">
        <v>0</v>
      </c>
      <c r="W226" s="10">
        <v>2500000</v>
      </c>
      <c r="X226" s="10">
        <v>6200000</v>
      </c>
      <c r="Y226" s="10">
        <v>0</v>
      </c>
      <c r="Z226" s="10">
        <v>4800000</v>
      </c>
      <c r="AA226" s="10">
        <v>4950000</v>
      </c>
      <c r="AB226" s="10">
        <v>6200000</v>
      </c>
      <c r="AC226" s="10">
        <v>0</v>
      </c>
      <c r="AD226" s="9" t="s">
        <v>44</v>
      </c>
      <c r="AE226" s="10" t="s">
        <v>2390</v>
      </c>
      <c r="AF226" s="10">
        <v>3100000</v>
      </c>
      <c r="AG226" s="10">
        <v>1</v>
      </c>
      <c r="AH226" s="10">
        <v>1</v>
      </c>
      <c r="AI226" s="10">
        <v>1</v>
      </c>
      <c r="AJ226" s="12" t="s">
        <v>904</v>
      </c>
      <c r="AK226" s="10">
        <v>0</v>
      </c>
      <c r="AL226" s="10">
        <v>0</v>
      </c>
      <c r="AM226" s="9">
        <v>1989</v>
      </c>
      <c r="AN226" s="10">
        <v>1</v>
      </c>
      <c r="AO226" s="10">
        <v>1</v>
      </c>
      <c r="AP226" s="6"/>
      <c r="AQ226" s="7"/>
      <c r="AR226" s="8"/>
      <c r="AS226" s="4">
        <f t="shared" si="9"/>
        <v>1400000</v>
      </c>
      <c r="AT226" s="4">
        <f t="shared" si="10"/>
        <v>3595997.9023345569</v>
      </c>
      <c r="AU226" s="4">
        <f t="shared" si="11"/>
        <v>2604002.0976654431</v>
      </c>
      <c r="AV226" s="9" t="s">
        <v>49</v>
      </c>
      <c r="AW226" s="12" t="s">
        <v>904</v>
      </c>
      <c r="AX226" s="10">
        <v>0</v>
      </c>
      <c r="AY226">
        <f>S226*AU226/AS226</f>
        <v>1674001.3484992136</v>
      </c>
      <c r="AZ226">
        <f>AU226-AY226</f>
        <v>930000.74916622951</v>
      </c>
      <c r="BA226" s="10">
        <v>6200000</v>
      </c>
      <c r="BB226" s="10">
        <v>0</v>
      </c>
      <c r="BC226" s="9" t="s">
        <v>42</v>
      </c>
      <c r="BD226" s="9">
        <v>10421</v>
      </c>
      <c r="BE226" t="s">
        <v>46</v>
      </c>
    </row>
    <row r="227" spans="1:57" ht="255.75" thickBot="1" x14ac:dyDescent="0.3">
      <c r="A227" s="9" t="s">
        <v>905</v>
      </c>
      <c r="B227" s="9">
        <v>3001</v>
      </c>
      <c r="C227" s="10">
        <v>2</v>
      </c>
      <c r="D227" s="9" t="s">
        <v>84</v>
      </c>
      <c r="E227" s="11">
        <v>46309.354412326385</v>
      </c>
      <c r="F227" s="9" t="s">
        <v>906</v>
      </c>
      <c r="G227" s="9" t="s">
        <v>39</v>
      </c>
      <c r="H227" s="9">
        <v>53</v>
      </c>
      <c r="I227" s="9" t="s">
        <v>40</v>
      </c>
      <c r="J227" s="9">
        <v>5309</v>
      </c>
      <c r="K227" s="9" t="s">
        <v>41</v>
      </c>
      <c r="L227" s="9">
        <v>5309062</v>
      </c>
      <c r="M227" s="9">
        <v>5309062007</v>
      </c>
      <c r="N227" s="9" t="s">
        <v>42</v>
      </c>
      <c r="O227" s="9">
        <v>10421</v>
      </c>
      <c r="P227" s="9" t="s">
        <v>907</v>
      </c>
      <c r="Q227" s="10">
        <v>3</v>
      </c>
      <c r="R227" s="10">
        <v>930000</v>
      </c>
      <c r="S227" s="10">
        <v>100000</v>
      </c>
      <c r="T227" s="10">
        <v>0</v>
      </c>
      <c r="U227" s="10">
        <v>150000</v>
      </c>
      <c r="V227" s="10">
        <v>0</v>
      </c>
      <c r="W227" s="10">
        <v>1180000</v>
      </c>
      <c r="X227" s="10">
        <v>15400000</v>
      </c>
      <c r="Y227" s="10">
        <v>0</v>
      </c>
      <c r="Z227" s="10">
        <v>15150000</v>
      </c>
      <c r="AA227" s="10">
        <v>9000000</v>
      </c>
      <c r="AB227" s="10">
        <v>15400000</v>
      </c>
      <c r="AC227" s="10">
        <v>0</v>
      </c>
      <c r="AD227" s="9" t="s">
        <v>44</v>
      </c>
      <c r="AE227" s="10" t="s">
        <v>2391</v>
      </c>
      <c r="AF227" s="13">
        <v>5133333333</v>
      </c>
      <c r="AG227" s="10">
        <v>1</v>
      </c>
      <c r="AH227" s="10">
        <v>1</v>
      </c>
      <c r="AI227" s="10">
        <v>1</v>
      </c>
      <c r="AJ227" s="12" t="s">
        <v>908</v>
      </c>
      <c r="AK227" s="10">
        <v>0</v>
      </c>
      <c r="AL227" s="10">
        <v>0</v>
      </c>
      <c r="AM227" s="9">
        <v>2015</v>
      </c>
      <c r="AN227" s="10">
        <v>1</v>
      </c>
      <c r="AO227" s="10">
        <v>2</v>
      </c>
      <c r="AP227" s="6"/>
      <c r="AQ227" s="7"/>
      <c r="AR227" s="8"/>
      <c r="AS227" s="4">
        <f t="shared" si="9"/>
        <v>250000</v>
      </c>
      <c r="AT227" s="4">
        <f t="shared" si="10"/>
        <v>8932002.122455949</v>
      </c>
      <c r="AU227" s="4">
        <f t="shared" si="11"/>
        <v>6467997.877544051</v>
      </c>
      <c r="AV227" s="9" t="s">
        <v>907</v>
      </c>
      <c r="AW227" s="12" t="s">
        <v>908</v>
      </c>
      <c r="AX227" s="10">
        <v>0</v>
      </c>
      <c r="AY227">
        <f>S227*AU227/AS227</f>
        <v>2587199.1510176207</v>
      </c>
      <c r="AZ227">
        <f>AU227-AY227</f>
        <v>3880798.7265264303</v>
      </c>
      <c r="BA227" s="10">
        <v>15400000</v>
      </c>
      <c r="BB227" s="10">
        <v>0</v>
      </c>
      <c r="BC227" s="9" t="s">
        <v>42</v>
      </c>
      <c r="BD227" s="9">
        <v>10421</v>
      </c>
      <c r="BE227" t="s">
        <v>46</v>
      </c>
    </row>
    <row r="228" spans="1:57" ht="270.75" thickBot="1" x14ac:dyDescent="0.3">
      <c r="A228" s="9" t="s">
        <v>909</v>
      </c>
      <c r="B228" s="9">
        <v>3002</v>
      </c>
      <c r="C228" s="10">
        <v>2</v>
      </c>
      <c r="D228" s="9" t="s">
        <v>37</v>
      </c>
      <c r="E228" s="11">
        <v>46243.673829675929</v>
      </c>
      <c r="F228" s="9" t="s">
        <v>910</v>
      </c>
      <c r="G228" s="9" t="s">
        <v>39</v>
      </c>
      <c r="H228" s="9">
        <v>53</v>
      </c>
      <c r="I228" s="9" t="s">
        <v>40</v>
      </c>
      <c r="J228" s="9">
        <v>5309</v>
      </c>
      <c r="K228" s="9" t="s">
        <v>41</v>
      </c>
      <c r="L228" s="9">
        <v>5309073</v>
      </c>
      <c r="M228" s="9">
        <v>5309073001</v>
      </c>
      <c r="N228" s="9" t="s">
        <v>42</v>
      </c>
      <c r="O228" s="9">
        <v>10421</v>
      </c>
      <c r="P228" s="9" t="s">
        <v>911</v>
      </c>
      <c r="Q228" s="10">
        <v>2</v>
      </c>
      <c r="R228" s="10">
        <v>0</v>
      </c>
      <c r="S228" s="10">
        <v>150000</v>
      </c>
      <c r="T228" s="10">
        <v>0</v>
      </c>
      <c r="U228" s="10">
        <v>150000</v>
      </c>
      <c r="V228" s="10">
        <v>0</v>
      </c>
      <c r="W228" s="10">
        <v>300000</v>
      </c>
      <c r="X228" s="10">
        <v>7500000</v>
      </c>
      <c r="Y228" s="10">
        <v>0</v>
      </c>
      <c r="Z228" s="10">
        <v>7200000</v>
      </c>
      <c r="AA228" s="10">
        <v>7000000</v>
      </c>
      <c r="AB228" s="10">
        <v>7500000</v>
      </c>
      <c r="AC228" s="10">
        <v>0</v>
      </c>
      <c r="AD228" s="9" t="s">
        <v>44</v>
      </c>
      <c r="AE228" s="10" t="s">
        <v>809</v>
      </c>
      <c r="AF228" s="10">
        <v>3750000</v>
      </c>
      <c r="AG228" s="10">
        <v>1</v>
      </c>
      <c r="AH228" s="10">
        <v>1</v>
      </c>
      <c r="AI228" s="10">
        <v>1</v>
      </c>
      <c r="AJ228" s="12" t="s">
        <v>912</v>
      </c>
      <c r="AK228" s="10">
        <v>0</v>
      </c>
      <c r="AL228" s="10">
        <v>0</v>
      </c>
      <c r="AM228" s="9">
        <v>2003</v>
      </c>
      <c r="AN228" s="10">
        <v>0</v>
      </c>
      <c r="AO228" s="10">
        <v>2</v>
      </c>
      <c r="AP228" s="6"/>
      <c r="AQ228" s="7"/>
      <c r="AR228" s="8"/>
      <c r="AS228" s="4">
        <f t="shared" si="9"/>
        <v>300000</v>
      </c>
      <c r="AT228" s="4">
        <f t="shared" si="10"/>
        <v>4350000</v>
      </c>
      <c r="AU228" s="4">
        <f t="shared" si="11"/>
        <v>3150000</v>
      </c>
      <c r="AV228" s="9" t="s">
        <v>911</v>
      </c>
      <c r="AW228" s="12" t="s">
        <v>912</v>
      </c>
      <c r="AX228" s="10">
        <v>0</v>
      </c>
      <c r="AY228">
        <f>S228*AU228/AS228</f>
        <v>1575000</v>
      </c>
      <c r="AZ228">
        <f>AU228-AY228</f>
        <v>1575000</v>
      </c>
      <c r="BA228" s="10">
        <v>7500000</v>
      </c>
      <c r="BB228" s="10">
        <v>0</v>
      </c>
      <c r="BC228" s="9" t="s">
        <v>42</v>
      </c>
      <c r="BD228" s="9">
        <v>10421</v>
      </c>
      <c r="BE228" t="s">
        <v>46</v>
      </c>
    </row>
    <row r="229" spans="1:57" ht="270.75" thickBot="1" x14ac:dyDescent="0.3">
      <c r="A229" s="9" t="s">
        <v>913</v>
      </c>
      <c r="B229" s="9">
        <v>3004</v>
      </c>
      <c r="C229" s="10">
        <v>2</v>
      </c>
      <c r="D229" s="9" t="s">
        <v>113</v>
      </c>
      <c r="E229" s="11">
        <v>46280.616040370369</v>
      </c>
      <c r="F229" s="9" t="s">
        <v>914</v>
      </c>
      <c r="G229" s="9" t="s">
        <v>39</v>
      </c>
      <c r="H229" s="9">
        <v>53</v>
      </c>
      <c r="I229" s="9" t="s">
        <v>40</v>
      </c>
      <c r="J229" s="9">
        <v>5309</v>
      </c>
      <c r="K229" s="9" t="s">
        <v>41</v>
      </c>
      <c r="L229" s="9">
        <v>5309073</v>
      </c>
      <c r="M229" s="9">
        <v>5309073006</v>
      </c>
      <c r="N229" s="9" t="s">
        <v>42</v>
      </c>
      <c r="O229" s="9">
        <v>10421</v>
      </c>
      <c r="P229" s="9" t="s">
        <v>915</v>
      </c>
      <c r="Q229" s="10">
        <v>2</v>
      </c>
      <c r="R229" s="10">
        <v>0</v>
      </c>
      <c r="S229" s="10">
        <v>450000</v>
      </c>
      <c r="T229" s="10">
        <v>0</v>
      </c>
      <c r="U229" s="10">
        <v>0</v>
      </c>
      <c r="V229" s="10">
        <v>0</v>
      </c>
      <c r="W229" s="10">
        <v>450000</v>
      </c>
      <c r="X229" s="10">
        <v>8350000</v>
      </c>
      <c r="Y229" s="10">
        <v>0</v>
      </c>
      <c r="Z229" s="10">
        <v>7900000</v>
      </c>
      <c r="AA229" s="10">
        <v>5450000</v>
      </c>
      <c r="AB229" s="10">
        <v>8350000</v>
      </c>
      <c r="AC229" s="10">
        <v>0</v>
      </c>
      <c r="AD229" s="9" t="s">
        <v>44</v>
      </c>
      <c r="AE229" s="10" t="s">
        <v>2392</v>
      </c>
      <c r="AF229" s="10">
        <v>4175000</v>
      </c>
      <c r="AG229" s="10">
        <v>1</v>
      </c>
      <c r="AH229" s="10">
        <v>1</v>
      </c>
      <c r="AI229" s="10">
        <v>1</v>
      </c>
      <c r="AJ229" s="12" t="s">
        <v>916</v>
      </c>
      <c r="AK229" s="10">
        <v>0</v>
      </c>
      <c r="AL229" s="10">
        <v>0</v>
      </c>
      <c r="AM229" s="9">
        <v>2010</v>
      </c>
      <c r="AN229" s="10">
        <v>0</v>
      </c>
      <c r="AO229" s="10">
        <v>2</v>
      </c>
      <c r="AP229" s="6"/>
      <c r="AQ229" s="7"/>
      <c r="AR229" s="8"/>
      <c r="AS229" s="4">
        <f t="shared" si="9"/>
        <v>450000</v>
      </c>
      <c r="AT229" s="4">
        <f t="shared" si="10"/>
        <v>4842998.8965318976</v>
      </c>
      <c r="AU229" s="4">
        <f t="shared" si="11"/>
        <v>3507001.1034681024</v>
      </c>
      <c r="AV229" s="9" t="s">
        <v>915</v>
      </c>
      <c r="AW229" s="12" t="s">
        <v>916</v>
      </c>
      <c r="AX229" s="10">
        <v>0</v>
      </c>
      <c r="AY229">
        <f>S229*AU229/AS229</f>
        <v>3507001.1034681024</v>
      </c>
      <c r="AZ229">
        <f>AU229-AY229</f>
        <v>0</v>
      </c>
      <c r="BA229" s="10">
        <v>8350000</v>
      </c>
      <c r="BB229" s="10">
        <v>0</v>
      </c>
      <c r="BC229" s="9" t="s">
        <v>42</v>
      </c>
      <c r="BD229" s="9">
        <v>10421</v>
      </c>
      <c r="BE229" t="s">
        <v>46</v>
      </c>
    </row>
    <row r="230" spans="1:57" ht="270.75" thickBot="1" x14ac:dyDescent="0.3">
      <c r="A230" s="9" t="s">
        <v>917</v>
      </c>
      <c r="B230" s="9">
        <v>3001</v>
      </c>
      <c r="C230" s="10">
        <v>2</v>
      </c>
      <c r="D230" s="9" t="s">
        <v>37</v>
      </c>
      <c r="E230" s="14">
        <v>46232.264791666668</v>
      </c>
      <c r="F230" s="9" t="s">
        <v>918</v>
      </c>
      <c r="G230" s="9" t="s">
        <v>39</v>
      </c>
      <c r="H230" s="9">
        <v>53</v>
      </c>
      <c r="I230" s="9" t="s">
        <v>40</v>
      </c>
      <c r="J230" s="9">
        <v>5309</v>
      </c>
      <c r="K230" s="9" t="s">
        <v>41</v>
      </c>
      <c r="L230" s="9">
        <v>5309062</v>
      </c>
      <c r="M230" s="9">
        <v>5309062005</v>
      </c>
      <c r="N230" s="9" t="s">
        <v>42</v>
      </c>
      <c r="O230" s="9">
        <v>10421</v>
      </c>
      <c r="P230" s="9" t="s">
        <v>919</v>
      </c>
      <c r="Q230" s="10">
        <v>2</v>
      </c>
      <c r="R230" s="10">
        <v>0</v>
      </c>
      <c r="S230" s="10">
        <v>100000</v>
      </c>
      <c r="T230" s="10">
        <v>0</v>
      </c>
      <c r="U230" s="10">
        <v>0</v>
      </c>
      <c r="V230" s="10">
        <v>0</v>
      </c>
      <c r="W230" s="10">
        <v>100000</v>
      </c>
      <c r="X230" s="10">
        <v>6600000</v>
      </c>
      <c r="Y230" s="10">
        <v>0</v>
      </c>
      <c r="Z230" s="10">
        <v>6500000</v>
      </c>
      <c r="AA230" s="10">
        <v>2600000</v>
      </c>
      <c r="AB230" s="10">
        <v>6600000</v>
      </c>
      <c r="AC230" s="10">
        <v>0</v>
      </c>
      <c r="AD230" s="9" t="s">
        <v>44</v>
      </c>
      <c r="AE230" s="10" t="s">
        <v>2393</v>
      </c>
      <c r="AF230" s="10">
        <v>3300000</v>
      </c>
      <c r="AG230" s="10">
        <v>1</v>
      </c>
      <c r="AH230" s="10">
        <v>1</v>
      </c>
      <c r="AI230" s="10">
        <v>1</v>
      </c>
      <c r="AJ230" s="12" t="s">
        <v>920</v>
      </c>
      <c r="AK230" s="10">
        <v>0</v>
      </c>
      <c r="AL230" s="10">
        <v>0</v>
      </c>
      <c r="AM230" s="9">
        <v>2002</v>
      </c>
      <c r="AN230" s="10">
        <v>0</v>
      </c>
      <c r="AO230" s="10">
        <v>2</v>
      </c>
      <c r="AP230" s="6"/>
      <c r="AQ230" s="7"/>
      <c r="AR230" s="8"/>
      <c r="AS230" s="4">
        <f t="shared" si="9"/>
        <v>100000</v>
      </c>
      <c r="AT230" s="4">
        <f t="shared" si="10"/>
        <v>3828001.8845547736</v>
      </c>
      <c r="AU230" s="4">
        <f t="shared" si="11"/>
        <v>2771998.1154452264</v>
      </c>
      <c r="AV230" s="9" t="s">
        <v>919</v>
      </c>
      <c r="AW230" s="12" t="s">
        <v>920</v>
      </c>
      <c r="AX230" s="10">
        <v>0</v>
      </c>
      <c r="AY230">
        <f>S230*AU230/AS230</f>
        <v>2771998.1154452264</v>
      </c>
      <c r="AZ230">
        <f>AU230-AY230</f>
        <v>0</v>
      </c>
      <c r="BA230" s="10">
        <v>6600000</v>
      </c>
      <c r="BB230" s="10">
        <v>0</v>
      </c>
      <c r="BC230" s="9" t="s">
        <v>42</v>
      </c>
      <c r="BD230" s="9">
        <v>10421</v>
      </c>
      <c r="BE230" t="s">
        <v>46</v>
      </c>
    </row>
    <row r="231" spans="1:57" ht="270.75" thickBot="1" x14ac:dyDescent="0.3">
      <c r="A231" s="9" t="s">
        <v>921</v>
      </c>
      <c r="B231" s="9">
        <v>3004</v>
      </c>
      <c r="C231" s="10">
        <v>2</v>
      </c>
      <c r="D231" s="9" t="s">
        <v>37</v>
      </c>
      <c r="E231" s="14">
        <v>46214.850416666668</v>
      </c>
      <c r="F231" s="9" t="s">
        <v>922</v>
      </c>
      <c r="G231" s="9" t="s">
        <v>39</v>
      </c>
      <c r="H231" s="9">
        <v>53</v>
      </c>
      <c r="I231" s="9" t="s">
        <v>40</v>
      </c>
      <c r="J231" s="9">
        <v>5309</v>
      </c>
      <c r="K231" s="9" t="s">
        <v>41</v>
      </c>
      <c r="L231" s="9">
        <v>5309062</v>
      </c>
      <c r="M231" s="9">
        <v>5309062002</v>
      </c>
      <c r="N231" s="9" t="s">
        <v>42</v>
      </c>
      <c r="O231" s="9">
        <v>10421</v>
      </c>
      <c r="P231" s="9" t="s">
        <v>106</v>
      </c>
      <c r="Q231" s="10">
        <v>4</v>
      </c>
      <c r="R231" s="10">
        <v>0</v>
      </c>
      <c r="S231" s="10">
        <v>150000</v>
      </c>
      <c r="T231" s="10">
        <v>0</v>
      </c>
      <c r="U231" s="10">
        <v>100000</v>
      </c>
      <c r="V231" s="10">
        <v>0</v>
      </c>
      <c r="W231" s="10">
        <v>250000</v>
      </c>
      <c r="X231" s="10">
        <v>8700000</v>
      </c>
      <c r="Y231" s="10">
        <v>0</v>
      </c>
      <c r="Z231" s="10">
        <v>8450000</v>
      </c>
      <c r="AA231" s="10">
        <v>4000000</v>
      </c>
      <c r="AB231" s="10">
        <v>8700000</v>
      </c>
      <c r="AC231" s="10">
        <v>0</v>
      </c>
      <c r="AD231" s="9" t="s">
        <v>44</v>
      </c>
      <c r="AE231" s="10" t="s">
        <v>2394</v>
      </c>
      <c r="AF231" s="10">
        <v>2175000</v>
      </c>
      <c r="AG231" s="10">
        <v>1</v>
      </c>
      <c r="AH231" s="10">
        <v>1</v>
      </c>
      <c r="AI231" s="10">
        <v>1</v>
      </c>
      <c r="AJ231" s="12" t="s">
        <v>923</v>
      </c>
      <c r="AK231" s="10">
        <v>0</v>
      </c>
      <c r="AL231" s="10">
        <v>0</v>
      </c>
      <c r="AM231" s="9">
        <v>1994</v>
      </c>
      <c r="AN231" s="10">
        <v>0</v>
      </c>
      <c r="AO231" s="10">
        <v>4</v>
      </c>
      <c r="AP231" s="6"/>
      <c r="AQ231" s="7"/>
      <c r="AR231" s="8"/>
      <c r="AS231" s="4">
        <f t="shared" si="9"/>
        <v>250000</v>
      </c>
      <c r="AT231" s="4">
        <f t="shared" si="10"/>
        <v>5046001.9109119661</v>
      </c>
      <c r="AU231" s="4">
        <f t="shared" si="11"/>
        <v>3653998.0890880339</v>
      </c>
      <c r="AV231" s="9" t="s">
        <v>106</v>
      </c>
      <c r="AW231" s="12" t="s">
        <v>923</v>
      </c>
      <c r="AX231" s="10">
        <v>0</v>
      </c>
      <c r="AY231">
        <f>S231*AU231/AS231</f>
        <v>2192398.8534528203</v>
      </c>
      <c r="AZ231">
        <f>AU231-AY231</f>
        <v>1461599.2356352136</v>
      </c>
      <c r="BA231" s="10">
        <v>8700000</v>
      </c>
      <c r="BB231" s="10">
        <v>0</v>
      </c>
      <c r="BC231" s="9" t="s">
        <v>42</v>
      </c>
      <c r="BD231" s="9">
        <v>10421</v>
      </c>
      <c r="BE231" t="s">
        <v>46</v>
      </c>
    </row>
    <row r="232" spans="1:57" ht="270.75" thickBot="1" x14ac:dyDescent="0.3">
      <c r="A232" s="9" t="s">
        <v>924</v>
      </c>
      <c r="B232" s="9">
        <v>3006</v>
      </c>
      <c r="C232" s="10">
        <v>2</v>
      </c>
      <c r="D232" s="9" t="s">
        <v>113</v>
      </c>
      <c r="E232" s="11">
        <v>46314.063446423614</v>
      </c>
      <c r="F232" s="9" t="s">
        <v>925</v>
      </c>
      <c r="G232" s="9" t="s">
        <v>39</v>
      </c>
      <c r="H232" s="9">
        <v>53</v>
      </c>
      <c r="I232" s="9" t="s">
        <v>40</v>
      </c>
      <c r="J232" s="9">
        <v>5309</v>
      </c>
      <c r="K232" s="9" t="s">
        <v>41</v>
      </c>
      <c r="L232" s="9">
        <v>5309062</v>
      </c>
      <c r="M232" s="9">
        <v>5309062010</v>
      </c>
      <c r="N232" s="9" t="s">
        <v>42</v>
      </c>
      <c r="O232" s="9">
        <v>10421</v>
      </c>
      <c r="P232" s="9" t="s">
        <v>141</v>
      </c>
      <c r="Q232" s="10">
        <v>4</v>
      </c>
      <c r="R232" s="10">
        <v>0</v>
      </c>
      <c r="S232" s="10">
        <v>500000</v>
      </c>
      <c r="T232" s="10">
        <v>0</v>
      </c>
      <c r="U232" s="10">
        <v>150000</v>
      </c>
      <c r="V232" s="10">
        <v>0</v>
      </c>
      <c r="W232" s="10">
        <v>650000</v>
      </c>
      <c r="X232" s="10">
        <v>9000000</v>
      </c>
      <c r="Y232" s="10">
        <v>0</v>
      </c>
      <c r="Z232" s="10">
        <v>8350000</v>
      </c>
      <c r="AA232" s="10">
        <v>48000000</v>
      </c>
      <c r="AB232" s="10">
        <v>9000000</v>
      </c>
      <c r="AC232" s="10">
        <v>0</v>
      </c>
      <c r="AD232" s="9" t="s">
        <v>44</v>
      </c>
      <c r="AE232" s="10" t="s">
        <v>2395</v>
      </c>
      <c r="AF232" s="10">
        <v>2250000</v>
      </c>
      <c r="AG232" s="10">
        <v>1</v>
      </c>
      <c r="AH232" s="10">
        <v>1</v>
      </c>
      <c r="AI232" s="10">
        <v>1</v>
      </c>
      <c r="AJ232" s="12" t="s">
        <v>926</v>
      </c>
      <c r="AK232" s="10">
        <v>0</v>
      </c>
      <c r="AL232" s="10">
        <v>0</v>
      </c>
      <c r="AM232" s="9">
        <v>2025</v>
      </c>
      <c r="AN232" s="10">
        <v>0</v>
      </c>
      <c r="AO232" s="10">
        <v>4</v>
      </c>
      <c r="AP232" s="6"/>
      <c r="AQ232" s="7"/>
      <c r="AR232" s="8"/>
      <c r="AS232" s="4">
        <f t="shared" si="9"/>
        <v>650000</v>
      </c>
      <c r="AT232" s="4">
        <f t="shared" si="10"/>
        <v>5219998.7497008983</v>
      </c>
      <c r="AU232" s="4">
        <f t="shared" si="11"/>
        <v>3780001.2502991017</v>
      </c>
      <c r="AV232" s="9" t="s">
        <v>141</v>
      </c>
      <c r="AW232" s="12" t="s">
        <v>926</v>
      </c>
      <c r="AX232" s="10">
        <v>0</v>
      </c>
      <c r="AY232">
        <f>S232*AU232/AS232</f>
        <v>2907693.2694608471</v>
      </c>
      <c r="AZ232">
        <f>AU232-AY232</f>
        <v>872307.98083825456</v>
      </c>
      <c r="BA232" s="10">
        <v>9000000</v>
      </c>
      <c r="BB232" s="10">
        <v>0</v>
      </c>
      <c r="BC232" s="9" t="s">
        <v>42</v>
      </c>
      <c r="BD232" s="9">
        <v>10421</v>
      </c>
      <c r="BE232" t="s">
        <v>46</v>
      </c>
    </row>
    <row r="233" spans="1:57" ht="270.75" thickBot="1" x14ac:dyDescent="0.3">
      <c r="A233" s="9" t="s">
        <v>927</v>
      </c>
      <c r="B233" s="9">
        <v>3001</v>
      </c>
      <c r="C233" s="10">
        <v>2</v>
      </c>
      <c r="D233" s="9" t="s">
        <v>37</v>
      </c>
      <c r="E233" s="11">
        <v>46263.397308217594</v>
      </c>
      <c r="F233" s="9" t="s">
        <v>928</v>
      </c>
      <c r="G233" s="9" t="s">
        <v>39</v>
      </c>
      <c r="H233" s="9">
        <v>53</v>
      </c>
      <c r="I233" s="9" t="s">
        <v>40</v>
      </c>
      <c r="J233" s="9">
        <v>5309</v>
      </c>
      <c r="K233" s="9" t="s">
        <v>41</v>
      </c>
      <c r="L233" s="9">
        <v>5309074</v>
      </c>
      <c r="M233" s="9">
        <v>5309074006</v>
      </c>
      <c r="N233" s="9" t="s">
        <v>42</v>
      </c>
      <c r="O233" s="9">
        <v>10421</v>
      </c>
      <c r="P233" s="9" t="s">
        <v>49</v>
      </c>
      <c r="Q233" s="10">
        <v>2</v>
      </c>
      <c r="R233" s="10">
        <v>0</v>
      </c>
      <c r="S233" s="10">
        <v>100000</v>
      </c>
      <c r="T233" s="10">
        <v>0</v>
      </c>
      <c r="U233" s="10">
        <v>50000</v>
      </c>
      <c r="V233" s="10">
        <v>0</v>
      </c>
      <c r="W233" s="10">
        <v>150000</v>
      </c>
      <c r="X233" s="10">
        <v>1250000</v>
      </c>
      <c r="Y233" s="10">
        <v>0</v>
      </c>
      <c r="Z233" s="10">
        <v>1100000</v>
      </c>
      <c r="AA233" s="10">
        <v>2000000</v>
      </c>
      <c r="AB233" s="10">
        <v>1250000</v>
      </c>
      <c r="AC233" s="10">
        <v>0</v>
      </c>
      <c r="AD233" s="9" t="s">
        <v>44</v>
      </c>
      <c r="AE233" s="10" t="s">
        <v>1743</v>
      </c>
      <c r="AF233" s="10">
        <v>625000</v>
      </c>
      <c r="AG233" s="10">
        <v>1</v>
      </c>
      <c r="AH233" s="10">
        <v>1</v>
      </c>
      <c r="AI233" s="10">
        <v>1</v>
      </c>
      <c r="AJ233" s="12" t="s">
        <v>929</v>
      </c>
      <c r="AK233" s="10">
        <v>0</v>
      </c>
      <c r="AL233" s="10">
        <v>0</v>
      </c>
      <c r="AM233" s="9">
        <v>2009</v>
      </c>
      <c r="AN233" s="10">
        <v>0</v>
      </c>
      <c r="AO233" s="10">
        <v>2</v>
      </c>
      <c r="AP233" s="6"/>
      <c r="AQ233" s="7"/>
      <c r="AR233" s="8"/>
      <c r="AS233" s="4">
        <f t="shared" si="9"/>
        <v>150000</v>
      </c>
      <c r="AT233" s="4">
        <f t="shared" si="10"/>
        <v>725000</v>
      </c>
      <c r="AU233" s="4">
        <f t="shared" si="11"/>
        <v>525000</v>
      </c>
      <c r="AV233" s="9" t="s">
        <v>49</v>
      </c>
      <c r="AW233" s="12" t="s">
        <v>929</v>
      </c>
      <c r="AX233" s="10">
        <v>0</v>
      </c>
      <c r="AY233">
        <f>S233*AU233/AS233</f>
        <v>350000</v>
      </c>
      <c r="AZ233">
        <f>AU233-AY233</f>
        <v>175000</v>
      </c>
      <c r="BA233" s="10">
        <v>1250000</v>
      </c>
      <c r="BB233" s="10">
        <v>0</v>
      </c>
      <c r="BC233" s="9" t="s">
        <v>42</v>
      </c>
      <c r="BD233" s="9">
        <v>10421</v>
      </c>
      <c r="BE233" t="s">
        <v>46</v>
      </c>
    </row>
    <row r="234" spans="1:57" ht="270.75" thickBot="1" x14ac:dyDescent="0.3">
      <c r="A234" s="9" t="s">
        <v>930</v>
      </c>
      <c r="B234" s="9">
        <v>3001</v>
      </c>
      <c r="C234" s="10">
        <v>2</v>
      </c>
      <c r="D234" s="9" t="s">
        <v>37</v>
      </c>
      <c r="E234" s="11">
        <v>46253.38347645833</v>
      </c>
      <c r="F234" s="9" t="s">
        <v>931</v>
      </c>
      <c r="G234" s="9" t="s">
        <v>39</v>
      </c>
      <c r="H234" s="9">
        <v>53</v>
      </c>
      <c r="I234" s="9" t="s">
        <v>40</v>
      </c>
      <c r="J234" s="9">
        <v>5309</v>
      </c>
      <c r="K234" s="9" t="s">
        <v>41</v>
      </c>
      <c r="L234" s="9">
        <v>5309021</v>
      </c>
      <c r="M234" s="9">
        <v>5309021006</v>
      </c>
      <c r="N234" s="9" t="s">
        <v>42</v>
      </c>
      <c r="O234" s="9">
        <v>10421</v>
      </c>
      <c r="P234" s="9" t="s">
        <v>932</v>
      </c>
      <c r="Q234" s="10">
        <v>3</v>
      </c>
      <c r="R234" s="10">
        <v>1200000</v>
      </c>
      <c r="S234" s="10">
        <v>1550000</v>
      </c>
      <c r="T234" s="10">
        <v>0</v>
      </c>
      <c r="U234" s="10">
        <v>1300000</v>
      </c>
      <c r="V234" s="10">
        <v>100000</v>
      </c>
      <c r="W234" s="10">
        <v>4150000</v>
      </c>
      <c r="X234" s="10">
        <v>7500000</v>
      </c>
      <c r="Y234" s="10">
        <v>0</v>
      </c>
      <c r="Z234" s="10">
        <v>4650000</v>
      </c>
      <c r="AA234" s="10">
        <v>60000000</v>
      </c>
      <c r="AB234" s="10">
        <v>7500000</v>
      </c>
      <c r="AC234" s="10">
        <v>0</v>
      </c>
      <c r="AD234" s="9" t="s">
        <v>44</v>
      </c>
      <c r="AE234" s="10" t="s">
        <v>207</v>
      </c>
      <c r="AF234" s="10">
        <v>2500000</v>
      </c>
      <c r="AG234" s="10">
        <v>1</v>
      </c>
      <c r="AH234" s="10">
        <v>1</v>
      </c>
      <c r="AI234" s="10">
        <v>1</v>
      </c>
      <c r="AJ234" s="12" t="s">
        <v>933</v>
      </c>
      <c r="AK234" s="10">
        <v>0</v>
      </c>
      <c r="AL234" s="10">
        <v>0</v>
      </c>
      <c r="AM234" s="9">
        <v>2018</v>
      </c>
      <c r="AN234" s="10">
        <v>1</v>
      </c>
      <c r="AO234" s="10">
        <v>2</v>
      </c>
      <c r="AP234" s="6"/>
      <c r="AQ234" s="7"/>
      <c r="AR234" s="8"/>
      <c r="AS234" s="4">
        <f t="shared" si="9"/>
        <v>2850000</v>
      </c>
      <c r="AT234" s="4">
        <f t="shared" si="10"/>
        <v>4350000</v>
      </c>
      <c r="AU234" s="4">
        <f t="shared" si="11"/>
        <v>3150000</v>
      </c>
      <c r="AV234" s="9" t="s">
        <v>932</v>
      </c>
      <c r="AW234" s="12" t="s">
        <v>933</v>
      </c>
      <c r="AX234" s="10">
        <v>0</v>
      </c>
      <c r="AY234">
        <f>S234*AU234/AS234</f>
        <v>1713157.894736842</v>
      </c>
      <c r="AZ234">
        <f>AU234-AY234</f>
        <v>1436842.105263158</v>
      </c>
      <c r="BA234" s="10">
        <v>7500000</v>
      </c>
      <c r="BB234" s="10">
        <v>0</v>
      </c>
      <c r="BC234" s="9" t="s">
        <v>42</v>
      </c>
      <c r="BD234" s="9">
        <v>10421</v>
      </c>
      <c r="BE234" t="s">
        <v>46</v>
      </c>
    </row>
    <row r="235" spans="1:57" ht="270.75" thickBot="1" x14ac:dyDescent="0.3">
      <c r="A235" s="9" t="s">
        <v>934</v>
      </c>
      <c r="B235" s="9">
        <v>3001</v>
      </c>
      <c r="C235" s="10">
        <v>2</v>
      </c>
      <c r="D235" s="9" t="s">
        <v>37</v>
      </c>
      <c r="E235" s="14">
        <v>46243.220138888886</v>
      </c>
      <c r="F235" s="9" t="s">
        <v>935</v>
      </c>
      <c r="G235" s="9" t="s">
        <v>39</v>
      </c>
      <c r="H235" s="9">
        <v>53</v>
      </c>
      <c r="I235" s="9" t="s">
        <v>40</v>
      </c>
      <c r="J235" s="9">
        <v>5309</v>
      </c>
      <c r="K235" s="9" t="s">
        <v>41</v>
      </c>
      <c r="L235" s="9">
        <v>5309074</v>
      </c>
      <c r="M235" s="9">
        <v>5309074007</v>
      </c>
      <c r="N235" s="9" t="s">
        <v>42</v>
      </c>
      <c r="O235" s="9">
        <v>10421</v>
      </c>
      <c r="P235" s="9" t="s">
        <v>49</v>
      </c>
      <c r="Q235" s="10">
        <v>3</v>
      </c>
      <c r="R235" s="10">
        <v>700000</v>
      </c>
      <c r="S235" s="10">
        <v>1000000</v>
      </c>
      <c r="T235" s="10">
        <v>0</v>
      </c>
      <c r="U235" s="10">
        <v>350000</v>
      </c>
      <c r="V235" s="10">
        <v>15000</v>
      </c>
      <c r="W235" s="10">
        <v>2065000</v>
      </c>
      <c r="X235" s="10">
        <v>8400000</v>
      </c>
      <c r="Y235" s="10">
        <v>0</v>
      </c>
      <c r="Z235" s="10">
        <v>7050000</v>
      </c>
      <c r="AA235" s="10">
        <v>1950000</v>
      </c>
      <c r="AB235" s="10">
        <v>8400000</v>
      </c>
      <c r="AC235" s="10">
        <v>0</v>
      </c>
      <c r="AD235" s="9" t="s">
        <v>44</v>
      </c>
      <c r="AE235" s="10" t="s">
        <v>2396</v>
      </c>
      <c r="AF235" s="10">
        <v>2800000</v>
      </c>
      <c r="AG235" s="10">
        <v>1</v>
      </c>
      <c r="AH235" s="10">
        <v>1</v>
      </c>
      <c r="AI235" s="10">
        <v>1</v>
      </c>
      <c r="AJ235" s="12" t="s">
        <v>936</v>
      </c>
      <c r="AK235" s="10">
        <v>0</v>
      </c>
      <c r="AL235" s="10">
        <v>0</v>
      </c>
      <c r="AM235" s="9">
        <v>2015</v>
      </c>
      <c r="AN235" s="10">
        <v>2</v>
      </c>
      <c r="AO235" s="10">
        <v>1</v>
      </c>
      <c r="AP235" s="6"/>
      <c r="AQ235" s="7"/>
      <c r="AR235" s="8"/>
      <c r="AS235" s="4">
        <f t="shared" si="9"/>
        <v>1350000</v>
      </c>
      <c r="AT235" s="4">
        <f t="shared" si="10"/>
        <v>4871998.3414473729</v>
      </c>
      <c r="AU235" s="4">
        <f t="shared" si="11"/>
        <v>3528001.6585526271</v>
      </c>
      <c r="AV235" s="9" t="s">
        <v>49</v>
      </c>
      <c r="AW235" s="12" t="s">
        <v>936</v>
      </c>
      <c r="AX235" s="10">
        <v>0</v>
      </c>
      <c r="AY235">
        <f>S235*AU235/AS235</f>
        <v>2613334.5618908349</v>
      </c>
      <c r="AZ235">
        <f>AU235-AY235</f>
        <v>914667.09666179214</v>
      </c>
      <c r="BA235" s="10">
        <v>8400000</v>
      </c>
      <c r="BB235" s="10">
        <v>0</v>
      </c>
      <c r="BC235" s="9" t="s">
        <v>42</v>
      </c>
      <c r="BD235" s="9">
        <v>10421</v>
      </c>
      <c r="BE235" t="s">
        <v>46</v>
      </c>
    </row>
    <row r="236" spans="1:57" ht="270.75" thickBot="1" x14ac:dyDescent="0.3">
      <c r="A236" s="9" t="s">
        <v>937</v>
      </c>
      <c r="B236" s="9">
        <v>3001</v>
      </c>
      <c r="C236" s="10">
        <v>2</v>
      </c>
      <c r="D236" s="9" t="s">
        <v>37</v>
      </c>
      <c r="E236" s="14">
        <v>46241.22278935185</v>
      </c>
      <c r="F236" s="9" t="s">
        <v>938</v>
      </c>
      <c r="G236" s="9" t="s">
        <v>39</v>
      </c>
      <c r="H236" s="9">
        <v>53</v>
      </c>
      <c r="I236" s="9" t="s">
        <v>40</v>
      </c>
      <c r="J236" s="9">
        <v>5309</v>
      </c>
      <c r="K236" s="9" t="s">
        <v>41</v>
      </c>
      <c r="L236" s="9">
        <v>5309062</v>
      </c>
      <c r="M236" s="9">
        <v>5309062006</v>
      </c>
      <c r="N236" s="9" t="s">
        <v>42</v>
      </c>
      <c r="O236" s="9">
        <v>10421</v>
      </c>
      <c r="P236" s="9" t="s">
        <v>939</v>
      </c>
      <c r="Q236" s="10">
        <v>4</v>
      </c>
      <c r="R236" s="10">
        <v>300000</v>
      </c>
      <c r="S236" s="10">
        <v>100000</v>
      </c>
      <c r="T236" s="10">
        <v>0</v>
      </c>
      <c r="U236" s="10">
        <v>0</v>
      </c>
      <c r="V236" s="10">
        <v>0</v>
      </c>
      <c r="W236" s="10">
        <v>400000</v>
      </c>
      <c r="X236" s="10">
        <v>8400000</v>
      </c>
      <c r="Y236" s="10">
        <v>0</v>
      </c>
      <c r="Z236" s="10">
        <v>8300000</v>
      </c>
      <c r="AA236" s="10">
        <v>2400000</v>
      </c>
      <c r="AB236" s="10">
        <v>8400000</v>
      </c>
      <c r="AC236" s="10">
        <v>0</v>
      </c>
      <c r="AD236" s="9" t="s">
        <v>44</v>
      </c>
      <c r="AE236" s="10" t="s">
        <v>2397</v>
      </c>
      <c r="AF236" s="10">
        <v>2100000</v>
      </c>
      <c r="AG236" s="10">
        <v>1</v>
      </c>
      <c r="AH236" s="10">
        <v>1</v>
      </c>
      <c r="AI236" s="10">
        <v>1</v>
      </c>
      <c r="AJ236" s="12" t="s">
        <v>940</v>
      </c>
      <c r="AK236" s="10">
        <v>0</v>
      </c>
      <c r="AL236" s="10">
        <v>0</v>
      </c>
      <c r="AM236" s="9">
        <v>2002</v>
      </c>
      <c r="AN236" s="10">
        <v>2</v>
      </c>
      <c r="AO236" s="10">
        <v>2</v>
      </c>
      <c r="AP236" s="6"/>
      <c r="AQ236" s="7"/>
      <c r="AR236" s="8"/>
      <c r="AS236" s="4">
        <f t="shared" si="9"/>
        <v>100000</v>
      </c>
      <c r="AT236" s="4">
        <f t="shared" si="10"/>
        <v>4872001.1739761867</v>
      </c>
      <c r="AU236" s="4">
        <f t="shared" si="11"/>
        <v>3527998.8260238133</v>
      </c>
      <c r="AV236" s="9" t="s">
        <v>939</v>
      </c>
      <c r="AW236" s="12" t="s">
        <v>940</v>
      </c>
      <c r="AX236" s="10">
        <v>0</v>
      </c>
      <c r="AY236">
        <f>S236*AU236/AS236</f>
        <v>3527998.8260238133</v>
      </c>
      <c r="AZ236">
        <f>AU236-AY236</f>
        <v>0</v>
      </c>
      <c r="BA236" s="10">
        <v>8400000</v>
      </c>
      <c r="BB236" s="10">
        <v>0</v>
      </c>
      <c r="BC236" s="9" t="s">
        <v>42</v>
      </c>
      <c r="BD236" s="9">
        <v>10421</v>
      </c>
      <c r="BE236" t="s">
        <v>46</v>
      </c>
    </row>
    <row r="237" spans="1:57" ht="270.75" thickBot="1" x14ac:dyDescent="0.3">
      <c r="A237" s="9" t="s">
        <v>941</v>
      </c>
      <c r="B237" s="9">
        <v>3003</v>
      </c>
      <c r="C237" s="10">
        <v>2</v>
      </c>
      <c r="D237" s="9" t="s">
        <v>84</v>
      </c>
      <c r="E237" s="11">
        <v>46234.841741655095</v>
      </c>
      <c r="F237" s="9" t="s">
        <v>942</v>
      </c>
      <c r="G237" s="9" t="s">
        <v>39</v>
      </c>
      <c r="H237" s="9">
        <v>53</v>
      </c>
      <c r="I237" s="9" t="s">
        <v>40</v>
      </c>
      <c r="J237" s="9">
        <v>5309</v>
      </c>
      <c r="K237" s="9" t="s">
        <v>41</v>
      </c>
      <c r="L237" s="9">
        <v>5309060</v>
      </c>
      <c r="M237" s="9">
        <v>5309060012</v>
      </c>
      <c r="N237" s="9" t="s">
        <v>42</v>
      </c>
      <c r="O237" s="9">
        <v>10421</v>
      </c>
      <c r="P237" s="9" t="s">
        <v>943</v>
      </c>
      <c r="Q237" s="10">
        <v>3</v>
      </c>
      <c r="R237" s="10">
        <v>500000</v>
      </c>
      <c r="S237" s="10">
        <v>2400000</v>
      </c>
      <c r="T237" s="10">
        <v>0</v>
      </c>
      <c r="U237" s="10">
        <v>150000</v>
      </c>
      <c r="V237" s="10">
        <v>0</v>
      </c>
      <c r="W237" s="10">
        <v>3050000</v>
      </c>
      <c r="X237" s="10">
        <v>8000000</v>
      </c>
      <c r="Y237" s="10">
        <v>300000</v>
      </c>
      <c r="Z237" s="10">
        <v>5450000</v>
      </c>
      <c r="AA237" s="10">
        <v>3500000</v>
      </c>
      <c r="AB237" s="10">
        <v>8000000</v>
      </c>
      <c r="AC237" s="10">
        <v>0</v>
      </c>
      <c r="AD237" s="9" t="s">
        <v>44</v>
      </c>
      <c r="AE237" s="10" t="s">
        <v>2398</v>
      </c>
      <c r="AF237" s="13">
        <v>2666666667</v>
      </c>
      <c r="AG237" s="10">
        <v>1</v>
      </c>
      <c r="AH237" s="10">
        <v>1</v>
      </c>
      <c r="AI237" s="10">
        <v>1</v>
      </c>
      <c r="AJ237" s="12" t="s">
        <v>944</v>
      </c>
      <c r="AK237" s="10">
        <v>0</v>
      </c>
      <c r="AL237" s="10">
        <v>0</v>
      </c>
      <c r="AM237" s="9">
        <v>2014</v>
      </c>
      <c r="AN237" s="10">
        <v>1</v>
      </c>
      <c r="AO237" s="10">
        <v>2</v>
      </c>
      <c r="AP237" s="6"/>
      <c r="AQ237" s="7"/>
      <c r="AR237" s="8"/>
      <c r="AS237" s="4">
        <f t="shared" si="9"/>
        <v>2550000</v>
      </c>
      <c r="AT237" s="4">
        <f t="shared" si="10"/>
        <v>4640000</v>
      </c>
      <c r="AU237" s="4">
        <f t="shared" si="11"/>
        <v>3360000</v>
      </c>
      <c r="AV237" s="9" t="s">
        <v>943</v>
      </c>
      <c r="AW237" s="12" t="s">
        <v>944</v>
      </c>
      <c r="AX237" s="10">
        <v>0</v>
      </c>
      <c r="AY237">
        <f>S237*AU237/AS237</f>
        <v>3162352.9411764704</v>
      </c>
      <c r="AZ237">
        <f>AU237-AY237</f>
        <v>197647.05882352963</v>
      </c>
      <c r="BA237" s="10">
        <v>8000000</v>
      </c>
      <c r="BB237" s="10">
        <v>300000</v>
      </c>
      <c r="BC237" s="9" t="s">
        <v>42</v>
      </c>
      <c r="BD237" s="9">
        <v>10421</v>
      </c>
      <c r="BE237" t="s">
        <v>46</v>
      </c>
    </row>
    <row r="238" spans="1:57" ht="270.75" thickBot="1" x14ac:dyDescent="0.3">
      <c r="A238" s="9" t="s">
        <v>945</v>
      </c>
      <c r="B238" s="9">
        <v>3001</v>
      </c>
      <c r="C238" s="10">
        <v>2</v>
      </c>
      <c r="D238" s="9" t="s">
        <v>37</v>
      </c>
      <c r="E238" s="14">
        <v>46244.980231481481</v>
      </c>
      <c r="F238" s="9" t="s">
        <v>946</v>
      </c>
      <c r="G238" s="9" t="s">
        <v>39</v>
      </c>
      <c r="H238" s="9">
        <v>53</v>
      </c>
      <c r="I238" s="9" t="s">
        <v>40</v>
      </c>
      <c r="J238" s="9">
        <v>5309</v>
      </c>
      <c r="K238" s="9" t="s">
        <v>41</v>
      </c>
      <c r="L238" s="9">
        <v>5309062</v>
      </c>
      <c r="M238" s="9">
        <v>5309062009</v>
      </c>
      <c r="N238" s="9" t="s">
        <v>42</v>
      </c>
      <c r="O238" s="9">
        <v>10421</v>
      </c>
      <c r="P238" s="9" t="s">
        <v>947</v>
      </c>
      <c r="Q238" s="10">
        <v>9</v>
      </c>
      <c r="R238" s="10">
        <v>1680000</v>
      </c>
      <c r="S238" s="10">
        <v>400000</v>
      </c>
      <c r="T238" s="10">
        <v>0</v>
      </c>
      <c r="U238" s="10">
        <v>550000</v>
      </c>
      <c r="V238" s="10">
        <v>0</v>
      </c>
      <c r="W238" s="10">
        <v>2630000</v>
      </c>
      <c r="X238" s="10">
        <v>12000000</v>
      </c>
      <c r="Y238" s="10">
        <v>0</v>
      </c>
      <c r="Z238" s="10">
        <v>11050000</v>
      </c>
      <c r="AA238" s="10">
        <v>6300000</v>
      </c>
      <c r="AB238" s="10">
        <v>12000000</v>
      </c>
      <c r="AC238" s="10">
        <v>0</v>
      </c>
      <c r="AD238" s="9" t="s">
        <v>44</v>
      </c>
      <c r="AE238" s="10" t="s">
        <v>2399</v>
      </c>
      <c r="AF238" s="13">
        <v>1333333333</v>
      </c>
      <c r="AG238" s="10">
        <v>1</v>
      </c>
      <c r="AH238" s="10">
        <v>1</v>
      </c>
      <c r="AI238" s="10">
        <v>1</v>
      </c>
      <c r="AJ238" s="12" t="s">
        <v>948</v>
      </c>
      <c r="AK238" s="10">
        <v>0</v>
      </c>
      <c r="AL238" s="10">
        <v>0</v>
      </c>
      <c r="AM238" s="9">
        <v>1990</v>
      </c>
      <c r="AN238" s="10">
        <v>7</v>
      </c>
      <c r="AO238" s="10">
        <v>2</v>
      </c>
      <c r="AP238" s="6"/>
      <c r="AQ238" s="7"/>
      <c r="AR238" s="8"/>
      <c r="AS238" s="4">
        <f t="shared" si="9"/>
        <v>950000</v>
      </c>
      <c r="AT238" s="4">
        <f t="shared" si="10"/>
        <v>6960002.5194579251</v>
      </c>
      <c r="AU238" s="4">
        <f t="shared" si="11"/>
        <v>5039997.4805420749</v>
      </c>
      <c r="AV238" s="9" t="s">
        <v>947</v>
      </c>
      <c r="AW238" s="12" t="s">
        <v>948</v>
      </c>
      <c r="AX238" s="10">
        <v>0</v>
      </c>
      <c r="AY238">
        <f>S238*AU238/AS238</f>
        <v>2122104.2023335053</v>
      </c>
      <c r="AZ238">
        <f>AU238-AY238</f>
        <v>2917893.2782085696</v>
      </c>
      <c r="BA238" s="10">
        <v>12000000</v>
      </c>
      <c r="BB238" s="10">
        <v>0</v>
      </c>
      <c r="BC238" s="9" t="s">
        <v>42</v>
      </c>
      <c r="BD238" s="9">
        <v>10421</v>
      </c>
      <c r="BE238" t="s">
        <v>46</v>
      </c>
    </row>
    <row r="239" spans="1:57" ht="270.75" thickBot="1" x14ac:dyDescent="0.3">
      <c r="A239" s="9" t="s">
        <v>949</v>
      </c>
      <c r="B239" s="9">
        <v>3001</v>
      </c>
      <c r="C239" s="10">
        <v>2</v>
      </c>
      <c r="D239" s="9" t="s">
        <v>37</v>
      </c>
      <c r="E239" s="14">
        <v>46224.505324074074</v>
      </c>
      <c r="F239" s="9" t="s">
        <v>950</v>
      </c>
      <c r="G239" s="9" t="s">
        <v>39</v>
      </c>
      <c r="H239" s="9">
        <v>53</v>
      </c>
      <c r="I239" s="9" t="s">
        <v>40</v>
      </c>
      <c r="J239" s="9">
        <v>5309</v>
      </c>
      <c r="K239" s="9" t="s">
        <v>41</v>
      </c>
      <c r="L239" s="9">
        <v>5309073</v>
      </c>
      <c r="M239" s="9">
        <v>5309073001</v>
      </c>
      <c r="N239" s="9" t="s">
        <v>42</v>
      </c>
      <c r="O239" s="9">
        <v>10421</v>
      </c>
      <c r="P239" s="9" t="s">
        <v>951</v>
      </c>
      <c r="Q239" s="10">
        <v>2</v>
      </c>
      <c r="R239" s="10">
        <v>0</v>
      </c>
      <c r="S239" s="10">
        <v>150000</v>
      </c>
      <c r="T239" s="10">
        <v>0</v>
      </c>
      <c r="U239" s="10">
        <v>260000</v>
      </c>
      <c r="V239" s="10">
        <v>0</v>
      </c>
      <c r="W239" s="10">
        <v>410000</v>
      </c>
      <c r="X239" s="10">
        <v>10500000</v>
      </c>
      <c r="Y239" s="10">
        <v>0</v>
      </c>
      <c r="Z239" s="10">
        <v>10090000</v>
      </c>
      <c r="AA239" s="10">
        <v>27000000</v>
      </c>
      <c r="AB239" s="10">
        <v>10500000</v>
      </c>
      <c r="AC239" s="10">
        <v>0</v>
      </c>
      <c r="AD239" s="9" t="s">
        <v>44</v>
      </c>
      <c r="AE239" s="10" t="s">
        <v>2400</v>
      </c>
      <c r="AF239" s="10">
        <v>5250000</v>
      </c>
      <c r="AG239" s="10">
        <v>0</v>
      </c>
      <c r="AH239" s="10">
        <v>1</v>
      </c>
      <c r="AI239" s="10">
        <v>1</v>
      </c>
      <c r="AJ239" s="12" t="s">
        <v>952</v>
      </c>
      <c r="AK239" s="10">
        <v>0</v>
      </c>
      <c r="AL239" s="10">
        <v>0</v>
      </c>
      <c r="AM239" s="9">
        <v>1998</v>
      </c>
      <c r="AN239" s="10">
        <v>0</v>
      </c>
      <c r="AO239" s="10">
        <v>2</v>
      </c>
      <c r="AP239" s="6"/>
      <c r="AQ239" s="7"/>
      <c r="AR239" s="8"/>
      <c r="AS239" s="4">
        <f t="shared" si="9"/>
        <v>410000</v>
      </c>
      <c r="AT239" s="4">
        <f t="shared" si="10"/>
        <v>6090002.4142725132</v>
      </c>
      <c r="AU239" s="4">
        <f t="shared" si="11"/>
        <v>4409997.5857274868</v>
      </c>
      <c r="AV239" s="9" t="s">
        <v>951</v>
      </c>
      <c r="AW239" s="12" t="s">
        <v>952</v>
      </c>
      <c r="AX239" s="10">
        <v>0</v>
      </c>
      <c r="AY239">
        <f>S239*AU239/AS239</f>
        <v>1613413.7508759098</v>
      </c>
      <c r="AZ239">
        <f>AU239-AY239</f>
        <v>2796583.8348515769</v>
      </c>
      <c r="BA239" s="10">
        <v>10500000</v>
      </c>
      <c r="BB239" s="10">
        <v>0</v>
      </c>
      <c r="BC239" s="9" t="s">
        <v>42</v>
      </c>
      <c r="BD239" s="9">
        <v>10421</v>
      </c>
      <c r="BE239" t="s">
        <v>46</v>
      </c>
    </row>
    <row r="240" spans="1:57" ht="270.75" thickBot="1" x14ac:dyDescent="0.3">
      <c r="A240" s="9" t="s">
        <v>953</v>
      </c>
      <c r="B240" s="9">
        <v>1002</v>
      </c>
      <c r="C240" s="10">
        <v>2</v>
      </c>
      <c r="D240" s="9" t="s">
        <v>84</v>
      </c>
      <c r="E240" s="11">
        <v>46310.298541655095</v>
      </c>
      <c r="F240" s="9" t="s">
        <v>954</v>
      </c>
      <c r="G240" s="9" t="s">
        <v>39</v>
      </c>
      <c r="H240" s="9">
        <v>53</v>
      </c>
      <c r="I240" s="9" t="s">
        <v>40</v>
      </c>
      <c r="J240" s="9">
        <v>5309</v>
      </c>
      <c r="K240" s="9" t="s">
        <v>41</v>
      </c>
      <c r="L240" s="9">
        <v>5309073</v>
      </c>
      <c r="M240" s="9">
        <v>5309073003</v>
      </c>
      <c r="N240" s="9" t="s">
        <v>42</v>
      </c>
      <c r="O240" s="9">
        <v>10421</v>
      </c>
      <c r="P240" s="9" t="s">
        <v>955</v>
      </c>
      <c r="Q240" s="10">
        <v>1</v>
      </c>
      <c r="R240" s="10">
        <v>0</v>
      </c>
      <c r="S240" s="10">
        <v>600000</v>
      </c>
      <c r="T240" s="10">
        <v>0</v>
      </c>
      <c r="U240" s="10">
        <v>0</v>
      </c>
      <c r="V240" s="10">
        <v>0</v>
      </c>
      <c r="W240" s="10">
        <v>600000</v>
      </c>
      <c r="X240" s="10">
        <v>5000000</v>
      </c>
      <c r="Y240" s="10">
        <v>0</v>
      </c>
      <c r="Z240" s="10">
        <v>4400000</v>
      </c>
      <c r="AA240" s="10">
        <v>1500000</v>
      </c>
      <c r="AB240" s="10">
        <v>5000000</v>
      </c>
      <c r="AC240" s="10">
        <v>0</v>
      </c>
      <c r="AD240" s="9" t="s">
        <v>44</v>
      </c>
      <c r="AE240" s="10" t="s">
        <v>1743</v>
      </c>
      <c r="AF240" s="10">
        <v>5000000</v>
      </c>
      <c r="AG240" s="10">
        <v>1</v>
      </c>
      <c r="AH240" s="10">
        <v>1</v>
      </c>
      <c r="AI240" s="10">
        <v>1</v>
      </c>
      <c r="AJ240" s="12" t="s">
        <v>956</v>
      </c>
      <c r="AK240" s="10">
        <v>0</v>
      </c>
      <c r="AL240" s="10">
        <v>0</v>
      </c>
      <c r="AM240" s="9">
        <v>1998</v>
      </c>
      <c r="AN240" s="10">
        <v>0</v>
      </c>
      <c r="AO240" s="10">
        <v>1</v>
      </c>
      <c r="AP240" s="6"/>
      <c r="AQ240" s="7"/>
      <c r="AR240" s="8"/>
      <c r="AS240" s="4">
        <f t="shared" si="9"/>
        <v>600000</v>
      </c>
      <c r="AT240" s="4">
        <f t="shared" si="10"/>
        <v>2900000</v>
      </c>
      <c r="AU240" s="4">
        <f t="shared" si="11"/>
        <v>2100000</v>
      </c>
      <c r="AV240" s="9" t="s">
        <v>955</v>
      </c>
      <c r="AW240" s="12" t="s">
        <v>956</v>
      </c>
      <c r="AX240" s="10">
        <v>0</v>
      </c>
      <c r="AY240">
        <f>S240*AU240/AS240</f>
        <v>2100000</v>
      </c>
      <c r="AZ240">
        <f>AU240-AY240</f>
        <v>0</v>
      </c>
      <c r="BA240" s="10">
        <v>5000000</v>
      </c>
      <c r="BB240" s="10">
        <v>0</v>
      </c>
      <c r="BC240" s="9" t="s">
        <v>42</v>
      </c>
      <c r="BD240" s="9">
        <v>10421</v>
      </c>
      <c r="BE240" t="s">
        <v>46</v>
      </c>
    </row>
    <row r="241" spans="1:57" ht="270.75" thickBot="1" x14ac:dyDescent="0.3">
      <c r="A241" s="9" t="s">
        <v>957</v>
      </c>
      <c r="B241" s="9">
        <v>3001</v>
      </c>
      <c r="C241" s="10">
        <v>2</v>
      </c>
      <c r="D241" s="9" t="s">
        <v>37</v>
      </c>
      <c r="E241" s="14">
        <v>46243.410914351851</v>
      </c>
      <c r="F241" s="9" t="s">
        <v>958</v>
      </c>
      <c r="G241" s="9" t="s">
        <v>39</v>
      </c>
      <c r="H241" s="9">
        <v>53</v>
      </c>
      <c r="I241" s="9" t="s">
        <v>40</v>
      </c>
      <c r="J241" s="9">
        <v>5309</v>
      </c>
      <c r="K241" s="9" t="s">
        <v>41</v>
      </c>
      <c r="L241" s="9">
        <v>5309021</v>
      </c>
      <c r="M241" s="9">
        <v>5309021006</v>
      </c>
      <c r="N241" s="9" t="s">
        <v>42</v>
      </c>
      <c r="O241" s="9">
        <v>10421</v>
      </c>
      <c r="P241" s="9" t="s">
        <v>959</v>
      </c>
      <c r="Q241" s="10">
        <v>3</v>
      </c>
      <c r="R241" s="10">
        <v>1200000</v>
      </c>
      <c r="S241" s="10">
        <v>550000</v>
      </c>
      <c r="T241" s="10">
        <v>0</v>
      </c>
      <c r="U241" s="10">
        <v>450000</v>
      </c>
      <c r="V241" s="10">
        <v>100000</v>
      </c>
      <c r="W241" s="10">
        <v>2300000</v>
      </c>
      <c r="X241" s="10">
        <v>8200000</v>
      </c>
      <c r="Y241" s="10">
        <v>550000</v>
      </c>
      <c r="Z241" s="10">
        <v>7200000</v>
      </c>
      <c r="AA241" s="10">
        <v>55000000</v>
      </c>
      <c r="AB241" s="10">
        <v>8200000</v>
      </c>
      <c r="AC241" s="10">
        <v>0</v>
      </c>
      <c r="AD241" s="9" t="s">
        <v>44</v>
      </c>
      <c r="AE241" s="10" t="s">
        <v>2401</v>
      </c>
      <c r="AF241" s="13">
        <v>2733333333</v>
      </c>
      <c r="AG241" s="10">
        <v>1</v>
      </c>
      <c r="AH241" s="10">
        <v>1</v>
      </c>
      <c r="AI241" s="10">
        <v>1</v>
      </c>
      <c r="AJ241" s="12" t="s">
        <v>960</v>
      </c>
      <c r="AK241" s="10">
        <v>0</v>
      </c>
      <c r="AL241" s="10">
        <v>0</v>
      </c>
      <c r="AM241" s="9">
        <v>2020</v>
      </c>
      <c r="AN241" s="10">
        <v>1</v>
      </c>
      <c r="AO241" s="10">
        <v>2</v>
      </c>
      <c r="AP241" s="6"/>
      <c r="AQ241" s="7"/>
      <c r="AR241" s="8"/>
      <c r="AS241" s="4">
        <f t="shared" si="9"/>
        <v>1000000</v>
      </c>
      <c r="AT241" s="4">
        <f t="shared" si="10"/>
        <v>4755998.8110002968</v>
      </c>
      <c r="AU241" s="4">
        <f t="shared" si="11"/>
        <v>3444001.1889997032</v>
      </c>
      <c r="AV241" s="9" t="s">
        <v>959</v>
      </c>
      <c r="AW241" s="12" t="s">
        <v>960</v>
      </c>
      <c r="AX241" s="10">
        <v>0</v>
      </c>
      <c r="AY241">
        <f>S241*AU241/AS241</f>
        <v>1894200.6539498367</v>
      </c>
      <c r="AZ241">
        <f>AU241-AY241</f>
        <v>1549800.5350498664</v>
      </c>
      <c r="BA241" s="10">
        <v>8200000</v>
      </c>
      <c r="BB241" s="10">
        <v>550000</v>
      </c>
      <c r="BC241" s="9" t="s">
        <v>42</v>
      </c>
      <c r="BD241" s="9">
        <v>10421</v>
      </c>
      <c r="BE241" t="s">
        <v>46</v>
      </c>
    </row>
    <row r="242" spans="1:57" ht="270.75" thickBot="1" x14ac:dyDescent="0.3">
      <c r="A242" s="9" t="s">
        <v>961</v>
      </c>
      <c r="B242" s="9">
        <v>3001</v>
      </c>
      <c r="C242" s="10">
        <v>2</v>
      </c>
      <c r="D242" s="9" t="s">
        <v>84</v>
      </c>
      <c r="E242" s="11">
        <v>46310.289607557868</v>
      </c>
      <c r="F242" s="9" t="s">
        <v>962</v>
      </c>
      <c r="G242" s="9" t="s">
        <v>39</v>
      </c>
      <c r="H242" s="9">
        <v>53</v>
      </c>
      <c r="I242" s="9" t="s">
        <v>40</v>
      </c>
      <c r="J242" s="9">
        <v>5309</v>
      </c>
      <c r="K242" s="9" t="s">
        <v>41</v>
      </c>
      <c r="L242" s="9">
        <v>5309073</v>
      </c>
      <c r="M242" s="9">
        <v>5309073001</v>
      </c>
      <c r="N242" s="9" t="s">
        <v>42</v>
      </c>
      <c r="O242" s="9">
        <v>10421</v>
      </c>
      <c r="P242" s="9" t="s">
        <v>963</v>
      </c>
      <c r="Q242" s="10">
        <v>2</v>
      </c>
      <c r="R242" s="10">
        <v>450000</v>
      </c>
      <c r="S242" s="10">
        <v>100000</v>
      </c>
      <c r="T242" s="10">
        <v>0</v>
      </c>
      <c r="U242" s="10">
        <v>250000</v>
      </c>
      <c r="V242" s="10">
        <v>0</v>
      </c>
      <c r="W242" s="10">
        <v>800000</v>
      </c>
      <c r="X242" s="10">
        <v>4500000</v>
      </c>
      <c r="Y242" s="10">
        <v>0</v>
      </c>
      <c r="Z242" s="10">
        <v>4150000</v>
      </c>
      <c r="AA242" s="10">
        <v>34000000</v>
      </c>
      <c r="AB242" s="10">
        <v>4500000</v>
      </c>
      <c r="AC242" s="10">
        <v>0</v>
      </c>
      <c r="AD242" s="9" t="s">
        <v>44</v>
      </c>
      <c r="AE242" s="10" t="s">
        <v>2291</v>
      </c>
      <c r="AF242" s="10">
        <v>2250000</v>
      </c>
      <c r="AG242" s="10">
        <v>1</v>
      </c>
      <c r="AH242" s="10">
        <v>1</v>
      </c>
      <c r="AI242" s="10">
        <v>1</v>
      </c>
      <c r="AJ242" s="12" t="s">
        <v>964</v>
      </c>
      <c r="AK242" s="10">
        <v>0</v>
      </c>
      <c r="AL242" s="10">
        <v>0</v>
      </c>
      <c r="AM242" s="9">
        <v>2022</v>
      </c>
      <c r="AN242" s="10">
        <v>1</v>
      </c>
      <c r="AO242" s="10">
        <v>1</v>
      </c>
      <c r="AP242" s="6"/>
      <c r="AQ242" s="7"/>
      <c r="AR242" s="8"/>
      <c r="AS242" s="4">
        <f t="shared" si="9"/>
        <v>350000</v>
      </c>
      <c r="AT242" s="4">
        <f t="shared" si="10"/>
        <v>2610000.6289158142</v>
      </c>
      <c r="AU242" s="4">
        <f t="shared" si="11"/>
        <v>1889999.3710841858</v>
      </c>
      <c r="AV242" s="9" t="s">
        <v>963</v>
      </c>
      <c r="AW242" s="12" t="s">
        <v>964</v>
      </c>
      <c r="AX242" s="10">
        <v>0</v>
      </c>
      <c r="AY242">
        <f>S242*AU242/AS242</f>
        <v>539999.82030976738</v>
      </c>
      <c r="AZ242">
        <f>AU242-AY242</f>
        <v>1349999.5507744183</v>
      </c>
      <c r="BA242" s="10">
        <v>4500000</v>
      </c>
      <c r="BB242" s="10">
        <v>0</v>
      </c>
      <c r="BC242" s="9" t="s">
        <v>42</v>
      </c>
      <c r="BD242" s="9">
        <v>10421</v>
      </c>
      <c r="BE242" t="s">
        <v>46</v>
      </c>
    </row>
    <row r="243" spans="1:57" ht="270.75" thickBot="1" x14ac:dyDescent="0.3">
      <c r="A243" s="9" t="s">
        <v>965</v>
      </c>
      <c r="B243" s="9">
        <v>1002</v>
      </c>
      <c r="C243" s="10">
        <v>2</v>
      </c>
      <c r="D243" s="9" t="s">
        <v>37</v>
      </c>
      <c r="E243" s="11">
        <v>46215.361221643521</v>
      </c>
      <c r="F243" s="9" t="s">
        <v>966</v>
      </c>
      <c r="G243" s="9" t="s">
        <v>39</v>
      </c>
      <c r="H243" s="9">
        <v>53</v>
      </c>
      <c r="I243" s="9" t="s">
        <v>40</v>
      </c>
      <c r="J243" s="9">
        <v>5309</v>
      </c>
      <c r="K243" s="9" t="s">
        <v>41</v>
      </c>
      <c r="L243" s="9">
        <v>5309062</v>
      </c>
      <c r="M243" s="9">
        <v>5309062004</v>
      </c>
      <c r="N243" s="9" t="s">
        <v>42</v>
      </c>
      <c r="O243" s="9">
        <v>10421</v>
      </c>
      <c r="P243" s="9" t="s">
        <v>967</v>
      </c>
      <c r="Q243" s="10">
        <v>4</v>
      </c>
      <c r="R243" s="10">
        <v>200000</v>
      </c>
      <c r="S243" s="10">
        <v>200000</v>
      </c>
      <c r="T243" s="10">
        <v>0</v>
      </c>
      <c r="U243" s="10">
        <v>20000</v>
      </c>
      <c r="V243" s="10">
        <v>0</v>
      </c>
      <c r="W243" s="10">
        <v>420000</v>
      </c>
      <c r="X243" s="10">
        <v>6200000</v>
      </c>
      <c r="Y243" s="10">
        <v>0</v>
      </c>
      <c r="Z243" s="10">
        <v>5980000</v>
      </c>
      <c r="AA243" s="10">
        <v>5100000</v>
      </c>
      <c r="AB243" s="10">
        <v>6200000</v>
      </c>
      <c r="AC243" s="10">
        <v>0</v>
      </c>
      <c r="AD243" s="9" t="s">
        <v>44</v>
      </c>
      <c r="AE243" s="10" t="s">
        <v>2402</v>
      </c>
      <c r="AF243" s="10">
        <v>1550000</v>
      </c>
      <c r="AG243" s="10">
        <v>1</v>
      </c>
      <c r="AH243" s="10">
        <v>1</v>
      </c>
      <c r="AI243" s="10">
        <v>1</v>
      </c>
      <c r="AJ243" s="12" t="s">
        <v>968</v>
      </c>
      <c r="AK243" s="10">
        <v>0</v>
      </c>
      <c r="AL243" s="10">
        <v>0</v>
      </c>
      <c r="AM243" s="9">
        <v>2020</v>
      </c>
      <c r="AN243" s="10">
        <v>2</v>
      </c>
      <c r="AO243" s="10">
        <v>2</v>
      </c>
      <c r="AP243" s="6"/>
      <c r="AQ243" s="7"/>
      <c r="AR243" s="8"/>
      <c r="AS243" s="4">
        <f t="shared" si="9"/>
        <v>220000</v>
      </c>
      <c r="AT243" s="4">
        <f t="shared" si="10"/>
        <v>3596000.4810702978</v>
      </c>
      <c r="AU243" s="4">
        <f t="shared" si="11"/>
        <v>2603999.5189297022</v>
      </c>
      <c r="AV243" s="9" t="s">
        <v>967</v>
      </c>
      <c r="AW243" s="12" t="s">
        <v>968</v>
      </c>
      <c r="AX243" s="10">
        <v>0</v>
      </c>
      <c r="AY243">
        <f>S243*AU243/AS243</f>
        <v>2367272.2899360927</v>
      </c>
      <c r="AZ243">
        <f>AU243-AY243</f>
        <v>236727.22899360955</v>
      </c>
      <c r="BA243" s="10">
        <v>6200000</v>
      </c>
      <c r="BB243" s="10">
        <v>0</v>
      </c>
      <c r="BC243" s="9" t="s">
        <v>42</v>
      </c>
      <c r="BD243" s="9">
        <v>10421</v>
      </c>
      <c r="BE243" t="s">
        <v>46</v>
      </c>
    </row>
    <row r="244" spans="1:57" ht="270.75" thickBot="1" x14ac:dyDescent="0.3">
      <c r="A244" s="9" t="s">
        <v>969</v>
      </c>
      <c r="B244" s="9">
        <v>3002</v>
      </c>
      <c r="C244" s="10">
        <v>2</v>
      </c>
      <c r="D244" s="9" t="s">
        <v>37</v>
      </c>
      <c r="E244" s="11">
        <v>46249.426966817133</v>
      </c>
      <c r="F244" s="9" t="s">
        <v>970</v>
      </c>
      <c r="G244" s="9" t="s">
        <v>39</v>
      </c>
      <c r="H244" s="9">
        <v>53</v>
      </c>
      <c r="I244" s="9" t="s">
        <v>40</v>
      </c>
      <c r="J244" s="9">
        <v>5309</v>
      </c>
      <c r="K244" s="9" t="s">
        <v>41</v>
      </c>
      <c r="L244" s="9">
        <v>5309062</v>
      </c>
      <c r="M244" s="9">
        <v>5309062009</v>
      </c>
      <c r="N244" s="9" t="s">
        <v>42</v>
      </c>
      <c r="O244" s="9">
        <v>10421</v>
      </c>
      <c r="P244" s="9" t="s">
        <v>971</v>
      </c>
      <c r="Q244" s="10">
        <v>7</v>
      </c>
      <c r="R244" s="10">
        <v>840000</v>
      </c>
      <c r="S244" s="10">
        <v>400000</v>
      </c>
      <c r="T244" s="10">
        <v>0</v>
      </c>
      <c r="U244" s="10">
        <v>500000</v>
      </c>
      <c r="V244" s="10">
        <v>0</v>
      </c>
      <c r="W244" s="10">
        <v>1740000</v>
      </c>
      <c r="X244" s="10">
        <v>7200000</v>
      </c>
      <c r="Y244" s="10">
        <v>0</v>
      </c>
      <c r="Z244" s="10">
        <v>6300000</v>
      </c>
      <c r="AA244" s="10">
        <v>3500000</v>
      </c>
      <c r="AB244" s="10">
        <v>7200000</v>
      </c>
      <c r="AC244" s="10">
        <v>0</v>
      </c>
      <c r="AD244" s="9" t="s">
        <v>44</v>
      </c>
      <c r="AE244" s="10" t="s">
        <v>2226</v>
      </c>
      <c r="AF244" s="13">
        <v>1028571429</v>
      </c>
      <c r="AG244" s="10">
        <v>1</v>
      </c>
      <c r="AH244" s="10">
        <v>1</v>
      </c>
      <c r="AI244" s="10">
        <v>1</v>
      </c>
      <c r="AJ244" s="12" t="s">
        <v>972</v>
      </c>
      <c r="AK244" s="10">
        <v>0</v>
      </c>
      <c r="AL244" s="10">
        <v>0</v>
      </c>
      <c r="AM244" s="9">
        <v>2023</v>
      </c>
      <c r="AN244" s="10">
        <v>5</v>
      </c>
      <c r="AO244" s="10">
        <v>2</v>
      </c>
      <c r="AP244" s="6"/>
      <c r="AQ244" s="7"/>
      <c r="AR244" s="8"/>
      <c r="AS244" s="4">
        <f t="shared" si="9"/>
        <v>900000</v>
      </c>
      <c r="AT244" s="4">
        <f t="shared" si="10"/>
        <v>4175999.9999999995</v>
      </c>
      <c r="AU244" s="4">
        <f t="shared" si="11"/>
        <v>3024000.0000000005</v>
      </c>
      <c r="AV244" s="9" t="s">
        <v>971</v>
      </c>
      <c r="AW244" s="12" t="s">
        <v>972</v>
      </c>
      <c r="AX244" s="10">
        <v>0</v>
      </c>
      <c r="AY244">
        <f>S244*AU244/AS244</f>
        <v>1344000.0000000002</v>
      </c>
      <c r="AZ244">
        <f>AU244-AY244</f>
        <v>1680000.0000000002</v>
      </c>
      <c r="BA244" s="10">
        <v>7200000</v>
      </c>
      <c r="BB244" s="10">
        <v>0</v>
      </c>
      <c r="BC244" s="9" t="s">
        <v>42</v>
      </c>
      <c r="BD244" s="9">
        <v>10421</v>
      </c>
      <c r="BE244" t="s">
        <v>46</v>
      </c>
    </row>
    <row r="245" spans="1:57" ht="270.75" thickBot="1" x14ac:dyDescent="0.3">
      <c r="A245" s="9" t="s">
        <v>973</v>
      </c>
      <c r="B245" s="9">
        <v>3001</v>
      </c>
      <c r="C245" s="10">
        <v>2</v>
      </c>
      <c r="D245" s="9" t="s">
        <v>113</v>
      </c>
      <c r="E245" s="11">
        <v>46280.619267256945</v>
      </c>
      <c r="F245" s="9" t="s">
        <v>974</v>
      </c>
      <c r="G245" s="9" t="s">
        <v>39</v>
      </c>
      <c r="H245" s="9">
        <v>53</v>
      </c>
      <c r="I245" s="9" t="s">
        <v>40</v>
      </c>
      <c r="J245" s="9">
        <v>5309</v>
      </c>
      <c r="K245" s="9" t="s">
        <v>41</v>
      </c>
      <c r="L245" s="9">
        <v>5309073</v>
      </c>
      <c r="M245" s="9">
        <v>5309073010</v>
      </c>
      <c r="N245" s="9" t="s">
        <v>42</v>
      </c>
      <c r="O245" s="9">
        <v>10421</v>
      </c>
      <c r="P245" s="9" t="s">
        <v>975</v>
      </c>
      <c r="Q245" s="10">
        <v>3</v>
      </c>
      <c r="R245" s="10">
        <v>1400000</v>
      </c>
      <c r="S245" s="10">
        <v>200000</v>
      </c>
      <c r="T245" s="10">
        <v>0</v>
      </c>
      <c r="U245" s="10">
        <v>600000</v>
      </c>
      <c r="V245" s="10">
        <v>0</v>
      </c>
      <c r="W245" s="10">
        <v>2200000</v>
      </c>
      <c r="X245" s="10">
        <v>17920000000</v>
      </c>
      <c r="Y245" s="10">
        <v>0</v>
      </c>
      <c r="Z245" s="10">
        <v>17919200000</v>
      </c>
      <c r="AA245" s="10">
        <v>6500000</v>
      </c>
      <c r="AB245" s="10">
        <v>17920000000</v>
      </c>
      <c r="AC245" s="10">
        <v>0</v>
      </c>
      <c r="AD245" s="9" t="s">
        <v>976</v>
      </c>
      <c r="AE245" s="10" t="s">
        <v>2403</v>
      </c>
      <c r="AF245" s="10">
        <v>5973333333</v>
      </c>
      <c r="AG245" s="10">
        <v>1</v>
      </c>
      <c r="AH245" s="10">
        <v>1</v>
      </c>
      <c r="AI245" s="10">
        <v>1</v>
      </c>
      <c r="AJ245" s="12" t="s">
        <v>977</v>
      </c>
      <c r="AK245" s="10">
        <v>0</v>
      </c>
      <c r="AL245" s="10">
        <v>0</v>
      </c>
      <c r="AM245" s="9">
        <v>2000</v>
      </c>
      <c r="AN245" s="10">
        <v>1</v>
      </c>
      <c r="AO245" s="10">
        <v>2</v>
      </c>
      <c r="AP245" s="6"/>
      <c r="AQ245" s="7"/>
      <c r="AR245" s="8"/>
      <c r="AS245" s="4">
        <f t="shared" si="9"/>
        <v>800000</v>
      </c>
      <c r="AT245" s="4">
        <f t="shared" si="10"/>
        <v>10393603712.167048</v>
      </c>
      <c r="AU245" s="4">
        <f t="shared" si="11"/>
        <v>7526396287.8329525</v>
      </c>
      <c r="AV245" s="9" t="s">
        <v>975</v>
      </c>
      <c r="AW245" s="12" t="s">
        <v>977</v>
      </c>
      <c r="AX245" s="10">
        <v>0</v>
      </c>
      <c r="AY245">
        <f>S245*AU245/AS245</f>
        <v>1881599071.9582381</v>
      </c>
      <c r="AZ245">
        <f>AU245-AY245</f>
        <v>5644797215.8747139</v>
      </c>
      <c r="BA245" s="10">
        <v>17920000000</v>
      </c>
      <c r="BB245" s="10">
        <v>0</v>
      </c>
      <c r="BC245" s="9" t="s">
        <v>42</v>
      </c>
      <c r="BD245" s="9">
        <v>10421</v>
      </c>
      <c r="BE245" t="s">
        <v>46</v>
      </c>
    </row>
    <row r="246" spans="1:57" ht="270.75" thickBot="1" x14ac:dyDescent="0.3">
      <c r="A246" s="9" t="s">
        <v>978</v>
      </c>
      <c r="B246" s="9">
        <v>3003</v>
      </c>
      <c r="C246" s="10">
        <v>2</v>
      </c>
      <c r="D246" s="9" t="s">
        <v>37</v>
      </c>
      <c r="E246" s="11">
        <v>46264.966833622682</v>
      </c>
      <c r="F246" s="9" t="s">
        <v>979</v>
      </c>
      <c r="G246" s="9" t="s">
        <v>39</v>
      </c>
      <c r="H246" s="9">
        <v>53</v>
      </c>
      <c r="I246" s="9" t="s">
        <v>40</v>
      </c>
      <c r="J246" s="9">
        <v>5309</v>
      </c>
      <c r="K246" s="9" t="s">
        <v>41</v>
      </c>
      <c r="L246" s="9">
        <v>5309074</v>
      </c>
      <c r="M246" s="9">
        <v>5309074006</v>
      </c>
      <c r="N246" s="9" t="s">
        <v>42</v>
      </c>
      <c r="O246" s="9">
        <v>10421</v>
      </c>
      <c r="P246" s="9" t="s">
        <v>49</v>
      </c>
      <c r="Q246" s="10">
        <v>2</v>
      </c>
      <c r="R246" s="10">
        <v>0</v>
      </c>
      <c r="S246" s="10">
        <v>1200000</v>
      </c>
      <c r="T246" s="10">
        <v>0</v>
      </c>
      <c r="U246" s="10">
        <v>200000</v>
      </c>
      <c r="V246" s="10">
        <v>0</v>
      </c>
      <c r="W246" s="10">
        <v>1400000</v>
      </c>
      <c r="X246" s="10">
        <v>18000000</v>
      </c>
      <c r="Y246" s="10">
        <v>0</v>
      </c>
      <c r="Z246" s="10">
        <v>16600000</v>
      </c>
      <c r="AA246" s="10">
        <v>2000000</v>
      </c>
      <c r="AB246" s="10">
        <v>18000000</v>
      </c>
      <c r="AC246" s="10">
        <v>0</v>
      </c>
      <c r="AD246" s="9" t="s">
        <v>44</v>
      </c>
      <c r="AE246" s="10" t="s">
        <v>2291</v>
      </c>
      <c r="AF246" s="10">
        <v>9000000</v>
      </c>
      <c r="AG246" s="10">
        <v>1</v>
      </c>
      <c r="AH246" s="10">
        <v>1</v>
      </c>
      <c r="AI246" s="10">
        <v>1</v>
      </c>
      <c r="AJ246" s="12" t="s">
        <v>980</v>
      </c>
      <c r="AK246" s="10">
        <v>0</v>
      </c>
      <c r="AL246" s="10">
        <v>0</v>
      </c>
      <c r="AM246" s="9">
        <v>1994</v>
      </c>
      <c r="AN246" s="10">
        <v>0</v>
      </c>
      <c r="AO246" s="10">
        <v>2</v>
      </c>
      <c r="AP246" s="6"/>
      <c r="AQ246" s="7"/>
      <c r="AR246" s="8"/>
      <c r="AS246" s="4">
        <f t="shared" si="9"/>
        <v>1400000</v>
      </c>
      <c r="AT246" s="4">
        <f t="shared" si="10"/>
        <v>10440002.515663257</v>
      </c>
      <c r="AU246" s="4">
        <f t="shared" si="11"/>
        <v>7559997.4843367431</v>
      </c>
      <c r="AV246" s="9" t="s">
        <v>49</v>
      </c>
      <c r="AW246" s="12" t="s">
        <v>980</v>
      </c>
      <c r="AX246" s="10">
        <v>0</v>
      </c>
      <c r="AY246">
        <f>S246*AU246/AS246</f>
        <v>6479997.8437172081</v>
      </c>
      <c r="AZ246">
        <f>AU246-AY246</f>
        <v>1079999.640619535</v>
      </c>
      <c r="BA246" s="10">
        <v>18000000</v>
      </c>
      <c r="BB246" s="10">
        <v>0</v>
      </c>
      <c r="BC246" s="9" t="s">
        <v>42</v>
      </c>
      <c r="BD246" s="9">
        <v>10421</v>
      </c>
      <c r="BE246" t="s">
        <v>46</v>
      </c>
    </row>
    <row r="247" spans="1:57" ht="270.75" thickBot="1" x14ac:dyDescent="0.3">
      <c r="A247" s="9" t="s">
        <v>981</v>
      </c>
      <c r="B247" s="9">
        <v>1002</v>
      </c>
      <c r="C247" s="10">
        <v>2</v>
      </c>
      <c r="D247" s="9" t="s">
        <v>37</v>
      </c>
      <c r="E247" s="14">
        <v>46246.097349537034</v>
      </c>
      <c r="F247" s="9" t="s">
        <v>982</v>
      </c>
      <c r="G247" s="9" t="s">
        <v>39</v>
      </c>
      <c r="H247" s="9">
        <v>53</v>
      </c>
      <c r="I247" s="9" t="s">
        <v>40</v>
      </c>
      <c r="J247" s="9">
        <v>5309</v>
      </c>
      <c r="K247" s="9" t="s">
        <v>41</v>
      </c>
      <c r="L247" s="9">
        <v>5309062</v>
      </c>
      <c r="M247" s="9">
        <v>5309062006</v>
      </c>
      <c r="N247" s="9" t="s">
        <v>42</v>
      </c>
      <c r="O247" s="9">
        <v>10421</v>
      </c>
      <c r="P247" s="9" t="s">
        <v>983</v>
      </c>
      <c r="Q247" s="10">
        <v>4</v>
      </c>
      <c r="R247" s="10">
        <v>300000</v>
      </c>
      <c r="S247" s="10">
        <v>100000</v>
      </c>
      <c r="T247" s="10">
        <v>0</v>
      </c>
      <c r="U247" s="10">
        <v>150000</v>
      </c>
      <c r="V247" s="10">
        <v>0</v>
      </c>
      <c r="W247" s="10">
        <v>550000</v>
      </c>
      <c r="X247" s="10">
        <v>8400000</v>
      </c>
      <c r="Y247" s="10">
        <v>0</v>
      </c>
      <c r="Z247" s="10">
        <v>8150000</v>
      </c>
      <c r="AA247" s="10">
        <v>2400000</v>
      </c>
      <c r="AB247" s="10">
        <v>8400000</v>
      </c>
      <c r="AC247" s="10">
        <v>0</v>
      </c>
      <c r="AD247" s="9" t="s">
        <v>44</v>
      </c>
      <c r="AE247" s="10" t="s">
        <v>2404</v>
      </c>
      <c r="AF247" s="10">
        <v>2100000</v>
      </c>
      <c r="AG247" s="10">
        <v>1</v>
      </c>
      <c r="AH247" s="10">
        <v>1</v>
      </c>
      <c r="AI247" s="10">
        <v>1</v>
      </c>
      <c r="AJ247" s="12" t="s">
        <v>984</v>
      </c>
      <c r="AK247" s="10">
        <v>0</v>
      </c>
      <c r="AL247" s="10">
        <v>0</v>
      </c>
      <c r="AM247" s="9">
        <v>1999</v>
      </c>
      <c r="AN247" s="10">
        <v>3</v>
      </c>
      <c r="AO247" s="10">
        <v>1</v>
      </c>
      <c r="AP247" s="6"/>
      <c r="AQ247" s="7"/>
      <c r="AR247" s="8"/>
      <c r="AS247" s="4">
        <f t="shared" si="9"/>
        <v>250000</v>
      </c>
      <c r="AT247" s="4">
        <f t="shared" si="10"/>
        <v>4872000.4782331754</v>
      </c>
      <c r="AU247" s="4">
        <f t="shared" si="11"/>
        <v>3527999.5217668246</v>
      </c>
      <c r="AV247" s="9" t="s">
        <v>983</v>
      </c>
      <c r="AW247" s="12" t="s">
        <v>984</v>
      </c>
      <c r="AX247" s="10">
        <v>0</v>
      </c>
      <c r="AY247">
        <f>S247*AU247/AS247</f>
        <v>1411199.8087067299</v>
      </c>
      <c r="AZ247">
        <f>AU247-AY247</f>
        <v>2116799.713060095</v>
      </c>
      <c r="BA247" s="10">
        <v>8400000</v>
      </c>
      <c r="BB247" s="10">
        <v>0</v>
      </c>
      <c r="BC247" s="9" t="s">
        <v>42</v>
      </c>
      <c r="BD247" s="9">
        <v>10421</v>
      </c>
      <c r="BE247" t="s">
        <v>46</v>
      </c>
    </row>
    <row r="248" spans="1:57" ht="270.75" thickBot="1" x14ac:dyDescent="0.3">
      <c r="A248" s="9" t="s">
        <v>985</v>
      </c>
      <c r="B248" s="9">
        <v>3003</v>
      </c>
      <c r="C248" s="10">
        <v>2</v>
      </c>
      <c r="D248" s="9" t="s">
        <v>37</v>
      </c>
      <c r="E248" s="11">
        <v>46293.153911782407</v>
      </c>
      <c r="F248" s="9" t="s">
        <v>986</v>
      </c>
      <c r="G248" s="9" t="s">
        <v>39</v>
      </c>
      <c r="H248" s="9">
        <v>53</v>
      </c>
      <c r="I248" s="9" t="s">
        <v>40</v>
      </c>
      <c r="J248" s="9">
        <v>5309</v>
      </c>
      <c r="K248" s="9" t="s">
        <v>41</v>
      </c>
      <c r="L248" s="9">
        <v>5309062</v>
      </c>
      <c r="M248" s="9">
        <v>5309062012</v>
      </c>
      <c r="N248" s="9" t="s">
        <v>42</v>
      </c>
      <c r="O248" s="9">
        <v>10421</v>
      </c>
      <c r="P248" s="9" t="s">
        <v>987</v>
      </c>
      <c r="Q248" s="10">
        <v>2</v>
      </c>
      <c r="R248" s="10">
        <v>0</v>
      </c>
      <c r="S248" s="10">
        <v>500000</v>
      </c>
      <c r="T248" s="10">
        <v>0</v>
      </c>
      <c r="U248" s="10">
        <v>250000</v>
      </c>
      <c r="V248" s="10">
        <v>0</v>
      </c>
      <c r="W248" s="10">
        <v>750000</v>
      </c>
      <c r="X248" s="10">
        <v>5500000</v>
      </c>
      <c r="Y248" s="10">
        <v>250000</v>
      </c>
      <c r="Z248" s="10">
        <v>4750000</v>
      </c>
      <c r="AA248" s="10">
        <v>5200000</v>
      </c>
      <c r="AB248" s="10">
        <v>5500000</v>
      </c>
      <c r="AC248" s="10">
        <v>0</v>
      </c>
      <c r="AD248" s="9" t="s">
        <v>44</v>
      </c>
      <c r="AE248" s="10" t="s">
        <v>2405</v>
      </c>
      <c r="AF248" s="10">
        <v>2750000</v>
      </c>
      <c r="AG248" s="10">
        <v>1</v>
      </c>
      <c r="AH248" s="10">
        <v>1</v>
      </c>
      <c r="AI248" s="10">
        <v>1</v>
      </c>
      <c r="AJ248" s="12" t="s">
        <v>988</v>
      </c>
      <c r="AK248" s="10">
        <v>0</v>
      </c>
      <c r="AL248" s="10">
        <v>0</v>
      </c>
      <c r="AM248" s="9">
        <v>2025</v>
      </c>
      <c r="AN248" s="10">
        <v>0</v>
      </c>
      <c r="AO248" s="10">
        <v>2</v>
      </c>
      <c r="AP248" s="6"/>
      <c r="AQ248" s="7"/>
      <c r="AR248" s="8"/>
      <c r="AS248" s="4">
        <f t="shared" si="9"/>
        <v>750000</v>
      </c>
      <c r="AT248" s="4">
        <f t="shared" si="10"/>
        <v>3190001.3431584602</v>
      </c>
      <c r="AU248" s="4">
        <f t="shared" si="11"/>
        <v>2309998.6568415398</v>
      </c>
      <c r="AV248" s="9" t="s">
        <v>987</v>
      </c>
      <c r="AW248" s="12" t="s">
        <v>988</v>
      </c>
      <c r="AX248" s="10">
        <v>0</v>
      </c>
      <c r="AY248">
        <f>S248*AU248/AS248</f>
        <v>1539999.1045610264</v>
      </c>
      <c r="AZ248">
        <f>AU248-AY248</f>
        <v>769999.55228051334</v>
      </c>
      <c r="BA248" s="10">
        <v>5500000</v>
      </c>
      <c r="BB248" s="10">
        <v>250000</v>
      </c>
      <c r="BC248" s="9" t="s">
        <v>42</v>
      </c>
      <c r="BD248" s="9">
        <v>10421</v>
      </c>
      <c r="BE248" t="s">
        <v>46</v>
      </c>
    </row>
    <row r="249" spans="1:57" ht="270.75" thickBot="1" x14ac:dyDescent="0.3">
      <c r="A249" s="9" t="s">
        <v>989</v>
      </c>
      <c r="B249" s="9">
        <v>3001</v>
      </c>
      <c r="C249" s="10">
        <v>2</v>
      </c>
      <c r="D249" s="9" t="s">
        <v>37</v>
      </c>
      <c r="E249" s="14">
        <v>46228.42392361111</v>
      </c>
      <c r="F249" s="9" t="s">
        <v>990</v>
      </c>
      <c r="G249" s="9" t="s">
        <v>39</v>
      </c>
      <c r="H249" s="9">
        <v>53</v>
      </c>
      <c r="I249" s="9" t="s">
        <v>40</v>
      </c>
      <c r="J249" s="9">
        <v>5309</v>
      </c>
      <c r="K249" s="9" t="s">
        <v>41</v>
      </c>
      <c r="L249" s="9">
        <v>5309062</v>
      </c>
      <c r="M249" s="9">
        <v>5309062002</v>
      </c>
      <c r="N249" s="9" t="s">
        <v>42</v>
      </c>
      <c r="O249" s="9">
        <v>10421</v>
      </c>
      <c r="P249" s="9" t="s">
        <v>106</v>
      </c>
      <c r="Q249" s="10">
        <v>4</v>
      </c>
      <c r="R249" s="10">
        <v>0</v>
      </c>
      <c r="S249" s="10">
        <v>100000</v>
      </c>
      <c r="T249" s="10">
        <v>0</v>
      </c>
      <c r="U249" s="10">
        <v>600000</v>
      </c>
      <c r="V249" s="10">
        <v>0</v>
      </c>
      <c r="W249" s="10">
        <v>700000</v>
      </c>
      <c r="X249" s="10">
        <v>10000000</v>
      </c>
      <c r="Y249" s="10">
        <v>0</v>
      </c>
      <c r="Z249" s="10">
        <v>9300000</v>
      </c>
      <c r="AA249" s="10">
        <v>1500000</v>
      </c>
      <c r="AB249" s="10">
        <v>10000000</v>
      </c>
      <c r="AC249" s="10">
        <v>0</v>
      </c>
      <c r="AD249" s="9" t="s">
        <v>44</v>
      </c>
      <c r="AE249" s="10" t="s">
        <v>1755</v>
      </c>
      <c r="AF249" s="10">
        <v>2500000</v>
      </c>
      <c r="AG249" s="10">
        <v>1</v>
      </c>
      <c r="AH249" s="10">
        <v>1</v>
      </c>
      <c r="AI249" s="10">
        <v>1</v>
      </c>
      <c r="AJ249" s="12" t="s">
        <v>991</v>
      </c>
      <c r="AK249" s="10">
        <v>0</v>
      </c>
      <c r="AL249" s="10">
        <v>0</v>
      </c>
      <c r="AM249" s="9">
        <v>2020</v>
      </c>
      <c r="AN249" s="10">
        <v>0</v>
      </c>
      <c r="AO249" s="10">
        <v>4</v>
      </c>
      <c r="AP249" s="6"/>
      <c r="AQ249" s="7"/>
      <c r="AR249" s="8"/>
      <c r="AS249" s="4">
        <f t="shared" si="9"/>
        <v>700000</v>
      </c>
      <c r="AT249" s="4">
        <f t="shared" si="10"/>
        <v>5800000</v>
      </c>
      <c r="AU249" s="4">
        <f t="shared" si="11"/>
        <v>4200000</v>
      </c>
      <c r="AV249" s="9" t="s">
        <v>106</v>
      </c>
      <c r="AW249" s="12" t="s">
        <v>991</v>
      </c>
      <c r="AX249" s="10">
        <v>0</v>
      </c>
      <c r="AY249">
        <f>S249*AU249/AS249</f>
        <v>600000</v>
      </c>
      <c r="AZ249">
        <f>AU249-AY249</f>
        <v>3600000</v>
      </c>
      <c r="BA249" s="10">
        <v>10000000</v>
      </c>
      <c r="BB249" s="10">
        <v>0</v>
      </c>
      <c r="BC249" s="9" t="s">
        <v>42</v>
      </c>
      <c r="BD249" s="9">
        <v>10421</v>
      </c>
      <c r="BE249" t="s">
        <v>46</v>
      </c>
    </row>
    <row r="250" spans="1:57" ht="270.75" thickBot="1" x14ac:dyDescent="0.3">
      <c r="A250" s="9" t="s">
        <v>992</v>
      </c>
      <c r="B250" s="9">
        <v>3001</v>
      </c>
      <c r="C250" s="10">
        <v>2</v>
      </c>
      <c r="D250" s="9" t="s">
        <v>84</v>
      </c>
      <c r="E250" s="14">
        <v>46241.262291666666</v>
      </c>
      <c r="F250" s="9" t="s">
        <v>993</v>
      </c>
      <c r="G250" s="9" t="s">
        <v>39</v>
      </c>
      <c r="H250" s="9">
        <v>53</v>
      </c>
      <c r="I250" s="9" t="s">
        <v>40</v>
      </c>
      <c r="J250" s="9">
        <v>5309</v>
      </c>
      <c r="K250" s="9" t="s">
        <v>41</v>
      </c>
      <c r="L250" s="9">
        <v>5309021</v>
      </c>
      <c r="M250" s="9">
        <v>5309021003</v>
      </c>
      <c r="N250" s="9" t="s">
        <v>42</v>
      </c>
      <c r="O250" s="9">
        <v>10421</v>
      </c>
      <c r="P250" s="9" t="s">
        <v>994</v>
      </c>
      <c r="Q250" s="10">
        <v>3</v>
      </c>
      <c r="R250" s="10">
        <v>660000</v>
      </c>
      <c r="S250" s="10">
        <v>350000</v>
      </c>
      <c r="T250" s="10">
        <v>0</v>
      </c>
      <c r="U250" s="10">
        <v>200000</v>
      </c>
      <c r="V250" s="10">
        <v>0</v>
      </c>
      <c r="W250" s="10">
        <v>1210000</v>
      </c>
      <c r="X250" s="10">
        <v>7250000</v>
      </c>
      <c r="Y250" s="10">
        <v>300000</v>
      </c>
      <c r="Z250" s="10">
        <v>6700000</v>
      </c>
      <c r="AA250" s="10">
        <v>38000000</v>
      </c>
      <c r="AB250" s="10">
        <v>7250000</v>
      </c>
      <c r="AC250" s="10">
        <v>0</v>
      </c>
      <c r="AD250" s="9" t="s">
        <v>44</v>
      </c>
      <c r="AE250" s="10" t="s">
        <v>2406</v>
      </c>
      <c r="AF250" s="13">
        <v>2416666667</v>
      </c>
      <c r="AG250" s="10">
        <v>1</v>
      </c>
      <c r="AH250" s="10">
        <v>1</v>
      </c>
      <c r="AI250" s="10">
        <v>1</v>
      </c>
      <c r="AJ250" s="12" t="s">
        <v>995</v>
      </c>
      <c r="AK250" s="10">
        <v>0</v>
      </c>
      <c r="AL250" s="10">
        <v>0</v>
      </c>
      <c r="AM250" s="9">
        <v>1990</v>
      </c>
      <c r="AN250" s="10">
        <v>1</v>
      </c>
      <c r="AO250" s="10">
        <v>2</v>
      </c>
      <c r="AP250" s="6"/>
      <c r="AQ250" s="7"/>
      <c r="AR250" s="8"/>
      <c r="AS250" s="4">
        <f t="shared" si="9"/>
        <v>550000</v>
      </c>
      <c r="AT250" s="4">
        <f t="shared" si="10"/>
        <v>4204999.6861940529</v>
      </c>
      <c r="AU250" s="4">
        <f t="shared" si="11"/>
        <v>3045000.3138059471</v>
      </c>
      <c r="AV250" s="9" t="s">
        <v>994</v>
      </c>
      <c r="AW250" s="12" t="s">
        <v>995</v>
      </c>
      <c r="AX250" s="10">
        <v>0</v>
      </c>
      <c r="AY250">
        <f>S250*AU250/AS250</f>
        <v>1937727.4724219663</v>
      </c>
      <c r="AZ250">
        <f>AU250-AY250</f>
        <v>1107272.8413839808</v>
      </c>
      <c r="BA250" s="10">
        <v>7250000</v>
      </c>
      <c r="BB250" s="10">
        <v>300000</v>
      </c>
      <c r="BC250" s="9" t="s">
        <v>42</v>
      </c>
      <c r="BD250" s="9">
        <v>10421</v>
      </c>
      <c r="BE250" t="s">
        <v>46</v>
      </c>
    </row>
    <row r="251" spans="1:57" ht="255.75" thickBot="1" x14ac:dyDescent="0.3">
      <c r="A251" s="9" t="s">
        <v>996</v>
      </c>
      <c r="B251" s="9">
        <v>3001</v>
      </c>
      <c r="C251" s="10">
        <v>2</v>
      </c>
      <c r="D251" s="9" t="s">
        <v>37</v>
      </c>
      <c r="E251" s="11">
        <v>46261.587066319444</v>
      </c>
      <c r="F251" s="9" t="s">
        <v>997</v>
      </c>
      <c r="G251" s="9" t="s">
        <v>39</v>
      </c>
      <c r="H251" s="9">
        <v>53</v>
      </c>
      <c r="I251" s="9" t="s">
        <v>40</v>
      </c>
      <c r="J251" s="9">
        <v>5309</v>
      </c>
      <c r="K251" s="9" t="s">
        <v>41</v>
      </c>
      <c r="L251" s="9">
        <v>5309073</v>
      </c>
      <c r="M251" s="9">
        <v>5309073003</v>
      </c>
      <c r="N251" s="9" t="s">
        <v>42</v>
      </c>
      <c r="O251" s="9">
        <v>10421</v>
      </c>
      <c r="P251" s="9" t="s">
        <v>998</v>
      </c>
      <c r="Q251" s="10">
        <v>2</v>
      </c>
      <c r="R251" s="10">
        <v>500000</v>
      </c>
      <c r="S251" s="10">
        <v>500000</v>
      </c>
      <c r="T251" s="10">
        <v>0</v>
      </c>
      <c r="U251" s="10">
        <v>0</v>
      </c>
      <c r="V251" s="10">
        <v>0</v>
      </c>
      <c r="W251" s="10">
        <v>1000000</v>
      </c>
      <c r="X251" s="10">
        <v>6000000</v>
      </c>
      <c r="Y251" s="10">
        <v>0</v>
      </c>
      <c r="Z251" s="10">
        <v>5500000</v>
      </c>
      <c r="AA251" s="10">
        <v>1500000</v>
      </c>
      <c r="AB251" s="10">
        <v>6000000</v>
      </c>
      <c r="AC251" s="10">
        <v>0</v>
      </c>
      <c r="AD251" s="9" t="s">
        <v>44</v>
      </c>
      <c r="AE251" s="10" t="s">
        <v>2236</v>
      </c>
      <c r="AF251" s="10">
        <v>3000000</v>
      </c>
      <c r="AG251" s="10">
        <v>1</v>
      </c>
      <c r="AH251" s="10">
        <v>1</v>
      </c>
      <c r="AI251" s="10">
        <v>1</v>
      </c>
      <c r="AJ251" s="12" t="s">
        <v>999</v>
      </c>
      <c r="AK251" s="10">
        <v>0</v>
      </c>
      <c r="AL251" s="10">
        <v>0</v>
      </c>
      <c r="AM251" s="9">
        <v>2020</v>
      </c>
      <c r="AN251" s="10">
        <v>1</v>
      </c>
      <c r="AO251" s="10">
        <v>1</v>
      </c>
      <c r="AP251" s="6"/>
      <c r="AQ251" s="7"/>
      <c r="AR251" s="8"/>
      <c r="AS251" s="4">
        <f t="shared" si="9"/>
        <v>500000</v>
      </c>
      <c r="AT251" s="4">
        <f t="shared" si="10"/>
        <v>3479998.7345459145</v>
      </c>
      <c r="AU251" s="4">
        <f t="shared" si="11"/>
        <v>2520001.2654540855</v>
      </c>
      <c r="AV251" s="9" t="s">
        <v>998</v>
      </c>
      <c r="AW251" s="12" t="s">
        <v>999</v>
      </c>
      <c r="AX251" s="10">
        <v>0</v>
      </c>
      <c r="AY251">
        <f>S251*AU251/AS251</f>
        <v>2520001.2654540855</v>
      </c>
      <c r="AZ251">
        <f>AU251-AY251</f>
        <v>0</v>
      </c>
      <c r="BA251" s="10">
        <v>6000000</v>
      </c>
      <c r="BB251" s="10">
        <v>0</v>
      </c>
      <c r="BC251" s="9" t="s">
        <v>42</v>
      </c>
      <c r="BD251" s="9">
        <v>10421</v>
      </c>
      <c r="BE251" t="s">
        <v>46</v>
      </c>
    </row>
    <row r="252" spans="1:57" ht="270.75" thickBot="1" x14ac:dyDescent="0.3">
      <c r="A252" s="9" t="s">
        <v>1000</v>
      </c>
      <c r="B252" s="9">
        <v>1001</v>
      </c>
      <c r="C252" s="10">
        <v>2</v>
      </c>
      <c r="D252" s="9" t="s">
        <v>37</v>
      </c>
      <c r="E252" s="11">
        <v>46217.761990983796</v>
      </c>
      <c r="F252" s="9" t="s">
        <v>1001</v>
      </c>
      <c r="G252" s="9" t="s">
        <v>39</v>
      </c>
      <c r="H252" s="9">
        <v>53</v>
      </c>
      <c r="I252" s="9" t="s">
        <v>40</v>
      </c>
      <c r="J252" s="9">
        <v>5309</v>
      </c>
      <c r="K252" s="9" t="s">
        <v>41</v>
      </c>
      <c r="L252" s="9">
        <v>5309062</v>
      </c>
      <c r="M252" s="9">
        <v>5309062012</v>
      </c>
      <c r="N252" s="9" t="s">
        <v>42</v>
      </c>
      <c r="O252" s="9">
        <v>10421</v>
      </c>
      <c r="P252" s="9" t="s">
        <v>1002</v>
      </c>
      <c r="Q252" s="10">
        <v>3</v>
      </c>
      <c r="R252" s="10">
        <v>250000</v>
      </c>
      <c r="S252" s="10">
        <v>300000</v>
      </c>
      <c r="T252" s="10">
        <v>0</v>
      </c>
      <c r="U252" s="10">
        <v>100000</v>
      </c>
      <c r="V252" s="10">
        <v>0</v>
      </c>
      <c r="W252" s="10">
        <v>650000</v>
      </c>
      <c r="X252" s="10">
        <v>350000</v>
      </c>
      <c r="Y252" s="10">
        <v>400000</v>
      </c>
      <c r="Z252" s="10">
        <v>-50000</v>
      </c>
      <c r="AA252" s="10">
        <v>3750000</v>
      </c>
      <c r="AB252" s="10">
        <v>350000</v>
      </c>
      <c r="AC252" s="10">
        <v>0</v>
      </c>
      <c r="AD252" s="9" t="s">
        <v>44</v>
      </c>
      <c r="AE252" s="10" t="s">
        <v>2407</v>
      </c>
      <c r="AF252" s="13">
        <v>1166666667</v>
      </c>
      <c r="AG252" s="10">
        <v>1</v>
      </c>
      <c r="AH252" s="10">
        <v>1</v>
      </c>
      <c r="AI252" s="10">
        <v>1</v>
      </c>
      <c r="AJ252" s="12" t="s">
        <v>1003</v>
      </c>
      <c r="AK252" s="10">
        <v>0</v>
      </c>
      <c r="AL252" s="10">
        <v>0</v>
      </c>
      <c r="AM252" s="9">
        <v>2021</v>
      </c>
      <c r="AN252" s="10">
        <v>1</v>
      </c>
      <c r="AO252" s="10">
        <v>2</v>
      </c>
      <c r="AP252" s="6"/>
      <c r="AQ252" s="7"/>
      <c r="AR252" s="8"/>
      <c r="AS252" s="4">
        <f t="shared" si="9"/>
        <v>400000</v>
      </c>
      <c r="AT252" s="4">
        <f t="shared" si="10"/>
        <v>203000.20300020295</v>
      </c>
      <c r="AU252" s="4">
        <f t="shared" si="11"/>
        <v>146999.79699979705</v>
      </c>
      <c r="AV252" s="9" t="s">
        <v>1002</v>
      </c>
      <c r="AW252" s="12" t="s">
        <v>1003</v>
      </c>
      <c r="AX252" s="10">
        <v>0</v>
      </c>
      <c r="AY252">
        <f>S252*AU252/AS252</f>
        <v>110249.84774984779</v>
      </c>
      <c r="AZ252">
        <f>AU252-AY252</f>
        <v>36749.949249949263</v>
      </c>
      <c r="BA252" s="10">
        <v>350000</v>
      </c>
      <c r="BB252" s="10">
        <v>400000</v>
      </c>
      <c r="BC252" s="9" t="s">
        <v>42</v>
      </c>
      <c r="BD252" s="9">
        <v>10421</v>
      </c>
      <c r="BE252" t="s">
        <v>46</v>
      </c>
    </row>
    <row r="253" spans="1:57" ht="270.75" thickBot="1" x14ac:dyDescent="0.3">
      <c r="A253" s="9" t="s">
        <v>1004</v>
      </c>
      <c r="B253" s="9">
        <v>2</v>
      </c>
      <c r="C253" s="10">
        <v>2</v>
      </c>
      <c r="D253" s="9" t="s">
        <v>37</v>
      </c>
      <c r="E253" s="11">
        <v>46260.613435752311</v>
      </c>
      <c r="F253" s="9" t="s">
        <v>1005</v>
      </c>
      <c r="G253" s="9" t="s">
        <v>39</v>
      </c>
      <c r="H253" s="9">
        <v>53</v>
      </c>
      <c r="I253" s="9" t="s">
        <v>40</v>
      </c>
      <c r="J253" s="9">
        <v>5309</v>
      </c>
      <c r="K253" s="9" t="s">
        <v>41</v>
      </c>
      <c r="L253" s="9">
        <v>5309074</v>
      </c>
      <c r="M253" s="9">
        <v>5309074002</v>
      </c>
      <c r="N253" s="9" t="s">
        <v>42</v>
      </c>
      <c r="O253" s="9">
        <v>10421</v>
      </c>
      <c r="P253" s="9" t="s">
        <v>49</v>
      </c>
      <c r="Q253" s="10">
        <v>2</v>
      </c>
      <c r="R253" s="10">
        <v>1300000</v>
      </c>
      <c r="S253" s="10">
        <v>1000000</v>
      </c>
      <c r="T253" s="10">
        <v>0</v>
      </c>
      <c r="U253" s="10">
        <v>750000</v>
      </c>
      <c r="V253" s="10">
        <v>0</v>
      </c>
      <c r="W253" s="10">
        <v>3050000</v>
      </c>
      <c r="X253" s="10">
        <v>7500000</v>
      </c>
      <c r="Y253" s="10">
        <v>0</v>
      </c>
      <c r="Z253" s="10">
        <v>5750000</v>
      </c>
      <c r="AA253" s="10">
        <v>3700000</v>
      </c>
      <c r="AB253" s="10">
        <v>7500000</v>
      </c>
      <c r="AC253" s="10">
        <v>0</v>
      </c>
      <c r="AD253" s="9" t="s">
        <v>44</v>
      </c>
      <c r="AE253" s="10" t="s">
        <v>2340</v>
      </c>
      <c r="AF253" s="10">
        <v>3750000</v>
      </c>
      <c r="AG253" s="10">
        <v>1</v>
      </c>
      <c r="AH253" s="10">
        <v>1</v>
      </c>
      <c r="AI253" s="10">
        <v>1</v>
      </c>
      <c r="AJ253" s="12" t="s">
        <v>1006</v>
      </c>
      <c r="AK253" s="10">
        <v>0</v>
      </c>
      <c r="AL253" s="10">
        <v>0</v>
      </c>
      <c r="AM253" s="9">
        <v>1989</v>
      </c>
      <c r="AN253" s="10">
        <v>1</v>
      </c>
      <c r="AO253" s="10">
        <v>1</v>
      </c>
      <c r="AP253" s="6"/>
      <c r="AQ253" s="7"/>
      <c r="AR253" s="8"/>
      <c r="AS253" s="4">
        <f t="shared" si="9"/>
        <v>1750000</v>
      </c>
      <c r="AT253" s="4">
        <f t="shared" si="10"/>
        <v>4349998.1086964747</v>
      </c>
      <c r="AU253" s="4">
        <f t="shared" si="11"/>
        <v>3150001.8913035253</v>
      </c>
      <c r="AV253" s="9" t="s">
        <v>49</v>
      </c>
      <c r="AW253" s="12" t="s">
        <v>1006</v>
      </c>
      <c r="AX253" s="10">
        <v>0</v>
      </c>
      <c r="AY253">
        <f>S253*AU253/AS253</f>
        <v>1800001.0807448716</v>
      </c>
      <c r="AZ253">
        <f>AU253-AY253</f>
        <v>1350000.8105586537</v>
      </c>
      <c r="BA253" s="10">
        <v>7500000</v>
      </c>
      <c r="BB253" s="10">
        <v>0</v>
      </c>
      <c r="BC253" s="9" t="s">
        <v>42</v>
      </c>
      <c r="BD253" s="9">
        <v>10421</v>
      </c>
      <c r="BE253" t="s">
        <v>46</v>
      </c>
    </row>
    <row r="254" spans="1:57" ht="270.75" thickBot="1" x14ac:dyDescent="0.3">
      <c r="A254" s="9" t="s">
        <v>1007</v>
      </c>
      <c r="B254" s="9">
        <v>3001</v>
      </c>
      <c r="C254" s="10">
        <v>2</v>
      </c>
      <c r="D254" s="9" t="s">
        <v>37</v>
      </c>
      <c r="E254" s="11">
        <v>46273.392764108794</v>
      </c>
      <c r="F254" s="9" t="s">
        <v>1008</v>
      </c>
      <c r="G254" s="9" t="s">
        <v>39</v>
      </c>
      <c r="H254" s="9">
        <v>53</v>
      </c>
      <c r="I254" s="9" t="s">
        <v>40</v>
      </c>
      <c r="J254" s="9">
        <v>5309</v>
      </c>
      <c r="K254" s="9" t="s">
        <v>41</v>
      </c>
      <c r="L254" s="9">
        <v>5309021</v>
      </c>
      <c r="M254" s="9">
        <v>5309021003</v>
      </c>
      <c r="N254" s="9" t="s">
        <v>42</v>
      </c>
      <c r="O254" s="9">
        <v>10421</v>
      </c>
      <c r="P254" s="9" t="s">
        <v>1009</v>
      </c>
      <c r="Q254" s="10">
        <v>3</v>
      </c>
      <c r="R254" s="10">
        <v>560000</v>
      </c>
      <c r="S254" s="10">
        <v>500000</v>
      </c>
      <c r="T254" s="10">
        <v>0</v>
      </c>
      <c r="U254" s="10">
        <v>50000</v>
      </c>
      <c r="V254" s="10">
        <v>0</v>
      </c>
      <c r="W254" s="10">
        <v>1110000</v>
      </c>
      <c r="X254" s="10">
        <v>4800000</v>
      </c>
      <c r="Y254" s="10">
        <v>100000</v>
      </c>
      <c r="Z254" s="10">
        <v>4250000</v>
      </c>
      <c r="AA254" s="10">
        <v>44000000</v>
      </c>
      <c r="AB254" s="10">
        <v>4800000</v>
      </c>
      <c r="AC254" s="10">
        <v>0</v>
      </c>
      <c r="AD254" s="9" t="s">
        <v>44</v>
      </c>
      <c r="AE254" s="10" t="s">
        <v>2408</v>
      </c>
      <c r="AF254" s="10">
        <v>1600000</v>
      </c>
      <c r="AG254" s="10">
        <v>1</v>
      </c>
      <c r="AH254" s="10">
        <v>1</v>
      </c>
      <c r="AI254" s="10">
        <v>1</v>
      </c>
      <c r="AJ254" s="12" t="s">
        <v>1010</v>
      </c>
      <c r="AK254" s="10">
        <v>0</v>
      </c>
      <c r="AL254" s="10">
        <v>0</v>
      </c>
      <c r="AM254" s="9">
        <v>1999</v>
      </c>
      <c r="AN254" s="10">
        <v>1</v>
      </c>
      <c r="AO254" s="10">
        <v>2</v>
      </c>
      <c r="AP254" s="6"/>
      <c r="AQ254" s="7"/>
      <c r="AR254" s="8"/>
      <c r="AS254" s="4">
        <f t="shared" si="9"/>
        <v>550000</v>
      </c>
      <c r="AT254" s="4">
        <f t="shared" si="10"/>
        <v>2783998.9519062769</v>
      </c>
      <c r="AU254" s="4">
        <f t="shared" si="11"/>
        <v>2016001.0480937231</v>
      </c>
      <c r="AV254" s="9" t="s">
        <v>1009</v>
      </c>
      <c r="AW254" s="12" t="s">
        <v>1010</v>
      </c>
      <c r="AX254" s="10">
        <v>0</v>
      </c>
      <c r="AY254">
        <f>S254*AU254/AS254</f>
        <v>1832728.2255397483</v>
      </c>
      <c r="AZ254">
        <f>AU254-AY254</f>
        <v>183272.82255397481</v>
      </c>
      <c r="BA254" s="10">
        <v>4800000</v>
      </c>
      <c r="BB254" s="10">
        <v>100000</v>
      </c>
      <c r="BC254" s="9" t="s">
        <v>42</v>
      </c>
      <c r="BD254" s="9">
        <v>10421</v>
      </c>
      <c r="BE254" t="s">
        <v>46</v>
      </c>
    </row>
    <row r="255" spans="1:57" ht="270.75" thickBot="1" x14ac:dyDescent="0.3">
      <c r="A255" s="9" t="s">
        <v>1011</v>
      </c>
      <c r="B255" s="9">
        <v>3002</v>
      </c>
      <c r="C255" s="10">
        <v>2</v>
      </c>
      <c r="D255" s="9" t="s">
        <v>37</v>
      </c>
      <c r="E255" s="11">
        <v>46212.393445428243</v>
      </c>
      <c r="F255" s="9" t="s">
        <v>1012</v>
      </c>
      <c r="G255" s="9" t="s">
        <v>39</v>
      </c>
      <c r="H255" s="9">
        <v>53</v>
      </c>
      <c r="I255" s="9" t="s">
        <v>40</v>
      </c>
      <c r="J255" s="9">
        <v>5309</v>
      </c>
      <c r="K255" s="9" t="s">
        <v>41</v>
      </c>
      <c r="L255" s="9">
        <v>5309062</v>
      </c>
      <c r="M255" s="9">
        <v>5309062012</v>
      </c>
      <c r="N255" s="9" t="s">
        <v>42</v>
      </c>
      <c r="O255" s="9">
        <v>10421</v>
      </c>
      <c r="P255" s="9" t="s">
        <v>1013</v>
      </c>
      <c r="Q255" s="10">
        <v>3</v>
      </c>
      <c r="R255" s="10">
        <v>250000</v>
      </c>
      <c r="S255" s="10">
        <v>200000</v>
      </c>
      <c r="T255" s="10">
        <v>0</v>
      </c>
      <c r="U255" s="10">
        <v>100000</v>
      </c>
      <c r="V255" s="10">
        <v>0</v>
      </c>
      <c r="W255" s="10">
        <v>550000</v>
      </c>
      <c r="X255" s="10">
        <v>3000000</v>
      </c>
      <c r="Y255" s="10">
        <v>400000</v>
      </c>
      <c r="Z255" s="10">
        <v>2700000</v>
      </c>
      <c r="AA255" s="10">
        <v>3750000</v>
      </c>
      <c r="AB255" s="10">
        <v>3000000</v>
      </c>
      <c r="AC255" s="10">
        <v>0</v>
      </c>
      <c r="AD255" s="9" t="s">
        <v>44</v>
      </c>
      <c r="AE255" s="10" t="s">
        <v>2339</v>
      </c>
      <c r="AF255" s="10">
        <v>1000000</v>
      </c>
      <c r="AG255" s="10">
        <v>1</v>
      </c>
      <c r="AH255" s="10">
        <v>1</v>
      </c>
      <c r="AI255" s="10">
        <v>1</v>
      </c>
      <c r="AJ255" s="12" t="s">
        <v>1014</v>
      </c>
      <c r="AK255" s="10">
        <v>0</v>
      </c>
      <c r="AL255" s="10">
        <v>0</v>
      </c>
      <c r="AM255" s="9">
        <v>2025</v>
      </c>
      <c r="AN255" s="10">
        <v>1</v>
      </c>
      <c r="AO255" s="10">
        <v>2</v>
      </c>
      <c r="AP255" s="6"/>
      <c r="AQ255" s="7"/>
      <c r="AR255" s="8"/>
      <c r="AS255" s="4">
        <f t="shared" si="9"/>
        <v>300000</v>
      </c>
      <c r="AT255" s="4">
        <f t="shared" si="10"/>
        <v>1740000</v>
      </c>
      <c r="AU255" s="4">
        <f t="shared" si="11"/>
        <v>1260000</v>
      </c>
      <c r="AV255" s="9" t="s">
        <v>1013</v>
      </c>
      <c r="AW255" s="12" t="s">
        <v>1014</v>
      </c>
      <c r="AX255" s="10">
        <v>0</v>
      </c>
      <c r="AY255">
        <f>S255*AU255/AS255</f>
        <v>840000</v>
      </c>
      <c r="AZ255">
        <f>AU255-AY255</f>
        <v>420000</v>
      </c>
      <c r="BA255" s="10">
        <v>3000000</v>
      </c>
      <c r="BB255" s="10">
        <v>400000</v>
      </c>
      <c r="BC255" s="9" t="s">
        <v>42</v>
      </c>
      <c r="BD255" s="9">
        <v>10421</v>
      </c>
      <c r="BE255" t="s">
        <v>46</v>
      </c>
    </row>
    <row r="256" spans="1:57" ht="270.75" thickBot="1" x14ac:dyDescent="0.3">
      <c r="A256" s="9" t="s">
        <v>1015</v>
      </c>
      <c r="B256" s="9">
        <v>3001</v>
      </c>
      <c r="C256" s="10">
        <v>2</v>
      </c>
      <c r="D256" s="9" t="s">
        <v>37</v>
      </c>
      <c r="E256" s="14">
        <v>46212.044664351852</v>
      </c>
      <c r="F256" s="9" t="s">
        <v>1016</v>
      </c>
      <c r="G256" s="9" t="s">
        <v>39</v>
      </c>
      <c r="H256" s="9">
        <v>53</v>
      </c>
      <c r="I256" s="9" t="s">
        <v>40</v>
      </c>
      <c r="J256" s="9">
        <v>5309</v>
      </c>
      <c r="K256" s="9" t="s">
        <v>41</v>
      </c>
      <c r="L256" s="9">
        <v>5309062</v>
      </c>
      <c r="M256" s="9">
        <v>5309062006</v>
      </c>
      <c r="N256" s="9" t="s">
        <v>42</v>
      </c>
      <c r="O256" s="9">
        <v>10421</v>
      </c>
      <c r="P256" s="9" t="s">
        <v>1017</v>
      </c>
      <c r="Q256" s="10">
        <v>3</v>
      </c>
      <c r="R256" s="10">
        <v>150000</v>
      </c>
      <c r="S256" s="10">
        <v>100000</v>
      </c>
      <c r="T256" s="10">
        <v>0</v>
      </c>
      <c r="U256" s="10">
        <v>150000</v>
      </c>
      <c r="V256" s="10">
        <v>0</v>
      </c>
      <c r="W256" s="10">
        <v>400000</v>
      </c>
      <c r="X256" s="10">
        <v>4200000</v>
      </c>
      <c r="Y256" s="10">
        <v>0</v>
      </c>
      <c r="Z256" s="10">
        <v>3950000</v>
      </c>
      <c r="AA256" s="10">
        <v>2400000</v>
      </c>
      <c r="AB256" s="10">
        <v>4200000</v>
      </c>
      <c r="AC256" s="10">
        <v>0</v>
      </c>
      <c r="AD256" s="9" t="s">
        <v>44</v>
      </c>
      <c r="AE256" s="10" t="s">
        <v>2409</v>
      </c>
      <c r="AF256" s="10">
        <v>1400000</v>
      </c>
      <c r="AG256" s="10">
        <v>1</v>
      </c>
      <c r="AH256" s="10">
        <v>1</v>
      </c>
      <c r="AI256" s="10">
        <v>1</v>
      </c>
      <c r="AJ256" s="12" t="s">
        <v>1018</v>
      </c>
      <c r="AK256" s="10">
        <v>0</v>
      </c>
      <c r="AL256" s="10">
        <v>0</v>
      </c>
      <c r="AM256" s="9">
        <v>2005</v>
      </c>
      <c r="AN256" s="10">
        <v>1</v>
      </c>
      <c r="AO256" s="10">
        <v>2</v>
      </c>
      <c r="AP256" s="6"/>
      <c r="AQ256" s="7"/>
      <c r="AR256" s="8"/>
      <c r="AS256" s="4">
        <f t="shared" si="9"/>
        <v>250000</v>
      </c>
      <c r="AT256" s="4">
        <f t="shared" si="10"/>
        <v>2436000.4933671886</v>
      </c>
      <c r="AU256" s="4">
        <f t="shared" si="11"/>
        <v>1763999.5066328114</v>
      </c>
      <c r="AV256" s="9" t="s">
        <v>1017</v>
      </c>
      <c r="AW256" s="12" t="s">
        <v>1018</v>
      </c>
      <c r="AX256" s="10">
        <v>0</v>
      </c>
      <c r="AY256">
        <f>S256*AU256/AS256</f>
        <v>705599.80265312456</v>
      </c>
      <c r="AZ256">
        <f>AU256-AY256</f>
        <v>1058399.7039796868</v>
      </c>
      <c r="BA256" s="10">
        <v>4200000</v>
      </c>
      <c r="BB256" s="10">
        <v>0</v>
      </c>
      <c r="BC256" s="9" t="s">
        <v>42</v>
      </c>
      <c r="BD256" s="9">
        <v>10421</v>
      </c>
      <c r="BE256" t="s">
        <v>46</v>
      </c>
    </row>
    <row r="257" spans="1:57" ht="270.75" thickBot="1" x14ac:dyDescent="0.3">
      <c r="A257" s="9" t="s">
        <v>1019</v>
      </c>
      <c r="B257" s="9">
        <v>3001</v>
      </c>
      <c r="C257" s="10">
        <v>2</v>
      </c>
      <c r="D257" s="9" t="s">
        <v>37</v>
      </c>
      <c r="E257" s="11">
        <v>46241.603169652779</v>
      </c>
      <c r="F257" s="9" t="s">
        <v>1020</v>
      </c>
      <c r="G257" s="9" t="s">
        <v>39</v>
      </c>
      <c r="H257" s="9">
        <v>53</v>
      </c>
      <c r="I257" s="9" t="s">
        <v>40</v>
      </c>
      <c r="J257" s="9">
        <v>5309</v>
      </c>
      <c r="K257" s="9" t="s">
        <v>41</v>
      </c>
      <c r="L257" s="9">
        <v>5309062</v>
      </c>
      <c r="M257" s="9">
        <v>5309062008</v>
      </c>
      <c r="N257" s="9" t="s">
        <v>42</v>
      </c>
      <c r="O257" s="9">
        <v>10421</v>
      </c>
      <c r="P257" s="9" t="s">
        <v>49</v>
      </c>
      <c r="Q257" s="10">
        <v>7</v>
      </c>
      <c r="R257" s="10">
        <v>900000</v>
      </c>
      <c r="S257" s="10">
        <v>250000</v>
      </c>
      <c r="T257" s="10">
        <v>0</v>
      </c>
      <c r="U257" s="10">
        <v>100000</v>
      </c>
      <c r="V257" s="10">
        <v>120000</v>
      </c>
      <c r="W257" s="10">
        <v>1370000</v>
      </c>
      <c r="X257" s="10">
        <v>6600000</v>
      </c>
      <c r="Y257" s="10">
        <v>0</v>
      </c>
      <c r="Z257" s="10">
        <v>6250000</v>
      </c>
      <c r="AA257" s="10">
        <v>5000000</v>
      </c>
      <c r="AB257" s="10">
        <v>6600000</v>
      </c>
      <c r="AC257" s="10">
        <v>0</v>
      </c>
      <c r="AD257" s="9" t="s">
        <v>44</v>
      </c>
      <c r="AE257" s="10" t="s">
        <v>2410</v>
      </c>
      <c r="AF257" s="13">
        <v>9428571429</v>
      </c>
      <c r="AG257" s="10">
        <v>1</v>
      </c>
      <c r="AH257" s="10">
        <v>1</v>
      </c>
      <c r="AI257" s="10">
        <v>1</v>
      </c>
      <c r="AJ257" s="12" t="s">
        <v>1021</v>
      </c>
      <c r="AK257" s="10">
        <v>0</v>
      </c>
      <c r="AL257" s="10">
        <v>0</v>
      </c>
      <c r="AM257" s="9">
        <v>2000</v>
      </c>
      <c r="AN257" s="10">
        <v>6</v>
      </c>
      <c r="AO257" s="10">
        <v>1</v>
      </c>
      <c r="AP257" s="6"/>
      <c r="AQ257" s="7"/>
      <c r="AR257" s="8"/>
      <c r="AS257" s="4">
        <f t="shared" si="9"/>
        <v>350000</v>
      </c>
      <c r="AT257" s="4">
        <f t="shared" si="10"/>
        <v>3827998.7750403914</v>
      </c>
      <c r="AU257" s="4">
        <f t="shared" si="11"/>
        <v>2772001.2249596086</v>
      </c>
      <c r="AV257" s="9" t="s">
        <v>49</v>
      </c>
      <c r="AW257" s="12" t="s">
        <v>1021</v>
      </c>
      <c r="AX257" s="10">
        <v>0</v>
      </c>
      <c r="AY257">
        <f>S257*AU257/AS257</f>
        <v>1980000.8749711488</v>
      </c>
      <c r="AZ257">
        <f>AU257-AY257</f>
        <v>792000.34998845984</v>
      </c>
      <c r="BA257" s="10">
        <v>6600000</v>
      </c>
      <c r="BB257" s="10">
        <v>0</v>
      </c>
      <c r="BC257" s="9" t="s">
        <v>42</v>
      </c>
      <c r="BD257" s="9">
        <v>10421</v>
      </c>
      <c r="BE257" t="s">
        <v>46</v>
      </c>
    </row>
    <row r="258" spans="1:57" ht="270.75" thickBot="1" x14ac:dyDescent="0.3">
      <c r="A258" s="9" t="s">
        <v>1022</v>
      </c>
      <c r="B258" s="9">
        <v>3002</v>
      </c>
      <c r="C258" s="10">
        <v>2</v>
      </c>
      <c r="D258" s="9" t="s">
        <v>84</v>
      </c>
      <c r="E258" s="11">
        <v>46309.363135925923</v>
      </c>
      <c r="F258" s="9" t="s">
        <v>1023</v>
      </c>
      <c r="G258" s="9" t="s">
        <v>39</v>
      </c>
      <c r="H258" s="9">
        <v>53</v>
      </c>
      <c r="I258" s="9" t="s">
        <v>40</v>
      </c>
      <c r="J258" s="9">
        <v>5309</v>
      </c>
      <c r="K258" s="9" t="s">
        <v>41</v>
      </c>
      <c r="L258" s="9">
        <v>5309062</v>
      </c>
      <c r="M258" s="9">
        <v>5309062009</v>
      </c>
      <c r="N258" s="9" t="s">
        <v>42</v>
      </c>
      <c r="O258" s="9">
        <v>10421</v>
      </c>
      <c r="P258" s="9" t="s">
        <v>1024</v>
      </c>
      <c r="Q258" s="10">
        <v>7</v>
      </c>
      <c r="R258" s="10">
        <v>1225000</v>
      </c>
      <c r="S258" s="10">
        <v>200000</v>
      </c>
      <c r="T258" s="10">
        <v>0</v>
      </c>
      <c r="U258" s="10">
        <v>200000</v>
      </c>
      <c r="V258" s="10">
        <v>0</v>
      </c>
      <c r="W258" s="10">
        <v>1625000</v>
      </c>
      <c r="X258" s="10">
        <v>8400000</v>
      </c>
      <c r="Y258" s="10">
        <v>0</v>
      </c>
      <c r="Z258" s="10">
        <v>8000000</v>
      </c>
      <c r="AA258" s="10">
        <v>4200000</v>
      </c>
      <c r="AB258" s="10">
        <v>8400000</v>
      </c>
      <c r="AC258" s="10">
        <v>0</v>
      </c>
      <c r="AD258" s="9" t="s">
        <v>44</v>
      </c>
      <c r="AE258" s="10" t="s">
        <v>2411</v>
      </c>
      <c r="AF258" s="10">
        <v>1200000</v>
      </c>
      <c r="AG258" s="10">
        <v>1</v>
      </c>
      <c r="AH258" s="10">
        <v>1</v>
      </c>
      <c r="AI258" s="10">
        <v>1</v>
      </c>
      <c r="AJ258" s="12" t="s">
        <v>1025</v>
      </c>
      <c r="AK258" s="10">
        <v>0</v>
      </c>
      <c r="AL258" s="10">
        <v>0</v>
      </c>
      <c r="AM258" s="9">
        <v>2019</v>
      </c>
      <c r="AN258" s="10">
        <v>5</v>
      </c>
      <c r="AO258" s="10">
        <v>2</v>
      </c>
      <c r="AP258" s="6"/>
      <c r="AQ258" s="7"/>
      <c r="AR258" s="8"/>
      <c r="AS258" s="4">
        <f t="shared" si="9"/>
        <v>400000</v>
      </c>
      <c r="AT258" s="4">
        <f t="shared" si="10"/>
        <v>4871999.7564000124</v>
      </c>
      <c r="AU258" s="4">
        <f t="shared" si="11"/>
        <v>3528000.2435999876</v>
      </c>
      <c r="AV258" s="9" t="s">
        <v>1024</v>
      </c>
      <c r="AW258" s="12" t="s">
        <v>1025</v>
      </c>
      <c r="AX258" s="10">
        <v>0</v>
      </c>
      <c r="AY258">
        <f>S258*AU258/AS258</f>
        <v>1764000.1217999938</v>
      </c>
      <c r="AZ258">
        <f>AU258-AY258</f>
        <v>1764000.1217999938</v>
      </c>
      <c r="BA258" s="10">
        <v>8400000</v>
      </c>
      <c r="BB258" s="10">
        <v>0</v>
      </c>
      <c r="BC258" s="9" t="s">
        <v>42</v>
      </c>
      <c r="BD258" s="9">
        <v>10421</v>
      </c>
      <c r="BE258" t="s">
        <v>46</v>
      </c>
    </row>
    <row r="259" spans="1:57" ht="270.75" thickBot="1" x14ac:dyDescent="0.3">
      <c r="A259" s="9" t="s">
        <v>1026</v>
      </c>
      <c r="B259" s="9">
        <v>3002</v>
      </c>
      <c r="C259" s="10">
        <v>2</v>
      </c>
      <c r="D259" s="9" t="s">
        <v>37</v>
      </c>
      <c r="E259" s="14">
        <v>46216.387094907404</v>
      </c>
      <c r="F259" s="9" t="s">
        <v>1027</v>
      </c>
      <c r="G259" s="9" t="s">
        <v>39</v>
      </c>
      <c r="H259" s="9">
        <v>53</v>
      </c>
      <c r="I259" s="9" t="s">
        <v>40</v>
      </c>
      <c r="J259" s="9">
        <v>5309</v>
      </c>
      <c r="K259" s="9" t="s">
        <v>41</v>
      </c>
      <c r="L259" s="9">
        <v>5309062</v>
      </c>
      <c r="M259" s="9">
        <v>5309062008</v>
      </c>
      <c r="N259" s="9" t="s">
        <v>42</v>
      </c>
      <c r="O259" s="9">
        <v>10421</v>
      </c>
      <c r="P259" s="9" t="s">
        <v>1028</v>
      </c>
      <c r="Q259" s="10">
        <v>2</v>
      </c>
      <c r="R259" s="10">
        <v>0</v>
      </c>
      <c r="S259" s="10">
        <v>700000</v>
      </c>
      <c r="T259" s="10">
        <v>0</v>
      </c>
      <c r="U259" s="10">
        <v>100000</v>
      </c>
      <c r="V259" s="10">
        <v>0</v>
      </c>
      <c r="W259" s="10">
        <v>800000</v>
      </c>
      <c r="X259" s="10">
        <v>14400000</v>
      </c>
      <c r="Y259" s="10">
        <v>0</v>
      </c>
      <c r="Z259" s="10">
        <v>13600000</v>
      </c>
      <c r="AA259" s="10">
        <v>4800000</v>
      </c>
      <c r="AB259" s="10">
        <v>14400000</v>
      </c>
      <c r="AC259" s="10">
        <v>0</v>
      </c>
      <c r="AD259" s="9" t="s">
        <v>44</v>
      </c>
      <c r="AE259" s="10" t="s">
        <v>2290</v>
      </c>
      <c r="AF259" s="10">
        <v>7200000</v>
      </c>
      <c r="AG259" s="10">
        <v>1</v>
      </c>
      <c r="AH259" s="10">
        <v>1</v>
      </c>
      <c r="AI259" s="10">
        <v>1</v>
      </c>
      <c r="AJ259" s="12" t="s">
        <v>1029</v>
      </c>
      <c r="AK259" s="10">
        <v>0</v>
      </c>
      <c r="AL259" s="10">
        <v>0</v>
      </c>
      <c r="AM259" s="9">
        <v>2015</v>
      </c>
      <c r="AN259" s="10">
        <v>0</v>
      </c>
      <c r="AO259" s="10">
        <v>2</v>
      </c>
      <c r="AP259" s="6"/>
      <c r="AQ259" s="7"/>
      <c r="AR259" s="8"/>
      <c r="AS259" s="4">
        <f t="shared" ref="AS259:AS322" si="12">AB259-Z259</f>
        <v>800000</v>
      </c>
      <c r="AT259" s="4">
        <f t="shared" ref="AT259:AT322" si="13">IF(AE259&gt;0.61,(Z259*0.58/AE259),IF(AE259&lt;0.15,(Z259*0.2/AE259),Z259))</f>
        <v>8352003.9303547898</v>
      </c>
      <c r="AU259" s="4">
        <f t="shared" ref="AU259:AU322" si="14">AB259-AT259</f>
        <v>6047996.0696452102</v>
      </c>
      <c r="AV259" s="9" t="s">
        <v>1028</v>
      </c>
      <c r="AW259" s="12" t="s">
        <v>1029</v>
      </c>
      <c r="AX259" s="10">
        <v>0</v>
      </c>
      <c r="AY259">
        <f>S259*AU259/AS259</f>
        <v>5291996.5609395588</v>
      </c>
      <c r="AZ259">
        <f>AU259-AY259</f>
        <v>755999.50870565139</v>
      </c>
      <c r="BA259" s="10">
        <v>14400000</v>
      </c>
      <c r="BB259" s="10">
        <v>0</v>
      </c>
      <c r="BC259" s="9" t="s">
        <v>42</v>
      </c>
      <c r="BD259" s="9">
        <v>10421</v>
      </c>
      <c r="BE259" t="s">
        <v>46</v>
      </c>
    </row>
    <row r="260" spans="1:57" ht="270.75" thickBot="1" x14ac:dyDescent="0.3">
      <c r="A260" s="9" t="s">
        <v>1030</v>
      </c>
      <c r="B260" s="9">
        <v>1001</v>
      </c>
      <c r="C260" s="10">
        <v>2</v>
      </c>
      <c r="D260" s="9" t="s">
        <v>113</v>
      </c>
      <c r="E260" s="11">
        <v>46314.307782708333</v>
      </c>
      <c r="F260" s="9" t="s">
        <v>1031</v>
      </c>
      <c r="G260" s="9" t="s">
        <v>39</v>
      </c>
      <c r="H260" s="9">
        <v>53</v>
      </c>
      <c r="I260" s="9" t="s">
        <v>40</v>
      </c>
      <c r="J260" s="9">
        <v>5309</v>
      </c>
      <c r="K260" s="9" t="s">
        <v>41</v>
      </c>
      <c r="L260" s="9">
        <v>5309020</v>
      </c>
      <c r="M260" s="9">
        <v>5309020012</v>
      </c>
      <c r="N260" s="9" t="s">
        <v>42</v>
      </c>
      <c r="O260" s="9">
        <v>10421</v>
      </c>
      <c r="P260" s="9" t="s">
        <v>1032</v>
      </c>
      <c r="Q260" s="10">
        <v>3</v>
      </c>
      <c r="R260" s="10">
        <v>2000000</v>
      </c>
      <c r="S260" s="10">
        <v>1500000</v>
      </c>
      <c r="T260" s="10">
        <v>0</v>
      </c>
      <c r="U260" s="10">
        <v>1000000</v>
      </c>
      <c r="V260" s="10">
        <v>0</v>
      </c>
      <c r="W260" s="10">
        <v>4500000</v>
      </c>
      <c r="X260" s="10">
        <v>10000000</v>
      </c>
      <c r="Y260" s="10">
        <v>0</v>
      </c>
      <c r="Z260" s="10">
        <v>7500000</v>
      </c>
      <c r="AA260" s="10">
        <v>2500000</v>
      </c>
      <c r="AB260" s="10">
        <v>10000000</v>
      </c>
      <c r="AC260" s="10">
        <v>0</v>
      </c>
      <c r="AD260" s="9" t="s">
        <v>44</v>
      </c>
      <c r="AE260" s="10" t="s">
        <v>77</v>
      </c>
      <c r="AF260" s="13">
        <v>3333333333</v>
      </c>
      <c r="AG260" s="10">
        <v>1</v>
      </c>
      <c r="AH260" s="10">
        <v>1</v>
      </c>
      <c r="AI260" s="10">
        <v>1</v>
      </c>
      <c r="AJ260" s="12" t="s">
        <v>1033</v>
      </c>
      <c r="AK260" s="10">
        <v>0</v>
      </c>
      <c r="AL260" s="10">
        <v>0</v>
      </c>
      <c r="AM260" s="9">
        <v>2025</v>
      </c>
      <c r="AN260" s="10">
        <v>1</v>
      </c>
      <c r="AO260" s="10">
        <v>2</v>
      </c>
      <c r="AP260" s="6"/>
      <c r="AQ260" s="7"/>
      <c r="AR260" s="8"/>
      <c r="AS260" s="4">
        <f t="shared" si="12"/>
        <v>2500000</v>
      </c>
      <c r="AT260" s="4">
        <f t="shared" si="13"/>
        <v>5800000</v>
      </c>
      <c r="AU260" s="4">
        <f t="shared" si="14"/>
        <v>4200000</v>
      </c>
      <c r="AV260" s="9" t="s">
        <v>1032</v>
      </c>
      <c r="AW260" s="12" t="s">
        <v>1033</v>
      </c>
      <c r="AX260" s="10">
        <v>0</v>
      </c>
      <c r="AY260">
        <f>S260*AU260/AS260</f>
        <v>2520000</v>
      </c>
      <c r="AZ260">
        <f>AU260-AY260</f>
        <v>1680000</v>
      </c>
      <c r="BA260" s="10">
        <v>10000000</v>
      </c>
      <c r="BB260" s="10">
        <v>0</v>
      </c>
      <c r="BC260" s="9" t="s">
        <v>42</v>
      </c>
      <c r="BD260" s="9">
        <v>10421</v>
      </c>
      <c r="BE260" t="s">
        <v>46</v>
      </c>
    </row>
    <row r="261" spans="1:57" ht="270.75" thickBot="1" x14ac:dyDescent="0.3">
      <c r="A261" s="9" t="s">
        <v>1034</v>
      </c>
      <c r="B261" s="9">
        <v>1001</v>
      </c>
      <c r="C261" s="10">
        <v>2</v>
      </c>
      <c r="D261" s="9" t="s">
        <v>37</v>
      </c>
      <c r="E261" s="11">
        <v>46215.207114745368</v>
      </c>
      <c r="F261" s="9" t="s">
        <v>1035</v>
      </c>
      <c r="G261" s="9" t="s">
        <v>39</v>
      </c>
      <c r="H261" s="9">
        <v>53</v>
      </c>
      <c r="I261" s="9" t="s">
        <v>40</v>
      </c>
      <c r="J261" s="9">
        <v>5309</v>
      </c>
      <c r="K261" s="9" t="s">
        <v>41</v>
      </c>
      <c r="L261" s="9">
        <v>5309062</v>
      </c>
      <c r="M261" s="9">
        <v>5309062006</v>
      </c>
      <c r="N261" s="9" t="s">
        <v>42</v>
      </c>
      <c r="O261" s="9">
        <v>10421</v>
      </c>
      <c r="P261" s="9" t="s">
        <v>1036</v>
      </c>
      <c r="Q261" s="10">
        <v>2</v>
      </c>
      <c r="R261" s="10">
        <v>0</v>
      </c>
      <c r="S261" s="10">
        <v>350000</v>
      </c>
      <c r="T261" s="10">
        <v>0</v>
      </c>
      <c r="U261" s="10">
        <v>300000</v>
      </c>
      <c r="V261" s="10">
        <v>0</v>
      </c>
      <c r="W261" s="10">
        <v>650000</v>
      </c>
      <c r="X261" s="10">
        <v>5190000</v>
      </c>
      <c r="Y261" s="10">
        <v>0</v>
      </c>
      <c r="Z261" s="10">
        <v>4540000</v>
      </c>
      <c r="AA261" s="10">
        <v>3500000</v>
      </c>
      <c r="AB261" s="10">
        <v>5190000</v>
      </c>
      <c r="AC261" s="10">
        <v>0</v>
      </c>
      <c r="AD261" s="9" t="s">
        <v>44</v>
      </c>
      <c r="AE261" s="10" t="s">
        <v>2412</v>
      </c>
      <c r="AF261" s="10">
        <v>2595000</v>
      </c>
      <c r="AG261" s="10">
        <v>1</v>
      </c>
      <c r="AH261" s="10">
        <v>1</v>
      </c>
      <c r="AI261" s="10">
        <v>1</v>
      </c>
      <c r="AJ261" s="12" t="s">
        <v>1037</v>
      </c>
      <c r="AK261" s="10">
        <v>0</v>
      </c>
      <c r="AL261" s="10">
        <v>0</v>
      </c>
      <c r="AM261" s="9">
        <v>2015</v>
      </c>
      <c r="AN261" s="10">
        <v>0</v>
      </c>
      <c r="AO261" s="10">
        <v>2</v>
      </c>
      <c r="AP261" s="6"/>
      <c r="AQ261" s="7"/>
      <c r="AR261" s="8"/>
      <c r="AS261" s="4">
        <f t="shared" si="12"/>
        <v>650000</v>
      </c>
      <c r="AT261" s="4">
        <f t="shared" si="13"/>
        <v>3010200.5238014129</v>
      </c>
      <c r="AU261" s="4">
        <f t="shared" si="14"/>
        <v>2179799.4761985871</v>
      </c>
      <c r="AV261" s="9" t="s">
        <v>1036</v>
      </c>
      <c r="AW261" s="12" t="s">
        <v>1037</v>
      </c>
      <c r="AX261" s="10">
        <v>0</v>
      </c>
      <c r="AY261">
        <f>S261*AU261/AS261</f>
        <v>1173738.1794915469</v>
      </c>
      <c r="AZ261">
        <f>AU261-AY261</f>
        <v>1006061.2967070402</v>
      </c>
      <c r="BA261" s="10">
        <v>5190000</v>
      </c>
      <c r="BB261" s="10">
        <v>0</v>
      </c>
      <c r="BC261" s="9" t="s">
        <v>42</v>
      </c>
      <c r="BD261" s="9">
        <v>10421</v>
      </c>
      <c r="BE261" t="s">
        <v>46</v>
      </c>
    </row>
    <row r="262" spans="1:57" ht="270.75" thickBot="1" x14ac:dyDescent="0.3">
      <c r="A262" s="9" t="s">
        <v>1038</v>
      </c>
      <c r="B262" s="9">
        <v>3003</v>
      </c>
      <c r="C262" s="10">
        <v>2</v>
      </c>
      <c r="D262" s="9" t="s">
        <v>37</v>
      </c>
      <c r="E262" s="11">
        <v>46209.633154108793</v>
      </c>
      <c r="F262" s="9" t="s">
        <v>1039</v>
      </c>
      <c r="G262" s="9" t="s">
        <v>39</v>
      </c>
      <c r="H262" s="9">
        <v>53</v>
      </c>
      <c r="I262" s="9" t="s">
        <v>40</v>
      </c>
      <c r="J262" s="9">
        <v>5309</v>
      </c>
      <c r="K262" s="9" t="s">
        <v>41</v>
      </c>
      <c r="L262" s="9">
        <v>5309060</v>
      </c>
      <c r="M262" s="9">
        <v>5309060011</v>
      </c>
      <c r="N262" s="9" t="s">
        <v>42</v>
      </c>
      <c r="O262" s="9">
        <v>10421</v>
      </c>
      <c r="P262" s="9" t="s">
        <v>49</v>
      </c>
      <c r="Q262" s="10">
        <v>3</v>
      </c>
      <c r="R262" s="10">
        <v>0</v>
      </c>
      <c r="S262" s="10">
        <v>500000</v>
      </c>
      <c r="T262" s="10">
        <v>0</v>
      </c>
      <c r="U262" s="10">
        <v>500000</v>
      </c>
      <c r="V262" s="10">
        <v>0</v>
      </c>
      <c r="W262" s="10">
        <v>1000000</v>
      </c>
      <c r="X262" s="10">
        <v>6000000</v>
      </c>
      <c r="Y262" s="10">
        <v>0</v>
      </c>
      <c r="Z262" s="10">
        <v>5000000</v>
      </c>
      <c r="AA262" s="10">
        <v>400999</v>
      </c>
      <c r="AB262" s="10">
        <v>6000000</v>
      </c>
      <c r="AC262" s="10">
        <v>0</v>
      </c>
      <c r="AD262" s="9" t="s">
        <v>44</v>
      </c>
      <c r="AE262" s="10" t="s">
        <v>2358</v>
      </c>
      <c r="AF262" s="10">
        <v>2000000</v>
      </c>
      <c r="AG262" s="10">
        <v>1</v>
      </c>
      <c r="AH262" s="10">
        <v>1</v>
      </c>
      <c r="AI262" s="10">
        <v>1</v>
      </c>
      <c r="AJ262" s="12" t="s">
        <v>1040</v>
      </c>
      <c r="AK262" s="10">
        <v>0</v>
      </c>
      <c r="AL262" s="10">
        <v>0</v>
      </c>
      <c r="AM262" s="9">
        <v>2000</v>
      </c>
      <c r="AN262" s="10">
        <v>0</v>
      </c>
      <c r="AO262" s="10">
        <v>3</v>
      </c>
      <c r="AP262" s="6"/>
      <c r="AQ262" s="7"/>
      <c r="AR262" s="8"/>
      <c r="AS262" s="4">
        <f t="shared" si="12"/>
        <v>1000000</v>
      </c>
      <c r="AT262" s="4">
        <f t="shared" si="13"/>
        <v>3480001.3920005569</v>
      </c>
      <c r="AU262" s="4">
        <f t="shared" si="14"/>
        <v>2519998.6079994431</v>
      </c>
      <c r="AV262" s="9" t="s">
        <v>49</v>
      </c>
      <c r="AW262" s="12" t="s">
        <v>1040</v>
      </c>
      <c r="AX262" s="10">
        <v>0</v>
      </c>
      <c r="AY262">
        <f>S262*AU262/AS262</f>
        <v>1259999.3039997215</v>
      </c>
      <c r="AZ262">
        <f>AU262-AY262</f>
        <v>1259999.3039997215</v>
      </c>
      <c r="BA262" s="10">
        <v>6000000</v>
      </c>
      <c r="BB262" s="10">
        <v>0</v>
      </c>
      <c r="BC262" s="9" t="s">
        <v>42</v>
      </c>
      <c r="BD262" s="9">
        <v>10421</v>
      </c>
      <c r="BE262" t="s">
        <v>46</v>
      </c>
    </row>
    <row r="263" spans="1:57" ht="255.75" thickBot="1" x14ac:dyDescent="0.3">
      <c r="A263" s="9" t="s">
        <v>1041</v>
      </c>
      <c r="B263" s="9">
        <v>3002</v>
      </c>
      <c r="C263" s="10">
        <v>2</v>
      </c>
      <c r="D263" s="9" t="s">
        <v>37</v>
      </c>
      <c r="E263" s="11">
        <v>46260.044904085647</v>
      </c>
      <c r="F263" s="9" t="s">
        <v>1042</v>
      </c>
      <c r="G263" s="9" t="s">
        <v>39</v>
      </c>
      <c r="H263" s="9">
        <v>53</v>
      </c>
      <c r="I263" s="9" t="s">
        <v>40</v>
      </c>
      <c r="J263" s="9">
        <v>5309</v>
      </c>
      <c r="K263" s="9" t="s">
        <v>41</v>
      </c>
      <c r="L263" s="9">
        <v>5309062</v>
      </c>
      <c r="M263" s="9">
        <v>5309062012</v>
      </c>
      <c r="N263" s="9" t="s">
        <v>42</v>
      </c>
      <c r="O263" s="9">
        <v>10421</v>
      </c>
      <c r="P263" s="9" t="s">
        <v>1043</v>
      </c>
      <c r="Q263" s="10">
        <v>3</v>
      </c>
      <c r="R263" s="10">
        <v>200000</v>
      </c>
      <c r="S263" s="10">
        <v>250000</v>
      </c>
      <c r="T263" s="10">
        <v>0</v>
      </c>
      <c r="U263" s="10">
        <v>100000</v>
      </c>
      <c r="V263" s="10">
        <v>0</v>
      </c>
      <c r="W263" s="10">
        <v>550000</v>
      </c>
      <c r="X263" s="10">
        <v>3500000</v>
      </c>
      <c r="Y263" s="10">
        <v>300000</v>
      </c>
      <c r="Z263" s="10">
        <v>3150000</v>
      </c>
      <c r="AA263" s="10">
        <v>3750000</v>
      </c>
      <c r="AB263" s="10">
        <v>3500000</v>
      </c>
      <c r="AC263" s="10">
        <v>0</v>
      </c>
      <c r="AD263" s="9" t="s">
        <v>44</v>
      </c>
      <c r="AE263" s="10" t="s">
        <v>2339</v>
      </c>
      <c r="AF263" s="13">
        <v>1166666667</v>
      </c>
      <c r="AG263" s="10">
        <v>1</v>
      </c>
      <c r="AH263" s="10">
        <v>1</v>
      </c>
      <c r="AI263" s="10">
        <v>1</v>
      </c>
      <c r="AJ263" s="12" t="s">
        <v>1044</v>
      </c>
      <c r="AK263" s="10">
        <v>0</v>
      </c>
      <c r="AL263" s="10">
        <v>0</v>
      </c>
      <c r="AM263" s="9">
        <v>2024</v>
      </c>
      <c r="AN263" s="10">
        <v>1</v>
      </c>
      <c r="AO263" s="10">
        <v>2</v>
      </c>
      <c r="AP263" s="6"/>
      <c r="AQ263" s="7"/>
      <c r="AR263" s="8"/>
      <c r="AS263" s="4">
        <f t="shared" si="12"/>
        <v>350000</v>
      </c>
      <c r="AT263" s="4">
        <f t="shared" si="13"/>
        <v>2029999.9999999998</v>
      </c>
      <c r="AU263" s="4">
        <f t="shared" si="14"/>
        <v>1470000.0000000002</v>
      </c>
      <c r="AV263" s="9" t="s">
        <v>1043</v>
      </c>
      <c r="AW263" s="12" t="s">
        <v>1044</v>
      </c>
      <c r="AX263" s="10">
        <v>0</v>
      </c>
      <c r="AY263">
        <f>S263*AU263/AS263</f>
        <v>1050000.0000000002</v>
      </c>
      <c r="AZ263">
        <f>AU263-AY263</f>
        <v>420000</v>
      </c>
      <c r="BA263" s="10">
        <v>3500000</v>
      </c>
      <c r="BB263" s="10">
        <v>300000</v>
      </c>
      <c r="BC263" s="9" t="s">
        <v>42</v>
      </c>
      <c r="BD263" s="9">
        <v>10421</v>
      </c>
      <c r="BE263" t="s">
        <v>46</v>
      </c>
    </row>
    <row r="264" spans="1:57" ht="270.75" thickBot="1" x14ac:dyDescent="0.3">
      <c r="A264" s="9" t="s">
        <v>1045</v>
      </c>
      <c r="B264" s="9">
        <v>3002</v>
      </c>
      <c r="C264" s="10">
        <v>2</v>
      </c>
      <c r="D264" s="9" t="s">
        <v>37</v>
      </c>
      <c r="E264" s="11">
        <v>46225.267900740742</v>
      </c>
      <c r="F264" s="9" t="s">
        <v>1046</v>
      </c>
      <c r="G264" s="9" t="s">
        <v>39</v>
      </c>
      <c r="H264" s="9">
        <v>53</v>
      </c>
      <c r="I264" s="9" t="s">
        <v>40</v>
      </c>
      <c r="J264" s="9">
        <v>5309</v>
      </c>
      <c r="K264" s="9" t="s">
        <v>41</v>
      </c>
      <c r="L264" s="9">
        <v>5309010</v>
      </c>
      <c r="M264" s="9">
        <v>5309010014</v>
      </c>
      <c r="N264" s="9" t="s">
        <v>42</v>
      </c>
      <c r="O264" s="9">
        <v>10421</v>
      </c>
      <c r="P264" s="9" t="s">
        <v>1047</v>
      </c>
      <c r="Q264" s="10">
        <v>1</v>
      </c>
      <c r="R264" s="10">
        <v>0</v>
      </c>
      <c r="S264" s="10">
        <v>50000</v>
      </c>
      <c r="T264" s="10">
        <v>0</v>
      </c>
      <c r="U264" s="10">
        <v>160000</v>
      </c>
      <c r="V264" s="10">
        <v>15000</v>
      </c>
      <c r="W264" s="10">
        <v>225000</v>
      </c>
      <c r="X264" s="10">
        <v>2400000</v>
      </c>
      <c r="Y264" s="10">
        <v>0</v>
      </c>
      <c r="Z264" s="10">
        <v>2190000</v>
      </c>
      <c r="AA264" s="10">
        <v>35000000</v>
      </c>
      <c r="AB264" s="10">
        <v>2400000</v>
      </c>
      <c r="AC264" s="10">
        <v>0</v>
      </c>
      <c r="AD264" s="9" t="s">
        <v>44</v>
      </c>
      <c r="AE264" s="10" t="s">
        <v>2413</v>
      </c>
      <c r="AF264" s="10">
        <v>2400000</v>
      </c>
      <c r="AG264" s="10">
        <v>1</v>
      </c>
      <c r="AH264" s="10">
        <v>1</v>
      </c>
      <c r="AI264" s="10">
        <v>1</v>
      </c>
      <c r="AJ264" s="12" t="s">
        <v>1048</v>
      </c>
      <c r="AK264" s="10">
        <v>0</v>
      </c>
      <c r="AL264" s="10">
        <v>0</v>
      </c>
      <c r="AM264" s="9">
        <v>1994</v>
      </c>
      <c r="AN264" s="10">
        <v>0</v>
      </c>
      <c r="AO264" s="10">
        <v>1</v>
      </c>
      <c r="AP264" s="6"/>
      <c r="AQ264" s="7"/>
      <c r="AR264" s="8"/>
      <c r="AS264" s="4">
        <f t="shared" si="12"/>
        <v>210000</v>
      </c>
      <c r="AT264" s="4">
        <f t="shared" si="13"/>
        <v>1392000</v>
      </c>
      <c r="AU264" s="4">
        <f t="shared" si="14"/>
        <v>1008000</v>
      </c>
      <c r="AV264" s="9" t="s">
        <v>1047</v>
      </c>
      <c r="AW264" s="12" t="s">
        <v>1048</v>
      </c>
      <c r="AX264" s="10">
        <v>0</v>
      </c>
      <c r="AY264">
        <f>S264*AU264/AS264</f>
        <v>240000</v>
      </c>
      <c r="AZ264">
        <f>AU264-AY264</f>
        <v>768000</v>
      </c>
      <c r="BA264" s="10">
        <v>2400000</v>
      </c>
      <c r="BB264" s="10">
        <v>0</v>
      </c>
      <c r="BC264" s="9" t="s">
        <v>42</v>
      </c>
      <c r="BD264" s="9">
        <v>10421</v>
      </c>
      <c r="BE264" t="s">
        <v>46</v>
      </c>
    </row>
    <row r="265" spans="1:57" ht="270.75" thickBot="1" x14ac:dyDescent="0.3">
      <c r="A265" s="9" t="s">
        <v>1049</v>
      </c>
      <c r="B265" s="9">
        <v>1001</v>
      </c>
      <c r="C265" s="10">
        <v>2</v>
      </c>
      <c r="D265" s="9" t="s">
        <v>37</v>
      </c>
      <c r="E265" s="11">
        <v>46268.121598634258</v>
      </c>
      <c r="F265" s="9" t="s">
        <v>1050</v>
      </c>
      <c r="G265" s="9" t="s">
        <v>39</v>
      </c>
      <c r="H265" s="9">
        <v>53</v>
      </c>
      <c r="I265" s="9" t="s">
        <v>40</v>
      </c>
      <c r="J265" s="9">
        <v>5309</v>
      </c>
      <c r="K265" s="9" t="s">
        <v>41</v>
      </c>
      <c r="L265" s="9">
        <v>5309074</v>
      </c>
      <c r="M265" s="9">
        <v>5309074002</v>
      </c>
      <c r="N265" s="9" t="s">
        <v>42</v>
      </c>
      <c r="O265" s="9">
        <v>10421</v>
      </c>
      <c r="P265" s="9" t="s">
        <v>49</v>
      </c>
      <c r="Q265" s="10">
        <v>2</v>
      </c>
      <c r="R265" s="10">
        <v>900000</v>
      </c>
      <c r="S265" s="10">
        <v>1000000</v>
      </c>
      <c r="T265" s="10">
        <v>0</v>
      </c>
      <c r="U265" s="10">
        <v>200000</v>
      </c>
      <c r="V265" s="10">
        <v>0</v>
      </c>
      <c r="W265" s="10">
        <v>2100000</v>
      </c>
      <c r="X265" s="10">
        <v>6000000</v>
      </c>
      <c r="Y265" s="10">
        <v>0</v>
      </c>
      <c r="Z265" s="10">
        <v>4800000</v>
      </c>
      <c r="AA265" s="10">
        <v>3250000</v>
      </c>
      <c r="AB265" s="10">
        <v>6000000</v>
      </c>
      <c r="AC265" s="10">
        <v>0</v>
      </c>
      <c r="AD265" s="9" t="s">
        <v>44</v>
      </c>
      <c r="AE265" s="10" t="s">
        <v>2296</v>
      </c>
      <c r="AF265" s="10">
        <v>3000000</v>
      </c>
      <c r="AG265" s="10">
        <v>1</v>
      </c>
      <c r="AH265" s="10">
        <v>1</v>
      </c>
      <c r="AI265" s="10">
        <v>1</v>
      </c>
      <c r="AJ265" s="12" t="s">
        <v>1051</v>
      </c>
      <c r="AK265" s="10">
        <v>0</v>
      </c>
      <c r="AL265" s="10">
        <v>0</v>
      </c>
      <c r="AM265" s="9">
        <v>1989</v>
      </c>
      <c r="AN265" s="10">
        <v>1</v>
      </c>
      <c r="AO265" s="10">
        <v>1</v>
      </c>
      <c r="AP265" s="6"/>
      <c r="AQ265" s="7"/>
      <c r="AR265" s="8"/>
      <c r="AS265" s="4">
        <f t="shared" si="12"/>
        <v>1200000</v>
      </c>
      <c r="AT265" s="4">
        <f t="shared" si="13"/>
        <v>3480000</v>
      </c>
      <c r="AU265" s="4">
        <f t="shared" si="14"/>
        <v>2520000</v>
      </c>
      <c r="AV265" s="9" t="s">
        <v>49</v>
      </c>
      <c r="AW265" s="12" t="s">
        <v>1051</v>
      </c>
      <c r="AX265" s="10">
        <v>0</v>
      </c>
      <c r="AY265">
        <f>S265*AU265/AS265</f>
        <v>2100000</v>
      </c>
      <c r="AZ265">
        <f>AU265-AY265</f>
        <v>420000</v>
      </c>
      <c r="BA265" s="10">
        <v>6000000</v>
      </c>
      <c r="BB265" s="10">
        <v>0</v>
      </c>
      <c r="BC265" s="9" t="s">
        <v>42</v>
      </c>
      <c r="BD265" s="9">
        <v>10421</v>
      </c>
      <c r="BE265" t="s">
        <v>46</v>
      </c>
    </row>
    <row r="266" spans="1:57" ht="270.75" thickBot="1" x14ac:dyDescent="0.3">
      <c r="A266" s="9" t="s">
        <v>1052</v>
      </c>
      <c r="B266" s="9">
        <v>3002</v>
      </c>
      <c r="C266" s="10">
        <v>2</v>
      </c>
      <c r="D266" s="9" t="s">
        <v>84</v>
      </c>
      <c r="E266" s="11">
        <v>46308.55780574074</v>
      </c>
      <c r="F266" s="9" t="s">
        <v>1053</v>
      </c>
      <c r="G266" s="9" t="s">
        <v>39</v>
      </c>
      <c r="H266" s="9">
        <v>53</v>
      </c>
      <c r="I266" s="9" t="s">
        <v>40</v>
      </c>
      <c r="J266" s="9">
        <v>5309</v>
      </c>
      <c r="K266" s="9" t="s">
        <v>41</v>
      </c>
      <c r="L266" s="9">
        <v>5309062</v>
      </c>
      <c r="M266" s="9">
        <v>5309062005</v>
      </c>
      <c r="N266" s="9" t="s">
        <v>42</v>
      </c>
      <c r="O266" s="9">
        <v>10421</v>
      </c>
      <c r="P266" s="9" t="s">
        <v>49</v>
      </c>
      <c r="Q266" s="10">
        <v>2</v>
      </c>
      <c r="R266" s="10">
        <v>0</v>
      </c>
      <c r="S266" s="10">
        <v>150000</v>
      </c>
      <c r="T266" s="10">
        <v>0</v>
      </c>
      <c r="U266" s="10">
        <v>100000</v>
      </c>
      <c r="V266" s="10">
        <v>0</v>
      </c>
      <c r="W266" s="10">
        <v>250000</v>
      </c>
      <c r="X266" s="10">
        <v>7200000</v>
      </c>
      <c r="Y266" s="10">
        <v>0</v>
      </c>
      <c r="Z266" s="10">
        <v>6950000</v>
      </c>
      <c r="AA266" s="10">
        <v>6600000</v>
      </c>
      <c r="AB266" s="10">
        <v>7200000</v>
      </c>
      <c r="AC266" s="10">
        <v>0</v>
      </c>
      <c r="AD266" s="9" t="s">
        <v>44</v>
      </c>
      <c r="AE266" s="10" t="s">
        <v>2414</v>
      </c>
      <c r="AF266" s="10">
        <v>3600000</v>
      </c>
      <c r="AG266" s="10">
        <v>1</v>
      </c>
      <c r="AH266" s="10">
        <v>1</v>
      </c>
      <c r="AI266" s="10">
        <v>1</v>
      </c>
      <c r="AJ266" s="12" t="s">
        <v>1054</v>
      </c>
      <c r="AK266" s="10">
        <v>0</v>
      </c>
      <c r="AL266" s="10">
        <v>0</v>
      </c>
      <c r="AM266" s="9">
        <v>2022</v>
      </c>
      <c r="AN266" s="10">
        <v>0</v>
      </c>
      <c r="AO266" s="10">
        <v>2</v>
      </c>
      <c r="AP266" s="6"/>
      <c r="AQ266" s="7"/>
      <c r="AR266" s="8"/>
      <c r="AS266" s="4">
        <f t="shared" si="12"/>
        <v>250000</v>
      </c>
      <c r="AT266" s="4">
        <f t="shared" si="13"/>
        <v>4175999.038618926</v>
      </c>
      <c r="AU266" s="4">
        <f t="shared" si="14"/>
        <v>3024000.961381074</v>
      </c>
      <c r="AV266" s="9" t="s">
        <v>49</v>
      </c>
      <c r="AW266" s="12" t="s">
        <v>1054</v>
      </c>
      <c r="AX266" s="10">
        <v>0</v>
      </c>
      <c r="AY266">
        <f>S266*AU266/AS266</f>
        <v>1814400.5768286446</v>
      </c>
      <c r="AZ266">
        <f>AU266-AY266</f>
        <v>1209600.3845524294</v>
      </c>
      <c r="BA266" s="10">
        <v>7200000</v>
      </c>
      <c r="BB266" s="10">
        <v>0</v>
      </c>
      <c r="BC266" s="9" t="s">
        <v>42</v>
      </c>
      <c r="BD266" s="9">
        <v>10421</v>
      </c>
      <c r="BE266" t="s">
        <v>46</v>
      </c>
    </row>
    <row r="267" spans="1:57" ht="270.75" thickBot="1" x14ac:dyDescent="0.3">
      <c r="A267" s="9" t="s">
        <v>1055</v>
      </c>
      <c r="B267" s="9">
        <v>3001</v>
      </c>
      <c r="C267" s="10">
        <v>2</v>
      </c>
      <c r="D267" s="9" t="s">
        <v>37</v>
      </c>
      <c r="E267" s="11">
        <v>46267.318148865743</v>
      </c>
      <c r="F267" s="9" t="s">
        <v>1056</v>
      </c>
      <c r="G267" s="9" t="s">
        <v>39</v>
      </c>
      <c r="H267" s="9">
        <v>53</v>
      </c>
      <c r="I267" s="9" t="s">
        <v>40</v>
      </c>
      <c r="J267" s="9">
        <v>5309</v>
      </c>
      <c r="K267" s="9" t="s">
        <v>41</v>
      </c>
      <c r="L267" s="9">
        <v>5309073</v>
      </c>
      <c r="M267" s="9">
        <v>5309073007</v>
      </c>
      <c r="N267" s="9" t="s">
        <v>42</v>
      </c>
      <c r="O267" s="9">
        <v>10421</v>
      </c>
      <c r="P267" s="9" t="s">
        <v>1057</v>
      </c>
      <c r="Q267" s="10">
        <v>3</v>
      </c>
      <c r="R267" s="10">
        <v>0</v>
      </c>
      <c r="S267" s="10">
        <v>3500000</v>
      </c>
      <c r="T267" s="10">
        <v>0</v>
      </c>
      <c r="U267" s="10">
        <v>500000</v>
      </c>
      <c r="V267" s="10">
        <v>0</v>
      </c>
      <c r="W267" s="10">
        <v>4000000</v>
      </c>
      <c r="X267" s="10">
        <v>10350000</v>
      </c>
      <c r="Y267" s="10">
        <v>0</v>
      </c>
      <c r="Z267" s="10">
        <v>6350000</v>
      </c>
      <c r="AA267" s="10">
        <v>6000000</v>
      </c>
      <c r="AB267" s="10">
        <v>10350000</v>
      </c>
      <c r="AC267" s="10">
        <v>0</v>
      </c>
      <c r="AD267" s="9" t="s">
        <v>44</v>
      </c>
      <c r="AE267" s="10" t="s">
        <v>2415</v>
      </c>
      <c r="AF267" s="10">
        <v>3450000</v>
      </c>
      <c r="AG267" s="10">
        <v>1</v>
      </c>
      <c r="AH267" s="10">
        <v>1</v>
      </c>
      <c r="AI267" s="10">
        <v>1</v>
      </c>
      <c r="AJ267" s="12" t="s">
        <v>1058</v>
      </c>
      <c r="AK267" s="10">
        <v>0</v>
      </c>
      <c r="AL267" s="10">
        <v>0</v>
      </c>
      <c r="AM267" s="9">
        <v>2017</v>
      </c>
      <c r="AN267" s="10">
        <v>0</v>
      </c>
      <c r="AO267" s="10">
        <v>3</v>
      </c>
      <c r="AP267" s="6"/>
      <c r="AQ267" s="7"/>
      <c r="AR267" s="8"/>
      <c r="AS267" s="4">
        <f t="shared" si="12"/>
        <v>4000000</v>
      </c>
      <c r="AT267" s="4">
        <f t="shared" si="13"/>
        <v>6002995.7931761751</v>
      </c>
      <c r="AU267" s="4">
        <f t="shared" si="14"/>
        <v>4347004.2068238249</v>
      </c>
      <c r="AV267" s="9" t="s">
        <v>1057</v>
      </c>
      <c r="AW267" s="12" t="s">
        <v>1058</v>
      </c>
      <c r="AX267" s="10">
        <v>0</v>
      </c>
      <c r="AY267">
        <f>S267*AU267/AS267</f>
        <v>3803628.6809708467</v>
      </c>
      <c r="AZ267">
        <f>AU267-AY267</f>
        <v>543375.52585297823</v>
      </c>
      <c r="BA267" s="10">
        <v>10350000</v>
      </c>
      <c r="BB267" s="10">
        <v>0</v>
      </c>
      <c r="BC267" s="9" t="s">
        <v>42</v>
      </c>
      <c r="BD267" s="9">
        <v>10421</v>
      </c>
      <c r="BE267" t="s">
        <v>46</v>
      </c>
    </row>
    <row r="268" spans="1:57" ht="270.75" thickBot="1" x14ac:dyDescent="0.3">
      <c r="A268" s="9" t="s">
        <v>1059</v>
      </c>
      <c r="B268" s="9">
        <v>3001</v>
      </c>
      <c r="C268" s="10">
        <v>2</v>
      </c>
      <c r="D268" s="9" t="s">
        <v>37</v>
      </c>
      <c r="E268" s="11">
        <v>46253.156613703701</v>
      </c>
      <c r="F268" s="9" t="s">
        <v>1060</v>
      </c>
      <c r="G268" s="9" t="s">
        <v>39</v>
      </c>
      <c r="H268" s="9">
        <v>53</v>
      </c>
      <c r="I268" s="9" t="s">
        <v>40</v>
      </c>
      <c r="J268" s="9">
        <v>5309</v>
      </c>
      <c r="K268" s="9" t="s">
        <v>41</v>
      </c>
      <c r="L268" s="9">
        <v>5309062</v>
      </c>
      <c r="M268" s="9">
        <v>5309062012</v>
      </c>
      <c r="N268" s="9" t="s">
        <v>42</v>
      </c>
      <c r="O268" s="9">
        <v>10421</v>
      </c>
      <c r="P268" s="9" t="s">
        <v>141</v>
      </c>
      <c r="Q268" s="10">
        <v>4</v>
      </c>
      <c r="R268" s="10">
        <v>500000</v>
      </c>
      <c r="S268" s="10">
        <v>200000</v>
      </c>
      <c r="T268" s="10">
        <v>0</v>
      </c>
      <c r="U268" s="10">
        <v>100000</v>
      </c>
      <c r="V268" s="10">
        <v>0</v>
      </c>
      <c r="W268" s="10">
        <v>800000</v>
      </c>
      <c r="X268" s="10">
        <v>6500000</v>
      </c>
      <c r="Y268" s="10">
        <v>0</v>
      </c>
      <c r="Z268" s="10">
        <v>6200000</v>
      </c>
      <c r="AA268" s="10">
        <v>3800000</v>
      </c>
      <c r="AB268" s="10">
        <v>6500000</v>
      </c>
      <c r="AC268" s="10">
        <v>0</v>
      </c>
      <c r="AD268" s="9" t="s">
        <v>44</v>
      </c>
      <c r="AE268" s="10" t="s">
        <v>2416</v>
      </c>
      <c r="AF268" s="10">
        <v>1625000</v>
      </c>
      <c r="AG268" s="10">
        <v>1</v>
      </c>
      <c r="AH268" s="10">
        <v>1</v>
      </c>
      <c r="AI268" s="10">
        <v>1</v>
      </c>
      <c r="AJ268" s="12" t="s">
        <v>1061</v>
      </c>
      <c r="AK268" s="10">
        <v>0</v>
      </c>
      <c r="AL268" s="10">
        <v>0</v>
      </c>
      <c r="AM268" s="9">
        <v>2021</v>
      </c>
      <c r="AN268" s="10">
        <v>2</v>
      </c>
      <c r="AO268" s="10">
        <v>2</v>
      </c>
      <c r="AP268" s="6"/>
      <c r="AQ268" s="7"/>
      <c r="AR268" s="8"/>
      <c r="AS268" s="4">
        <f t="shared" si="12"/>
        <v>300000</v>
      </c>
      <c r="AT268" s="4">
        <f t="shared" si="13"/>
        <v>3770000.6080646138</v>
      </c>
      <c r="AU268" s="4">
        <f t="shared" si="14"/>
        <v>2729999.3919353862</v>
      </c>
      <c r="AV268" s="9" t="s">
        <v>141</v>
      </c>
      <c r="AW268" s="12" t="s">
        <v>1061</v>
      </c>
      <c r="AX268" s="10">
        <v>0</v>
      </c>
      <c r="AY268">
        <f>S268*AU268/AS268</f>
        <v>1819999.5946235908</v>
      </c>
      <c r="AZ268">
        <f>AU268-AY268</f>
        <v>909999.79731179541</v>
      </c>
      <c r="BA268" s="10">
        <v>6500000</v>
      </c>
      <c r="BB268" s="10">
        <v>0</v>
      </c>
      <c r="BC268" s="9" t="s">
        <v>42</v>
      </c>
      <c r="BD268" s="9">
        <v>10421</v>
      </c>
      <c r="BE268" t="s">
        <v>46</v>
      </c>
    </row>
    <row r="269" spans="1:57" ht="270.75" thickBot="1" x14ac:dyDescent="0.3">
      <c r="A269" s="9" t="s">
        <v>1062</v>
      </c>
      <c r="B269" s="9">
        <v>3002</v>
      </c>
      <c r="C269" s="10">
        <v>2</v>
      </c>
      <c r="D269" s="9" t="s">
        <v>37</v>
      </c>
      <c r="E269" s="14">
        <v>46213.182430555556</v>
      </c>
      <c r="F269" s="9" t="s">
        <v>1063</v>
      </c>
      <c r="G269" s="9" t="s">
        <v>39</v>
      </c>
      <c r="H269" s="9">
        <v>53</v>
      </c>
      <c r="I269" s="9" t="s">
        <v>40</v>
      </c>
      <c r="J269" s="9">
        <v>5309</v>
      </c>
      <c r="K269" s="9" t="s">
        <v>41</v>
      </c>
      <c r="L269" s="9">
        <v>5309073</v>
      </c>
      <c r="M269" s="9">
        <v>5309073007</v>
      </c>
      <c r="N269" s="9" t="s">
        <v>42</v>
      </c>
      <c r="O269" s="9">
        <v>10421</v>
      </c>
      <c r="P269" s="9" t="s">
        <v>1064</v>
      </c>
      <c r="Q269" s="10">
        <v>2</v>
      </c>
      <c r="R269" s="10">
        <v>0</v>
      </c>
      <c r="S269" s="10">
        <v>700000</v>
      </c>
      <c r="T269" s="10">
        <v>0</v>
      </c>
      <c r="U269" s="10">
        <v>300000</v>
      </c>
      <c r="V269" s="10">
        <v>0</v>
      </c>
      <c r="W269" s="10">
        <v>1000000</v>
      </c>
      <c r="X269" s="10">
        <v>4000000</v>
      </c>
      <c r="Y269" s="10">
        <v>0</v>
      </c>
      <c r="Z269" s="10">
        <v>3000000</v>
      </c>
      <c r="AA269" s="10">
        <v>10000000</v>
      </c>
      <c r="AB269" s="10">
        <v>4000000</v>
      </c>
      <c r="AC269" s="10">
        <v>0</v>
      </c>
      <c r="AD269" s="9" t="s">
        <v>44</v>
      </c>
      <c r="AE269" s="10" t="s">
        <v>77</v>
      </c>
      <c r="AF269" s="10">
        <v>2000000</v>
      </c>
      <c r="AG269" s="10">
        <v>0</v>
      </c>
      <c r="AH269" s="10">
        <v>1</v>
      </c>
      <c r="AI269" s="10">
        <v>1</v>
      </c>
      <c r="AJ269" s="12" t="s">
        <v>1065</v>
      </c>
      <c r="AK269" s="10">
        <v>0</v>
      </c>
      <c r="AL269" s="10">
        <v>0</v>
      </c>
      <c r="AM269" s="9">
        <v>2019</v>
      </c>
      <c r="AN269" s="10">
        <v>0</v>
      </c>
      <c r="AO269" s="10">
        <v>2</v>
      </c>
      <c r="AP269" s="6"/>
      <c r="AQ269" s="7"/>
      <c r="AR269" s="8"/>
      <c r="AS269" s="4">
        <f t="shared" si="12"/>
        <v>1000000</v>
      </c>
      <c r="AT269" s="4">
        <f t="shared" si="13"/>
        <v>2319999.9999999995</v>
      </c>
      <c r="AU269" s="4">
        <f t="shared" si="14"/>
        <v>1680000.0000000005</v>
      </c>
      <c r="AV269" s="9" t="s">
        <v>1064</v>
      </c>
      <c r="AW269" s="12" t="s">
        <v>1065</v>
      </c>
      <c r="AX269" s="10">
        <v>0</v>
      </c>
      <c r="AY269">
        <f>S269*AU269/AS269</f>
        <v>1176000.0000000002</v>
      </c>
      <c r="AZ269">
        <f>AU269-AY269</f>
        <v>504000.00000000023</v>
      </c>
      <c r="BA269" s="10">
        <v>4000000</v>
      </c>
      <c r="BB269" s="10">
        <v>0</v>
      </c>
      <c r="BC269" s="9" t="s">
        <v>42</v>
      </c>
      <c r="BD269" s="9">
        <v>10421</v>
      </c>
      <c r="BE269" t="s">
        <v>46</v>
      </c>
    </row>
    <row r="270" spans="1:57" ht="270.75" thickBot="1" x14ac:dyDescent="0.3">
      <c r="A270" s="9" t="s">
        <v>1066</v>
      </c>
      <c r="B270" s="9">
        <v>3001</v>
      </c>
      <c r="C270" s="10">
        <v>2</v>
      </c>
      <c r="D270" s="9" t="s">
        <v>37</v>
      </c>
      <c r="E270" s="14">
        <v>46232.296458333331</v>
      </c>
      <c r="F270" s="9" t="s">
        <v>1067</v>
      </c>
      <c r="G270" s="9" t="s">
        <v>39</v>
      </c>
      <c r="H270" s="9">
        <v>53</v>
      </c>
      <c r="I270" s="9" t="s">
        <v>40</v>
      </c>
      <c r="J270" s="9">
        <v>5309</v>
      </c>
      <c r="K270" s="9" t="s">
        <v>41</v>
      </c>
      <c r="L270" s="9">
        <v>5309062</v>
      </c>
      <c r="M270" s="9">
        <v>5309062012</v>
      </c>
      <c r="N270" s="9" t="s">
        <v>42</v>
      </c>
      <c r="O270" s="9">
        <v>10421</v>
      </c>
      <c r="P270" s="9" t="s">
        <v>141</v>
      </c>
      <c r="Q270" s="10">
        <v>3</v>
      </c>
      <c r="R270" s="10">
        <v>400000</v>
      </c>
      <c r="S270" s="10">
        <v>250000</v>
      </c>
      <c r="T270" s="10">
        <v>0</v>
      </c>
      <c r="U270" s="10">
        <v>150000</v>
      </c>
      <c r="V270" s="10">
        <v>0</v>
      </c>
      <c r="W270" s="10">
        <v>800000</v>
      </c>
      <c r="X270" s="10">
        <v>2500000</v>
      </c>
      <c r="Y270" s="10">
        <v>300000</v>
      </c>
      <c r="Z270" s="10">
        <v>2100000</v>
      </c>
      <c r="AA270" s="10">
        <v>3500000</v>
      </c>
      <c r="AB270" s="10">
        <v>2500000</v>
      </c>
      <c r="AC270" s="10">
        <v>0</v>
      </c>
      <c r="AD270" s="9" t="s">
        <v>44</v>
      </c>
      <c r="AE270" s="10" t="s">
        <v>125</v>
      </c>
      <c r="AF270" s="13">
        <v>8333333333</v>
      </c>
      <c r="AG270" s="10">
        <v>1</v>
      </c>
      <c r="AH270" s="10">
        <v>1</v>
      </c>
      <c r="AI270" s="10">
        <v>1</v>
      </c>
      <c r="AJ270" s="12" t="s">
        <v>1068</v>
      </c>
      <c r="AK270" s="10">
        <v>0</v>
      </c>
      <c r="AL270" s="10">
        <v>0</v>
      </c>
      <c r="AM270" s="9">
        <v>2023</v>
      </c>
      <c r="AN270" s="10">
        <v>2</v>
      </c>
      <c r="AO270" s="10">
        <v>1</v>
      </c>
      <c r="AP270" s="6"/>
      <c r="AQ270" s="7"/>
      <c r="AR270" s="8"/>
      <c r="AS270" s="4">
        <f t="shared" si="12"/>
        <v>400000</v>
      </c>
      <c r="AT270" s="4">
        <f t="shared" si="13"/>
        <v>1450000</v>
      </c>
      <c r="AU270" s="4">
        <f t="shared" si="14"/>
        <v>1050000</v>
      </c>
      <c r="AV270" s="9" t="s">
        <v>141</v>
      </c>
      <c r="AW270" s="12" t="s">
        <v>1068</v>
      </c>
      <c r="AX270" s="10">
        <v>0</v>
      </c>
      <c r="AY270">
        <f>S270*AU270/AS270</f>
        <v>656250</v>
      </c>
      <c r="AZ270">
        <f>AU270-AY270</f>
        <v>393750</v>
      </c>
      <c r="BA270" s="10">
        <v>2500000</v>
      </c>
      <c r="BB270" s="10">
        <v>300000</v>
      </c>
      <c r="BC270" s="9" t="s">
        <v>42</v>
      </c>
      <c r="BD270" s="9">
        <v>10421</v>
      </c>
      <c r="BE270" t="s">
        <v>46</v>
      </c>
    </row>
    <row r="271" spans="1:57" ht="270.75" thickBot="1" x14ac:dyDescent="0.3">
      <c r="A271" s="9" t="s">
        <v>1069</v>
      </c>
      <c r="B271" s="9">
        <v>3001</v>
      </c>
      <c r="C271" s="10">
        <v>2</v>
      </c>
      <c r="D271" s="9" t="s">
        <v>37</v>
      </c>
      <c r="E271" s="14">
        <v>46243.408402777779</v>
      </c>
      <c r="F271" s="9" t="s">
        <v>1070</v>
      </c>
      <c r="G271" s="9" t="s">
        <v>39</v>
      </c>
      <c r="H271" s="9">
        <v>53</v>
      </c>
      <c r="I271" s="9" t="s">
        <v>40</v>
      </c>
      <c r="J271" s="9">
        <v>5309</v>
      </c>
      <c r="K271" s="9" t="s">
        <v>41</v>
      </c>
      <c r="L271" s="9">
        <v>5309021</v>
      </c>
      <c r="M271" s="9">
        <v>5309021006</v>
      </c>
      <c r="N271" s="9" t="s">
        <v>42</v>
      </c>
      <c r="O271" s="9">
        <v>10421</v>
      </c>
      <c r="P271" s="9" t="s">
        <v>1071</v>
      </c>
      <c r="Q271" s="10">
        <v>3</v>
      </c>
      <c r="R271" s="10">
        <v>0</v>
      </c>
      <c r="S271" s="10">
        <v>1500000</v>
      </c>
      <c r="T271" s="10">
        <v>0</v>
      </c>
      <c r="U271" s="10">
        <v>700000</v>
      </c>
      <c r="V271" s="10">
        <v>100000</v>
      </c>
      <c r="W271" s="10">
        <v>2300000</v>
      </c>
      <c r="X271" s="10">
        <v>8500000</v>
      </c>
      <c r="Y271" s="10">
        <v>0</v>
      </c>
      <c r="Z271" s="10">
        <v>6300000</v>
      </c>
      <c r="AA271" s="10">
        <v>55500000</v>
      </c>
      <c r="AB271" s="10">
        <v>8500000</v>
      </c>
      <c r="AC271" s="10">
        <v>0</v>
      </c>
      <c r="AD271" s="9" t="s">
        <v>44</v>
      </c>
      <c r="AE271" s="10" t="s">
        <v>2417</v>
      </c>
      <c r="AF271" s="13">
        <v>2833333333</v>
      </c>
      <c r="AG271" s="10">
        <v>1</v>
      </c>
      <c r="AH271" s="10">
        <v>1</v>
      </c>
      <c r="AI271" s="10">
        <v>1</v>
      </c>
      <c r="AJ271" s="12" t="s">
        <v>1072</v>
      </c>
      <c r="AK271" s="10">
        <v>0</v>
      </c>
      <c r="AL271" s="10">
        <v>0</v>
      </c>
      <c r="AM271" s="9">
        <v>2005</v>
      </c>
      <c r="AN271" s="10">
        <v>0</v>
      </c>
      <c r="AO271" s="10">
        <v>3</v>
      </c>
      <c r="AP271" s="6"/>
      <c r="AQ271" s="7"/>
      <c r="AR271" s="8"/>
      <c r="AS271" s="4">
        <f t="shared" si="12"/>
        <v>2200000</v>
      </c>
      <c r="AT271" s="4">
        <f t="shared" si="13"/>
        <v>4930003.1301607173</v>
      </c>
      <c r="AU271" s="4">
        <f t="shared" si="14"/>
        <v>3569996.8698392827</v>
      </c>
      <c r="AV271" s="9" t="s">
        <v>1071</v>
      </c>
      <c r="AW271" s="12" t="s">
        <v>1072</v>
      </c>
      <c r="AX271" s="10">
        <v>0</v>
      </c>
      <c r="AY271">
        <f>S271*AU271/AS271</f>
        <v>2434088.77489042</v>
      </c>
      <c r="AZ271">
        <f>AU271-AY271</f>
        <v>1135908.0949488627</v>
      </c>
      <c r="BA271" s="10">
        <v>8500000</v>
      </c>
      <c r="BB271" s="10">
        <v>0</v>
      </c>
      <c r="BC271" s="9" t="s">
        <v>42</v>
      </c>
      <c r="BD271" s="9">
        <v>10421</v>
      </c>
      <c r="BE271" t="s">
        <v>46</v>
      </c>
    </row>
    <row r="272" spans="1:57" ht="270.75" thickBot="1" x14ac:dyDescent="0.3">
      <c r="A272" s="9" t="s">
        <v>1073</v>
      </c>
      <c r="B272" s="9">
        <v>2</v>
      </c>
      <c r="C272" s="10">
        <v>2</v>
      </c>
      <c r="D272" s="9" t="s">
        <v>84</v>
      </c>
      <c r="E272" s="11">
        <v>46239.157627384258</v>
      </c>
      <c r="F272" s="9" t="s">
        <v>1074</v>
      </c>
      <c r="G272" s="9" t="s">
        <v>39</v>
      </c>
      <c r="H272" s="9">
        <v>53</v>
      </c>
      <c r="I272" s="9" t="s">
        <v>40</v>
      </c>
      <c r="J272" s="9">
        <v>5309</v>
      </c>
      <c r="K272" s="9" t="s">
        <v>41</v>
      </c>
      <c r="L272" s="9">
        <v>5309020</v>
      </c>
      <c r="M272" s="9">
        <v>5309020010</v>
      </c>
      <c r="N272" s="9" t="s">
        <v>42</v>
      </c>
      <c r="O272" s="9">
        <v>10421</v>
      </c>
      <c r="P272" s="9" t="s">
        <v>106</v>
      </c>
      <c r="Q272" s="10">
        <v>5</v>
      </c>
      <c r="R272" s="10">
        <v>0</v>
      </c>
      <c r="S272" s="10">
        <v>435000</v>
      </c>
      <c r="T272" s="10">
        <v>0</v>
      </c>
      <c r="U272" s="10">
        <v>500000</v>
      </c>
      <c r="V272" s="10">
        <v>10000</v>
      </c>
      <c r="W272" s="10">
        <v>945000</v>
      </c>
      <c r="X272" s="10">
        <v>3640000</v>
      </c>
      <c r="Y272" s="10">
        <v>0</v>
      </c>
      <c r="Z272" s="10">
        <v>2705000</v>
      </c>
      <c r="AA272" s="10">
        <v>13560000</v>
      </c>
      <c r="AB272" s="10">
        <v>3640000</v>
      </c>
      <c r="AC272" s="10">
        <v>0</v>
      </c>
      <c r="AD272" s="9" t="s">
        <v>44</v>
      </c>
      <c r="AE272" s="10" t="s">
        <v>2418</v>
      </c>
      <c r="AF272" s="10">
        <v>728000</v>
      </c>
      <c r="AG272" s="10">
        <v>0</v>
      </c>
      <c r="AH272" s="10">
        <v>1</v>
      </c>
      <c r="AI272" s="10">
        <v>1</v>
      </c>
      <c r="AJ272" s="12" t="s">
        <v>1075</v>
      </c>
      <c r="AK272" s="10">
        <v>0</v>
      </c>
      <c r="AL272" s="10">
        <v>0</v>
      </c>
      <c r="AM272" s="9">
        <v>2018</v>
      </c>
      <c r="AN272" s="10">
        <v>0</v>
      </c>
      <c r="AO272" s="10">
        <v>5</v>
      </c>
      <c r="AP272" s="6"/>
      <c r="AQ272" s="7"/>
      <c r="AR272" s="8"/>
      <c r="AS272" s="4">
        <f t="shared" si="12"/>
        <v>935000</v>
      </c>
      <c r="AT272" s="4">
        <f t="shared" si="13"/>
        <v>2111199.6253693826</v>
      </c>
      <c r="AU272" s="4">
        <f t="shared" si="14"/>
        <v>1528800.3746306174</v>
      </c>
      <c r="AV272" s="9" t="s">
        <v>106</v>
      </c>
      <c r="AW272" s="12" t="s">
        <v>1075</v>
      </c>
      <c r="AX272" s="10">
        <v>0</v>
      </c>
      <c r="AY272">
        <f>S272*AU272/AS272</f>
        <v>711260.06734151719</v>
      </c>
      <c r="AZ272">
        <f>AU272-AY272</f>
        <v>817540.30728910025</v>
      </c>
      <c r="BA272" s="10">
        <v>3640000</v>
      </c>
      <c r="BB272" s="10">
        <v>0</v>
      </c>
      <c r="BC272" s="9" t="s">
        <v>42</v>
      </c>
      <c r="BD272" s="9">
        <v>10421</v>
      </c>
      <c r="BE272" t="s">
        <v>46</v>
      </c>
    </row>
    <row r="273" spans="1:57" ht="270.75" thickBot="1" x14ac:dyDescent="0.3">
      <c r="A273" s="9" t="s">
        <v>1076</v>
      </c>
      <c r="B273" s="9">
        <v>3001</v>
      </c>
      <c r="C273" s="10">
        <v>2</v>
      </c>
      <c r="D273" s="9" t="s">
        <v>37</v>
      </c>
      <c r="E273" s="11">
        <v>46269.33544894676</v>
      </c>
      <c r="F273" s="9" t="s">
        <v>1077</v>
      </c>
      <c r="G273" s="9" t="s">
        <v>39</v>
      </c>
      <c r="H273" s="9">
        <v>53</v>
      </c>
      <c r="I273" s="9" t="s">
        <v>40</v>
      </c>
      <c r="J273" s="9">
        <v>5309</v>
      </c>
      <c r="K273" s="9" t="s">
        <v>41</v>
      </c>
      <c r="L273" s="9">
        <v>5309073</v>
      </c>
      <c r="M273" s="9">
        <v>5309073019</v>
      </c>
      <c r="N273" s="9" t="s">
        <v>42</v>
      </c>
      <c r="O273" s="9">
        <v>10421</v>
      </c>
      <c r="P273" s="9" t="s">
        <v>1078</v>
      </c>
      <c r="Q273" s="10">
        <v>2</v>
      </c>
      <c r="R273" s="10">
        <v>600000</v>
      </c>
      <c r="S273" s="10">
        <v>300000</v>
      </c>
      <c r="T273" s="10">
        <v>0</v>
      </c>
      <c r="U273" s="10">
        <v>400000</v>
      </c>
      <c r="V273" s="10">
        <v>0</v>
      </c>
      <c r="W273" s="10">
        <v>1300000</v>
      </c>
      <c r="X273" s="10">
        <v>6240000</v>
      </c>
      <c r="Y273" s="10">
        <v>0</v>
      </c>
      <c r="Z273" s="10">
        <v>5540000</v>
      </c>
      <c r="AA273" s="10">
        <v>5400000</v>
      </c>
      <c r="AB273" s="10">
        <v>6240000</v>
      </c>
      <c r="AC273" s="10">
        <v>0</v>
      </c>
      <c r="AD273" s="9" t="s">
        <v>44</v>
      </c>
      <c r="AE273" s="10" t="s">
        <v>2419</v>
      </c>
      <c r="AF273" s="10">
        <v>3120000</v>
      </c>
      <c r="AG273" s="10">
        <v>1</v>
      </c>
      <c r="AH273" s="10">
        <v>1</v>
      </c>
      <c r="AI273" s="10">
        <v>1</v>
      </c>
      <c r="AJ273" s="12" t="s">
        <v>1079</v>
      </c>
      <c r="AK273" s="10">
        <v>0</v>
      </c>
      <c r="AL273" s="10">
        <v>0</v>
      </c>
      <c r="AM273" s="9">
        <v>2010</v>
      </c>
      <c r="AN273" s="10">
        <v>1</v>
      </c>
      <c r="AO273" s="10">
        <v>1</v>
      </c>
      <c r="AP273" s="6"/>
      <c r="AQ273" s="7"/>
      <c r="AR273" s="8"/>
      <c r="AS273" s="4">
        <f t="shared" si="12"/>
        <v>700000</v>
      </c>
      <c r="AT273" s="4">
        <f t="shared" si="13"/>
        <v>3619198.0140140862</v>
      </c>
      <c r="AU273" s="4">
        <f t="shared" si="14"/>
        <v>2620801.9859859138</v>
      </c>
      <c r="AV273" s="9" t="s">
        <v>1078</v>
      </c>
      <c r="AW273" s="12" t="s">
        <v>1079</v>
      </c>
      <c r="AX273" s="10">
        <v>0</v>
      </c>
      <c r="AY273">
        <f>S273*AU273/AS273</f>
        <v>1123200.8511368202</v>
      </c>
      <c r="AZ273">
        <f>AU273-AY273</f>
        <v>1497601.1348490936</v>
      </c>
      <c r="BA273" s="10">
        <v>6240000</v>
      </c>
      <c r="BB273" s="10">
        <v>0</v>
      </c>
      <c r="BC273" s="9" t="s">
        <v>42</v>
      </c>
      <c r="BD273" s="9">
        <v>10421</v>
      </c>
      <c r="BE273" t="s">
        <v>46</v>
      </c>
    </row>
    <row r="274" spans="1:57" ht="270.75" thickBot="1" x14ac:dyDescent="0.3">
      <c r="A274" s="9" t="s">
        <v>1080</v>
      </c>
      <c r="B274" s="9">
        <v>3002</v>
      </c>
      <c r="C274" s="10">
        <v>2</v>
      </c>
      <c r="D274" s="9" t="s">
        <v>37</v>
      </c>
      <c r="E274" s="14">
        <v>46217.249351851853</v>
      </c>
      <c r="F274" s="9" t="s">
        <v>1081</v>
      </c>
      <c r="G274" s="9" t="s">
        <v>39</v>
      </c>
      <c r="H274" s="9">
        <v>53</v>
      </c>
      <c r="I274" s="9" t="s">
        <v>40</v>
      </c>
      <c r="J274" s="9">
        <v>5309</v>
      </c>
      <c r="K274" s="9" t="s">
        <v>41</v>
      </c>
      <c r="L274" s="9">
        <v>5309074</v>
      </c>
      <c r="M274" s="9">
        <v>5309074006</v>
      </c>
      <c r="N274" s="9" t="s">
        <v>42</v>
      </c>
      <c r="O274" s="9">
        <v>10421</v>
      </c>
      <c r="P274" s="9" t="s">
        <v>1082</v>
      </c>
      <c r="Q274" s="10">
        <v>1</v>
      </c>
      <c r="R274" s="10">
        <v>0</v>
      </c>
      <c r="S274" s="10">
        <v>500000</v>
      </c>
      <c r="T274" s="10">
        <v>0</v>
      </c>
      <c r="U274" s="10">
        <v>150000</v>
      </c>
      <c r="V274" s="10">
        <v>0</v>
      </c>
      <c r="W274" s="10">
        <v>650000</v>
      </c>
      <c r="X274" s="10">
        <v>12750000</v>
      </c>
      <c r="Y274" s="10">
        <v>0</v>
      </c>
      <c r="Z274" s="10">
        <v>12100000</v>
      </c>
      <c r="AA274" s="10">
        <v>3500000</v>
      </c>
      <c r="AB274" s="10">
        <v>12750000</v>
      </c>
      <c r="AC274" s="10">
        <v>0</v>
      </c>
      <c r="AD274" s="9" t="s">
        <v>44</v>
      </c>
      <c r="AE274" s="10" t="s">
        <v>2420</v>
      </c>
      <c r="AF274" s="10">
        <v>12750000</v>
      </c>
      <c r="AG274" s="10">
        <v>1</v>
      </c>
      <c r="AH274" s="10">
        <v>1</v>
      </c>
      <c r="AI274" s="10">
        <v>1</v>
      </c>
      <c r="AJ274" s="12" t="s">
        <v>1083</v>
      </c>
      <c r="AK274" s="10">
        <v>0</v>
      </c>
      <c r="AL274" s="10">
        <v>0</v>
      </c>
      <c r="AM274" s="9">
        <v>2000</v>
      </c>
      <c r="AN274" s="10">
        <v>0</v>
      </c>
      <c r="AO274" s="10">
        <v>1</v>
      </c>
      <c r="AP274" s="6"/>
      <c r="AQ274" s="7"/>
      <c r="AR274" s="8"/>
      <c r="AS274" s="4">
        <f t="shared" si="12"/>
        <v>650000</v>
      </c>
      <c r="AT274" s="4">
        <f t="shared" si="13"/>
        <v>7394996.9442161378</v>
      </c>
      <c r="AU274" s="4">
        <f t="shared" si="14"/>
        <v>5355003.0557838622</v>
      </c>
      <c r="AV274" s="9" t="s">
        <v>1082</v>
      </c>
      <c r="AW274" s="12" t="s">
        <v>1083</v>
      </c>
      <c r="AX274" s="10">
        <v>0</v>
      </c>
      <c r="AY274">
        <f>S274*AU274/AS274</f>
        <v>4119233.1198337404</v>
      </c>
      <c r="AZ274">
        <f>AU274-AY274</f>
        <v>1235769.9359501218</v>
      </c>
      <c r="BA274" s="10">
        <v>12750000</v>
      </c>
      <c r="BB274" s="10">
        <v>0</v>
      </c>
      <c r="BC274" s="9" t="s">
        <v>42</v>
      </c>
      <c r="BD274" s="9">
        <v>10421</v>
      </c>
      <c r="BE274" t="s">
        <v>46</v>
      </c>
    </row>
    <row r="275" spans="1:57" ht="270.75" thickBot="1" x14ac:dyDescent="0.3">
      <c r="A275" s="9" t="s">
        <v>1084</v>
      </c>
      <c r="B275" s="9">
        <v>3002</v>
      </c>
      <c r="C275" s="10">
        <v>2</v>
      </c>
      <c r="D275" s="9" t="s">
        <v>37</v>
      </c>
      <c r="E275" s="11">
        <v>46215.437714976855</v>
      </c>
      <c r="F275" s="9" t="s">
        <v>1085</v>
      </c>
      <c r="G275" s="9" t="s">
        <v>39</v>
      </c>
      <c r="H275" s="9">
        <v>53</v>
      </c>
      <c r="I275" s="9" t="s">
        <v>40</v>
      </c>
      <c r="J275" s="9">
        <v>5309</v>
      </c>
      <c r="K275" s="9" t="s">
        <v>41</v>
      </c>
      <c r="L275" s="9">
        <v>5309062</v>
      </c>
      <c r="M275" s="9">
        <v>5309062004</v>
      </c>
      <c r="N275" s="9" t="s">
        <v>42</v>
      </c>
      <c r="O275" s="9">
        <v>10421</v>
      </c>
      <c r="P275" s="9" t="s">
        <v>1086</v>
      </c>
      <c r="Q275" s="10">
        <v>4</v>
      </c>
      <c r="R275" s="10">
        <v>200000</v>
      </c>
      <c r="S275" s="10">
        <v>300000</v>
      </c>
      <c r="T275" s="10">
        <v>0</v>
      </c>
      <c r="U275" s="10">
        <v>50000</v>
      </c>
      <c r="V275" s="10">
        <v>0</v>
      </c>
      <c r="W275" s="10">
        <v>550000</v>
      </c>
      <c r="X275" s="10">
        <v>13200000</v>
      </c>
      <c r="Y275" s="10">
        <v>0</v>
      </c>
      <c r="Z275" s="10">
        <v>12850000</v>
      </c>
      <c r="AA275" s="10">
        <v>8400000</v>
      </c>
      <c r="AB275" s="10">
        <v>13200000</v>
      </c>
      <c r="AC275" s="10">
        <v>0</v>
      </c>
      <c r="AD275" s="9" t="s">
        <v>44</v>
      </c>
      <c r="AE275" s="10" t="s">
        <v>2421</v>
      </c>
      <c r="AF275" s="10">
        <v>3300000</v>
      </c>
      <c r="AG275" s="10">
        <v>1</v>
      </c>
      <c r="AH275" s="10">
        <v>1</v>
      </c>
      <c r="AI275" s="10">
        <v>1</v>
      </c>
      <c r="AJ275" s="12" t="s">
        <v>1087</v>
      </c>
      <c r="AK275" s="10">
        <v>0</v>
      </c>
      <c r="AL275" s="10">
        <v>0</v>
      </c>
      <c r="AM275" s="9">
        <v>2018</v>
      </c>
      <c r="AN275" s="10">
        <v>2</v>
      </c>
      <c r="AO275" s="10">
        <v>2</v>
      </c>
      <c r="AP275" s="6"/>
      <c r="AQ275" s="7"/>
      <c r="AR275" s="8"/>
      <c r="AS275" s="4">
        <f t="shared" si="12"/>
        <v>350000</v>
      </c>
      <c r="AT275" s="4">
        <f t="shared" si="13"/>
        <v>7655998.8084048536</v>
      </c>
      <c r="AU275" s="4">
        <f t="shared" si="14"/>
        <v>5544001.1915951464</v>
      </c>
      <c r="AV275" s="9" t="s">
        <v>1086</v>
      </c>
      <c r="AW275" s="12" t="s">
        <v>1087</v>
      </c>
      <c r="AX275" s="10">
        <v>0</v>
      </c>
      <c r="AY275">
        <f>S275*AU275/AS275</f>
        <v>4752001.0213672686</v>
      </c>
      <c r="AZ275">
        <f>AU275-AY275</f>
        <v>792000.1702278778</v>
      </c>
      <c r="BA275" s="10">
        <v>13200000</v>
      </c>
      <c r="BB275" s="10">
        <v>0</v>
      </c>
      <c r="BC275" s="9" t="s">
        <v>42</v>
      </c>
      <c r="BD275" s="9">
        <v>10421</v>
      </c>
      <c r="BE275" t="s">
        <v>46</v>
      </c>
    </row>
    <row r="276" spans="1:57" ht="270.75" thickBot="1" x14ac:dyDescent="0.3">
      <c r="A276" s="9" t="s">
        <v>1088</v>
      </c>
      <c r="B276" s="9">
        <v>3003</v>
      </c>
      <c r="C276" s="10">
        <v>2</v>
      </c>
      <c r="D276" s="9" t="s">
        <v>37</v>
      </c>
      <c r="E276" s="14">
        <v>46244.548564814817</v>
      </c>
      <c r="F276" s="9" t="s">
        <v>1089</v>
      </c>
      <c r="G276" s="9" t="s">
        <v>39</v>
      </c>
      <c r="H276" s="9">
        <v>53</v>
      </c>
      <c r="I276" s="9" t="s">
        <v>40</v>
      </c>
      <c r="J276" s="9">
        <v>5309</v>
      </c>
      <c r="K276" s="9" t="s">
        <v>41</v>
      </c>
      <c r="L276" s="9">
        <v>5309062</v>
      </c>
      <c r="M276" s="9">
        <v>5309062005</v>
      </c>
      <c r="N276" s="9" t="s">
        <v>42</v>
      </c>
      <c r="O276" s="9">
        <v>10421</v>
      </c>
      <c r="P276" s="9" t="s">
        <v>1090</v>
      </c>
      <c r="Q276" s="10">
        <v>1</v>
      </c>
      <c r="R276" s="10">
        <v>0</v>
      </c>
      <c r="S276" s="10">
        <v>100000</v>
      </c>
      <c r="T276" s="10">
        <v>0</v>
      </c>
      <c r="U276" s="10">
        <v>100000</v>
      </c>
      <c r="V276" s="10">
        <v>0</v>
      </c>
      <c r="W276" s="10">
        <v>200000</v>
      </c>
      <c r="X276" s="10">
        <v>6800000</v>
      </c>
      <c r="Y276" s="10">
        <v>0</v>
      </c>
      <c r="Z276" s="10">
        <v>6600000</v>
      </c>
      <c r="AA276" s="10">
        <v>2550000</v>
      </c>
      <c r="AB276" s="10">
        <v>6800000</v>
      </c>
      <c r="AC276" s="10">
        <v>0</v>
      </c>
      <c r="AD276" s="9" t="s">
        <v>44</v>
      </c>
      <c r="AE276" s="10" t="s">
        <v>2422</v>
      </c>
      <c r="AF276" s="10">
        <v>6800000</v>
      </c>
      <c r="AG276" s="10">
        <v>1</v>
      </c>
      <c r="AH276" s="10">
        <v>1</v>
      </c>
      <c r="AI276" s="10">
        <v>1</v>
      </c>
      <c r="AJ276" s="12" t="s">
        <v>1091</v>
      </c>
      <c r="AK276" s="10">
        <v>0</v>
      </c>
      <c r="AL276" s="10">
        <v>0</v>
      </c>
      <c r="AM276" s="9">
        <v>2005</v>
      </c>
      <c r="AN276" s="10">
        <v>0</v>
      </c>
      <c r="AO276" s="10">
        <v>1</v>
      </c>
      <c r="AP276" s="6"/>
      <c r="AQ276" s="7"/>
      <c r="AR276" s="8"/>
      <c r="AS276" s="4">
        <f t="shared" si="12"/>
        <v>200000</v>
      </c>
      <c r="AT276" s="4">
        <f t="shared" si="13"/>
        <v>3944000.9561214433</v>
      </c>
      <c r="AU276" s="4">
        <f t="shared" si="14"/>
        <v>2855999.0438785567</v>
      </c>
      <c r="AV276" s="9" t="s">
        <v>1090</v>
      </c>
      <c r="AW276" s="12" t="s">
        <v>1091</v>
      </c>
      <c r="AX276" s="10">
        <v>0</v>
      </c>
      <c r="AY276">
        <f>S276*AU276/AS276</f>
        <v>1427999.5219392783</v>
      </c>
      <c r="AZ276">
        <f>AU276-AY276</f>
        <v>1427999.5219392783</v>
      </c>
      <c r="BA276" s="10">
        <v>6800000</v>
      </c>
      <c r="BB276" s="10">
        <v>0</v>
      </c>
      <c r="BC276" s="9" t="s">
        <v>42</v>
      </c>
      <c r="BD276" s="9">
        <v>10421</v>
      </c>
      <c r="BE276" t="s">
        <v>46</v>
      </c>
    </row>
    <row r="277" spans="1:57" ht="270.75" thickBot="1" x14ac:dyDescent="0.3">
      <c r="A277" s="9" t="s">
        <v>1092</v>
      </c>
      <c r="B277" s="9">
        <v>3004</v>
      </c>
      <c r="C277" s="10">
        <v>2</v>
      </c>
      <c r="D277" s="9" t="s">
        <v>37</v>
      </c>
      <c r="E277" s="11">
        <v>46240.960521053239</v>
      </c>
      <c r="F277" s="9" t="s">
        <v>1093</v>
      </c>
      <c r="G277" s="9" t="s">
        <v>39</v>
      </c>
      <c r="H277" s="9">
        <v>53</v>
      </c>
      <c r="I277" s="9" t="s">
        <v>40</v>
      </c>
      <c r="J277" s="9">
        <v>5309</v>
      </c>
      <c r="K277" s="9" t="s">
        <v>41</v>
      </c>
      <c r="L277" s="9">
        <v>5309062</v>
      </c>
      <c r="M277" s="9">
        <v>5309062004</v>
      </c>
      <c r="N277" s="9" t="s">
        <v>42</v>
      </c>
      <c r="O277" s="9">
        <v>10421</v>
      </c>
      <c r="P277" s="9" t="s">
        <v>1094</v>
      </c>
      <c r="Q277" s="10">
        <v>3</v>
      </c>
      <c r="R277" s="10">
        <v>200000</v>
      </c>
      <c r="S277" s="10">
        <v>250000</v>
      </c>
      <c r="T277" s="10">
        <v>0</v>
      </c>
      <c r="U277" s="10">
        <v>100000</v>
      </c>
      <c r="V277" s="10">
        <v>0</v>
      </c>
      <c r="W277" s="10">
        <v>550000</v>
      </c>
      <c r="X277" s="10">
        <v>7500000</v>
      </c>
      <c r="Y277" s="10">
        <v>0</v>
      </c>
      <c r="Z277" s="10">
        <v>7150000</v>
      </c>
      <c r="AA277" s="10">
        <v>4800000</v>
      </c>
      <c r="AB277" s="10">
        <v>7500000</v>
      </c>
      <c r="AC277" s="10">
        <v>0</v>
      </c>
      <c r="AD277" s="9" t="s">
        <v>44</v>
      </c>
      <c r="AE277" s="10" t="s">
        <v>2423</v>
      </c>
      <c r="AF277" s="10">
        <v>2500000</v>
      </c>
      <c r="AG277" s="10">
        <v>1</v>
      </c>
      <c r="AH277" s="10">
        <v>1</v>
      </c>
      <c r="AI277" s="10">
        <v>1</v>
      </c>
      <c r="AJ277" s="12" t="s">
        <v>1095</v>
      </c>
      <c r="AK277" s="10">
        <v>0</v>
      </c>
      <c r="AL277" s="10">
        <v>0</v>
      </c>
      <c r="AM277" s="9">
        <v>2000</v>
      </c>
      <c r="AN277" s="10">
        <v>2</v>
      </c>
      <c r="AO277" s="10">
        <v>1</v>
      </c>
      <c r="AP277" s="6"/>
      <c r="AQ277" s="7"/>
      <c r="AR277" s="8"/>
      <c r="AS277" s="4">
        <f t="shared" si="12"/>
        <v>350000</v>
      </c>
      <c r="AT277" s="4">
        <f t="shared" si="13"/>
        <v>4350001.5209795525</v>
      </c>
      <c r="AU277" s="4">
        <f t="shared" si="14"/>
        <v>3149998.4790204475</v>
      </c>
      <c r="AV277" s="9" t="s">
        <v>1094</v>
      </c>
      <c r="AW277" s="12" t="s">
        <v>1095</v>
      </c>
      <c r="AX277" s="10">
        <v>0</v>
      </c>
      <c r="AY277">
        <f>S277*AU277/AS277</f>
        <v>2249998.913586034</v>
      </c>
      <c r="AZ277">
        <f>AU277-AY277</f>
        <v>899999.5654344135</v>
      </c>
      <c r="BA277" s="10">
        <v>7500000</v>
      </c>
      <c r="BB277" s="10">
        <v>0</v>
      </c>
      <c r="BC277" s="9" t="s">
        <v>42</v>
      </c>
      <c r="BD277" s="9">
        <v>10421</v>
      </c>
      <c r="BE277" t="s">
        <v>46</v>
      </c>
    </row>
    <row r="278" spans="1:57" ht="270.75" thickBot="1" x14ac:dyDescent="0.3">
      <c r="A278" s="9" t="s">
        <v>1096</v>
      </c>
      <c r="B278" s="9">
        <v>3001</v>
      </c>
      <c r="C278" s="10">
        <v>2</v>
      </c>
      <c r="D278" s="9" t="s">
        <v>37</v>
      </c>
      <c r="E278" s="14">
        <v>46239.519699074073</v>
      </c>
      <c r="F278" s="9" t="s">
        <v>1097</v>
      </c>
      <c r="G278" s="9" t="s">
        <v>39</v>
      </c>
      <c r="H278" s="9">
        <v>53</v>
      </c>
      <c r="I278" s="9" t="s">
        <v>40</v>
      </c>
      <c r="J278" s="9">
        <v>5309</v>
      </c>
      <c r="K278" s="9" t="s">
        <v>41</v>
      </c>
      <c r="L278" s="9">
        <v>5309062</v>
      </c>
      <c r="M278" s="9">
        <v>5309062005</v>
      </c>
      <c r="N278" s="9" t="s">
        <v>42</v>
      </c>
      <c r="O278" s="9">
        <v>10421</v>
      </c>
      <c r="P278" s="9" t="s">
        <v>1098</v>
      </c>
      <c r="Q278" s="10">
        <v>3</v>
      </c>
      <c r="R278" s="10">
        <v>0</v>
      </c>
      <c r="S278" s="10">
        <v>100000</v>
      </c>
      <c r="T278" s="10">
        <v>0</v>
      </c>
      <c r="U278" s="10">
        <v>50000</v>
      </c>
      <c r="V278" s="10">
        <v>0</v>
      </c>
      <c r="W278" s="10">
        <v>150000</v>
      </c>
      <c r="X278" s="10">
        <v>6000000</v>
      </c>
      <c r="Y278" s="10">
        <v>0</v>
      </c>
      <c r="Z278" s="10">
        <v>5850000</v>
      </c>
      <c r="AA278" s="10">
        <v>2150000</v>
      </c>
      <c r="AB278" s="10">
        <v>6000000</v>
      </c>
      <c r="AC278" s="10">
        <v>0</v>
      </c>
      <c r="AD278" s="9" t="s">
        <v>44</v>
      </c>
      <c r="AE278" s="10" t="s">
        <v>2282</v>
      </c>
      <c r="AF278" s="10">
        <v>2000000</v>
      </c>
      <c r="AG278" s="10">
        <v>1</v>
      </c>
      <c r="AH278" s="10">
        <v>1</v>
      </c>
      <c r="AI278" s="10">
        <v>1</v>
      </c>
      <c r="AJ278" s="12" t="s">
        <v>1099</v>
      </c>
      <c r="AK278" s="10">
        <v>0</v>
      </c>
      <c r="AL278" s="10">
        <v>0</v>
      </c>
      <c r="AM278" s="9">
        <v>2018</v>
      </c>
      <c r="AN278" s="10">
        <v>0</v>
      </c>
      <c r="AO278" s="10">
        <v>3</v>
      </c>
      <c r="AP278" s="6"/>
      <c r="AQ278" s="7"/>
      <c r="AR278" s="8"/>
      <c r="AS278" s="4">
        <f t="shared" si="12"/>
        <v>150000</v>
      </c>
      <c r="AT278" s="4">
        <f t="shared" si="13"/>
        <v>3479999.9999999995</v>
      </c>
      <c r="AU278" s="4">
        <f t="shared" si="14"/>
        <v>2520000.0000000005</v>
      </c>
      <c r="AV278" s="9" t="s">
        <v>1098</v>
      </c>
      <c r="AW278" s="12" t="s">
        <v>1099</v>
      </c>
      <c r="AX278" s="10">
        <v>0</v>
      </c>
      <c r="AY278">
        <f>S278*AU278/AS278</f>
        <v>1680000.0000000005</v>
      </c>
      <c r="AZ278">
        <f>AU278-AY278</f>
        <v>840000</v>
      </c>
      <c r="BA278" s="10">
        <v>6000000</v>
      </c>
      <c r="BB278" s="10">
        <v>0</v>
      </c>
      <c r="BC278" s="9" t="s">
        <v>42</v>
      </c>
      <c r="BD278" s="9">
        <v>10421</v>
      </c>
      <c r="BE278" t="s">
        <v>46</v>
      </c>
    </row>
    <row r="279" spans="1:57" ht="270.75" thickBot="1" x14ac:dyDescent="0.3">
      <c r="A279" s="9" t="s">
        <v>1100</v>
      </c>
      <c r="B279" s="9">
        <v>1001</v>
      </c>
      <c r="C279" s="10">
        <v>2</v>
      </c>
      <c r="D279" s="9" t="s">
        <v>37</v>
      </c>
      <c r="E279" s="11">
        <v>46274.52354790509</v>
      </c>
      <c r="F279" s="9" t="s">
        <v>1101</v>
      </c>
      <c r="G279" s="9" t="s">
        <v>39</v>
      </c>
      <c r="H279" s="9">
        <v>53</v>
      </c>
      <c r="I279" s="9" t="s">
        <v>40</v>
      </c>
      <c r="J279" s="9">
        <v>5309</v>
      </c>
      <c r="K279" s="9" t="s">
        <v>41</v>
      </c>
      <c r="L279" s="9">
        <v>5309011</v>
      </c>
      <c r="M279" s="9">
        <v>5309011010</v>
      </c>
      <c r="N279" s="9" t="s">
        <v>42</v>
      </c>
      <c r="O279" s="9">
        <v>10421</v>
      </c>
      <c r="P279" s="9" t="s">
        <v>1102</v>
      </c>
      <c r="Q279" s="10">
        <v>9</v>
      </c>
      <c r="R279" s="10">
        <v>4750000</v>
      </c>
      <c r="S279" s="10">
        <v>675000</v>
      </c>
      <c r="T279" s="10">
        <v>0</v>
      </c>
      <c r="U279" s="10">
        <v>4750000</v>
      </c>
      <c r="V279" s="10">
        <v>0</v>
      </c>
      <c r="W279" s="10">
        <v>10175000</v>
      </c>
      <c r="X279" s="10">
        <v>15000000</v>
      </c>
      <c r="Y279" s="10">
        <v>4300000</v>
      </c>
      <c r="Z279" s="10">
        <v>9575000</v>
      </c>
      <c r="AA279" s="10">
        <v>29000000</v>
      </c>
      <c r="AB279" s="10">
        <v>15000000</v>
      </c>
      <c r="AC279" s="10">
        <v>0</v>
      </c>
      <c r="AD279" s="9" t="s">
        <v>44</v>
      </c>
      <c r="AE279" s="10" t="s">
        <v>2424</v>
      </c>
      <c r="AF279" s="13">
        <v>1666666667</v>
      </c>
      <c r="AG279" s="10">
        <v>1</v>
      </c>
      <c r="AH279" s="10">
        <v>0</v>
      </c>
      <c r="AI279" s="10">
        <v>1</v>
      </c>
      <c r="AJ279" s="12" t="s">
        <v>1103</v>
      </c>
      <c r="AK279" s="10">
        <v>0</v>
      </c>
      <c r="AL279" s="10">
        <v>0</v>
      </c>
      <c r="AM279" s="9">
        <v>1993</v>
      </c>
      <c r="AN279" s="10">
        <v>3</v>
      </c>
      <c r="AO279" s="10">
        <v>6</v>
      </c>
      <c r="AP279" s="6"/>
      <c r="AQ279" s="7"/>
      <c r="AR279" s="8"/>
      <c r="AS279" s="4">
        <f t="shared" si="12"/>
        <v>5425000</v>
      </c>
      <c r="AT279" s="4">
        <f t="shared" si="13"/>
        <v>8700004.543083312</v>
      </c>
      <c r="AU279" s="4">
        <f t="shared" si="14"/>
        <v>6299995.456916688</v>
      </c>
      <c r="AV279" s="9" t="s">
        <v>1102</v>
      </c>
      <c r="AW279" s="12" t="s">
        <v>1103</v>
      </c>
      <c r="AX279" s="10">
        <v>0</v>
      </c>
      <c r="AY279">
        <f>S279*AU279/AS279</f>
        <v>783870.402473505</v>
      </c>
      <c r="AZ279">
        <f>AU279-AY279</f>
        <v>5516125.0544431834</v>
      </c>
      <c r="BA279" s="10">
        <v>15000000</v>
      </c>
      <c r="BB279" s="10">
        <v>4300000</v>
      </c>
      <c r="BC279" s="9" t="s">
        <v>42</v>
      </c>
      <c r="BD279" s="9">
        <v>10421</v>
      </c>
      <c r="BE279" t="s">
        <v>46</v>
      </c>
    </row>
    <row r="280" spans="1:57" ht="270.75" thickBot="1" x14ac:dyDescent="0.3">
      <c r="A280" s="9" t="s">
        <v>1104</v>
      </c>
      <c r="B280" s="9">
        <v>3001</v>
      </c>
      <c r="C280" s="10">
        <v>2</v>
      </c>
      <c r="D280" s="9" t="s">
        <v>37</v>
      </c>
      <c r="E280" s="14">
        <v>46241.938935185186</v>
      </c>
      <c r="F280" s="9" t="s">
        <v>1105</v>
      </c>
      <c r="G280" s="9" t="s">
        <v>39</v>
      </c>
      <c r="H280" s="9">
        <v>53</v>
      </c>
      <c r="I280" s="9" t="s">
        <v>40</v>
      </c>
      <c r="J280" s="9">
        <v>5309</v>
      </c>
      <c r="K280" s="9" t="s">
        <v>41</v>
      </c>
      <c r="L280" s="9">
        <v>5309073</v>
      </c>
      <c r="M280" s="9">
        <v>5309073019</v>
      </c>
      <c r="N280" s="9" t="s">
        <v>42</v>
      </c>
      <c r="O280" s="9">
        <v>10421</v>
      </c>
      <c r="P280" s="9" t="s">
        <v>1106</v>
      </c>
      <c r="Q280" s="10">
        <v>3</v>
      </c>
      <c r="R280" s="10">
        <v>784000</v>
      </c>
      <c r="S280" s="10">
        <v>150000</v>
      </c>
      <c r="T280" s="10">
        <v>0</v>
      </c>
      <c r="U280" s="10">
        <v>350000</v>
      </c>
      <c r="V280" s="10">
        <v>0</v>
      </c>
      <c r="W280" s="10">
        <v>1284000</v>
      </c>
      <c r="X280" s="10">
        <v>6860000</v>
      </c>
      <c r="Y280" s="10">
        <v>0</v>
      </c>
      <c r="Z280" s="10">
        <v>6360000</v>
      </c>
      <c r="AA280" s="10">
        <v>6400000</v>
      </c>
      <c r="AB280" s="10">
        <v>6860000</v>
      </c>
      <c r="AC280" s="10">
        <v>0</v>
      </c>
      <c r="AD280" s="9" t="s">
        <v>44</v>
      </c>
      <c r="AE280" s="10" t="s">
        <v>2425</v>
      </c>
      <c r="AF280" s="13">
        <v>2286666667</v>
      </c>
      <c r="AG280" s="10">
        <v>1</v>
      </c>
      <c r="AH280" s="10">
        <v>1</v>
      </c>
      <c r="AI280" s="10">
        <v>1</v>
      </c>
      <c r="AJ280" s="12" t="s">
        <v>1107</v>
      </c>
      <c r="AK280" s="10">
        <v>0</v>
      </c>
      <c r="AL280" s="10">
        <v>0</v>
      </c>
      <c r="AM280" s="9">
        <v>2015</v>
      </c>
      <c r="AN280" s="10">
        <v>1</v>
      </c>
      <c r="AO280" s="10">
        <v>2</v>
      </c>
      <c r="AP280" s="6"/>
      <c r="AQ280" s="7"/>
      <c r="AR280" s="8"/>
      <c r="AS280" s="4">
        <f t="shared" si="12"/>
        <v>500000</v>
      </c>
      <c r="AT280" s="4">
        <f t="shared" si="13"/>
        <v>3978798.723781541</v>
      </c>
      <c r="AU280" s="4">
        <f t="shared" si="14"/>
        <v>2881201.276218459</v>
      </c>
      <c r="AV280" s="9" t="s">
        <v>1106</v>
      </c>
      <c r="AW280" s="12" t="s">
        <v>1107</v>
      </c>
      <c r="AX280" s="10">
        <v>0</v>
      </c>
      <c r="AY280">
        <f>S280*AU280/AS280</f>
        <v>864360.38286553777</v>
      </c>
      <c r="AZ280">
        <f>AU280-AY280</f>
        <v>2016840.8933529211</v>
      </c>
      <c r="BA280" s="10">
        <v>6860000</v>
      </c>
      <c r="BB280" s="10">
        <v>0</v>
      </c>
      <c r="BC280" s="9" t="s">
        <v>42</v>
      </c>
      <c r="BD280" s="9">
        <v>10421</v>
      </c>
      <c r="BE280" t="s">
        <v>46</v>
      </c>
    </row>
    <row r="281" spans="1:57" ht="270.75" thickBot="1" x14ac:dyDescent="0.3">
      <c r="A281" s="9" t="s">
        <v>1108</v>
      </c>
      <c r="B281" s="9">
        <v>3001</v>
      </c>
      <c r="C281" s="10">
        <v>2</v>
      </c>
      <c r="D281" s="9" t="s">
        <v>37</v>
      </c>
      <c r="E281" s="14">
        <v>46242.525000000001</v>
      </c>
      <c r="F281" s="9" t="s">
        <v>1109</v>
      </c>
      <c r="G281" s="9" t="s">
        <v>39</v>
      </c>
      <c r="H281" s="9">
        <v>53</v>
      </c>
      <c r="I281" s="9" t="s">
        <v>40</v>
      </c>
      <c r="J281" s="9">
        <v>5309</v>
      </c>
      <c r="K281" s="9" t="s">
        <v>41</v>
      </c>
      <c r="L281" s="9">
        <v>5309062</v>
      </c>
      <c r="M281" s="9">
        <v>5309062006</v>
      </c>
      <c r="N281" s="9" t="s">
        <v>42</v>
      </c>
      <c r="O281" s="9">
        <v>10421</v>
      </c>
      <c r="P281" s="9" t="s">
        <v>1110</v>
      </c>
      <c r="Q281" s="10">
        <v>3</v>
      </c>
      <c r="R281" s="10">
        <v>150000</v>
      </c>
      <c r="S281" s="10">
        <v>100000</v>
      </c>
      <c r="T281" s="10">
        <v>0</v>
      </c>
      <c r="U281" s="10">
        <v>150000</v>
      </c>
      <c r="V281" s="10">
        <v>0</v>
      </c>
      <c r="W281" s="10">
        <v>400000</v>
      </c>
      <c r="X281" s="10">
        <v>4200000</v>
      </c>
      <c r="Y281" s="10">
        <v>0</v>
      </c>
      <c r="Z281" s="10">
        <v>3950000</v>
      </c>
      <c r="AA281" s="10">
        <v>2400000</v>
      </c>
      <c r="AB281" s="10">
        <v>4200000</v>
      </c>
      <c r="AC281" s="10">
        <v>0</v>
      </c>
      <c r="AD281" s="9" t="s">
        <v>44</v>
      </c>
      <c r="AE281" s="10" t="s">
        <v>2409</v>
      </c>
      <c r="AF281" s="10">
        <v>1400000</v>
      </c>
      <c r="AG281" s="10">
        <v>1</v>
      </c>
      <c r="AH281" s="10">
        <v>1</v>
      </c>
      <c r="AI281" s="10">
        <v>1</v>
      </c>
      <c r="AJ281" s="12" t="s">
        <v>1111</v>
      </c>
      <c r="AK281" s="10">
        <v>0</v>
      </c>
      <c r="AL281" s="10">
        <v>0</v>
      </c>
      <c r="AM281" s="9">
        <v>2022</v>
      </c>
      <c r="AN281" s="10">
        <v>2</v>
      </c>
      <c r="AO281" s="10">
        <v>1</v>
      </c>
      <c r="AP281" s="6"/>
      <c r="AQ281" s="7"/>
      <c r="AR281" s="8"/>
      <c r="AS281" s="4">
        <f t="shared" si="12"/>
        <v>250000</v>
      </c>
      <c r="AT281" s="4">
        <f t="shared" si="13"/>
        <v>2436000.4933671886</v>
      </c>
      <c r="AU281" s="4">
        <f t="shared" si="14"/>
        <v>1763999.5066328114</v>
      </c>
      <c r="AV281" s="9" t="s">
        <v>1110</v>
      </c>
      <c r="AW281" s="12" t="s">
        <v>1111</v>
      </c>
      <c r="AX281" s="10">
        <v>0</v>
      </c>
      <c r="AY281">
        <f>S281*AU281/AS281</f>
        <v>705599.80265312456</v>
      </c>
      <c r="AZ281">
        <f>AU281-AY281</f>
        <v>1058399.7039796868</v>
      </c>
      <c r="BA281" s="10">
        <v>4200000</v>
      </c>
      <c r="BB281" s="10">
        <v>0</v>
      </c>
      <c r="BC281" s="9" t="s">
        <v>42</v>
      </c>
      <c r="BD281" s="9">
        <v>10421</v>
      </c>
      <c r="BE281" t="s">
        <v>46</v>
      </c>
    </row>
    <row r="282" spans="1:57" ht="270.75" thickBot="1" x14ac:dyDescent="0.3">
      <c r="A282" s="9" t="s">
        <v>1112</v>
      </c>
      <c r="B282" s="9">
        <v>3001</v>
      </c>
      <c r="C282" s="10">
        <v>2</v>
      </c>
      <c r="D282" s="9" t="s">
        <v>113</v>
      </c>
      <c r="E282" s="11">
        <v>46315.54614564815</v>
      </c>
      <c r="F282" s="9" t="s">
        <v>1113</v>
      </c>
      <c r="G282" s="9" t="s">
        <v>39</v>
      </c>
      <c r="H282" s="9">
        <v>53</v>
      </c>
      <c r="I282" s="9" t="s">
        <v>40</v>
      </c>
      <c r="J282" s="9">
        <v>5309</v>
      </c>
      <c r="K282" s="9" t="s">
        <v>41</v>
      </c>
      <c r="L282" s="9">
        <v>5309062</v>
      </c>
      <c r="M282" s="9">
        <v>5309062007</v>
      </c>
      <c r="N282" s="9" t="s">
        <v>42</v>
      </c>
      <c r="O282" s="9">
        <v>10421</v>
      </c>
      <c r="P282" s="9" t="s">
        <v>1114</v>
      </c>
      <c r="Q282" s="10">
        <v>3</v>
      </c>
      <c r="R282" s="10">
        <v>950000</v>
      </c>
      <c r="S282" s="10">
        <v>100000</v>
      </c>
      <c r="T282" s="10">
        <v>0</v>
      </c>
      <c r="U282" s="10">
        <v>150000</v>
      </c>
      <c r="V282" s="10">
        <v>0</v>
      </c>
      <c r="W282" s="10">
        <v>1200000</v>
      </c>
      <c r="X282" s="10">
        <v>8500000</v>
      </c>
      <c r="Y282" s="10">
        <v>0</v>
      </c>
      <c r="Z282" s="10">
        <v>8250000</v>
      </c>
      <c r="AA282" s="10">
        <v>8600000</v>
      </c>
      <c r="AB282" s="10">
        <v>8500000</v>
      </c>
      <c r="AC282" s="10">
        <v>0</v>
      </c>
      <c r="AD282" s="9" t="s">
        <v>44</v>
      </c>
      <c r="AE282" s="10" t="s">
        <v>2422</v>
      </c>
      <c r="AF282" s="13">
        <v>2833333333</v>
      </c>
      <c r="AG282" s="10">
        <v>1</v>
      </c>
      <c r="AH282" s="10">
        <v>1</v>
      </c>
      <c r="AI282" s="10">
        <v>1</v>
      </c>
      <c r="AJ282" s="12" t="s">
        <v>1115</v>
      </c>
      <c r="AK282" s="10">
        <v>0</v>
      </c>
      <c r="AL282" s="10">
        <v>0</v>
      </c>
      <c r="AM282" s="9">
        <v>2013</v>
      </c>
      <c r="AN282" s="10">
        <v>1</v>
      </c>
      <c r="AO282" s="10">
        <v>2</v>
      </c>
      <c r="AP282" s="6"/>
      <c r="AQ282" s="7"/>
      <c r="AR282" s="8"/>
      <c r="AS282" s="4">
        <f t="shared" si="12"/>
        <v>250000</v>
      </c>
      <c r="AT282" s="4">
        <f t="shared" si="13"/>
        <v>4930001.1951518049</v>
      </c>
      <c r="AU282" s="4">
        <f t="shared" si="14"/>
        <v>3569998.8048481951</v>
      </c>
      <c r="AV282" s="9" t="s">
        <v>1114</v>
      </c>
      <c r="AW282" s="12" t="s">
        <v>1115</v>
      </c>
      <c r="AX282" s="10">
        <v>0</v>
      </c>
      <c r="AY282">
        <f>S282*AU282/AS282</f>
        <v>1427999.5219392781</v>
      </c>
      <c r="AZ282">
        <f>AU282-AY282</f>
        <v>2141999.2829089169</v>
      </c>
      <c r="BA282" s="10">
        <v>8500000</v>
      </c>
      <c r="BB282" s="10">
        <v>0</v>
      </c>
      <c r="BC282" s="9" t="s">
        <v>42</v>
      </c>
      <c r="BD282" s="9">
        <v>10421</v>
      </c>
      <c r="BE282" t="s">
        <v>46</v>
      </c>
    </row>
    <row r="283" spans="1:57" ht="270.75" thickBot="1" x14ac:dyDescent="0.3">
      <c r="A283" s="9" t="s">
        <v>1116</v>
      </c>
      <c r="B283" s="9">
        <v>3003</v>
      </c>
      <c r="C283" s="10">
        <v>2</v>
      </c>
      <c r="D283" s="9" t="s">
        <v>37</v>
      </c>
      <c r="E283" s="14">
        <v>46207.668078703704</v>
      </c>
      <c r="F283" s="9" t="s">
        <v>1117</v>
      </c>
      <c r="G283" s="9" t="s">
        <v>39</v>
      </c>
      <c r="H283" s="9">
        <v>53</v>
      </c>
      <c r="I283" s="9" t="s">
        <v>40</v>
      </c>
      <c r="J283" s="9">
        <v>5309</v>
      </c>
      <c r="K283" s="9" t="s">
        <v>41</v>
      </c>
      <c r="L283" s="9">
        <v>5309062</v>
      </c>
      <c r="M283" s="9">
        <v>5309062006</v>
      </c>
      <c r="N283" s="9" t="s">
        <v>42</v>
      </c>
      <c r="O283" s="9">
        <v>10421</v>
      </c>
      <c r="P283" s="9" t="s">
        <v>1118</v>
      </c>
      <c r="Q283" s="10">
        <v>2</v>
      </c>
      <c r="R283" s="10">
        <v>0</v>
      </c>
      <c r="S283" s="10">
        <v>500000</v>
      </c>
      <c r="T283" s="10">
        <v>0</v>
      </c>
      <c r="U283" s="10">
        <v>400000</v>
      </c>
      <c r="V283" s="10">
        <v>0</v>
      </c>
      <c r="W283" s="10">
        <v>900000</v>
      </c>
      <c r="X283" s="10">
        <v>7260000</v>
      </c>
      <c r="Y283" s="10">
        <v>0</v>
      </c>
      <c r="Z283" s="10">
        <v>6360000</v>
      </c>
      <c r="AA283" s="10">
        <v>4500000</v>
      </c>
      <c r="AB283" s="10">
        <v>7260000</v>
      </c>
      <c r="AC283" s="10">
        <v>0</v>
      </c>
      <c r="AD283" s="9" t="s">
        <v>44</v>
      </c>
      <c r="AE283" s="10" t="s">
        <v>2426</v>
      </c>
      <c r="AF283" s="10">
        <v>3630000</v>
      </c>
      <c r="AG283" s="10">
        <v>1</v>
      </c>
      <c r="AH283" s="10">
        <v>1</v>
      </c>
      <c r="AI283" s="10">
        <v>1</v>
      </c>
      <c r="AJ283" s="12" t="s">
        <v>1119</v>
      </c>
      <c r="AK283" s="10">
        <v>0</v>
      </c>
      <c r="AL283" s="10">
        <v>0</v>
      </c>
      <c r="AM283" s="9">
        <v>2011</v>
      </c>
      <c r="AN283" s="10">
        <v>0</v>
      </c>
      <c r="AO283" s="10">
        <v>2</v>
      </c>
      <c r="AP283" s="6"/>
      <c r="AQ283" s="7"/>
      <c r="AR283" s="8"/>
      <c r="AS283" s="4">
        <f t="shared" si="12"/>
        <v>900000</v>
      </c>
      <c r="AT283" s="4">
        <f t="shared" si="13"/>
        <v>4210800.2780717164</v>
      </c>
      <c r="AU283" s="4">
        <f t="shared" si="14"/>
        <v>3049199.7219282836</v>
      </c>
      <c r="AV283" s="9" t="s">
        <v>1118</v>
      </c>
      <c r="AW283" s="12" t="s">
        <v>1119</v>
      </c>
      <c r="AX283" s="10">
        <v>0</v>
      </c>
      <c r="AY283">
        <f>S283*AU283/AS283</f>
        <v>1693999.8455157131</v>
      </c>
      <c r="AZ283">
        <f>AU283-AY283</f>
        <v>1355199.8764125705</v>
      </c>
      <c r="BA283" s="10">
        <v>7260000</v>
      </c>
      <c r="BB283" s="10">
        <v>0</v>
      </c>
      <c r="BC283" s="9" t="s">
        <v>42</v>
      </c>
      <c r="BD283" s="9">
        <v>10421</v>
      </c>
      <c r="BE283" t="s">
        <v>46</v>
      </c>
    </row>
    <row r="284" spans="1:57" ht="270.75" thickBot="1" x14ac:dyDescent="0.3">
      <c r="A284" s="9" t="s">
        <v>1120</v>
      </c>
      <c r="B284" s="9">
        <v>3001</v>
      </c>
      <c r="C284" s="10">
        <v>2</v>
      </c>
      <c r="D284" s="9" t="s">
        <v>113</v>
      </c>
      <c r="E284" s="11">
        <v>46283.366160625003</v>
      </c>
      <c r="F284" s="9" t="s">
        <v>1121</v>
      </c>
      <c r="G284" s="9" t="s">
        <v>39</v>
      </c>
      <c r="H284" s="9">
        <v>53</v>
      </c>
      <c r="I284" s="9" t="s">
        <v>40</v>
      </c>
      <c r="J284" s="9">
        <v>5309</v>
      </c>
      <c r="K284" s="9" t="s">
        <v>41</v>
      </c>
      <c r="L284" s="9">
        <v>5309062</v>
      </c>
      <c r="M284" s="9">
        <v>5309062003</v>
      </c>
      <c r="N284" s="9" t="s">
        <v>42</v>
      </c>
      <c r="O284" s="9">
        <v>10421</v>
      </c>
      <c r="P284" s="9" t="s">
        <v>1122</v>
      </c>
      <c r="Q284" s="10">
        <v>3</v>
      </c>
      <c r="R284" s="10">
        <v>250000</v>
      </c>
      <c r="S284" s="10">
        <v>100000</v>
      </c>
      <c r="T284" s="10">
        <v>0</v>
      </c>
      <c r="U284" s="10">
        <v>500000</v>
      </c>
      <c r="V284" s="10">
        <v>0</v>
      </c>
      <c r="W284" s="10">
        <v>850000</v>
      </c>
      <c r="X284" s="10">
        <v>6000000</v>
      </c>
      <c r="Y284" s="10">
        <v>0</v>
      </c>
      <c r="Z284" s="10">
        <v>5400000</v>
      </c>
      <c r="AA284" s="10">
        <v>4800000</v>
      </c>
      <c r="AB284" s="10">
        <v>6000000</v>
      </c>
      <c r="AC284" s="10">
        <v>0</v>
      </c>
      <c r="AD284" s="9" t="s">
        <v>44</v>
      </c>
      <c r="AE284" s="10" t="s">
        <v>2339</v>
      </c>
      <c r="AF284" s="10">
        <v>2000000</v>
      </c>
      <c r="AG284" s="10">
        <v>1</v>
      </c>
      <c r="AH284" s="10">
        <v>1</v>
      </c>
      <c r="AI284" s="10">
        <v>1</v>
      </c>
      <c r="AJ284" s="12" t="s">
        <v>1123</v>
      </c>
      <c r="AK284" s="10">
        <v>0</v>
      </c>
      <c r="AL284" s="10">
        <v>0</v>
      </c>
      <c r="AM284" s="9">
        <v>2011</v>
      </c>
      <c r="AN284" s="10">
        <v>1</v>
      </c>
      <c r="AO284" s="10">
        <v>2</v>
      </c>
      <c r="AP284" s="6"/>
      <c r="AQ284" s="7"/>
      <c r="AR284" s="8"/>
      <c r="AS284" s="4">
        <f t="shared" si="12"/>
        <v>600000</v>
      </c>
      <c r="AT284" s="4">
        <f t="shared" si="13"/>
        <v>3480000</v>
      </c>
      <c r="AU284" s="4">
        <f t="shared" si="14"/>
        <v>2520000</v>
      </c>
      <c r="AV284" s="9" t="s">
        <v>1122</v>
      </c>
      <c r="AW284" s="12" t="s">
        <v>1123</v>
      </c>
      <c r="AX284" s="10">
        <v>0</v>
      </c>
      <c r="AY284">
        <f>S284*AU284/AS284</f>
        <v>420000</v>
      </c>
      <c r="AZ284">
        <f>AU284-AY284</f>
        <v>2100000</v>
      </c>
      <c r="BA284" s="10">
        <v>6000000</v>
      </c>
      <c r="BB284" s="10">
        <v>0</v>
      </c>
      <c r="BC284" s="9" t="s">
        <v>42</v>
      </c>
      <c r="BD284" s="9">
        <v>10421</v>
      </c>
      <c r="BE284" t="s">
        <v>46</v>
      </c>
    </row>
    <row r="285" spans="1:57" ht="270.75" thickBot="1" x14ac:dyDescent="0.3">
      <c r="A285" s="9" t="s">
        <v>1124</v>
      </c>
      <c r="B285" s="9">
        <v>3002</v>
      </c>
      <c r="C285" s="10">
        <v>2</v>
      </c>
      <c r="D285" s="9" t="s">
        <v>37</v>
      </c>
      <c r="E285" s="14">
        <v>46242.203553240739</v>
      </c>
      <c r="F285" s="9" t="s">
        <v>1125</v>
      </c>
      <c r="G285" s="9" t="s">
        <v>39</v>
      </c>
      <c r="H285" s="9">
        <v>53</v>
      </c>
      <c r="I285" s="9" t="s">
        <v>40</v>
      </c>
      <c r="J285" s="9">
        <v>5309</v>
      </c>
      <c r="K285" s="9" t="s">
        <v>41</v>
      </c>
      <c r="L285" s="9">
        <v>5309062</v>
      </c>
      <c r="M285" s="9">
        <v>5309062005</v>
      </c>
      <c r="N285" s="9" t="s">
        <v>42</v>
      </c>
      <c r="O285" s="9">
        <v>10421</v>
      </c>
      <c r="P285" s="9" t="s">
        <v>1126</v>
      </c>
      <c r="Q285" s="10">
        <v>2</v>
      </c>
      <c r="R285" s="10">
        <v>0</v>
      </c>
      <c r="S285" s="10">
        <v>100000</v>
      </c>
      <c r="T285" s="10">
        <v>0</v>
      </c>
      <c r="U285" s="10">
        <v>0</v>
      </c>
      <c r="V285" s="10">
        <v>0</v>
      </c>
      <c r="W285" s="10">
        <v>100000</v>
      </c>
      <c r="X285" s="10">
        <v>3840000</v>
      </c>
      <c r="Y285" s="10">
        <v>0</v>
      </c>
      <c r="Z285" s="10">
        <v>3740000</v>
      </c>
      <c r="AA285" s="10">
        <v>2150000</v>
      </c>
      <c r="AB285" s="10">
        <v>3840000</v>
      </c>
      <c r="AC285" s="10">
        <v>0</v>
      </c>
      <c r="AD285" s="9" t="s">
        <v>44</v>
      </c>
      <c r="AE285" s="10" t="s">
        <v>2427</v>
      </c>
      <c r="AF285" s="10">
        <v>1920000</v>
      </c>
      <c r="AG285" s="10">
        <v>1</v>
      </c>
      <c r="AH285" s="10">
        <v>1</v>
      </c>
      <c r="AI285" s="10">
        <v>1</v>
      </c>
      <c r="AJ285" s="12" t="s">
        <v>1127</v>
      </c>
      <c r="AK285" s="10">
        <v>0</v>
      </c>
      <c r="AL285" s="10">
        <v>0</v>
      </c>
      <c r="AM285" s="9">
        <v>2016</v>
      </c>
      <c r="AN285" s="10">
        <v>0</v>
      </c>
      <c r="AO285" s="10">
        <v>2</v>
      </c>
      <c r="AP285" s="6"/>
      <c r="AQ285" s="7"/>
      <c r="AR285" s="8"/>
      <c r="AS285" s="4">
        <f t="shared" si="12"/>
        <v>100000</v>
      </c>
      <c r="AT285" s="4">
        <f t="shared" si="13"/>
        <v>2227200.7622505282</v>
      </c>
      <c r="AU285" s="4">
        <f t="shared" si="14"/>
        <v>1612799.2377494718</v>
      </c>
      <c r="AV285" s="9" t="s">
        <v>1126</v>
      </c>
      <c r="AW285" s="12" t="s">
        <v>1127</v>
      </c>
      <c r="AX285" s="10">
        <v>0</v>
      </c>
      <c r="AY285">
        <f>S285*AU285/AS285</f>
        <v>1612799.2377494718</v>
      </c>
      <c r="AZ285">
        <f>AU285-AY285</f>
        <v>0</v>
      </c>
      <c r="BA285" s="10">
        <v>3840000</v>
      </c>
      <c r="BB285" s="10">
        <v>0</v>
      </c>
      <c r="BC285" s="9" t="s">
        <v>42</v>
      </c>
      <c r="BD285" s="9">
        <v>10421</v>
      </c>
      <c r="BE285" t="s">
        <v>46</v>
      </c>
    </row>
    <row r="286" spans="1:57" ht="270.75" thickBot="1" x14ac:dyDescent="0.3">
      <c r="A286" s="9" t="s">
        <v>1128</v>
      </c>
      <c r="B286" s="9">
        <v>3001</v>
      </c>
      <c r="C286" s="10">
        <v>2</v>
      </c>
      <c r="D286" s="9" t="s">
        <v>37</v>
      </c>
      <c r="E286" s="11">
        <v>46251.288907233793</v>
      </c>
      <c r="F286" s="9" t="s">
        <v>1129</v>
      </c>
      <c r="G286" s="9" t="s">
        <v>39</v>
      </c>
      <c r="H286" s="9">
        <v>53</v>
      </c>
      <c r="I286" s="9" t="s">
        <v>40</v>
      </c>
      <c r="J286" s="9">
        <v>5309</v>
      </c>
      <c r="K286" s="9" t="s">
        <v>41</v>
      </c>
      <c r="L286" s="9">
        <v>5309062</v>
      </c>
      <c r="M286" s="9">
        <v>5309062013</v>
      </c>
      <c r="N286" s="9" t="s">
        <v>42</v>
      </c>
      <c r="O286" s="9">
        <v>10421</v>
      </c>
      <c r="P286" s="9" t="s">
        <v>1130</v>
      </c>
      <c r="Q286" s="10">
        <v>4</v>
      </c>
      <c r="R286" s="10">
        <v>600000</v>
      </c>
      <c r="S286" s="10">
        <v>300000</v>
      </c>
      <c r="T286" s="10">
        <v>0</v>
      </c>
      <c r="U286" s="10">
        <v>150000</v>
      </c>
      <c r="V286" s="10">
        <v>350000</v>
      </c>
      <c r="W286" s="10">
        <v>1400000</v>
      </c>
      <c r="X286" s="10">
        <v>5850000</v>
      </c>
      <c r="Y286" s="10">
        <v>0</v>
      </c>
      <c r="Z286" s="10">
        <v>5400000</v>
      </c>
      <c r="AA286" s="10">
        <v>2750000</v>
      </c>
      <c r="AB286" s="10">
        <v>5850000</v>
      </c>
      <c r="AC286" s="10">
        <v>0</v>
      </c>
      <c r="AD286" s="9" t="s">
        <v>44</v>
      </c>
      <c r="AE286" s="10" t="s">
        <v>2307</v>
      </c>
      <c r="AF286" s="10">
        <v>1462500</v>
      </c>
      <c r="AG286" s="10">
        <v>1</v>
      </c>
      <c r="AH286" s="10">
        <v>1</v>
      </c>
      <c r="AI286" s="10">
        <v>1</v>
      </c>
      <c r="AJ286" s="12" t="s">
        <v>1131</v>
      </c>
      <c r="AK286" s="10">
        <v>0</v>
      </c>
      <c r="AL286" s="10">
        <v>0</v>
      </c>
      <c r="AM286" s="9">
        <v>2015</v>
      </c>
      <c r="AN286" s="10">
        <v>2</v>
      </c>
      <c r="AO286" s="10">
        <v>2</v>
      </c>
      <c r="AP286" s="6"/>
      <c r="AQ286" s="7"/>
      <c r="AR286" s="8"/>
      <c r="AS286" s="4">
        <f t="shared" si="12"/>
        <v>450000</v>
      </c>
      <c r="AT286" s="4">
        <f t="shared" si="13"/>
        <v>3392999.7172500235</v>
      </c>
      <c r="AU286" s="4">
        <f t="shared" si="14"/>
        <v>2457000.2827499765</v>
      </c>
      <c r="AV286" s="9" t="s">
        <v>1130</v>
      </c>
      <c r="AW286" s="12" t="s">
        <v>1131</v>
      </c>
      <c r="AX286" s="10">
        <v>0</v>
      </c>
      <c r="AY286">
        <f>S286*AU286/AS286</f>
        <v>1638000.1884999843</v>
      </c>
      <c r="AZ286">
        <f>AU286-AY286</f>
        <v>819000.09424999217</v>
      </c>
      <c r="BA286" s="10">
        <v>5850000</v>
      </c>
      <c r="BB286" s="10">
        <v>0</v>
      </c>
      <c r="BC286" s="9" t="s">
        <v>42</v>
      </c>
      <c r="BD286" s="9">
        <v>10421</v>
      </c>
      <c r="BE286" t="s">
        <v>46</v>
      </c>
    </row>
    <row r="287" spans="1:57" ht="270.75" thickBot="1" x14ac:dyDescent="0.3">
      <c r="A287" s="9" t="s">
        <v>1132</v>
      </c>
      <c r="B287" s="9">
        <v>3001</v>
      </c>
      <c r="C287" s="10">
        <v>2</v>
      </c>
      <c r="D287" s="9" t="s">
        <v>37</v>
      </c>
      <c r="E287" s="11">
        <v>46252.963265300925</v>
      </c>
      <c r="F287" s="9" t="s">
        <v>1133</v>
      </c>
      <c r="G287" s="9" t="s">
        <v>39</v>
      </c>
      <c r="H287" s="9">
        <v>53</v>
      </c>
      <c r="I287" s="9" t="s">
        <v>40</v>
      </c>
      <c r="J287" s="9">
        <v>5309</v>
      </c>
      <c r="K287" s="9" t="s">
        <v>41</v>
      </c>
      <c r="L287" s="9">
        <v>5309073</v>
      </c>
      <c r="M287" s="9">
        <v>5309073001</v>
      </c>
      <c r="N287" s="9" t="s">
        <v>42</v>
      </c>
      <c r="O287" s="9">
        <v>10421</v>
      </c>
      <c r="P287" s="9" t="s">
        <v>1134</v>
      </c>
      <c r="Q287" s="10">
        <v>3</v>
      </c>
      <c r="R287" s="10">
        <v>1000000</v>
      </c>
      <c r="S287" s="10">
        <v>150000</v>
      </c>
      <c r="T287" s="10">
        <v>0</v>
      </c>
      <c r="U287" s="10">
        <v>350000</v>
      </c>
      <c r="V287" s="10">
        <v>0</v>
      </c>
      <c r="W287" s="10">
        <v>1500000</v>
      </c>
      <c r="X287" s="10">
        <v>30000000</v>
      </c>
      <c r="Y287" s="10">
        <v>0</v>
      </c>
      <c r="Z287" s="10">
        <v>29500000</v>
      </c>
      <c r="AA287" s="10">
        <v>7000000</v>
      </c>
      <c r="AB287" s="10">
        <v>30000000</v>
      </c>
      <c r="AC287" s="10">
        <v>0</v>
      </c>
      <c r="AD287" s="9" t="s">
        <v>44</v>
      </c>
      <c r="AE287" s="10" t="s">
        <v>2428</v>
      </c>
      <c r="AF287" s="10">
        <v>10000000</v>
      </c>
      <c r="AG287" s="10">
        <v>1</v>
      </c>
      <c r="AH287" s="10">
        <v>1</v>
      </c>
      <c r="AI287" s="10">
        <v>1</v>
      </c>
      <c r="AJ287" s="12" t="s">
        <v>1135</v>
      </c>
      <c r="AK287" s="10">
        <v>0</v>
      </c>
      <c r="AL287" s="10">
        <v>0</v>
      </c>
      <c r="AM287" s="9">
        <v>1990</v>
      </c>
      <c r="AN287" s="10">
        <v>1</v>
      </c>
      <c r="AO287" s="10">
        <v>2</v>
      </c>
      <c r="AP287" s="6"/>
      <c r="AQ287" s="7"/>
      <c r="AR287" s="8"/>
      <c r="AS287" s="4">
        <f t="shared" si="12"/>
        <v>500000</v>
      </c>
      <c r="AT287" s="4">
        <f t="shared" si="13"/>
        <v>17400005.898307085</v>
      </c>
      <c r="AU287" s="4">
        <f t="shared" si="14"/>
        <v>12599994.101692915</v>
      </c>
      <c r="AV287" s="9" t="s">
        <v>1134</v>
      </c>
      <c r="AW287" s="12" t="s">
        <v>1135</v>
      </c>
      <c r="AX287" s="10">
        <v>0</v>
      </c>
      <c r="AY287">
        <f>S287*AU287/AS287</f>
        <v>3779998.2305078744</v>
      </c>
      <c r="AZ287">
        <f>AU287-AY287</f>
        <v>8819995.8711850401</v>
      </c>
      <c r="BA287" s="10">
        <v>30000000</v>
      </c>
      <c r="BB287" s="10">
        <v>0</v>
      </c>
      <c r="BC287" s="9" t="s">
        <v>42</v>
      </c>
      <c r="BD287" s="9">
        <v>10421</v>
      </c>
      <c r="BE287" t="s">
        <v>46</v>
      </c>
    </row>
    <row r="288" spans="1:57" ht="270.75" thickBot="1" x14ac:dyDescent="0.3">
      <c r="A288" s="9" t="s">
        <v>1136</v>
      </c>
      <c r="B288" s="9">
        <v>3001</v>
      </c>
      <c r="C288" s="10">
        <v>2</v>
      </c>
      <c r="D288" s="9" t="s">
        <v>37</v>
      </c>
      <c r="E288" s="11">
        <v>46237.38904480324</v>
      </c>
      <c r="F288" s="9" t="s">
        <v>1137</v>
      </c>
      <c r="G288" s="9" t="s">
        <v>39</v>
      </c>
      <c r="H288" s="9">
        <v>53</v>
      </c>
      <c r="I288" s="9" t="s">
        <v>40</v>
      </c>
      <c r="J288" s="9">
        <v>5309</v>
      </c>
      <c r="K288" s="9" t="s">
        <v>41</v>
      </c>
      <c r="L288" s="9">
        <v>5309073</v>
      </c>
      <c r="M288" s="9">
        <v>5309073011</v>
      </c>
      <c r="N288" s="9" t="s">
        <v>42</v>
      </c>
      <c r="O288" s="9">
        <v>10421</v>
      </c>
      <c r="P288" s="9" t="s">
        <v>1138</v>
      </c>
      <c r="Q288" s="10">
        <v>2</v>
      </c>
      <c r="R288" s="10">
        <v>480000</v>
      </c>
      <c r="S288" s="10">
        <v>200000</v>
      </c>
      <c r="T288" s="10">
        <v>0</v>
      </c>
      <c r="U288" s="10">
        <v>400000</v>
      </c>
      <c r="V288" s="10">
        <v>0</v>
      </c>
      <c r="W288" s="10">
        <v>1080000</v>
      </c>
      <c r="X288" s="10">
        <v>4200000</v>
      </c>
      <c r="Y288" s="10">
        <v>0</v>
      </c>
      <c r="Z288" s="10">
        <v>3600000</v>
      </c>
      <c r="AA288" s="10">
        <v>7000000</v>
      </c>
      <c r="AB288" s="10">
        <v>4200000</v>
      </c>
      <c r="AC288" s="10">
        <v>0</v>
      </c>
      <c r="AD288" s="9" t="s">
        <v>44</v>
      </c>
      <c r="AE288" s="10" t="s">
        <v>2266</v>
      </c>
      <c r="AF288" s="10">
        <v>2100000</v>
      </c>
      <c r="AG288" s="10">
        <v>1</v>
      </c>
      <c r="AH288" s="10">
        <v>1</v>
      </c>
      <c r="AI288" s="10">
        <v>1</v>
      </c>
      <c r="AJ288" s="12" t="s">
        <v>1139</v>
      </c>
      <c r="AK288" s="10">
        <v>0</v>
      </c>
      <c r="AL288" s="10">
        <v>0</v>
      </c>
      <c r="AM288" s="9">
        <v>2015</v>
      </c>
      <c r="AN288" s="10">
        <v>2</v>
      </c>
      <c r="AO288" s="10">
        <v>0</v>
      </c>
      <c r="AP288" s="6"/>
      <c r="AQ288" s="7"/>
      <c r="AR288" s="8"/>
      <c r="AS288" s="4">
        <f t="shared" si="12"/>
        <v>600000</v>
      </c>
      <c r="AT288" s="4">
        <f t="shared" si="13"/>
        <v>2435999.5940000676</v>
      </c>
      <c r="AU288" s="4">
        <f t="shared" si="14"/>
        <v>1764000.4059999324</v>
      </c>
      <c r="AV288" s="9" t="s">
        <v>1138</v>
      </c>
      <c r="AW288" s="12" t="s">
        <v>1139</v>
      </c>
      <c r="AX288" s="10">
        <v>0</v>
      </c>
      <c r="AY288">
        <f>S288*AU288/AS288</f>
        <v>588000.13533331081</v>
      </c>
      <c r="AZ288">
        <f>AU288-AY288</f>
        <v>1176000.2706666216</v>
      </c>
      <c r="BA288" s="10">
        <v>4200000</v>
      </c>
      <c r="BB288" s="10">
        <v>0</v>
      </c>
      <c r="BC288" s="9" t="s">
        <v>42</v>
      </c>
      <c r="BD288" s="9">
        <v>10421</v>
      </c>
      <c r="BE288" t="s">
        <v>46</v>
      </c>
    </row>
    <row r="289" spans="1:57" ht="270.75" thickBot="1" x14ac:dyDescent="0.3">
      <c r="A289" s="9" t="s">
        <v>1140</v>
      </c>
      <c r="B289" s="9">
        <v>3003</v>
      </c>
      <c r="C289" s="10">
        <v>2</v>
      </c>
      <c r="D289" s="9" t="s">
        <v>113</v>
      </c>
      <c r="E289" s="11">
        <v>46315.233757719907</v>
      </c>
      <c r="F289" s="9" t="s">
        <v>1141</v>
      </c>
      <c r="G289" s="9" t="s">
        <v>39</v>
      </c>
      <c r="H289" s="9">
        <v>53</v>
      </c>
      <c r="I289" s="9" t="s">
        <v>40</v>
      </c>
      <c r="J289" s="9">
        <v>5309</v>
      </c>
      <c r="K289" s="9" t="s">
        <v>41</v>
      </c>
      <c r="L289" s="9">
        <v>5309074</v>
      </c>
      <c r="M289" s="9">
        <v>5309074007</v>
      </c>
      <c r="N289" s="9" t="s">
        <v>42</v>
      </c>
      <c r="O289" s="9">
        <v>10421</v>
      </c>
      <c r="P289" s="9" t="s">
        <v>1142</v>
      </c>
      <c r="Q289" s="10">
        <v>3</v>
      </c>
      <c r="R289" s="10">
        <v>2000000</v>
      </c>
      <c r="S289" s="10">
        <v>6000000</v>
      </c>
      <c r="T289" s="10">
        <v>0</v>
      </c>
      <c r="U289" s="10">
        <v>200000</v>
      </c>
      <c r="V289" s="10">
        <v>0</v>
      </c>
      <c r="W289" s="10">
        <v>8200000</v>
      </c>
      <c r="X289" s="10">
        <v>18000000</v>
      </c>
      <c r="Y289" s="10">
        <v>0</v>
      </c>
      <c r="Z289" s="10">
        <v>11800000</v>
      </c>
      <c r="AA289" s="10">
        <v>1200000</v>
      </c>
      <c r="AB289" s="10">
        <v>18000000</v>
      </c>
      <c r="AC289" s="10">
        <v>0</v>
      </c>
      <c r="AD289" s="9" t="s">
        <v>44</v>
      </c>
      <c r="AE289" s="10" t="s">
        <v>2429</v>
      </c>
      <c r="AF289" s="10">
        <v>6000000</v>
      </c>
      <c r="AG289" s="10">
        <v>1</v>
      </c>
      <c r="AH289" s="10">
        <v>1</v>
      </c>
      <c r="AI289" s="10">
        <v>1</v>
      </c>
      <c r="AJ289" s="12" t="s">
        <v>1143</v>
      </c>
      <c r="AK289" s="10">
        <v>0</v>
      </c>
      <c r="AL289" s="10">
        <v>0</v>
      </c>
      <c r="AM289" s="9">
        <v>2025</v>
      </c>
      <c r="AN289" s="10">
        <v>1</v>
      </c>
      <c r="AO289" s="10">
        <v>2</v>
      </c>
      <c r="AP289" s="6"/>
      <c r="AQ289" s="7"/>
      <c r="AR289" s="8"/>
      <c r="AS289" s="4">
        <f t="shared" si="12"/>
        <v>6200000</v>
      </c>
      <c r="AT289" s="4">
        <f t="shared" si="13"/>
        <v>10439992.922038695</v>
      </c>
      <c r="AU289" s="4">
        <f t="shared" si="14"/>
        <v>7560007.0779613052</v>
      </c>
      <c r="AV289" s="9" t="s">
        <v>1142</v>
      </c>
      <c r="AW289" s="12" t="s">
        <v>1143</v>
      </c>
      <c r="AX289" s="10">
        <v>0</v>
      </c>
      <c r="AY289">
        <f>S289*AU289/AS289</f>
        <v>7316135.8818980372</v>
      </c>
      <c r="AZ289">
        <f>AU289-AY289</f>
        <v>243871.196063268</v>
      </c>
      <c r="BA289" s="10">
        <v>18000000</v>
      </c>
      <c r="BB289" s="10">
        <v>0</v>
      </c>
      <c r="BC289" s="9" t="s">
        <v>42</v>
      </c>
      <c r="BD289" s="9">
        <v>10421</v>
      </c>
      <c r="BE289" t="s">
        <v>46</v>
      </c>
    </row>
    <row r="290" spans="1:57" ht="270.75" thickBot="1" x14ac:dyDescent="0.3">
      <c r="A290" s="9" t="s">
        <v>1144</v>
      </c>
      <c r="B290" s="9">
        <v>3001</v>
      </c>
      <c r="C290" s="10">
        <v>2</v>
      </c>
      <c r="D290" s="9" t="s">
        <v>37</v>
      </c>
      <c r="E290" s="11">
        <v>46214.745534675923</v>
      </c>
      <c r="F290" s="9" t="s">
        <v>1145</v>
      </c>
      <c r="G290" s="9" t="s">
        <v>39</v>
      </c>
      <c r="H290" s="9">
        <v>53</v>
      </c>
      <c r="I290" s="9" t="s">
        <v>40</v>
      </c>
      <c r="J290" s="9">
        <v>5309</v>
      </c>
      <c r="K290" s="9" t="s">
        <v>41</v>
      </c>
      <c r="L290" s="9">
        <v>5309062</v>
      </c>
      <c r="M290" s="9">
        <v>5309062009</v>
      </c>
      <c r="N290" s="9" t="s">
        <v>42</v>
      </c>
      <c r="O290" s="9">
        <v>10421</v>
      </c>
      <c r="P290" s="9" t="s">
        <v>1146</v>
      </c>
      <c r="Q290" s="10">
        <v>6</v>
      </c>
      <c r="R290" s="10">
        <v>1050000</v>
      </c>
      <c r="S290" s="10">
        <v>300000</v>
      </c>
      <c r="T290" s="10">
        <v>0</v>
      </c>
      <c r="U290" s="10">
        <v>200000</v>
      </c>
      <c r="V290" s="10">
        <v>0</v>
      </c>
      <c r="W290" s="10">
        <v>1550000</v>
      </c>
      <c r="X290" s="10">
        <v>7200000</v>
      </c>
      <c r="Y290" s="10">
        <v>0</v>
      </c>
      <c r="Z290" s="10">
        <v>6700000</v>
      </c>
      <c r="AA290" s="10">
        <v>4800000</v>
      </c>
      <c r="AB290" s="10">
        <v>7200000</v>
      </c>
      <c r="AC290" s="10">
        <v>0</v>
      </c>
      <c r="AD290" s="9" t="s">
        <v>44</v>
      </c>
      <c r="AE290" s="10" t="s">
        <v>2430</v>
      </c>
      <c r="AF290" s="10">
        <v>1200000</v>
      </c>
      <c r="AG290" s="10">
        <v>1</v>
      </c>
      <c r="AH290" s="10">
        <v>1</v>
      </c>
      <c r="AI290" s="10">
        <v>1</v>
      </c>
      <c r="AJ290" s="12" t="s">
        <v>1147</v>
      </c>
      <c r="AK290" s="10">
        <v>0</v>
      </c>
      <c r="AL290" s="10">
        <v>0</v>
      </c>
      <c r="AM290" s="9">
        <v>2024</v>
      </c>
      <c r="AN290" s="10">
        <v>5</v>
      </c>
      <c r="AO290" s="10">
        <v>1</v>
      </c>
      <c r="AP290" s="6"/>
      <c r="AQ290" s="7"/>
      <c r="AR290" s="8"/>
      <c r="AS290" s="4">
        <f t="shared" si="12"/>
        <v>500000</v>
      </c>
      <c r="AT290" s="4">
        <f t="shared" si="13"/>
        <v>4175998.0054934891</v>
      </c>
      <c r="AU290" s="4">
        <f t="shared" si="14"/>
        <v>3024001.9945065109</v>
      </c>
      <c r="AV290" s="9" t="s">
        <v>1146</v>
      </c>
      <c r="AW290" s="12" t="s">
        <v>1147</v>
      </c>
      <c r="AX290" s="10">
        <v>0</v>
      </c>
      <c r="AY290">
        <f>S290*AU290/AS290</f>
        <v>1814401.1967039064</v>
      </c>
      <c r="AZ290">
        <f>AU290-AY290</f>
        <v>1209600.7978026045</v>
      </c>
      <c r="BA290" s="10">
        <v>7200000</v>
      </c>
      <c r="BB290" s="10">
        <v>0</v>
      </c>
      <c r="BC290" s="9" t="s">
        <v>42</v>
      </c>
      <c r="BD290" s="9">
        <v>10421</v>
      </c>
      <c r="BE290" t="s">
        <v>46</v>
      </c>
    </row>
    <row r="291" spans="1:57" ht="270.75" thickBot="1" x14ac:dyDescent="0.3">
      <c r="A291" s="9" t="s">
        <v>1148</v>
      </c>
      <c r="B291" s="9">
        <v>3001</v>
      </c>
      <c r="C291" s="10">
        <v>2</v>
      </c>
      <c r="D291" s="9" t="s">
        <v>37</v>
      </c>
      <c r="E291" s="14">
        <v>46236.601030092592</v>
      </c>
      <c r="F291" s="9" t="s">
        <v>1149</v>
      </c>
      <c r="G291" s="9" t="s">
        <v>39</v>
      </c>
      <c r="H291" s="9">
        <v>53</v>
      </c>
      <c r="I291" s="9" t="s">
        <v>40</v>
      </c>
      <c r="J291" s="9">
        <v>5309</v>
      </c>
      <c r="K291" s="9" t="s">
        <v>41</v>
      </c>
      <c r="L291" s="9">
        <v>5309060</v>
      </c>
      <c r="M291" s="9">
        <v>5309060041</v>
      </c>
      <c r="N291" s="9" t="s">
        <v>42</v>
      </c>
      <c r="O291" s="9">
        <v>10421</v>
      </c>
      <c r="P291" s="9" t="s">
        <v>1150</v>
      </c>
      <c r="Q291" s="10">
        <v>6</v>
      </c>
      <c r="R291" s="10">
        <v>2600000</v>
      </c>
      <c r="S291" s="10">
        <v>4000000</v>
      </c>
      <c r="T291" s="10">
        <v>0</v>
      </c>
      <c r="U291" s="10">
        <v>900000</v>
      </c>
      <c r="V291" s="10">
        <v>0</v>
      </c>
      <c r="W291" s="10">
        <v>7500000</v>
      </c>
      <c r="X291" s="10">
        <v>20000000</v>
      </c>
      <c r="Y291" s="10">
        <v>0</v>
      </c>
      <c r="Z291" s="10">
        <v>15100000</v>
      </c>
      <c r="AA291" s="10">
        <v>1650000</v>
      </c>
      <c r="AB291" s="10">
        <v>20000000</v>
      </c>
      <c r="AC291" s="10">
        <v>0</v>
      </c>
      <c r="AD291" s="9" t="s">
        <v>44</v>
      </c>
      <c r="AE291" s="10" t="s">
        <v>2431</v>
      </c>
      <c r="AF291" s="13">
        <v>3333333333</v>
      </c>
      <c r="AG291" s="10">
        <v>1</v>
      </c>
      <c r="AH291" s="10">
        <v>1</v>
      </c>
      <c r="AI291" s="10">
        <v>1</v>
      </c>
      <c r="AJ291" s="12" t="s">
        <v>1151</v>
      </c>
      <c r="AK291" s="10">
        <v>0</v>
      </c>
      <c r="AL291" s="10">
        <v>0</v>
      </c>
      <c r="AM291" s="9">
        <v>2017</v>
      </c>
      <c r="AN291" s="10">
        <v>3</v>
      </c>
      <c r="AO291" s="10">
        <v>3</v>
      </c>
      <c r="AP291" s="6"/>
      <c r="AQ291" s="7"/>
      <c r="AR291" s="8"/>
      <c r="AS291" s="4">
        <f t="shared" si="12"/>
        <v>4900000</v>
      </c>
      <c r="AT291" s="4">
        <f t="shared" si="13"/>
        <v>11600000</v>
      </c>
      <c r="AU291" s="4">
        <f t="shared" si="14"/>
        <v>8400000</v>
      </c>
      <c r="AV291" s="9" t="s">
        <v>1150</v>
      </c>
      <c r="AW291" s="12" t="s">
        <v>1151</v>
      </c>
      <c r="AX291" s="10">
        <v>0</v>
      </c>
      <c r="AY291">
        <f>S291*AU291/AS291</f>
        <v>6857142.8571428573</v>
      </c>
      <c r="AZ291">
        <f>AU291-AY291</f>
        <v>1542857.1428571427</v>
      </c>
      <c r="BA291" s="10">
        <v>20000000</v>
      </c>
      <c r="BB291" s="10">
        <v>0</v>
      </c>
      <c r="BC291" s="9" t="s">
        <v>42</v>
      </c>
      <c r="BD291" s="9">
        <v>10421</v>
      </c>
      <c r="BE291" t="s">
        <v>46</v>
      </c>
    </row>
    <row r="292" spans="1:57" ht="270.75" thickBot="1" x14ac:dyDescent="0.3">
      <c r="A292" s="9" t="s">
        <v>1152</v>
      </c>
      <c r="B292" s="9">
        <v>1101</v>
      </c>
      <c r="C292" s="10">
        <v>2</v>
      </c>
      <c r="D292" s="9" t="s">
        <v>37</v>
      </c>
      <c r="E292" s="11">
        <v>46261.03590185185</v>
      </c>
      <c r="F292" s="9" t="s">
        <v>1153</v>
      </c>
      <c r="G292" s="9" t="s">
        <v>39</v>
      </c>
      <c r="H292" s="9">
        <v>53</v>
      </c>
      <c r="I292" s="9" t="s">
        <v>40</v>
      </c>
      <c r="J292" s="9">
        <v>5309</v>
      </c>
      <c r="K292" s="9" t="s">
        <v>41</v>
      </c>
      <c r="L292" s="9">
        <v>5309073</v>
      </c>
      <c r="M292" s="9">
        <v>5309073003</v>
      </c>
      <c r="N292" s="9" t="s">
        <v>42</v>
      </c>
      <c r="O292" s="9">
        <v>10421</v>
      </c>
      <c r="P292" s="9" t="s">
        <v>1154</v>
      </c>
      <c r="Q292" s="10">
        <v>2</v>
      </c>
      <c r="R292" s="10">
        <v>840000</v>
      </c>
      <c r="S292" s="10">
        <v>200000</v>
      </c>
      <c r="T292" s="10">
        <v>0</v>
      </c>
      <c r="U292" s="10">
        <v>100000</v>
      </c>
      <c r="V292" s="10">
        <v>0</v>
      </c>
      <c r="W292" s="10">
        <v>1140000</v>
      </c>
      <c r="X292" s="10">
        <v>6000000</v>
      </c>
      <c r="Y292" s="10">
        <v>0</v>
      </c>
      <c r="Z292" s="10">
        <v>5700000</v>
      </c>
      <c r="AA292" s="10">
        <v>1500000</v>
      </c>
      <c r="AB292" s="10">
        <v>6000000</v>
      </c>
      <c r="AC292" s="10">
        <v>0</v>
      </c>
      <c r="AD292" s="9" t="s">
        <v>44</v>
      </c>
      <c r="AE292" s="10" t="s">
        <v>1803</v>
      </c>
      <c r="AF292" s="10">
        <v>3000000</v>
      </c>
      <c r="AG292" s="10">
        <v>1</v>
      </c>
      <c r="AH292" s="10">
        <v>1</v>
      </c>
      <c r="AI292" s="10">
        <v>1</v>
      </c>
      <c r="AJ292" s="12" t="s">
        <v>1155</v>
      </c>
      <c r="AK292" s="10">
        <v>0</v>
      </c>
      <c r="AL292" s="10">
        <v>0</v>
      </c>
      <c r="AM292" s="9">
        <v>2020</v>
      </c>
      <c r="AN292" s="10">
        <v>1</v>
      </c>
      <c r="AO292" s="10">
        <v>1</v>
      </c>
      <c r="AP292" s="6"/>
      <c r="AQ292" s="7"/>
      <c r="AR292" s="8"/>
      <c r="AS292" s="4">
        <f t="shared" si="12"/>
        <v>300000</v>
      </c>
      <c r="AT292" s="4">
        <f t="shared" si="13"/>
        <v>3480000</v>
      </c>
      <c r="AU292" s="4">
        <f t="shared" si="14"/>
        <v>2520000</v>
      </c>
      <c r="AV292" s="9" t="s">
        <v>1154</v>
      </c>
      <c r="AW292" s="12" t="s">
        <v>1155</v>
      </c>
      <c r="AX292" s="10">
        <v>0</v>
      </c>
      <c r="AY292">
        <f>S292*AU292/AS292</f>
        <v>1680000</v>
      </c>
      <c r="AZ292">
        <f>AU292-AY292</f>
        <v>840000</v>
      </c>
      <c r="BA292" s="10">
        <v>6000000</v>
      </c>
      <c r="BB292" s="10">
        <v>0</v>
      </c>
      <c r="BC292" s="9" t="s">
        <v>42</v>
      </c>
      <c r="BD292" s="9">
        <v>10421</v>
      </c>
      <c r="BE292" t="s">
        <v>46</v>
      </c>
    </row>
    <row r="293" spans="1:57" ht="270.75" thickBot="1" x14ac:dyDescent="0.3">
      <c r="A293" s="9" t="s">
        <v>1156</v>
      </c>
      <c r="B293" s="9">
        <v>3002</v>
      </c>
      <c r="C293" s="10">
        <v>2</v>
      </c>
      <c r="D293" s="9" t="s">
        <v>37</v>
      </c>
      <c r="E293" s="11">
        <v>46264.356125509257</v>
      </c>
      <c r="F293" s="9" t="s">
        <v>1157</v>
      </c>
      <c r="G293" s="9" t="s">
        <v>39</v>
      </c>
      <c r="H293" s="9">
        <v>53</v>
      </c>
      <c r="I293" s="9" t="s">
        <v>40</v>
      </c>
      <c r="J293" s="9">
        <v>5309</v>
      </c>
      <c r="K293" s="9" t="s">
        <v>41</v>
      </c>
      <c r="L293" s="9">
        <v>5309073</v>
      </c>
      <c r="M293" s="9">
        <v>5309073006</v>
      </c>
      <c r="N293" s="9" t="s">
        <v>42</v>
      </c>
      <c r="O293" s="9">
        <v>10421</v>
      </c>
      <c r="P293" s="9" t="s">
        <v>1158</v>
      </c>
      <c r="Q293" s="10">
        <v>6</v>
      </c>
      <c r="R293" s="10">
        <v>2400000</v>
      </c>
      <c r="S293" s="10">
        <v>100000</v>
      </c>
      <c r="T293" s="10">
        <v>0</v>
      </c>
      <c r="U293" s="10">
        <v>0</v>
      </c>
      <c r="V293" s="10">
        <v>0</v>
      </c>
      <c r="W293" s="10">
        <v>2500000</v>
      </c>
      <c r="X293" s="10">
        <v>12000000</v>
      </c>
      <c r="Y293" s="10">
        <v>0</v>
      </c>
      <c r="Z293" s="10">
        <v>11900000</v>
      </c>
      <c r="AA293" s="10">
        <v>5450000</v>
      </c>
      <c r="AB293" s="10">
        <v>12000000</v>
      </c>
      <c r="AC293" s="10">
        <v>0</v>
      </c>
      <c r="AD293" s="9" t="s">
        <v>44</v>
      </c>
      <c r="AE293" s="10" t="s">
        <v>2432</v>
      </c>
      <c r="AF293" s="10">
        <v>2000000</v>
      </c>
      <c r="AG293" s="10">
        <v>1</v>
      </c>
      <c r="AH293" s="10">
        <v>1</v>
      </c>
      <c r="AI293" s="10">
        <v>1</v>
      </c>
      <c r="AJ293" s="12" t="s">
        <v>1159</v>
      </c>
      <c r="AK293" s="10">
        <v>0</v>
      </c>
      <c r="AL293" s="10">
        <v>0</v>
      </c>
      <c r="AM293" s="9">
        <v>2020</v>
      </c>
      <c r="AN293" s="10">
        <v>5</v>
      </c>
      <c r="AO293" s="10">
        <v>1</v>
      </c>
      <c r="AP293" s="6"/>
      <c r="AQ293" s="7"/>
      <c r="AR293" s="8"/>
      <c r="AS293" s="4">
        <f t="shared" si="12"/>
        <v>100000</v>
      </c>
      <c r="AT293" s="4">
        <f t="shared" si="13"/>
        <v>6959997.6605049875</v>
      </c>
      <c r="AU293" s="4">
        <f t="shared" si="14"/>
        <v>5040002.3394950125</v>
      </c>
      <c r="AV293" s="9" t="s">
        <v>1158</v>
      </c>
      <c r="AW293" s="12" t="s">
        <v>1159</v>
      </c>
      <c r="AX293" s="10">
        <v>0</v>
      </c>
      <c r="AY293">
        <f>S293*AU293/AS293</f>
        <v>5040002.3394950125</v>
      </c>
      <c r="AZ293">
        <f>AU293-AY293</f>
        <v>0</v>
      </c>
      <c r="BA293" s="10">
        <v>12000000</v>
      </c>
      <c r="BB293" s="10">
        <v>0</v>
      </c>
      <c r="BC293" s="9" t="s">
        <v>42</v>
      </c>
      <c r="BD293" s="9">
        <v>10421</v>
      </c>
      <c r="BE293" t="s">
        <v>46</v>
      </c>
    </row>
    <row r="294" spans="1:57" ht="255.75" thickBot="1" x14ac:dyDescent="0.3">
      <c r="A294" s="9" t="s">
        <v>1160</v>
      </c>
      <c r="B294" s="9">
        <v>3003</v>
      </c>
      <c r="C294" s="10">
        <v>2</v>
      </c>
      <c r="D294" s="9" t="s">
        <v>37</v>
      </c>
      <c r="E294" s="11">
        <v>46231.401592546295</v>
      </c>
      <c r="F294" s="9" t="s">
        <v>1161</v>
      </c>
      <c r="G294" s="9" t="s">
        <v>39</v>
      </c>
      <c r="H294" s="9">
        <v>53</v>
      </c>
      <c r="I294" s="9" t="s">
        <v>40</v>
      </c>
      <c r="J294" s="9">
        <v>5309</v>
      </c>
      <c r="K294" s="9" t="s">
        <v>41</v>
      </c>
      <c r="L294" s="9">
        <v>5309062</v>
      </c>
      <c r="M294" s="9">
        <v>5309062005</v>
      </c>
      <c r="N294" s="9" t="s">
        <v>42</v>
      </c>
      <c r="O294" s="9">
        <v>10421</v>
      </c>
      <c r="P294" s="9" t="s">
        <v>1162</v>
      </c>
      <c r="Q294" s="10">
        <v>6</v>
      </c>
      <c r="R294" s="10">
        <v>0</v>
      </c>
      <c r="S294" s="10">
        <v>500000</v>
      </c>
      <c r="T294" s="10">
        <v>0</v>
      </c>
      <c r="U294" s="10">
        <v>150000</v>
      </c>
      <c r="V294" s="10">
        <v>0</v>
      </c>
      <c r="W294" s="10">
        <v>650000</v>
      </c>
      <c r="X294" s="10">
        <v>8000000</v>
      </c>
      <c r="Y294" s="10">
        <v>0</v>
      </c>
      <c r="Z294" s="10">
        <v>7350000</v>
      </c>
      <c r="AA294" s="10">
        <v>3750000</v>
      </c>
      <c r="AB294" s="10">
        <v>8000000</v>
      </c>
      <c r="AC294" s="10">
        <v>0</v>
      </c>
      <c r="AD294" s="9" t="s">
        <v>44</v>
      </c>
      <c r="AE294" s="10" t="s">
        <v>2433</v>
      </c>
      <c r="AF294" s="13">
        <v>1333333333</v>
      </c>
      <c r="AG294" s="10">
        <v>1</v>
      </c>
      <c r="AH294" s="10">
        <v>1</v>
      </c>
      <c r="AI294" s="10">
        <v>1</v>
      </c>
      <c r="AJ294" s="12" t="s">
        <v>1163</v>
      </c>
      <c r="AK294" s="10">
        <v>0</v>
      </c>
      <c r="AL294" s="10">
        <v>0</v>
      </c>
      <c r="AM294" s="9">
        <v>1996</v>
      </c>
      <c r="AN294" s="10">
        <v>0</v>
      </c>
      <c r="AO294" s="10">
        <v>6</v>
      </c>
      <c r="AP294" s="6"/>
      <c r="AQ294" s="7"/>
      <c r="AR294" s="8"/>
      <c r="AS294" s="4">
        <f t="shared" si="12"/>
        <v>650000</v>
      </c>
      <c r="AT294" s="4">
        <f t="shared" si="13"/>
        <v>4640000</v>
      </c>
      <c r="AU294" s="4">
        <f t="shared" si="14"/>
        <v>3360000</v>
      </c>
      <c r="AV294" s="9" t="s">
        <v>1162</v>
      </c>
      <c r="AW294" s="12" t="s">
        <v>1163</v>
      </c>
      <c r="AX294" s="10">
        <v>0</v>
      </c>
      <c r="AY294">
        <f>S294*AU294/AS294</f>
        <v>2584615.3846153845</v>
      </c>
      <c r="AZ294">
        <f>AU294-AY294</f>
        <v>775384.61538461549</v>
      </c>
      <c r="BA294" s="10">
        <v>8000000</v>
      </c>
      <c r="BB294" s="10">
        <v>0</v>
      </c>
      <c r="BC294" s="9" t="s">
        <v>42</v>
      </c>
      <c r="BD294" s="9">
        <v>10421</v>
      </c>
      <c r="BE294" t="s">
        <v>46</v>
      </c>
    </row>
    <row r="295" spans="1:57" ht="270.75" thickBot="1" x14ac:dyDescent="0.3">
      <c r="A295" s="9" t="s">
        <v>1164</v>
      </c>
      <c r="B295" s="9">
        <v>3001</v>
      </c>
      <c r="C295" s="10">
        <v>2</v>
      </c>
      <c r="D295" s="9" t="s">
        <v>84</v>
      </c>
      <c r="E295" s="11">
        <v>46309.376439687498</v>
      </c>
      <c r="F295" s="9" t="s">
        <v>1165</v>
      </c>
      <c r="G295" s="9" t="s">
        <v>39</v>
      </c>
      <c r="H295" s="9">
        <v>53</v>
      </c>
      <c r="I295" s="9" t="s">
        <v>40</v>
      </c>
      <c r="J295" s="9">
        <v>5309</v>
      </c>
      <c r="K295" s="9" t="s">
        <v>41</v>
      </c>
      <c r="L295" s="9">
        <v>5309062</v>
      </c>
      <c r="M295" s="9">
        <v>5309062013</v>
      </c>
      <c r="N295" s="9" t="s">
        <v>42</v>
      </c>
      <c r="O295" s="9">
        <v>10421</v>
      </c>
      <c r="P295" s="9" t="s">
        <v>1166</v>
      </c>
      <c r="Q295" s="10">
        <v>3</v>
      </c>
      <c r="R295" s="10">
        <v>0</v>
      </c>
      <c r="S295" s="10">
        <v>500000</v>
      </c>
      <c r="T295" s="10">
        <v>0</v>
      </c>
      <c r="U295" s="10">
        <v>150000</v>
      </c>
      <c r="V295" s="10">
        <v>350000</v>
      </c>
      <c r="W295" s="10">
        <v>1000000</v>
      </c>
      <c r="X295" s="10">
        <v>4500000</v>
      </c>
      <c r="Y295" s="10">
        <v>0</v>
      </c>
      <c r="Z295" s="10">
        <v>3850000</v>
      </c>
      <c r="AA295" s="10">
        <v>2400000</v>
      </c>
      <c r="AB295" s="10">
        <v>4500000</v>
      </c>
      <c r="AC295" s="10">
        <v>0</v>
      </c>
      <c r="AD295" s="9" t="s">
        <v>44</v>
      </c>
      <c r="AE295" s="10" t="s">
        <v>2434</v>
      </c>
      <c r="AF295" s="10">
        <v>1500000</v>
      </c>
      <c r="AG295" s="10">
        <v>1</v>
      </c>
      <c r="AH295" s="10">
        <v>1</v>
      </c>
      <c r="AI295" s="10">
        <v>1</v>
      </c>
      <c r="AJ295" s="12" t="s">
        <v>1167</v>
      </c>
      <c r="AK295" s="10">
        <v>0</v>
      </c>
      <c r="AL295" s="10">
        <v>0</v>
      </c>
      <c r="AM295" s="9">
        <v>2015</v>
      </c>
      <c r="AN295" s="10">
        <v>0</v>
      </c>
      <c r="AO295" s="10">
        <v>3</v>
      </c>
      <c r="AP295" s="6"/>
      <c r="AQ295" s="7"/>
      <c r="AR295" s="8"/>
      <c r="AS295" s="4">
        <f t="shared" si="12"/>
        <v>650000</v>
      </c>
      <c r="AT295" s="4">
        <f t="shared" si="13"/>
        <v>2609998.6441565487</v>
      </c>
      <c r="AU295" s="4">
        <f t="shared" si="14"/>
        <v>1890001.3558434513</v>
      </c>
      <c r="AV295" s="9" t="s">
        <v>1166</v>
      </c>
      <c r="AW295" s="12" t="s">
        <v>1167</v>
      </c>
      <c r="AX295" s="10">
        <v>0</v>
      </c>
      <c r="AY295">
        <f>S295*AU295/AS295</f>
        <v>1453847.196802655</v>
      </c>
      <c r="AZ295">
        <f>AU295-AY295</f>
        <v>436154.15904079634</v>
      </c>
      <c r="BA295" s="10">
        <v>4500000</v>
      </c>
      <c r="BB295" s="10">
        <v>0</v>
      </c>
      <c r="BC295" s="9" t="s">
        <v>42</v>
      </c>
      <c r="BD295" s="9">
        <v>10421</v>
      </c>
      <c r="BE295" t="s">
        <v>46</v>
      </c>
    </row>
    <row r="296" spans="1:57" ht="270.75" thickBot="1" x14ac:dyDescent="0.3">
      <c r="A296" s="9" t="s">
        <v>1168</v>
      </c>
      <c r="B296" s="9">
        <v>3001</v>
      </c>
      <c r="C296" s="10">
        <v>2</v>
      </c>
      <c r="D296" s="9" t="s">
        <v>37</v>
      </c>
      <c r="E296" s="14">
        <v>46226.092870370368</v>
      </c>
      <c r="F296" s="9" t="s">
        <v>1169</v>
      </c>
      <c r="G296" s="9" t="s">
        <v>39</v>
      </c>
      <c r="H296" s="9">
        <v>53</v>
      </c>
      <c r="I296" s="9" t="s">
        <v>40</v>
      </c>
      <c r="J296" s="9">
        <v>5309</v>
      </c>
      <c r="K296" s="9" t="s">
        <v>41</v>
      </c>
      <c r="L296" s="9">
        <v>5309062</v>
      </c>
      <c r="M296" s="9">
        <v>5309062009</v>
      </c>
      <c r="N296" s="9" t="s">
        <v>42</v>
      </c>
      <c r="O296" s="9">
        <v>10421</v>
      </c>
      <c r="P296" s="9" t="s">
        <v>1170</v>
      </c>
      <c r="Q296" s="10">
        <v>7</v>
      </c>
      <c r="R296" s="10">
        <v>360000</v>
      </c>
      <c r="S296" s="10">
        <v>200000</v>
      </c>
      <c r="T296" s="10">
        <v>0</v>
      </c>
      <c r="U296" s="10">
        <v>300000</v>
      </c>
      <c r="V296" s="10">
        <v>0</v>
      </c>
      <c r="W296" s="10">
        <v>860000</v>
      </c>
      <c r="X296" s="10">
        <v>4800000</v>
      </c>
      <c r="Y296" s="10">
        <v>0</v>
      </c>
      <c r="Z296" s="10">
        <v>4300000</v>
      </c>
      <c r="AA296" s="10">
        <v>4800000</v>
      </c>
      <c r="AB296" s="10">
        <v>4800000</v>
      </c>
      <c r="AC296" s="10">
        <v>0</v>
      </c>
      <c r="AD296" s="9" t="s">
        <v>44</v>
      </c>
      <c r="AE296" s="10" t="s">
        <v>2435</v>
      </c>
      <c r="AF296" s="13">
        <v>6857142857</v>
      </c>
      <c r="AG296" s="10">
        <v>1</v>
      </c>
      <c r="AH296" s="10">
        <v>1</v>
      </c>
      <c r="AI296" s="10">
        <v>1</v>
      </c>
      <c r="AJ296" s="12" t="s">
        <v>1171</v>
      </c>
      <c r="AK296" s="10">
        <v>0</v>
      </c>
      <c r="AL296" s="10">
        <v>0</v>
      </c>
      <c r="AM296" s="9">
        <v>2019</v>
      </c>
      <c r="AN296" s="10">
        <v>5</v>
      </c>
      <c r="AO296" s="10">
        <v>2</v>
      </c>
      <c r="AP296" s="6"/>
      <c r="AQ296" s="7"/>
      <c r="AR296" s="8"/>
      <c r="AS296" s="4">
        <f t="shared" si="12"/>
        <v>500000</v>
      </c>
      <c r="AT296" s="4">
        <f t="shared" si="13"/>
        <v>2784001.0359073621</v>
      </c>
      <c r="AU296" s="4">
        <f t="shared" si="14"/>
        <v>2015998.9640926379</v>
      </c>
      <c r="AV296" s="9" t="s">
        <v>1170</v>
      </c>
      <c r="AW296" s="12" t="s">
        <v>1171</v>
      </c>
      <c r="AX296" s="10">
        <v>0</v>
      </c>
      <c r="AY296">
        <f>S296*AU296/AS296</f>
        <v>806399.58563705522</v>
      </c>
      <c r="AZ296">
        <f>AU296-AY296</f>
        <v>1209599.3784555825</v>
      </c>
      <c r="BA296" s="10">
        <v>4800000</v>
      </c>
      <c r="BB296" s="10">
        <v>0</v>
      </c>
      <c r="BC296" s="9" t="s">
        <v>42</v>
      </c>
      <c r="BD296" s="9">
        <v>10421</v>
      </c>
      <c r="BE296" t="s">
        <v>46</v>
      </c>
    </row>
    <row r="297" spans="1:57" ht="270.75" thickBot="1" x14ac:dyDescent="0.3">
      <c r="A297" s="9" t="s">
        <v>1172</v>
      </c>
      <c r="B297" s="9">
        <v>3001</v>
      </c>
      <c r="C297" s="10">
        <v>2</v>
      </c>
      <c r="D297" s="9" t="s">
        <v>37</v>
      </c>
      <c r="E297" s="11">
        <v>46262.889041215276</v>
      </c>
      <c r="F297" s="9" t="s">
        <v>1173</v>
      </c>
      <c r="G297" s="9" t="s">
        <v>39</v>
      </c>
      <c r="H297" s="9">
        <v>53</v>
      </c>
      <c r="I297" s="9" t="s">
        <v>40</v>
      </c>
      <c r="J297" s="9">
        <v>5309</v>
      </c>
      <c r="K297" s="9" t="s">
        <v>41</v>
      </c>
      <c r="L297" s="9">
        <v>5309073</v>
      </c>
      <c r="M297" s="9">
        <v>5309073003</v>
      </c>
      <c r="N297" s="9" t="s">
        <v>42</v>
      </c>
      <c r="O297" s="9">
        <v>10421</v>
      </c>
      <c r="P297" s="9" t="s">
        <v>1174</v>
      </c>
      <c r="Q297" s="10">
        <v>1</v>
      </c>
      <c r="R297" s="10">
        <v>0</v>
      </c>
      <c r="S297" s="10">
        <v>100000</v>
      </c>
      <c r="T297" s="10">
        <v>0</v>
      </c>
      <c r="U297" s="10">
        <v>0</v>
      </c>
      <c r="V297" s="10">
        <v>0</v>
      </c>
      <c r="W297" s="10">
        <v>100000</v>
      </c>
      <c r="X297" s="10">
        <v>1600000</v>
      </c>
      <c r="Y297" s="10">
        <v>0</v>
      </c>
      <c r="Z297" s="10">
        <v>1500000</v>
      </c>
      <c r="AA297" s="10">
        <v>300000</v>
      </c>
      <c r="AB297" s="10">
        <v>1600000</v>
      </c>
      <c r="AC297" s="10">
        <v>0</v>
      </c>
      <c r="AD297" s="9" t="s">
        <v>44</v>
      </c>
      <c r="AE297" s="10" t="s">
        <v>2254</v>
      </c>
      <c r="AF297" s="10">
        <v>1600000</v>
      </c>
      <c r="AG297" s="10">
        <v>1</v>
      </c>
      <c r="AH297" s="10">
        <v>1</v>
      </c>
      <c r="AI297" s="10">
        <v>1</v>
      </c>
      <c r="AJ297" s="12" t="s">
        <v>1175</v>
      </c>
      <c r="AK297" s="10">
        <v>0</v>
      </c>
      <c r="AL297" s="10">
        <v>0</v>
      </c>
      <c r="AM297" s="9">
        <v>2018</v>
      </c>
      <c r="AN297" s="10">
        <v>0</v>
      </c>
      <c r="AO297" s="10">
        <v>1</v>
      </c>
      <c r="AP297" s="6"/>
      <c r="AQ297" s="7"/>
      <c r="AR297" s="8"/>
      <c r="AS297" s="4">
        <f t="shared" si="12"/>
        <v>100000</v>
      </c>
      <c r="AT297" s="4">
        <f t="shared" si="13"/>
        <v>927999.99999999988</v>
      </c>
      <c r="AU297" s="4">
        <f t="shared" si="14"/>
        <v>672000.00000000012</v>
      </c>
      <c r="AV297" s="9" t="s">
        <v>1174</v>
      </c>
      <c r="AW297" s="12" t="s">
        <v>1175</v>
      </c>
      <c r="AX297" s="10">
        <v>0</v>
      </c>
      <c r="AY297">
        <f>S297*AU297/AS297</f>
        <v>672000.00000000012</v>
      </c>
      <c r="AZ297">
        <f>AU297-AY297</f>
        <v>0</v>
      </c>
      <c r="BA297" s="10">
        <v>1600000</v>
      </c>
      <c r="BB297" s="10">
        <v>0</v>
      </c>
      <c r="BC297" s="9" t="s">
        <v>42</v>
      </c>
      <c r="BD297" s="9">
        <v>10421</v>
      </c>
      <c r="BE297" t="s">
        <v>46</v>
      </c>
    </row>
    <row r="298" spans="1:57" ht="270.75" thickBot="1" x14ac:dyDescent="0.3">
      <c r="A298" s="9" t="s">
        <v>1176</v>
      </c>
      <c r="B298" s="9">
        <v>3001</v>
      </c>
      <c r="C298" s="10">
        <v>2</v>
      </c>
      <c r="D298" s="9" t="s">
        <v>37</v>
      </c>
      <c r="E298" s="11">
        <v>46262.386487488424</v>
      </c>
      <c r="F298" s="9" t="s">
        <v>1177</v>
      </c>
      <c r="G298" s="9" t="s">
        <v>39</v>
      </c>
      <c r="H298" s="9">
        <v>53</v>
      </c>
      <c r="I298" s="9" t="s">
        <v>40</v>
      </c>
      <c r="J298" s="9">
        <v>5309</v>
      </c>
      <c r="K298" s="9" t="s">
        <v>41</v>
      </c>
      <c r="L298" s="9">
        <v>5309060</v>
      </c>
      <c r="M298" s="9">
        <v>5309060041</v>
      </c>
      <c r="N298" s="9" t="s">
        <v>42</v>
      </c>
      <c r="O298" s="9">
        <v>10421</v>
      </c>
      <c r="P298" s="9" t="s">
        <v>1178</v>
      </c>
      <c r="Q298" s="10">
        <v>15</v>
      </c>
      <c r="R298" s="10">
        <v>5250000</v>
      </c>
      <c r="S298" s="10">
        <v>15000000</v>
      </c>
      <c r="T298" s="10">
        <v>0</v>
      </c>
      <c r="U298" s="10">
        <v>1000000</v>
      </c>
      <c r="V298" s="10">
        <v>0</v>
      </c>
      <c r="W298" s="10">
        <v>21250000</v>
      </c>
      <c r="X298" s="10">
        <v>63000000</v>
      </c>
      <c r="Y298" s="10">
        <v>0</v>
      </c>
      <c r="Z298" s="10">
        <v>47000000</v>
      </c>
      <c r="AA298" s="10">
        <v>1700000</v>
      </c>
      <c r="AB298" s="10">
        <v>63000000</v>
      </c>
      <c r="AC298" s="10">
        <v>0</v>
      </c>
      <c r="AD298" s="9" t="s">
        <v>44</v>
      </c>
      <c r="AE298" s="10" t="s">
        <v>2436</v>
      </c>
      <c r="AF298" s="10">
        <v>4200000</v>
      </c>
      <c r="AG298" s="10">
        <v>1</v>
      </c>
      <c r="AH298" s="10">
        <v>1</v>
      </c>
      <c r="AI298" s="10">
        <v>1</v>
      </c>
      <c r="AJ298" s="12" t="s">
        <v>1179</v>
      </c>
      <c r="AK298" s="10">
        <v>0</v>
      </c>
      <c r="AL298" s="10">
        <v>0</v>
      </c>
      <c r="AM298" s="9">
        <v>2011</v>
      </c>
      <c r="AN298" s="10">
        <v>13</v>
      </c>
      <c r="AO298" s="10">
        <v>2</v>
      </c>
      <c r="AP298" s="6"/>
      <c r="AQ298" s="7"/>
      <c r="AR298" s="8"/>
      <c r="AS298" s="4">
        <f t="shared" si="12"/>
        <v>16000000</v>
      </c>
      <c r="AT298" s="4">
        <f t="shared" si="13"/>
        <v>36539987.560855292</v>
      </c>
      <c r="AU298" s="4">
        <f t="shared" si="14"/>
        <v>26460012.439144708</v>
      </c>
      <c r="AV298" s="9" t="s">
        <v>1178</v>
      </c>
      <c r="AW298" s="12" t="s">
        <v>1179</v>
      </c>
      <c r="AX298" s="10">
        <v>0</v>
      </c>
      <c r="AY298">
        <f>S298*AU298/AS298</f>
        <v>24806261.661698163</v>
      </c>
      <c r="AZ298">
        <f>AU298-AY298</f>
        <v>1653750.7774465457</v>
      </c>
      <c r="BA298" s="10">
        <v>63000000</v>
      </c>
      <c r="BB298" s="10">
        <v>0</v>
      </c>
      <c r="BC298" s="9" t="s">
        <v>42</v>
      </c>
      <c r="BD298" s="9">
        <v>10421</v>
      </c>
      <c r="BE298" t="s">
        <v>46</v>
      </c>
    </row>
    <row r="299" spans="1:57" ht="270.75" thickBot="1" x14ac:dyDescent="0.3">
      <c r="A299" s="9" t="s">
        <v>1180</v>
      </c>
      <c r="B299" s="9">
        <v>3001</v>
      </c>
      <c r="C299" s="10">
        <v>2</v>
      </c>
      <c r="D299" s="9" t="s">
        <v>37</v>
      </c>
      <c r="E299" s="11">
        <v>46237.608562824076</v>
      </c>
      <c r="F299" s="9" t="s">
        <v>1181</v>
      </c>
      <c r="G299" s="9" t="s">
        <v>39</v>
      </c>
      <c r="H299" s="9">
        <v>53</v>
      </c>
      <c r="I299" s="9" t="s">
        <v>40</v>
      </c>
      <c r="J299" s="9">
        <v>5309</v>
      </c>
      <c r="K299" s="9" t="s">
        <v>41</v>
      </c>
      <c r="L299" s="9">
        <v>5309062</v>
      </c>
      <c r="M299" s="9">
        <v>5309062013</v>
      </c>
      <c r="N299" s="9" t="s">
        <v>42</v>
      </c>
      <c r="O299" s="9">
        <v>10421</v>
      </c>
      <c r="P299" s="9" t="s">
        <v>1182</v>
      </c>
      <c r="Q299" s="10">
        <v>5</v>
      </c>
      <c r="R299" s="10">
        <v>600000</v>
      </c>
      <c r="S299" s="10">
        <v>300000</v>
      </c>
      <c r="T299" s="10">
        <v>0</v>
      </c>
      <c r="U299" s="10">
        <v>150000</v>
      </c>
      <c r="V299" s="10">
        <v>350000</v>
      </c>
      <c r="W299" s="10">
        <v>1400000</v>
      </c>
      <c r="X299" s="10">
        <v>4850000</v>
      </c>
      <c r="Y299" s="10">
        <v>0</v>
      </c>
      <c r="Z299" s="10">
        <v>4400000</v>
      </c>
      <c r="AA299" s="10">
        <v>2750000</v>
      </c>
      <c r="AB299" s="10">
        <v>4850000</v>
      </c>
      <c r="AC299" s="10">
        <v>0</v>
      </c>
      <c r="AD299" s="9" t="s">
        <v>44</v>
      </c>
      <c r="AE299" s="10" t="s">
        <v>2437</v>
      </c>
      <c r="AF299" s="10">
        <v>970000</v>
      </c>
      <c r="AG299" s="10">
        <v>1</v>
      </c>
      <c r="AH299" s="10">
        <v>1</v>
      </c>
      <c r="AI299" s="10">
        <v>1</v>
      </c>
      <c r="AJ299" s="12" t="s">
        <v>1183</v>
      </c>
      <c r="AK299" s="10">
        <v>0</v>
      </c>
      <c r="AL299" s="10">
        <v>0</v>
      </c>
      <c r="AM299" s="9">
        <v>2000</v>
      </c>
      <c r="AN299" s="10">
        <v>2</v>
      </c>
      <c r="AO299" s="10">
        <v>3</v>
      </c>
      <c r="AP299" s="6"/>
      <c r="AQ299" s="7"/>
      <c r="AR299" s="8"/>
      <c r="AS299" s="4">
        <f t="shared" si="12"/>
        <v>450000</v>
      </c>
      <c r="AT299" s="4">
        <f t="shared" si="13"/>
        <v>2813001.5343644731</v>
      </c>
      <c r="AU299" s="4">
        <f t="shared" si="14"/>
        <v>2036998.4656355269</v>
      </c>
      <c r="AV299" s="9" t="s">
        <v>1182</v>
      </c>
      <c r="AW299" s="12" t="s">
        <v>1183</v>
      </c>
      <c r="AX299" s="10">
        <v>0</v>
      </c>
      <c r="AY299">
        <f>S299*AU299/AS299</f>
        <v>1357998.9770903513</v>
      </c>
      <c r="AZ299">
        <f>AU299-AY299</f>
        <v>678999.48854517564</v>
      </c>
      <c r="BA299" s="10">
        <v>4850000</v>
      </c>
      <c r="BB299" s="10">
        <v>0</v>
      </c>
      <c r="BC299" s="9" t="s">
        <v>42</v>
      </c>
      <c r="BD299" s="9">
        <v>10421</v>
      </c>
      <c r="BE299" t="s">
        <v>46</v>
      </c>
    </row>
    <row r="300" spans="1:57" ht="270.75" thickBot="1" x14ac:dyDescent="0.3">
      <c r="A300" s="9" t="s">
        <v>1184</v>
      </c>
      <c r="B300" s="9">
        <v>3001</v>
      </c>
      <c r="C300" s="10">
        <v>2</v>
      </c>
      <c r="D300" s="9" t="s">
        <v>37</v>
      </c>
      <c r="E300" s="14">
        <v>46246.044618055559</v>
      </c>
      <c r="F300" s="9" t="s">
        <v>1185</v>
      </c>
      <c r="G300" s="9" t="s">
        <v>39</v>
      </c>
      <c r="H300" s="9">
        <v>53</v>
      </c>
      <c r="I300" s="9" t="s">
        <v>40</v>
      </c>
      <c r="J300" s="9">
        <v>5309</v>
      </c>
      <c r="K300" s="9" t="s">
        <v>41</v>
      </c>
      <c r="L300" s="9">
        <v>5309021</v>
      </c>
      <c r="M300" s="9">
        <v>5309021006</v>
      </c>
      <c r="N300" s="9" t="s">
        <v>42</v>
      </c>
      <c r="O300" s="9">
        <v>10421</v>
      </c>
      <c r="P300" s="9" t="s">
        <v>1186</v>
      </c>
      <c r="Q300" s="10">
        <v>4</v>
      </c>
      <c r="R300" s="10">
        <v>0</v>
      </c>
      <c r="S300" s="10">
        <v>1300000</v>
      </c>
      <c r="T300" s="10">
        <v>0</v>
      </c>
      <c r="U300" s="10">
        <v>700000</v>
      </c>
      <c r="V300" s="10">
        <v>0</v>
      </c>
      <c r="W300" s="10">
        <v>2000000</v>
      </c>
      <c r="X300" s="10">
        <v>9500000</v>
      </c>
      <c r="Y300" s="10">
        <v>0</v>
      </c>
      <c r="Z300" s="10">
        <v>7500000</v>
      </c>
      <c r="AA300" s="10">
        <v>50750000</v>
      </c>
      <c r="AB300" s="10">
        <v>9500000</v>
      </c>
      <c r="AC300" s="10">
        <v>0</v>
      </c>
      <c r="AD300" s="9" t="s">
        <v>44</v>
      </c>
      <c r="AE300" s="10" t="s">
        <v>2438</v>
      </c>
      <c r="AF300" s="10">
        <v>2375000</v>
      </c>
      <c r="AG300" s="10">
        <v>1</v>
      </c>
      <c r="AH300" s="10">
        <v>1</v>
      </c>
      <c r="AI300" s="10">
        <v>1</v>
      </c>
      <c r="AJ300" s="12" t="s">
        <v>1187</v>
      </c>
      <c r="AK300" s="10">
        <v>0</v>
      </c>
      <c r="AL300" s="10">
        <v>0</v>
      </c>
      <c r="AM300" s="9">
        <v>1990</v>
      </c>
      <c r="AN300" s="10">
        <v>0</v>
      </c>
      <c r="AO300" s="10">
        <v>4</v>
      </c>
      <c r="AP300" s="6"/>
      <c r="AQ300" s="7"/>
      <c r="AR300" s="8"/>
      <c r="AS300" s="4">
        <f t="shared" si="12"/>
        <v>2000000</v>
      </c>
      <c r="AT300" s="4">
        <f t="shared" si="13"/>
        <v>5509997.7960008811</v>
      </c>
      <c r="AU300" s="4">
        <f t="shared" si="14"/>
        <v>3990002.2039991189</v>
      </c>
      <c r="AV300" s="9" t="s">
        <v>1186</v>
      </c>
      <c r="AW300" s="12" t="s">
        <v>1187</v>
      </c>
      <c r="AX300" s="10">
        <v>0</v>
      </c>
      <c r="AY300">
        <f>S300*AU300/AS300</f>
        <v>2593501.4325994272</v>
      </c>
      <c r="AZ300">
        <f>AU300-AY300</f>
        <v>1396500.7713996917</v>
      </c>
      <c r="BA300" s="10">
        <v>9500000</v>
      </c>
      <c r="BB300" s="10">
        <v>0</v>
      </c>
      <c r="BC300" s="9" t="s">
        <v>42</v>
      </c>
      <c r="BD300" s="9">
        <v>10421</v>
      </c>
      <c r="BE300" t="s">
        <v>46</v>
      </c>
    </row>
    <row r="301" spans="1:57" ht="270.75" thickBot="1" x14ac:dyDescent="0.3">
      <c r="A301" s="9" t="s">
        <v>1188</v>
      </c>
      <c r="B301" s="9">
        <v>3004</v>
      </c>
      <c r="C301" s="10">
        <v>2</v>
      </c>
      <c r="D301" s="9" t="s">
        <v>37</v>
      </c>
      <c r="E301" s="14">
        <v>46223.496493055558</v>
      </c>
      <c r="F301" s="9" t="s">
        <v>1189</v>
      </c>
      <c r="G301" s="9" t="s">
        <v>39</v>
      </c>
      <c r="H301" s="9">
        <v>53</v>
      </c>
      <c r="I301" s="9" t="s">
        <v>40</v>
      </c>
      <c r="J301" s="9">
        <v>5309</v>
      </c>
      <c r="K301" s="9" t="s">
        <v>41</v>
      </c>
      <c r="L301" s="9">
        <v>5309073</v>
      </c>
      <c r="M301" s="9">
        <v>5309073001</v>
      </c>
      <c r="N301" s="9" t="s">
        <v>42</v>
      </c>
      <c r="O301" s="9">
        <v>10421</v>
      </c>
      <c r="P301" s="9" t="s">
        <v>1190</v>
      </c>
      <c r="Q301" s="10">
        <v>3</v>
      </c>
      <c r="R301" s="10">
        <v>0</v>
      </c>
      <c r="S301" s="10">
        <v>150000</v>
      </c>
      <c r="T301" s="10">
        <v>0</v>
      </c>
      <c r="U301" s="10">
        <v>160000</v>
      </c>
      <c r="V301" s="10">
        <v>0</v>
      </c>
      <c r="W301" s="10">
        <v>310000</v>
      </c>
      <c r="X301" s="10">
        <v>6000000</v>
      </c>
      <c r="Y301" s="10">
        <v>0</v>
      </c>
      <c r="Z301" s="10">
        <v>5690000</v>
      </c>
      <c r="AA301" s="10">
        <v>18000000</v>
      </c>
      <c r="AB301" s="10">
        <v>6000000</v>
      </c>
      <c r="AC301" s="10">
        <v>0</v>
      </c>
      <c r="AD301" s="9" t="s">
        <v>44</v>
      </c>
      <c r="AE301" s="10" t="s">
        <v>2439</v>
      </c>
      <c r="AF301" s="10">
        <v>2000000</v>
      </c>
      <c r="AG301" s="10">
        <v>0</v>
      </c>
      <c r="AH301" s="10">
        <v>1</v>
      </c>
      <c r="AI301" s="10">
        <v>1</v>
      </c>
      <c r="AJ301" s="12" t="s">
        <v>1191</v>
      </c>
      <c r="AK301" s="10">
        <v>0</v>
      </c>
      <c r="AL301" s="10">
        <v>0</v>
      </c>
      <c r="AM301" s="9">
        <v>2008</v>
      </c>
      <c r="AN301" s="10">
        <v>0</v>
      </c>
      <c r="AO301" s="10">
        <v>3</v>
      </c>
      <c r="AP301" s="6"/>
      <c r="AQ301" s="7"/>
      <c r="AR301" s="8"/>
      <c r="AS301" s="4">
        <f t="shared" si="12"/>
        <v>310000</v>
      </c>
      <c r="AT301" s="4">
        <f t="shared" si="13"/>
        <v>3480001.2231990239</v>
      </c>
      <c r="AU301" s="4">
        <f t="shared" si="14"/>
        <v>2519998.7768009761</v>
      </c>
      <c r="AV301" s="9" t="s">
        <v>1190</v>
      </c>
      <c r="AW301" s="12" t="s">
        <v>1191</v>
      </c>
      <c r="AX301" s="10">
        <v>0</v>
      </c>
      <c r="AY301">
        <f>S301*AU301/AS301</f>
        <v>1219354.246839182</v>
      </c>
      <c r="AZ301">
        <f>AU301-AY301</f>
        <v>1300644.5299617941</v>
      </c>
      <c r="BA301" s="10">
        <v>6000000</v>
      </c>
      <c r="BB301" s="10">
        <v>0</v>
      </c>
      <c r="BC301" s="9" t="s">
        <v>42</v>
      </c>
      <c r="BD301" s="9">
        <v>10421</v>
      </c>
      <c r="BE301" t="s">
        <v>46</v>
      </c>
    </row>
    <row r="302" spans="1:57" ht="270.75" thickBot="1" x14ac:dyDescent="0.3">
      <c r="A302" s="9" t="s">
        <v>1192</v>
      </c>
      <c r="B302" s="9">
        <v>3001</v>
      </c>
      <c r="C302" s="10">
        <v>2</v>
      </c>
      <c r="D302" s="9" t="s">
        <v>37</v>
      </c>
      <c r="E302" s="11">
        <v>46267.934438900462</v>
      </c>
      <c r="F302" s="9" t="s">
        <v>1193</v>
      </c>
      <c r="G302" s="9" t="s">
        <v>39</v>
      </c>
      <c r="H302" s="9">
        <v>53</v>
      </c>
      <c r="I302" s="9" t="s">
        <v>40</v>
      </c>
      <c r="J302" s="9">
        <v>5309</v>
      </c>
      <c r="K302" s="9" t="s">
        <v>41</v>
      </c>
      <c r="L302" s="9">
        <v>5309073</v>
      </c>
      <c r="M302" s="9">
        <v>5309073011</v>
      </c>
      <c r="N302" s="9" t="s">
        <v>42</v>
      </c>
      <c r="O302" s="9">
        <v>10421</v>
      </c>
      <c r="P302" s="9" t="s">
        <v>1194</v>
      </c>
      <c r="Q302" s="10">
        <v>2</v>
      </c>
      <c r="R302" s="10">
        <v>480000</v>
      </c>
      <c r="S302" s="10">
        <v>200000</v>
      </c>
      <c r="T302" s="10">
        <v>0</v>
      </c>
      <c r="U302" s="10">
        <v>300000</v>
      </c>
      <c r="V302" s="10">
        <v>0</v>
      </c>
      <c r="W302" s="10">
        <v>980000</v>
      </c>
      <c r="X302" s="10">
        <v>2800000</v>
      </c>
      <c r="Y302" s="10">
        <v>0</v>
      </c>
      <c r="Z302" s="10">
        <v>2300000</v>
      </c>
      <c r="AA302" s="10">
        <v>7000000</v>
      </c>
      <c r="AB302" s="10">
        <v>2800000</v>
      </c>
      <c r="AC302" s="10">
        <v>0</v>
      </c>
      <c r="AD302" s="9" t="s">
        <v>44</v>
      </c>
      <c r="AE302" s="10" t="s">
        <v>2384</v>
      </c>
      <c r="AF302" s="10">
        <v>1400000</v>
      </c>
      <c r="AG302" s="10">
        <v>0</v>
      </c>
      <c r="AH302" s="10">
        <v>1</v>
      </c>
      <c r="AI302" s="10">
        <v>1</v>
      </c>
      <c r="AJ302" s="12" t="s">
        <v>1195</v>
      </c>
      <c r="AK302" s="10">
        <v>0</v>
      </c>
      <c r="AL302" s="10">
        <v>0</v>
      </c>
      <c r="AM302" s="9">
        <v>2015</v>
      </c>
      <c r="AN302" s="10">
        <v>1</v>
      </c>
      <c r="AO302" s="10">
        <v>1</v>
      </c>
      <c r="AP302" s="6"/>
      <c r="AQ302" s="7"/>
      <c r="AR302" s="8"/>
      <c r="AS302" s="4">
        <f t="shared" si="12"/>
        <v>500000</v>
      </c>
      <c r="AT302" s="4">
        <f t="shared" si="13"/>
        <v>1623999.1526960942</v>
      </c>
      <c r="AU302" s="4">
        <f t="shared" si="14"/>
        <v>1176000.8473039058</v>
      </c>
      <c r="AV302" s="9" t="s">
        <v>1194</v>
      </c>
      <c r="AW302" s="12" t="s">
        <v>1195</v>
      </c>
      <c r="AX302" s="10">
        <v>0</v>
      </c>
      <c r="AY302">
        <f>S302*AU302/AS302</f>
        <v>470400.3389215623</v>
      </c>
      <c r="AZ302">
        <f>AU302-AY302</f>
        <v>705600.50838234345</v>
      </c>
      <c r="BA302" s="10">
        <v>2800000</v>
      </c>
      <c r="BB302" s="10">
        <v>0</v>
      </c>
      <c r="BC302" s="9" t="s">
        <v>42</v>
      </c>
      <c r="BD302" s="9">
        <v>10421</v>
      </c>
      <c r="BE302" t="s">
        <v>46</v>
      </c>
    </row>
    <row r="303" spans="1:57" ht="270.75" thickBot="1" x14ac:dyDescent="0.3">
      <c r="A303" s="9" t="s">
        <v>1196</v>
      </c>
      <c r="B303" s="9">
        <v>1001</v>
      </c>
      <c r="C303" s="10">
        <v>2</v>
      </c>
      <c r="D303" s="9" t="s">
        <v>37</v>
      </c>
      <c r="E303" s="14">
        <v>46245.632685185185</v>
      </c>
      <c r="F303" s="9" t="s">
        <v>1197</v>
      </c>
      <c r="G303" s="9" t="s">
        <v>39</v>
      </c>
      <c r="H303" s="9">
        <v>53</v>
      </c>
      <c r="I303" s="9" t="s">
        <v>40</v>
      </c>
      <c r="J303" s="9">
        <v>5309</v>
      </c>
      <c r="K303" s="9" t="s">
        <v>41</v>
      </c>
      <c r="L303" s="9">
        <v>5309062</v>
      </c>
      <c r="M303" s="9">
        <v>5309062006</v>
      </c>
      <c r="N303" s="9" t="s">
        <v>42</v>
      </c>
      <c r="O303" s="9">
        <v>10421</v>
      </c>
      <c r="P303" s="9" t="s">
        <v>1198</v>
      </c>
      <c r="Q303" s="10">
        <v>5</v>
      </c>
      <c r="R303" s="10">
        <v>300000</v>
      </c>
      <c r="S303" s="10">
        <v>100000</v>
      </c>
      <c r="T303" s="10">
        <v>0</v>
      </c>
      <c r="U303" s="10">
        <v>150000</v>
      </c>
      <c r="V303" s="10">
        <v>0</v>
      </c>
      <c r="W303" s="10">
        <v>550000</v>
      </c>
      <c r="X303" s="10">
        <v>8400000</v>
      </c>
      <c r="Y303" s="10">
        <v>0</v>
      </c>
      <c r="Z303" s="10">
        <v>8150000</v>
      </c>
      <c r="AA303" s="10">
        <v>2400000</v>
      </c>
      <c r="AB303" s="10">
        <v>8400000</v>
      </c>
      <c r="AC303" s="10">
        <v>0</v>
      </c>
      <c r="AD303" s="9" t="s">
        <v>44</v>
      </c>
      <c r="AE303" s="10" t="s">
        <v>2404</v>
      </c>
      <c r="AF303" s="10">
        <v>1680000</v>
      </c>
      <c r="AG303" s="10">
        <v>1</v>
      </c>
      <c r="AH303" s="10">
        <v>1</v>
      </c>
      <c r="AI303" s="10">
        <v>1</v>
      </c>
      <c r="AJ303" s="12" t="s">
        <v>1199</v>
      </c>
      <c r="AK303" s="10">
        <v>0</v>
      </c>
      <c r="AL303" s="10">
        <v>0</v>
      </c>
      <c r="AM303" s="9">
        <v>2020</v>
      </c>
      <c r="AN303" s="10">
        <v>3</v>
      </c>
      <c r="AO303" s="10">
        <v>2</v>
      </c>
      <c r="AP303" s="6"/>
      <c r="AQ303" s="7"/>
      <c r="AR303" s="8"/>
      <c r="AS303" s="4">
        <f t="shared" si="12"/>
        <v>250000</v>
      </c>
      <c r="AT303" s="4">
        <f t="shared" si="13"/>
        <v>4872000.4782331754</v>
      </c>
      <c r="AU303" s="4">
        <f t="shared" si="14"/>
        <v>3527999.5217668246</v>
      </c>
      <c r="AV303" s="9" t="s">
        <v>1198</v>
      </c>
      <c r="AW303" s="12" t="s">
        <v>1199</v>
      </c>
      <c r="AX303" s="10">
        <v>0</v>
      </c>
      <c r="AY303">
        <f>S303*AU303/AS303</f>
        <v>1411199.8087067299</v>
      </c>
      <c r="AZ303">
        <f>AU303-AY303</f>
        <v>2116799.713060095</v>
      </c>
      <c r="BA303" s="10">
        <v>8400000</v>
      </c>
      <c r="BB303" s="10">
        <v>0</v>
      </c>
      <c r="BC303" s="9" t="s">
        <v>42</v>
      </c>
      <c r="BD303" s="9">
        <v>10421</v>
      </c>
      <c r="BE303" t="s">
        <v>46</v>
      </c>
    </row>
    <row r="304" spans="1:57" ht="270.75" thickBot="1" x14ac:dyDescent="0.3">
      <c r="A304" s="9" t="s">
        <v>1200</v>
      </c>
      <c r="B304" s="9">
        <v>1001</v>
      </c>
      <c r="C304" s="10">
        <v>2</v>
      </c>
      <c r="D304" s="9" t="s">
        <v>37</v>
      </c>
      <c r="E304" s="11">
        <v>46227.280383773148</v>
      </c>
      <c r="F304" s="9" t="s">
        <v>1201</v>
      </c>
      <c r="G304" s="9" t="s">
        <v>39</v>
      </c>
      <c r="H304" s="9">
        <v>53</v>
      </c>
      <c r="I304" s="9" t="s">
        <v>40</v>
      </c>
      <c r="J304" s="9">
        <v>5309</v>
      </c>
      <c r="K304" s="9" t="s">
        <v>41</v>
      </c>
      <c r="L304" s="9">
        <v>5309062</v>
      </c>
      <c r="M304" s="9">
        <v>5309062007</v>
      </c>
      <c r="N304" s="9" t="s">
        <v>42</v>
      </c>
      <c r="O304" s="9">
        <v>10421</v>
      </c>
      <c r="P304" s="9" t="s">
        <v>1202</v>
      </c>
      <c r="Q304" s="10">
        <v>3</v>
      </c>
      <c r="R304" s="10">
        <v>800000</v>
      </c>
      <c r="S304" s="10">
        <v>250000</v>
      </c>
      <c r="T304" s="10">
        <v>0</v>
      </c>
      <c r="U304" s="10">
        <v>300000</v>
      </c>
      <c r="V304" s="10">
        <v>0</v>
      </c>
      <c r="W304" s="10">
        <v>1350000</v>
      </c>
      <c r="X304" s="10">
        <v>21200000</v>
      </c>
      <c r="Y304" s="10">
        <v>0</v>
      </c>
      <c r="Z304" s="10">
        <v>20650000</v>
      </c>
      <c r="AA304" s="10">
        <v>4800000</v>
      </c>
      <c r="AB304" s="10">
        <v>21200000</v>
      </c>
      <c r="AC304" s="10">
        <v>0</v>
      </c>
      <c r="AD304" s="9" t="s">
        <v>44</v>
      </c>
      <c r="AE304" s="10" t="s">
        <v>2440</v>
      </c>
      <c r="AF304" s="13">
        <v>7066666667</v>
      </c>
      <c r="AG304" s="10">
        <v>1</v>
      </c>
      <c r="AH304" s="10">
        <v>1</v>
      </c>
      <c r="AI304" s="10">
        <v>1</v>
      </c>
      <c r="AJ304" s="12" t="s">
        <v>1203</v>
      </c>
      <c r="AK304" s="10">
        <v>0</v>
      </c>
      <c r="AL304" s="10">
        <v>0</v>
      </c>
      <c r="AM304" s="9">
        <v>2022</v>
      </c>
      <c r="AN304" s="10">
        <v>1</v>
      </c>
      <c r="AO304" s="10">
        <v>2</v>
      </c>
      <c r="AP304" s="6"/>
      <c r="AQ304" s="7"/>
      <c r="AR304" s="8"/>
      <c r="AS304" s="4">
        <f t="shared" si="12"/>
        <v>550000</v>
      </c>
      <c r="AT304" s="4">
        <f t="shared" si="13"/>
        <v>12295994.998239323</v>
      </c>
      <c r="AU304" s="4">
        <f t="shared" si="14"/>
        <v>8904005.0017606765</v>
      </c>
      <c r="AV304" s="9" t="s">
        <v>1202</v>
      </c>
      <c r="AW304" s="12" t="s">
        <v>1203</v>
      </c>
      <c r="AX304" s="10">
        <v>0</v>
      </c>
      <c r="AY304">
        <f>S304*AU304/AS304</f>
        <v>4047275.0008003074</v>
      </c>
      <c r="AZ304">
        <f>AU304-AY304</f>
        <v>4856730.0009603687</v>
      </c>
      <c r="BA304" s="10">
        <v>21200000</v>
      </c>
      <c r="BB304" s="10">
        <v>0</v>
      </c>
      <c r="BC304" s="9" t="s">
        <v>42</v>
      </c>
      <c r="BD304" s="9">
        <v>10421</v>
      </c>
      <c r="BE304" t="s">
        <v>46</v>
      </c>
    </row>
    <row r="305" spans="1:57" ht="270.75" thickBot="1" x14ac:dyDescent="0.3">
      <c r="A305" s="9" t="s">
        <v>1204</v>
      </c>
      <c r="B305" s="9">
        <v>3001</v>
      </c>
      <c r="C305" s="10">
        <v>2</v>
      </c>
      <c r="D305" s="9" t="s">
        <v>37</v>
      </c>
      <c r="E305" s="11">
        <v>46204.313232939814</v>
      </c>
      <c r="F305" s="9" t="s">
        <v>1205</v>
      </c>
      <c r="G305" s="9" t="s">
        <v>39</v>
      </c>
      <c r="H305" s="9">
        <v>53</v>
      </c>
      <c r="I305" s="9" t="s">
        <v>40</v>
      </c>
      <c r="J305" s="9">
        <v>5309</v>
      </c>
      <c r="K305" s="9" t="s">
        <v>41</v>
      </c>
      <c r="L305" s="9">
        <v>5309074</v>
      </c>
      <c r="M305" s="9">
        <v>5309074001</v>
      </c>
      <c r="N305" s="9" t="s">
        <v>42</v>
      </c>
      <c r="O305" s="9">
        <v>10421</v>
      </c>
      <c r="P305" s="9" t="s">
        <v>1206</v>
      </c>
      <c r="Q305" s="10">
        <v>3</v>
      </c>
      <c r="R305" s="10">
        <v>600000</v>
      </c>
      <c r="S305" s="10">
        <v>150000</v>
      </c>
      <c r="T305" s="10">
        <v>0</v>
      </c>
      <c r="U305" s="10">
        <v>100000</v>
      </c>
      <c r="V305" s="10">
        <v>0</v>
      </c>
      <c r="W305" s="10">
        <v>850000</v>
      </c>
      <c r="X305" s="10">
        <v>6850000</v>
      </c>
      <c r="Y305" s="10">
        <v>500000</v>
      </c>
      <c r="Z305" s="10">
        <v>6600000</v>
      </c>
      <c r="AA305" s="10">
        <v>4000000</v>
      </c>
      <c r="AB305" s="10">
        <v>6850000</v>
      </c>
      <c r="AC305" s="10">
        <v>0</v>
      </c>
      <c r="AD305" s="9" t="s">
        <v>44</v>
      </c>
      <c r="AE305" s="10" t="s">
        <v>2441</v>
      </c>
      <c r="AF305" s="13">
        <v>2283333333</v>
      </c>
      <c r="AG305" s="10">
        <v>1</v>
      </c>
      <c r="AH305" s="10">
        <v>1</v>
      </c>
      <c r="AI305" s="10">
        <v>1</v>
      </c>
      <c r="AJ305" s="12" t="s">
        <v>1207</v>
      </c>
      <c r="AK305" s="10">
        <v>0</v>
      </c>
      <c r="AL305" s="10">
        <v>0</v>
      </c>
      <c r="AM305" s="9">
        <v>2023</v>
      </c>
      <c r="AN305" s="10">
        <v>1</v>
      </c>
      <c r="AO305" s="10">
        <v>2</v>
      </c>
      <c r="AP305" s="6"/>
      <c r="AQ305" s="7"/>
      <c r="AR305" s="8"/>
      <c r="AS305" s="4">
        <f t="shared" si="12"/>
        <v>250000</v>
      </c>
      <c r="AT305" s="4">
        <f t="shared" si="13"/>
        <v>3972998.5552732521</v>
      </c>
      <c r="AU305" s="4">
        <f t="shared" si="14"/>
        <v>2877001.4447267479</v>
      </c>
      <c r="AV305" s="9" t="s">
        <v>1206</v>
      </c>
      <c r="AW305" s="12" t="s">
        <v>1207</v>
      </c>
      <c r="AX305" s="10">
        <v>0</v>
      </c>
      <c r="AY305">
        <f>S305*AU305/AS305</f>
        <v>1726200.8668360489</v>
      </c>
      <c r="AZ305">
        <f>AU305-AY305</f>
        <v>1150800.577890699</v>
      </c>
      <c r="BA305" s="10">
        <v>6850000</v>
      </c>
      <c r="BB305" s="10">
        <v>500000</v>
      </c>
      <c r="BC305" s="9" t="s">
        <v>42</v>
      </c>
      <c r="BD305" s="9">
        <v>10421</v>
      </c>
      <c r="BE305" t="s">
        <v>46</v>
      </c>
    </row>
    <row r="306" spans="1:57" ht="270.75" thickBot="1" x14ac:dyDescent="0.3">
      <c r="A306" s="9" t="s">
        <v>1208</v>
      </c>
      <c r="B306" s="9">
        <v>3001</v>
      </c>
      <c r="C306" s="10">
        <v>2</v>
      </c>
      <c r="D306" s="9" t="s">
        <v>37</v>
      </c>
      <c r="E306" s="11">
        <v>46264.230135231483</v>
      </c>
      <c r="F306" s="9" t="s">
        <v>1209</v>
      </c>
      <c r="G306" s="9" t="s">
        <v>39</v>
      </c>
      <c r="H306" s="9">
        <v>53</v>
      </c>
      <c r="I306" s="9" t="s">
        <v>40</v>
      </c>
      <c r="J306" s="9">
        <v>5309</v>
      </c>
      <c r="K306" s="9" t="s">
        <v>41</v>
      </c>
      <c r="L306" s="9">
        <v>5309074</v>
      </c>
      <c r="M306" s="9">
        <v>5309074006</v>
      </c>
      <c r="N306" s="9" t="s">
        <v>42</v>
      </c>
      <c r="O306" s="9">
        <v>10421</v>
      </c>
      <c r="P306" s="9" t="s">
        <v>49</v>
      </c>
      <c r="Q306" s="10">
        <v>2</v>
      </c>
      <c r="R306" s="10">
        <v>0</v>
      </c>
      <c r="S306" s="10">
        <v>200000</v>
      </c>
      <c r="T306" s="10">
        <v>0</v>
      </c>
      <c r="U306" s="10">
        <v>50000</v>
      </c>
      <c r="V306" s="10">
        <v>0</v>
      </c>
      <c r="W306" s="10">
        <v>250000</v>
      </c>
      <c r="X306" s="10">
        <v>3500000</v>
      </c>
      <c r="Y306" s="10">
        <v>0</v>
      </c>
      <c r="Z306" s="10">
        <v>3250000</v>
      </c>
      <c r="AA306" s="10">
        <v>2000000</v>
      </c>
      <c r="AB306" s="10">
        <v>3500000</v>
      </c>
      <c r="AC306" s="10">
        <v>0</v>
      </c>
      <c r="AD306" s="9" t="s">
        <v>44</v>
      </c>
      <c r="AE306" s="10" t="s">
        <v>2442</v>
      </c>
      <c r="AF306" s="10">
        <v>1750000</v>
      </c>
      <c r="AG306" s="10">
        <v>1</v>
      </c>
      <c r="AH306" s="10">
        <v>1</v>
      </c>
      <c r="AI306" s="10">
        <v>1</v>
      </c>
      <c r="AJ306" s="12" t="s">
        <v>1210</v>
      </c>
      <c r="AK306" s="10">
        <v>0</v>
      </c>
      <c r="AL306" s="10">
        <v>0</v>
      </c>
      <c r="AM306" s="9">
        <v>2000</v>
      </c>
      <c r="AN306" s="10">
        <v>0</v>
      </c>
      <c r="AO306" s="10">
        <v>2</v>
      </c>
      <c r="AP306" s="6"/>
      <c r="AQ306" s="7"/>
      <c r="AR306" s="8"/>
      <c r="AS306" s="4">
        <f t="shared" si="12"/>
        <v>250000</v>
      </c>
      <c r="AT306" s="4">
        <f t="shared" si="13"/>
        <v>2030000.936923509</v>
      </c>
      <c r="AU306" s="4">
        <f t="shared" si="14"/>
        <v>1469999.063076491</v>
      </c>
      <c r="AV306" s="9" t="s">
        <v>49</v>
      </c>
      <c r="AW306" s="12" t="s">
        <v>1210</v>
      </c>
      <c r="AX306" s="10">
        <v>0</v>
      </c>
      <c r="AY306">
        <f>S306*AU306/AS306</f>
        <v>1175999.2504611928</v>
      </c>
      <c r="AZ306">
        <f>AU306-AY306</f>
        <v>293999.8126152982</v>
      </c>
      <c r="BA306" s="10">
        <v>3500000</v>
      </c>
      <c r="BB306" s="10">
        <v>0</v>
      </c>
      <c r="BC306" s="9" t="s">
        <v>42</v>
      </c>
      <c r="BD306" s="9">
        <v>10421</v>
      </c>
      <c r="BE306" t="s">
        <v>46</v>
      </c>
    </row>
    <row r="307" spans="1:57" ht="270.75" thickBot="1" x14ac:dyDescent="0.3">
      <c r="A307" s="9" t="s">
        <v>1211</v>
      </c>
      <c r="B307" s="9">
        <v>3003</v>
      </c>
      <c r="C307" s="10">
        <v>2</v>
      </c>
      <c r="D307" s="9" t="s">
        <v>37</v>
      </c>
      <c r="E307" s="11">
        <v>46272.923427442132</v>
      </c>
      <c r="F307" s="9" t="s">
        <v>1212</v>
      </c>
      <c r="G307" s="9" t="s">
        <v>39</v>
      </c>
      <c r="H307" s="9">
        <v>53</v>
      </c>
      <c r="I307" s="9" t="s">
        <v>40</v>
      </c>
      <c r="J307" s="9">
        <v>5309</v>
      </c>
      <c r="K307" s="9" t="s">
        <v>41</v>
      </c>
      <c r="L307" s="9">
        <v>5309074</v>
      </c>
      <c r="M307" s="9">
        <v>5309074007</v>
      </c>
      <c r="N307" s="9" t="s">
        <v>42</v>
      </c>
      <c r="O307" s="9">
        <v>10421</v>
      </c>
      <c r="P307" s="9" t="s">
        <v>152</v>
      </c>
      <c r="Q307" s="10">
        <v>4</v>
      </c>
      <c r="R307" s="10">
        <v>3700000</v>
      </c>
      <c r="S307" s="10">
        <v>5000000</v>
      </c>
      <c r="T307" s="10">
        <v>0</v>
      </c>
      <c r="U307" s="10">
        <v>500000</v>
      </c>
      <c r="V307" s="10">
        <v>0</v>
      </c>
      <c r="W307" s="10">
        <v>9200000</v>
      </c>
      <c r="X307" s="10">
        <v>25000000</v>
      </c>
      <c r="Y307" s="10">
        <v>0</v>
      </c>
      <c r="Z307" s="10">
        <v>19500000</v>
      </c>
      <c r="AA307" s="10">
        <v>3600000</v>
      </c>
      <c r="AB307" s="10">
        <v>25000000</v>
      </c>
      <c r="AC307" s="10">
        <v>0</v>
      </c>
      <c r="AD307" s="9" t="s">
        <v>44</v>
      </c>
      <c r="AE307" s="10" t="s">
        <v>65</v>
      </c>
      <c r="AF307" s="10">
        <v>6250000</v>
      </c>
      <c r="AG307" s="10">
        <v>1</v>
      </c>
      <c r="AH307" s="10">
        <v>1</v>
      </c>
      <c r="AI307" s="10">
        <v>1</v>
      </c>
      <c r="AJ307" s="12" t="s">
        <v>1213</v>
      </c>
      <c r="AK307" s="10">
        <v>0</v>
      </c>
      <c r="AL307" s="10">
        <v>0</v>
      </c>
      <c r="AM307" s="9">
        <v>2015</v>
      </c>
      <c r="AN307" s="10">
        <v>3</v>
      </c>
      <c r="AO307" s="10">
        <v>1</v>
      </c>
      <c r="AP307" s="6"/>
      <c r="AQ307" s="7"/>
      <c r="AR307" s="8"/>
      <c r="AS307" s="4">
        <f t="shared" si="12"/>
        <v>5500000</v>
      </c>
      <c r="AT307" s="4">
        <f t="shared" si="13"/>
        <v>14500000</v>
      </c>
      <c r="AU307" s="4">
        <f t="shared" si="14"/>
        <v>10500000</v>
      </c>
      <c r="AV307" s="9" t="s">
        <v>152</v>
      </c>
      <c r="AW307" s="12" t="s">
        <v>1213</v>
      </c>
      <c r="AX307" s="10">
        <v>0</v>
      </c>
      <c r="AY307">
        <f>S307*AU307/AS307</f>
        <v>9545454.5454545449</v>
      </c>
      <c r="AZ307">
        <f>AU307-AY307</f>
        <v>954545.45454545505</v>
      </c>
      <c r="BA307" s="10">
        <v>25000000</v>
      </c>
      <c r="BB307" s="10">
        <v>0</v>
      </c>
      <c r="BC307" s="9" t="s">
        <v>42</v>
      </c>
      <c r="BD307" s="9">
        <v>10421</v>
      </c>
      <c r="BE307" t="s">
        <v>46</v>
      </c>
    </row>
    <row r="308" spans="1:57" ht="270.75" thickBot="1" x14ac:dyDescent="0.3">
      <c r="A308" s="9" t="s">
        <v>1214</v>
      </c>
      <c r="B308" s="9">
        <v>3001</v>
      </c>
      <c r="C308" s="10">
        <v>2</v>
      </c>
      <c r="D308" s="9" t="s">
        <v>37</v>
      </c>
      <c r="E308" s="11">
        <v>46258.618456331016</v>
      </c>
      <c r="F308" s="9" t="s">
        <v>1215</v>
      </c>
      <c r="G308" s="9" t="s">
        <v>39</v>
      </c>
      <c r="H308" s="9">
        <v>53</v>
      </c>
      <c r="I308" s="9" t="s">
        <v>40</v>
      </c>
      <c r="J308" s="9">
        <v>5309</v>
      </c>
      <c r="K308" s="9" t="s">
        <v>41</v>
      </c>
      <c r="L308" s="9">
        <v>5309073</v>
      </c>
      <c r="M308" s="9">
        <v>5309073006</v>
      </c>
      <c r="N308" s="9" t="s">
        <v>42</v>
      </c>
      <c r="O308" s="9">
        <v>10421</v>
      </c>
      <c r="P308" s="9" t="s">
        <v>1216</v>
      </c>
      <c r="Q308" s="10">
        <v>3</v>
      </c>
      <c r="R308" s="10">
        <v>650000</v>
      </c>
      <c r="S308" s="10">
        <v>300000</v>
      </c>
      <c r="T308" s="10">
        <v>0</v>
      </c>
      <c r="U308" s="10">
        <v>0</v>
      </c>
      <c r="V308" s="10">
        <v>0</v>
      </c>
      <c r="W308" s="10">
        <v>950000</v>
      </c>
      <c r="X308" s="10">
        <v>8000000</v>
      </c>
      <c r="Y308" s="10">
        <v>0</v>
      </c>
      <c r="Z308" s="10">
        <v>7700000</v>
      </c>
      <c r="AA308" s="10">
        <v>5450000</v>
      </c>
      <c r="AB308" s="10">
        <v>8000000</v>
      </c>
      <c r="AC308" s="10">
        <v>0</v>
      </c>
      <c r="AD308" s="9" t="s">
        <v>44</v>
      </c>
      <c r="AE308" s="10" t="s">
        <v>2223</v>
      </c>
      <c r="AF308" s="13">
        <v>2666666667</v>
      </c>
      <c r="AG308" s="10">
        <v>1</v>
      </c>
      <c r="AH308" s="10">
        <v>1</v>
      </c>
      <c r="AI308" s="10">
        <v>1</v>
      </c>
      <c r="AJ308" s="12" t="s">
        <v>1217</v>
      </c>
      <c r="AK308" s="10">
        <v>0</v>
      </c>
      <c r="AL308" s="10">
        <v>0</v>
      </c>
      <c r="AM308" s="9">
        <v>2010</v>
      </c>
      <c r="AN308" s="10">
        <v>1</v>
      </c>
      <c r="AO308" s="10">
        <v>2</v>
      </c>
      <c r="AP308" s="6"/>
      <c r="AQ308" s="7"/>
      <c r="AR308" s="8"/>
      <c r="AS308" s="4">
        <f t="shared" si="12"/>
        <v>300000</v>
      </c>
      <c r="AT308" s="4">
        <f t="shared" si="13"/>
        <v>4640000</v>
      </c>
      <c r="AU308" s="4">
        <f t="shared" si="14"/>
        <v>3360000</v>
      </c>
      <c r="AV308" s="9" t="s">
        <v>1216</v>
      </c>
      <c r="AW308" s="12" t="s">
        <v>1217</v>
      </c>
      <c r="AX308" s="10">
        <v>0</v>
      </c>
      <c r="AY308">
        <f>S308*AU308/AS308</f>
        <v>3360000</v>
      </c>
      <c r="AZ308">
        <f>AU308-AY308</f>
        <v>0</v>
      </c>
      <c r="BA308" s="10">
        <v>8000000</v>
      </c>
      <c r="BB308" s="10">
        <v>0</v>
      </c>
      <c r="BC308" s="9" t="s">
        <v>42</v>
      </c>
      <c r="BD308" s="9">
        <v>10421</v>
      </c>
      <c r="BE308" t="s">
        <v>46</v>
      </c>
    </row>
    <row r="309" spans="1:57" ht="255.75" thickBot="1" x14ac:dyDescent="0.3">
      <c r="A309" s="9" t="s">
        <v>1218</v>
      </c>
      <c r="B309" s="9">
        <v>3001</v>
      </c>
      <c r="C309" s="10">
        <v>2</v>
      </c>
      <c r="D309" s="9" t="s">
        <v>37</v>
      </c>
      <c r="E309" s="14">
        <v>46239.518067129633</v>
      </c>
      <c r="F309" s="9" t="s">
        <v>1219</v>
      </c>
      <c r="G309" s="9" t="s">
        <v>39</v>
      </c>
      <c r="H309" s="9">
        <v>53</v>
      </c>
      <c r="I309" s="9" t="s">
        <v>40</v>
      </c>
      <c r="J309" s="9">
        <v>5309</v>
      </c>
      <c r="K309" s="9" t="s">
        <v>41</v>
      </c>
      <c r="L309" s="9">
        <v>5309062</v>
      </c>
      <c r="M309" s="9">
        <v>5309062005</v>
      </c>
      <c r="N309" s="9" t="s">
        <v>42</v>
      </c>
      <c r="O309" s="9">
        <v>10421</v>
      </c>
      <c r="P309" s="9" t="s">
        <v>1220</v>
      </c>
      <c r="Q309" s="10">
        <v>1</v>
      </c>
      <c r="R309" s="10">
        <v>0</v>
      </c>
      <c r="S309" s="10">
        <v>150000</v>
      </c>
      <c r="T309" s="10">
        <v>0</v>
      </c>
      <c r="U309" s="10">
        <v>0</v>
      </c>
      <c r="V309" s="10">
        <v>0</v>
      </c>
      <c r="W309" s="10">
        <v>150000</v>
      </c>
      <c r="X309" s="10">
        <v>3500000</v>
      </c>
      <c r="Y309" s="10">
        <v>0</v>
      </c>
      <c r="Z309" s="10">
        <v>3350000</v>
      </c>
      <c r="AA309" s="10">
        <v>650000</v>
      </c>
      <c r="AB309" s="10">
        <v>3500000</v>
      </c>
      <c r="AC309" s="10">
        <v>0</v>
      </c>
      <c r="AD309" s="9" t="s">
        <v>44</v>
      </c>
      <c r="AE309" s="10" t="s">
        <v>2443</v>
      </c>
      <c r="AF309" s="10">
        <v>3500000</v>
      </c>
      <c r="AG309" s="10">
        <v>1</v>
      </c>
      <c r="AH309" s="10">
        <v>1</v>
      </c>
      <c r="AI309" s="10">
        <v>1</v>
      </c>
      <c r="AJ309" s="12" t="s">
        <v>1221</v>
      </c>
      <c r="AK309" s="10">
        <v>0</v>
      </c>
      <c r="AL309" s="10">
        <v>0</v>
      </c>
      <c r="AM309" s="9">
        <v>2020</v>
      </c>
      <c r="AN309" s="10">
        <v>0</v>
      </c>
      <c r="AO309" s="10">
        <v>1</v>
      </c>
      <c r="AP309" s="6"/>
      <c r="AQ309" s="7"/>
      <c r="AR309" s="8"/>
      <c r="AS309" s="4">
        <f t="shared" si="12"/>
        <v>150000</v>
      </c>
      <c r="AT309" s="4">
        <f t="shared" si="13"/>
        <v>2029999.6970149705</v>
      </c>
      <c r="AU309" s="4">
        <f t="shared" si="14"/>
        <v>1470000.3029850295</v>
      </c>
      <c r="AV309" s="9" t="s">
        <v>1220</v>
      </c>
      <c r="AW309" s="12" t="s">
        <v>1221</v>
      </c>
      <c r="AX309" s="10">
        <v>0</v>
      </c>
      <c r="AY309">
        <f>S309*AU309/AS309</f>
        <v>1470000.3029850295</v>
      </c>
      <c r="AZ309">
        <f>AU309-AY309</f>
        <v>0</v>
      </c>
      <c r="BA309" s="10">
        <v>3500000</v>
      </c>
      <c r="BB309" s="10">
        <v>0</v>
      </c>
      <c r="BC309" s="9" t="s">
        <v>42</v>
      </c>
      <c r="BD309" s="9">
        <v>10421</v>
      </c>
      <c r="BE309" t="s">
        <v>46</v>
      </c>
    </row>
    <row r="310" spans="1:57" ht="255.75" thickBot="1" x14ac:dyDescent="0.3">
      <c r="A310" s="9" t="s">
        <v>1222</v>
      </c>
      <c r="B310" s="9">
        <v>3001</v>
      </c>
      <c r="C310" s="10">
        <v>2</v>
      </c>
      <c r="D310" s="9" t="s">
        <v>37</v>
      </c>
      <c r="E310" s="11">
        <v>46207.594958263886</v>
      </c>
      <c r="F310" s="9" t="s">
        <v>1223</v>
      </c>
      <c r="G310" s="9" t="s">
        <v>39</v>
      </c>
      <c r="H310" s="9">
        <v>53</v>
      </c>
      <c r="I310" s="9" t="s">
        <v>40</v>
      </c>
      <c r="J310" s="9">
        <v>5309</v>
      </c>
      <c r="K310" s="9" t="s">
        <v>41</v>
      </c>
      <c r="L310" s="9">
        <v>5309020</v>
      </c>
      <c r="M310" s="9">
        <v>5309020011</v>
      </c>
      <c r="N310" s="9" t="s">
        <v>42</v>
      </c>
      <c r="O310" s="9">
        <v>10421</v>
      </c>
      <c r="P310" s="9" t="s">
        <v>1224</v>
      </c>
      <c r="Q310" s="10">
        <v>1</v>
      </c>
      <c r="R310" s="10">
        <v>0</v>
      </c>
      <c r="S310" s="10">
        <v>600000</v>
      </c>
      <c r="T310" s="10">
        <v>0</v>
      </c>
      <c r="U310" s="10">
        <v>150000</v>
      </c>
      <c r="V310" s="10">
        <v>0</v>
      </c>
      <c r="W310" s="10">
        <v>750000</v>
      </c>
      <c r="X310" s="10">
        <v>3800000</v>
      </c>
      <c r="Y310" s="10">
        <v>0</v>
      </c>
      <c r="Z310" s="10">
        <v>3050000</v>
      </c>
      <c r="AA310" s="10">
        <v>50250000</v>
      </c>
      <c r="AB310" s="10">
        <v>3800000</v>
      </c>
      <c r="AC310" s="10">
        <v>0</v>
      </c>
      <c r="AD310" s="9" t="s">
        <v>44</v>
      </c>
      <c r="AE310" s="10" t="s">
        <v>2444</v>
      </c>
      <c r="AF310" s="10">
        <v>3800000</v>
      </c>
      <c r="AG310" s="10">
        <v>1</v>
      </c>
      <c r="AH310" s="10">
        <v>1</v>
      </c>
      <c r="AI310" s="10">
        <v>1</v>
      </c>
      <c r="AJ310" s="12" t="s">
        <v>1225</v>
      </c>
      <c r="AK310" s="10">
        <v>0</v>
      </c>
      <c r="AL310" s="10">
        <v>0</v>
      </c>
      <c r="AM310" s="9">
        <v>2012</v>
      </c>
      <c r="AN310" s="10">
        <v>0</v>
      </c>
      <c r="AO310" s="10">
        <v>1</v>
      </c>
      <c r="AP310" s="6"/>
      <c r="AQ310" s="7"/>
      <c r="AR310" s="8"/>
      <c r="AS310" s="4">
        <f t="shared" si="12"/>
        <v>750000</v>
      </c>
      <c r="AT310" s="4">
        <f t="shared" si="13"/>
        <v>2203998.8438038849</v>
      </c>
      <c r="AU310" s="4">
        <f t="shared" si="14"/>
        <v>1596001.1561961151</v>
      </c>
      <c r="AV310" s="9" t="s">
        <v>1224</v>
      </c>
      <c r="AW310" s="12" t="s">
        <v>1225</v>
      </c>
      <c r="AX310" s="10">
        <v>0</v>
      </c>
      <c r="AY310">
        <f>S310*AU310/AS310</f>
        <v>1276800.9249568922</v>
      </c>
      <c r="AZ310">
        <f>AU310-AY310</f>
        <v>319200.23123922292</v>
      </c>
      <c r="BA310" s="10">
        <v>3800000</v>
      </c>
      <c r="BB310" s="10">
        <v>0</v>
      </c>
      <c r="BC310" s="9" t="s">
        <v>42</v>
      </c>
      <c r="BD310" s="9">
        <v>10421</v>
      </c>
      <c r="BE310" t="s">
        <v>46</v>
      </c>
    </row>
    <row r="311" spans="1:57" ht="270.75" thickBot="1" x14ac:dyDescent="0.3">
      <c r="A311" s="9" t="s">
        <v>1226</v>
      </c>
      <c r="B311" s="9">
        <v>3001</v>
      </c>
      <c r="C311" s="10">
        <v>2</v>
      </c>
      <c r="D311" s="9" t="s">
        <v>37</v>
      </c>
      <c r="E311" s="14">
        <v>46238.206493055557</v>
      </c>
      <c r="F311" s="9" t="s">
        <v>1227</v>
      </c>
      <c r="G311" s="9" t="s">
        <v>39</v>
      </c>
      <c r="H311" s="9">
        <v>53</v>
      </c>
      <c r="I311" s="9" t="s">
        <v>40</v>
      </c>
      <c r="J311" s="9">
        <v>5309</v>
      </c>
      <c r="K311" s="9" t="s">
        <v>41</v>
      </c>
      <c r="L311" s="9">
        <v>5309074</v>
      </c>
      <c r="M311" s="9">
        <v>5309074007</v>
      </c>
      <c r="N311" s="9" t="s">
        <v>42</v>
      </c>
      <c r="O311" s="9">
        <v>10421</v>
      </c>
      <c r="P311" s="9" t="s">
        <v>152</v>
      </c>
      <c r="Q311" s="10">
        <v>3</v>
      </c>
      <c r="R311" s="10">
        <v>2400000</v>
      </c>
      <c r="S311" s="10">
        <v>2300000</v>
      </c>
      <c r="T311" s="10">
        <v>0</v>
      </c>
      <c r="U311" s="10">
        <v>100000</v>
      </c>
      <c r="V311" s="10">
        <v>0</v>
      </c>
      <c r="W311" s="10">
        <v>4800000</v>
      </c>
      <c r="X311" s="10">
        <v>12100000</v>
      </c>
      <c r="Y311" s="10">
        <v>0</v>
      </c>
      <c r="Z311" s="10">
        <v>9700000</v>
      </c>
      <c r="AA311" s="10">
        <v>575000</v>
      </c>
      <c r="AB311" s="10">
        <v>12100000</v>
      </c>
      <c r="AC311" s="10">
        <v>0</v>
      </c>
      <c r="AD311" s="9" t="s">
        <v>44</v>
      </c>
      <c r="AE311" s="10" t="s">
        <v>2445</v>
      </c>
      <c r="AF311" s="13">
        <v>4033333333</v>
      </c>
      <c r="AG311" s="10">
        <v>1</v>
      </c>
      <c r="AH311" s="10">
        <v>1</v>
      </c>
      <c r="AI311" s="10">
        <v>1</v>
      </c>
      <c r="AJ311" s="12" t="s">
        <v>1228</v>
      </c>
      <c r="AK311" s="10">
        <v>0</v>
      </c>
      <c r="AL311" s="10">
        <v>0</v>
      </c>
      <c r="AM311" s="9">
        <v>1999</v>
      </c>
      <c r="AN311" s="10">
        <v>2</v>
      </c>
      <c r="AO311" s="10">
        <v>1</v>
      </c>
      <c r="AP311" s="6"/>
      <c r="AQ311" s="7"/>
      <c r="AR311" s="8"/>
      <c r="AS311" s="4">
        <f t="shared" si="12"/>
        <v>2400000</v>
      </c>
      <c r="AT311" s="4">
        <f t="shared" si="13"/>
        <v>7017999.0594434254</v>
      </c>
      <c r="AU311" s="4">
        <f t="shared" si="14"/>
        <v>5082000.9405565746</v>
      </c>
      <c r="AV311" s="9" t="s">
        <v>152</v>
      </c>
      <c r="AW311" s="12" t="s">
        <v>1228</v>
      </c>
      <c r="AX311" s="10">
        <v>0</v>
      </c>
      <c r="AY311">
        <f>S311*AU311/AS311</f>
        <v>4870250.9013667172</v>
      </c>
      <c r="AZ311">
        <f>AU311-AY311</f>
        <v>211750.03918985743</v>
      </c>
      <c r="BA311" s="10">
        <v>12100000</v>
      </c>
      <c r="BB311" s="10">
        <v>0</v>
      </c>
      <c r="BC311" s="9" t="s">
        <v>42</v>
      </c>
      <c r="BD311" s="9">
        <v>10421</v>
      </c>
      <c r="BE311" t="s">
        <v>46</v>
      </c>
    </row>
    <row r="312" spans="1:57" ht="270.75" thickBot="1" x14ac:dyDescent="0.3">
      <c r="A312" s="9" t="s">
        <v>1229</v>
      </c>
      <c r="B312" s="9">
        <v>3001</v>
      </c>
      <c r="C312" s="10">
        <v>2</v>
      </c>
      <c r="D312" s="9" t="s">
        <v>37</v>
      </c>
      <c r="E312" s="11">
        <v>46293.103498217592</v>
      </c>
      <c r="F312" s="9" t="s">
        <v>1230</v>
      </c>
      <c r="G312" s="9" t="s">
        <v>39</v>
      </c>
      <c r="H312" s="9">
        <v>53</v>
      </c>
      <c r="I312" s="9" t="s">
        <v>40</v>
      </c>
      <c r="J312" s="9">
        <v>5309</v>
      </c>
      <c r="K312" s="9" t="s">
        <v>41</v>
      </c>
      <c r="L312" s="9">
        <v>5309073</v>
      </c>
      <c r="M312" s="9">
        <v>5309073004</v>
      </c>
      <c r="N312" s="9" t="s">
        <v>42</v>
      </c>
      <c r="O312" s="9">
        <v>10421</v>
      </c>
      <c r="P312" s="9" t="s">
        <v>1231</v>
      </c>
      <c r="Q312" s="10">
        <v>2</v>
      </c>
      <c r="R312" s="10">
        <v>0</v>
      </c>
      <c r="S312" s="10">
        <v>2000000</v>
      </c>
      <c r="T312" s="10">
        <v>0</v>
      </c>
      <c r="U312" s="10">
        <v>0</v>
      </c>
      <c r="V312" s="10">
        <v>0</v>
      </c>
      <c r="W312" s="10">
        <v>2000000</v>
      </c>
      <c r="X312" s="10">
        <v>8000000</v>
      </c>
      <c r="Y312" s="10">
        <v>0</v>
      </c>
      <c r="Z312" s="10">
        <v>6000000</v>
      </c>
      <c r="AA312" s="10">
        <v>250000</v>
      </c>
      <c r="AB312" s="10">
        <v>8000000</v>
      </c>
      <c r="AC312" s="10">
        <v>0</v>
      </c>
      <c r="AD312" s="9" t="s">
        <v>44</v>
      </c>
      <c r="AE312" s="10" t="s">
        <v>77</v>
      </c>
      <c r="AF312" s="10">
        <v>4000000</v>
      </c>
      <c r="AG312" s="10">
        <v>1</v>
      </c>
      <c r="AH312" s="10">
        <v>1</v>
      </c>
      <c r="AI312" s="10">
        <v>1</v>
      </c>
      <c r="AJ312" s="12" t="s">
        <v>1232</v>
      </c>
      <c r="AK312" s="10">
        <v>0</v>
      </c>
      <c r="AL312" s="10">
        <v>0</v>
      </c>
      <c r="AM312" s="9">
        <v>2020</v>
      </c>
      <c r="AN312" s="10">
        <v>0</v>
      </c>
      <c r="AO312" s="10">
        <v>2</v>
      </c>
      <c r="AP312" s="6"/>
      <c r="AQ312" s="7"/>
      <c r="AR312" s="8"/>
      <c r="AS312" s="4">
        <f t="shared" si="12"/>
        <v>2000000</v>
      </c>
      <c r="AT312" s="4">
        <f t="shared" si="13"/>
        <v>4639999.9999999991</v>
      </c>
      <c r="AU312" s="4">
        <f t="shared" si="14"/>
        <v>3360000.0000000009</v>
      </c>
      <c r="AV312" s="9" t="s">
        <v>1231</v>
      </c>
      <c r="AW312" s="12" t="s">
        <v>1232</v>
      </c>
      <c r="AX312" s="10">
        <v>0</v>
      </c>
      <c r="AY312">
        <f>S312*AU312/AS312</f>
        <v>3360000.0000000009</v>
      </c>
      <c r="AZ312">
        <f>AU312-AY312</f>
        <v>0</v>
      </c>
      <c r="BA312" s="10">
        <v>8000000</v>
      </c>
      <c r="BB312" s="10">
        <v>0</v>
      </c>
      <c r="BC312" s="9" t="s">
        <v>42</v>
      </c>
      <c r="BD312" s="9">
        <v>10421</v>
      </c>
      <c r="BE312" t="s">
        <v>46</v>
      </c>
    </row>
    <row r="313" spans="1:57" ht="270.75" thickBot="1" x14ac:dyDescent="0.3">
      <c r="A313" s="9" t="s">
        <v>1233</v>
      </c>
      <c r="B313" s="9">
        <v>1002</v>
      </c>
      <c r="C313" s="10">
        <v>2</v>
      </c>
      <c r="D313" s="9" t="s">
        <v>37</v>
      </c>
      <c r="E313" s="11">
        <v>46231.531194675925</v>
      </c>
      <c r="F313" s="9" t="s">
        <v>1234</v>
      </c>
      <c r="G313" s="9" t="s">
        <v>39</v>
      </c>
      <c r="H313" s="9">
        <v>53</v>
      </c>
      <c r="I313" s="9" t="s">
        <v>40</v>
      </c>
      <c r="J313" s="9">
        <v>5309</v>
      </c>
      <c r="K313" s="9" t="s">
        <v>41</v>
      </c>
      <c r="L313" s="9">
        <v>5309062</v>
      </c>
      <c r="M313" s="9">
        <v>5309062002</v>
      </c>
      <c r="N313" s="9" t="s">
        <v>42</v>
      </c>
      <c r="O313" s="9">
        <v>10421</v>
      </c>
      <c r="P313" s="9" t="s">
        <v>106</v>
      </c>
      <c r="Q313" s="10">
        <v>2</v>
      </c>
      <c r="R313" s="10">
        <v>0</v>
      </c>
      <c r="S313" s="10">
        <v>150000</v>
      </c>
      <c r="T313" s="10">
        <v>0</v>
      </c>
      <c r="U313" s="10">
        <v>1000000</v>
      </c>
      <c r="V313" s="10">
        <v>0</v>
      </c>
      <c r="W313" s="10">
        <v>1150000</v>
      </c>
      <c r="X313" s="10">
        <v>15000000</v>
      </c>
      <c r="Y313" s="10">
        <v>0</v>
      </c>
      <c r="Z313" s="10">
        <v>13850000</v>
      </c>
      <c r="AA313" s="10">
        <v>3000000</v>
      </c>
      <c r="AB313" s="10">
        <v>15000000</v>
      </c>
      <c r="AC313" s="10">
        <v>0</v>
      </c>
      <c r="AD313" s="9" t="s">
        <v>44</v>
      </c>
      <c r="AE313" s="10" t="s">
        <v>2446</v>
      </c>
      <c r="AF313" s="10">
        <v>7500000</v>
      </c>
      <c r="AG313" s="10">
        <v>1</v>
      </c>
      <c r="AH313" s="10">
        <v>1</v>
      </c>
      <c r="AI313" s="10">
        <v>1</v>
      </c>
      <c r="AJ313" s="12" t="s">
        <v>1235</v>
      </c>
      <c r="AK313" s="10">
        <v>0</v>
      </c>
      <c r="AL313" s="10">
        <v>0</v>
      </c>
      <c r="AM313" s="9">
        <v>1990</v>
      </c>
      <c r="AN313" s="10">
        <v>0</v>
      </c>
      <c r="AO313" s="10">
        <v>2</v>
      </c>
      <c r="AP313" s="6"/>
      <c r="AQ313" s="7"/>
      <c r="AR313" s="8"/>
      <c r="AS313" s="4">
        <f t="shared" si="12"/>
        <v>1150000</v>
      </c>
      <c r="AT313" s="4">
        <f t="shared" si="13"/>
        <v>8700003.1407953575</v>
      </c>
      <c r="AU313" s="4">
        <f t="shared" si="14"/>
        <v>6299996.8592046425</v>
      </c>
      <c r="AV313" s="9" t="s">
        <v>106</v>
      </c>
      <c r="AW313" s="12" t="s">
        <v>1235</v>
      </c>
      <c r="AX313" s="10">
        <v>0</v>
      </c>
      <c r="AY313">
        <f>S313*AU313/AS313</f>
        <v>821738.72076582292</v>
      </c>
      <c r="AZ313">
        <f>AU313-AY313</f>
        <v>5478258.1384388199</v>
      </c>
      <c r="BA313" s="10">
        <v>15000000</v>
      </c>
      <c r="BB313" s="10">
        <v>0</v>
      </c>
      <c r="BC313" s="9" t="s">
        <v>42</v>
      </c>
      <c r="BD313" s="9">
        <v>10421</v>
      </c>
      <c r="BE313" t="s">
        <v>46</v>
      </c>
    </row>
    <row r="314" spans="1:57" ht="270.75" thickBot="1" x14ac:dyDescent="0.3">
      <c r="A314" s="9" t="s">
        <v>1236</v>
      </c>
      <c r="B314" s="9">
        <v>3001</v>
      </c>
      <c r="C314" s="10">
        <v>2</v>
      </c>
      <c r="D314" s="9" t="s">
        <v>37</v>
      </c>
      <c r="E314" s="14">
        <v>46215.010358796295</v>
      </c>
      <c r="F314" s="9" t="s">
        <v>1237</v>
      </c>
      <c r="G314" s="9" t="s">
        <v>39</v>
      </c>
      <c r="H314" s="9">
        <v>53</v>
      </c>
      <c r="I314" s="9" t="s">
        <v>40</v>
      </c>
      <c r="J314" s="9">
        <v>5309</v>
      </c>
      <c r="K314" s="9" t="s">
        <v>41</v>
      </c>
      <c r="L314" s="9">
        <v>5309062</v>
      </c>
      <c r="M314" s="9">
        <v>5309062006</v>
      </c>
      <c r="N314" s="9" t="s">
        <v>42</v>
      </c>
      <c r="O314" s="9">
        <v>10421</v>
      </c>
      <c r="P314" s="9" t="s">
        <v>1238</v>
      </c>
      <c r="Q314" s="10">
        <v>3</v>
      </c>
      <c r="R314" s="10">
        <v>0</v>
      </c>
      <c r="S314" s="10">
        <v>200000</v>
      </c>
      <c r="T314" s="10">
        <v>0</v>
      </c>
      <c r="U314" s="10">
        <v>250000</v>
      </c>
      <c r="V314" s="10">
        <v>0</v>
      </c>
      <c r="W314" s="10">
        <v>450000</v>
      </c>
      <c r="X314" s="10">
        <v>8500000</v>
      </c>
      <c r="Y314" s="10">
        <v>0</v>
      </c>
      <c r="Z314" s="10">
        <v>8050000</v>
      </c>
      <c r="AA314" s="10">
        <v>2400000</v>
      </c>
      <c r="AB314" s="10">
        <v>8500000</v>
      </c>
      <c r="AC314" s="10">
        <v>0</v>
      </c>
      <c r="AD314" s="9" t="s">
        <v>44</v>
      </c>
      <c r="AE314" s="10" t="s">
        <v>2447</v>
      </c>
      <c r="AF314" s="13">
        <v>2833333333</v>
      </c>
      <c r="AG314" s="10">
        <v>1</v>
      </c>
      <c r="AH314" s="10">
        <v>1</v>
      </c>
      <c r="AI314" s="10">
        <v>1</v>
      </c>
      <c r="AJ314" s="12" t="s">
        <v>1239</v>
      </c>
      <c r="AK314" s="10">
        <v>0</v>
      </c>
      <c r="AL314" s="10">
        <v>0</v>
      </c>
      <c r="AM314" s="9">
        <v>1990</v>
      </c>
      <c r="AN314" s="10">
        <v>0</v>
      </c>
      <c r="AO314" s="10">
        <v>3</v>
      </c>
      <c r="AP314" s="6"/>
      <c r="AQ314" s="7"/>
      <c r="AR314" s="8"/>
      <c r="AS314" s="4">
        <f t="shared" si="12"/>
        <v>450000</v>
      </c>
      <c r="AT314" s="4">
        <f t="shared" si="13"/>
        <v>4929999.0813666312</v>
      </c>
      <c r="AU314" s="4">
        <f t="shared" si="14"/>
        <v>3570000.9186333688</v>
      </c>
      <c r="AV314" s="9" t="s">
        <v>1238</v>
      </c>
      <c r="AW314" s="12" t="s">
        <v>1239</v>
      </c>
      <c r="AX314" s="10">
        <v>0</v>
      </c>
      <c r="AY314">
        <f>S314*AU314/AS314</f>
        <v>1586667.0749481637</v>
      </c>
      <c r="AZ314">
        <f>AU314-AY314</f>
        <v>1983333.8436852051</v>
      </c>
      <c r="BA314" s="10">
        <v>8500000</v>
      </c>
      <c r="BB314" s="10">
        <v>0</v>
      </c>
      <c r="BC314" s="9" t="s">
        <v>42</v>
      </c>
      <c r="BD314" s="9">
        <v>10421</v>
      </c>
      <c r="BE314" t="s">
        <v>46</v>
      </c>
    </row>
    <row r="315" spans="1:57" ht="270.75" thickBot="1" x14ac:dyDescent="0.3">
      <c r="A315" s="9" t="s">
        <v>1240</v>
      </c>
      <c r="B315" s="9">
        <v>3002</v>
      </c>
      <c r="C315" s="10">
        <v>2</v>
      </c>
      <c r="D315" s="9" t="s">
        <v>37</v>
      </c>
      <c r="E315" s="11">
        <v>46254.93883634259</v>
      </c>
      <c r="F315" s="9" t="s">
        <v>1241</v>
      </c>
      <c r="G315" s="9" t="s">
        <v>39</v>
      </c>
      <c r="H315" s="9">
        <v>53</v>
      </c>
      <c r="I315" s="9" t="s">
        <v>40</v>
      </c>
      <c r="J315" s="9">
        <v>5309</v>
      </c>
      <c r="K315" s="9" t="s">
        <v>41</v>
      </c>
      <c r="L315" s="9">
        <v>5309062</v>
      </c>
      <c r="M315" s="9">
        <v>5309062006</v>
      </c>
      <c r="N315" s="9" t="s">
        <v>42</v>
      </c>
      <c r="O315" s="9">
        <v>10421</v>
      </c>
      <c r="P315" s="9" t="s">
        <v>1242</v>
      </c>
      <c r="Q315" s="10">
        <v>3</v>
      </c>
      <c r="R315" s="10">
        <v>0</v>
      </c>
      <c r="S315" s="10">
        <v>350000</v>
      </c>
      <c r="T315" s="10">
        <v>0</v>
      </c>
      <c r="U315" s="10">
        <v>200000</v>
      </c>
      <c r="V315" s="10">
        <v>0</v>
      </c>
      <c r="W315" s="10">
        <v>550000</v>
      </c>
      <c r="X315" s="10">
        <v>14280000</v>
      </c>
      <c r="Y315" s="10">
        <v>0</v>
      </c>
      <c r="Z315" s="10">
        <v>13730000</v>
      </c>
      <c r="AA315" s="10">
        <v>4500000</v>
      </c>
      <c r="AB315" s="10">
        <v>14280000</v>
      </c>
      <c r="AC315" s="10">
        <v>0</v>
      </c>
      <c r="AD315" s="9" t="s">
        <v>44</v>
      </c>
      <c r="AE315" s="10" t="s">
        <v>2448</v>
      </c>
      <c r="AF315" s="10">
        <v>4760000</v>
      </c>
      <c r="AG315" s="10">
        <v>1</v>
      </c>
      <c r="AH315" s="10">
        <v>1</v>
      </c>
      <c r="AI315" s="10">
        <v>1</v>
      </c>
      <c r="AJ315" s="12" t="s">
        <v>1243</v>
      </c>
      <c r="AK315" s="10">
        <v>0</v>
      </c>
      <c r="AL315" s="10">
        <v>0</v>
      </c>
      <c r="AM315" s="9">
        <v>2010</v>
      </c>
      <c r="AN315" s="10">
        <v>0</v>
      </c>
      <c r="AO315" s="10">
        <v>3</v>
      </c>
      <c r="AP315" s="6"/>
      <c r="AQ315" s="7"/>
      <c r="AR315" s="8"/>
      <c r="AS315" s="4">
        <f t="shared" si="12"/>
        <v>550000</v>
      </c>
      <c r="AT315" s="4">
        <f t="shared" si="13"/>
        <v>8282396.5012454679</v>
      </c>
      <c r="AU315" s="4">
        <f t="shared" si="14"/>
        <v>5997603.4987545321</v>
      </c>
      <c r="AV315" s="9" t="s">
        <v>1242</v>
      </c>
      <c r="AW315" s="12" t="s">
        <v>1243</v>
      </c>
      <c r="AX315" s="10">
        <v>0</v>
      </c>
      <c r="AY315">
        <f>S315*AU315/AS315</f>
        <v>3816656.7719347021</v>
      </c>
      <c r="AZ315">
        <f>AU315-AY315</f>
        <v>2180946.72681983</v>
      </c>
      <c r="BA315" s="10">
        <v>14280000</v>
      </c>
      <c r="BB315" s="10">
        <v>0</v>
      </c>
      <c r="BC315" s="9" t="s">
        <v>42</v>
      </c>
      <c r="BD315" s="9">
        <v>10421</v>
      </c>
      <c r="BE315" t="s">
        <v>46</v>
      </c>
    </row>
    <row r="316" spans="1:57" ht="270.75" thickBot="1" x14ac:dyDescent="0.3">
      <c r="A316" s="9" t="s">
        <v>1244</v>
      </c>
      <c r="B316" s="9">
        <v>1001</v>
      </c>
      <c r="C316" s="10">
        <v>2</v>
      </c>
      <c r="D316" s="9" t="s">
        <v>37</v>
      </c>
      <c r="E316" s="14">
        <v>46216.840046296296</v>
      </c>
      <c r="F316" s="9" t="s">
        <v>1245</v>
      </c>
      <c r="G316" s="9" t="s">
        <v>39</v>
      </c>
      <c r="H316" s="9">
        <v>53</v>
      </c>
      <c r="I316" s="9" t="s">
        <v>40</v>
      </c>
      <c r="J316" s="9">
        <v>5309</v>
      </c>
      <c r="K316" s="9" t="s">
        <v>41</v>
      </c>
      <c r="L316" s="9">
        <v>5309010</v>
      </c>
      <c r="M316" s="9">
        <v>5309010004</v>
      </c>
      <c r="N316" s="9" t="s">
        <v>42</v>
      </c>
      <c r="O316" s="9">
        <v>10421</v>
      </c>
      <c r="P316" s="9" t="s">
        <v>1246</v>
      </c>
      <c r="Q316" s="10">
        <v>2</v>
      </c>
      <c r="R316" s="10">
        <v>0</v>
      </c>
      <c r="S316" s="10">
        <v>1000000</v>
      </c>
      <c r="T316" s="10">
        <v>0</v>
      </c>
      <c r="U316" s="10">
        <v>1000000</v>
      </c>
      <c r="V316" s="10">
        <v>500000</v>
      </c>
      <c r="W316" s="10">
        <v>2500000</v>
      </c>
      <c r="X316" s="10">
        <v>12000000</v>
      </c>
      <c r="Y316" s="10">
        <v>1000000</v>
      </c>
      <c r="Z316" s="10">
        <v>10000000</v>
      </c>
      <c r="AA316" s="10">
        <v>175000000</v>
      </c>
      <c r="AB316" s="10">
        <v>12000000</v>
      </c>
      <c r="AC316" s="10">
        <v>0</v>
      </c>
      <c r="AD316" s="9" t="s">
        <v>44</v>
      </c>
      <c r="AE316" s="10" t="s">
        <v>2358</v>
      </c>
      <c r="AF316" s="10">
        <v>6000000</v>
      </c>
      <c r="AG316" s="10">
        <v>1</v>
      </c>
      <c r="AH316" s="10">
        <v>1</v>
      </c>
      <c r="AI316" s="10">
        <v>1</v>
      </c>
      <c r="AJ316" s="12" t="s">
        <v>1247</v>
      </c>
      <c r="AK316" s="10">
        <v>0</v>
      </c>
      <c r="AL316" s="10">
        <v>0</v>
      </c>
      <c r="AM316" s="9">
        <v>2024</v>
      </c>
      <c r="AN316" s="10">
        <v>0</v>
      </c>
      <c r="AO316" s="10">
        <v>2</v>
      </c>
      <c r="AP316" s="6"/>
      <c r="AQ316" s="7"/>
      <c r="AR316" s="8"/>
      <c r="AS316" s="4">
        <f t="shared" si="12"/>
        <v>2000000</v>
      </c>
      <c r="AT316" s="4">
        <f t="shared" si="13"/>
        <v>6960002.7840011138</v>
      </c>
      <c r="AU316" s="4">
        <f t="shared" si="14"/>
        <v>5039997.2159988862</v>
      </c>
      <c r="AV316" s="9" t="s">
        <v>1246</v>
      </c>
      <c r="AW316" s="12" t="s">
        <v>1247</v>
      </c>
      <c r="AX316" s="10">
        <v>0</v>
      </c>
      <c r="AY316">
        <f>S316*AU316/AS316</f>
        <v>2519998.6079994431</v>
      </c>
      <c r="AZ316">
        <f>AU316-AY316</f>
        <v>2519998.6079994431</v>
      </c>
      <c r="BA316" s="10">
        <v>12000000</v>
      </c>
      <c r="BB316" s="10">
        <v>1000000</v>
      </c>
      <c r="BC316" s="9" t="s">
        <v>42</v>
      </c>
      <c r="BD316" s="9">
        <v>10421</v>
      </c>
      <c r="BE316" t="s">
        <v>46</v>
      </c>
    </row>
    <row r="317" spans="1:57" ht="270.75" thickBot="1" x14ac:dyDescent="0.3">
      <c r="A317" s="9" t="s">
        <v>1248</v>
      </c>
      <c r="B317" s="9">
        <v>1002</v>
      </c>
      <c r="C317" s="10">
        <v>2</v>
      </c>
      <c r="D317" s="9" t="s">
        <v>37</v>
      </c>
      <c r="E317" s="11">
        <v>46293.153911782407</v>
      </c>
      <c r="F317" s="9" t="s">
        <v>1249</v>
      </c>
      <c r="G317" s="9" t="s">
        <v>39</v>
      </c>
      <c r="H317" s="9">
        <v>53</v>
      </c>
      <c r="I317" s="9" t="s">
        <v>40</v>
      </c>
      <c r="J317" s="9">
        <v>5309</v>
      </c>
      <c r="K317" s="9" t="s">
        <v>41</v>
      </c>
      <c r="L317" s="9">
        <v>5309062</v>
      </c>
      <c r="M317" s="9">
        <v>5309062012</v>
      </c>
      <c r="N317" s="9" t="s">
        <v>42</v>
      </c>
      <c r="O317" s="9">
        <v>10421</v>
      </c>
      <c r="P317" s="9" t="s">
        <v>1250</v>
      </c>
      <c r="Q317" s="10">
        <v>4</v>
      </c>
      <c r="R317" s="10">
        <v>450000</v>
      </c>
      <c r="S317" s="10">
        <v>200000</v>
      </c>
      <c r="T317" s="10">
        <v>0</v>
      </c>
      <c r="U317" s="10">
        <v>150000</v>
      </c>
      <c r="V317" s="10">
        <v>0</v>
      </c>
      <c r="W317" s="10">
        <v>800000</v>
      </c>
      <c r="X317" s="10">
        <v>7000000</v>
      </c>
      <c r="Y317" s="10">
        <v>0</v>
      </c>
      <c r="Z317" s="10">
        <v>6650000</v>
      </c>
      <c r="AA317" s="10">
        <v>3500000</v>
      </c>
      <c r="AB317" s="10">
        <v>7000000</v>
      </c>
      <c r="AC317" s="10">
        <v>0</v>
      </c>
      <c r="AD317" s="9" t="s">
        <v>44</v>
      </c>
      <c r="AE317" s="10" t="s">
        <v>1803</v>
      </c>
      <c r="AF317" s="10">
        <v>1750000</v>
      </c>
      <c r="AG317" s="10">
        <v>1</v>
      </c>
      <c r="AH317" s="10">
        <v>1</v>
      </c>
      <c r="AI317" s="10">
        <v>1</v>
      </c>
      <c r="AJ317" s="12" t="s">
        <v>1251</v>
      </c>
      <c r="AK317" s="10">
        <v>0</v>
      </c>
      <c r="AL317" s="10">
        <v>0</v>
      </c>
      <c r="AM317" s="9">
        <v>2022</v>
      </c>
      <c r="AN317" s="10">
        <v>3</v>
      </c>
      <c r="AO317" s="10">
        <v>1</v>
      </c>
      <c r="AP317" s="6"/>
      <c r="AQ317" s="7"/>
      <c r="AR317" s="8"/>
      <c r="AS317" s="4">
        <f t="shared" si="12"/>
        <v>350000</v>
      </c>
      <c r="AT317" s="4">
        <f t="shared" si="13"/>
        <v>4059999.9999999995</v>
      </c>
      <c r="AU317" s="4">
        <f t="shared" si="14"/>
        <v>2940000.0000000005</v>
      </c>
      <c r="AV317" s="9" t="s">
        <v>1250</v>
      </c>
      <c r="AW317" s="12" t="s">
        <v>1251</v>
      </c>
      <c r="AX317" s="10">
        <v>0</v>
      </c>
      <c r="AY317">
        <f>S317*AU317/AS317</f>
        <v>1680000.0000000002</v>
      </c>
      <c r="AZ317">
        <f>AU317-AY317</f>
        <v>1260000.0000000002</v>
      </c>
      <c r="BA317" s="10">
        <v>7000000</v>
      </c>
      <c r="BB317" s="10">
        <v>0</v>
      </c>
      <c r="BC317" s="9" t="s">
        <v>42</v>
      </c>
      <c r="BD317" s="9">
        <v>10421</v>
      </c>
      <c r="BE317" t="s">
        <v>46</v>
      </c>
    </row>
    <row r="318" spans="1:57" ht="270.75" thickBot="1" x14ac:dyDescent="0.3">
      <c r="A318" s="9" t="s">
        <v>1252</v>
      </c>
      <c r="B318" s="9">
        <v>3003</v>
      </c>
      <c r="C318" s="10">
        <v>2</v>
      </c>
      <c r="D318" s="9" t="s">
        <v>37</v>
      </c>
      <c r="E318" s="11">
        <v>46214.438109895833</v>
      </c>
      <c r="F318" s="9" t="s">
        <v>1253</v>
      </c>
      <c r="G318" s="9" t="s">
        <v>39</v>
      </c>
      <c r="H318" s="9">
        <v>53</v>
      </c>
      <c r="I318" s="9" t="s">
        <v>40</v>
      </c>
      <c r="J318" s="9">
        <v>5309</v>
      </c>
      <c r="K318" s="9" t="s">
        <v>41</v>
      </c>
      <c r="L318" s="9">
        <v>5309062</v>
      </c>
      <c r="M318" s="9">
        <v>5309062003</v>
      </c>
      <c r="N318" s="9" t="s">
        <v>42</v>
      </c>
      <c r="O318" s="9">
        <v>10421</v>
      </c>
      <c r="P318" s="9" t="s">
        <v>1254</v>
      </c>
      <c r="Q318" s="10">
        <v>2</v>
      </c>
      <c r="R318" s="10">
        <v>200000</v>
      </c>
      <c r="S318" s="10">
        <v>100000</v>
      </c>
      <c r="T318" s="10">
        <v>0</v>
      </c>
      <c r="U318" s="10">
        <v>400000</v>
      </c>
      <c r="V318" s="10">
        <v>0</v>
      </c>
      <c r="W318" s="10">
        <v>700000</v>
      </c>
      <c r="X318" s="10">
        <v>6000000</v>
      </c>
      <c r="Y318" s="10">
        <v>0</v>
      </c>
      <c r="Z318" s="10">
        <v>5500000</v>
      </c>
      <c r="AA318" s="10">
        <v>4800000</v>
      </c>
      <c r="AB318" s="10">
        <v>6000000</v>
      </c>
      <c r="AC318" s="10">
        <v>0</v>
      </c>
      <c r="AD318" s="9" t="s">
        <v>44</v>
      </c>
      <c r="AE318" s="10" t="s">
        <v>2236</v>
      </c>
      <c r="AF318" s="10">
        <v>3000000</v>
      </c>
      <c r="AG318" s="10">
        <v>1</v>
      </c>
      <c r="AH318" s="10">
        <v>1</v>
      </c>
      <c r="AI318" s="10">
        <v>1</v>
      </c>
      <c r="AJ318" s="12" t="s">
        <v>1255</v>
      </c>
      <c r="AK318" s="10">
        <v>0</v>
      </c>
      <c r="AL318" s="10">
        <v>0</v>
      </c>
      <c r="AM318" s="9">
        <v>2000</v>
      </c>
      <c r="AN318" s="10">
        <v>1</v>
      </c>
      <c r="AO318" s="10">
        <v>1</v>
      </c>
      <c r="AP318" s="6"/>
      <c r="AQ318" s="7"/>
      <c r="AR318" s="8"/>
      <c r="AS318" s="4">
        <f t="shared" si="12"/>
        <v>500000</v>
      </c>
      <c r="AT318" s="4">
        <f t="shared" si="13"/>
        <v>3479998.7345459145</v>
      </c>
      <c r="AU318" s="4">
        <f t="shared" si="14"/>
        <v>2520001.2654540855</v>
      </c>
      <c r="AV318" s="9" t="s">
        <v>1254</v>
      </c>
      <c r="AW318" s="12" t="s">
        <v>1255</v>
      </c>
      <c r="AX318" s="10">
        <v>0</v>
      </c>
      <c r="AY318">
        <f>S318*AU318/AS318</f>
        <v>504000.25309081713</v>
      </c>
      <c r="AZ318">
        <f>AU318-AY318</f>
        <v>2016001.0123632685</v>
      </c>
      <c r="BA318" s="10">
        <v>6000000</v>
      </c>
      <c r="BB318" s="10">
        <v>0</v>
      </c>
      <c r="BC318" s="9" t="s">
        <v>42</v>
      </c>
      <c r="BD318" s="9">
        <v>10421</v>
      </c>
      <c r="BE318" t="s">
        <v>46</v>
      </c>
    </row>
    <row r="319" spans="1:57" ht="270.75" thickBot="1" x14ac:dyDescent="0.3">
      <c r="A319" s="9" t="s">
        <v>1256</v>
      </c>
      <c r="B319" s="9">
        <v>3001</v>
      </c>
      <c r="C319" s="10">
        <v>2</v>
      </c>
      <c r="D319" s="9" t="s">
        <v>37</v>
      </c>
      <c r="E319" s="11">
        <v>46209.991869398145</v>
      </c>
      <c r="F319" s="9" t="s">
        <v>1257</v>
      </c>
      <c r="G319" s="9" t="s">
        <v>39</v>
      </c>
      <c r="H319" s="9">
        <v>53</v>
      </c>
      <c r="I319" s="9" t="s">
        <v>40</v>
      </c>
      <c r="J319" s="9">
        <v>5309</v>
      </c>
      <c r="K319" s="9" t="s">
        <v>41</v>
      </c>
      <c r="L319" s="9">
        <v>5309062</v>
      </c>
      <c r="M319" s="9">
        <v>5309062010</v>
      </c>
      <c r="N319" s="9" t="s">
        <v>42</v>
      </c>
      <c r="O319" s="9">
        <v>10421</v>
      </c>
      <c r="P319" s="9" t="s">
        <v>141</v>
      </c>
      <c r="Q319" s="10">
        <v>2</v>
      </c>
      <c r="R319" s="10">
        <v>0</v>
      </c>
      <c r="S319" s="10">
        <v>150000</v>
      </c>
      <c r="T319" s="10">
        <v>0</v>
      </c>
      <c r="U319" s="10">
        <v>35000</v>
      </c>
      <c r="V319" s="10">
        <v>0</v>
      </c>
      <c r="W319" s="10">
        <v>185000</v>
      </c>
      <c r="X319" s="10">
        <v>2700000</v>
      </c>
      <c r="Y319" s="10">
        <v>0</v>
      </c>
      <c r="Z319" s="10">
        <v>2515000</v>
      </c>
      <c r="AA319" s="10">
        <v>2000000</v>
      </c>
      <c r="AB319" s="10">
        <v>2700000</v>
      </c>
      <c r="AC319" s="10">
        <v>0</v>
      </c>
      <c r="AD319" s="9" t="s">
        <v>44</v>
      </c>
      <c r="AE319" s="10" t="s">
        <v>2449</v>
      </c>
      <c r="AF319" s="10">
        <v>1350000</v>
      </c>
      <c r="AG319" s="10">
        <v>1</v>
      </c>
      <c r="AH319" s="10">
        <v>1</v>
      </c>
      <c r="AI319" s="10">
        <v>1</v>
      </c>
      <c r="AJ319" s="12" t="s">
        <v>1258</v>
      </c>
      <c r="AK319" s="10">
        <v>0</v>
      </c>
      <c r="AL319" s="10">
        <v>0</v>
      </c>
      <c r="AM319" s="9">
        <v>2025</v>
      </c>
      <c r="AN319" s="10">
        <v>0</v>
      </c>
      <c r="AO319" s="10">
        <v>2</v>
      </c>
      <c r="AP319" s="6"/>
      <c r="AQ319" s="7"/>
      <c r="AR319" s="8"/>
      <c r="AS319" s="4">
        <f t="shared" si="12"/>
        <v>185000</v>
      </c>
      <c r="AT319" s="4">
        <f t="shared" si="13"/>
        <v>1566000.809463639</v>
      </c>
      <c r="AU319" s="4">
        <f t="shared" si="14"/>
        <v>1133999.190536361</v>
      </c>
      <c r="AV319" s="9" t="s">
        <v>141</v>
      </c>
      <c r="AW319" s="12" t="s">
        <v>1258</v>
      </c>
      <c r="AX319" s="10">
        <v>0</v>
      </c>
      <c r="AY319">
        <f>S319*AU319/AS319</f>
        <v>919458.80313758994</v>
      </c>
      <c r="AZ319">
        <f>AU319-AY319</f>
        <v>214540.38739877101</v>
      </c>
      <c r="BA319" s="10">
        <v>2700000</v>
      </c>
      <c r="BB319" s="10">
        <v>0</v>
      </c>
      <c r="BC319" s="9" t="s">
        <v>42</v>
      </c>
      <c r="BD319" s="9">
        <v>10421</v>
      </c>
      <c r="BE319" t="s">
        <v>46</v>
      </c>
    </row>
    <row r="320" spans="1:57" ht="270.75" thickBot="1" x14ac:dyDescent="0.3">
      <c r="A320" s="9" t="s">
        <v>1259</v>
      </c>
      <c r="B320" s="9">
        <v>3001</v>
      </c>
      <c r="C320" s="10">
        <v>2</v>
      </c>
      <c r="D320" s="9" t="s">
        <v>37</v>
      </c>
      <c r="E320" s="11">
        <v>46239.602702152777</v>
      </c>
      <c r="F320" s="9" t="s">
        <v>1260</v>
      </c>
      <c r="G320" s="9" t="s">
        <v>39</v>
      </c>
      <c r="H320" s="9">
        <v>53</v>
      </c>
      <c r="I320" s="9" t="s">
        <v>40</v>
      </c>
      <c r="J320" s="9">
        <v>5309</v>
      </c>
      <c r="K320" s="9" t="s">
        <v>41</v>
      </c>
      <c r="L320" s="9">
        <v>5309062</v>
      </c>
      <c r="M320" s="9">
        <v>5309062013</v>
      </c>
      <c r="N320" s="9" t="s">
        <v>42</v>
      </c>
      <c r="O320" s="9">
        <v>10421</v>
      </c>
      <c r="P320" s="9" t="s">
        <v>1261</v>
      </c>
      <c r="Q320" s="10">
        <v>3</v>
      </c>
      <c r="R320" s="10">
        <v>600000</v>
      </c>
      <c r="S320" s="10">
        <v>250000</v>
      </c>
      <c r="T320" s="10">
        <v>0</v>
      </c>
      <c r="U320" s="10">
        <v>100000</v>
      </c>
      <c r="V320" s="10">
        <v>350000</v>
      </c>
      <c r="W320" s="10">
        <v>1300000</v>
      </c>
      <c r="X320" s="10">
        <v>4550000</v>
      </c>
      <c r="Y320" s="10">
        <v>0</v>
      </c>
      <c r="Z320" s="10">
        <v>4200000</v>
      </c>
      <c r="AA320" s="10">
        <v>2750000</v>
      </c>
      <c r="AB320" s="10">
        <v>4550000</v>
      </c>
      <c r="AC320" s="10">
        <v>0</v>
      </c>
      <c r="AD320" s="9" t="s">
        <v>44</v>
      </c>
      <c r="AE320" s="10" t="s">
        <v>2307</v>
      </c>
      <c r="AF320" s="13">
        <v>1516666667</v>
      </c>
      <c r="AG320" s="10">
        <v>1</v>
      </c>
      <c r="AH320" s="10">
        <v>1</v>
      </c>
      <c r="AI320" s="10">
        <v>1</v>
      </c>
      <c r="AJ320" s="12" t="s">
        <v>1262</v>
      </c>
      <c r="AK320" s="10">
        <v>0</v>
      </c>
      <c r="AL320" s="10">
        <v>0</v>
      </c>
      <c r="AM320" s="9">
        <v>2000</v>
      </c>
      <c r="AN320" s="10">
        <v>2</v>
      </c>
      <c r="AO320" s="10">
        <v>1</v>
      </c>
      <c r="AP320" s="6"/>
      <c r="AQ320" s="7"/>
      <c r="AR320" s="8"/>
      <c r="AS320" s="4">
        <f t="shared" si="12"/>
        <v>350000</v>
      </c>
      <c r="AT320" s="4">
        <f t="shared" si="13"/>
        <v>2638999.7800833518</v>
      </c>
      <c r="AU320" s="4">
        <f t="shared" si="14"/>
        <v>1911000.2199166482</v>
      </c>
      <c r="AV320" s="9" t="s">
        <v>1261</v>
      </c>
      <c r="AW320" s="12" t="s">
        <v>1262</v>
      </c>
      <c r="AX320" s="10">
        <v>0</v>
      </c>
      <c r="AY320">
        <f>S320*AU320/AS320</f>
        <v>1365000.1570833202</v>
      </c>
      <c r="AZ320">
        <f>AU320-AY320</f>
        <v>546000.06283332803</v>
      </c>
      <c r="BA320" s="10">
        <v>4550000</v>
      </c>
      <c r="BB320" s="10">
        <v>0</v>
      </c>
      <c r="BC320" s="9" t="s">
        <v>42</v>
      </c>
      <c r="BD320" s="9">
        <v>10421</v>
      </c>
      <c r="BE320" t="s">
        <v>46</v>
      </c>
    </row>
    <row r="321" spans="1:57" ht="270.75" thickBot="1" x14ac:dyDescent="0.3">
      <c r="A321" s="9" t="s">
        <v>1263</v>
      </c>
      <c r="B321" s="9">
        <v>3001</v>
      </c>
      <c r="C321" s="10">
        <v>2</v>
      </c>
      <c r="D321" s="9" t="s">
        <v>37</v>
      </c>
      <c r="E321" s="11">
        <v>46216.410073993058</v>
      </c>
      <c r="F321" s="9" t="s">
        <v>1264</v>
      </c>
      <c r="G321" s="9" t="s">
        <v>39</v>
      </c>
      <c r="H321" s="9">
        <v>53</v>
      </c>
      <c r="I321" s="9" t="s">
        <v>40</v>
      </c>
      <c r="J321" s="9">
        <v>5309</v>
      </c>
      <c r="K321" s="9" t="s">
        <v>41</v>
      </c>
      <c r="L321" s="9">
        <v>5309062</v>
      </c>
      <c r="M321" s="9">
        <v>5309062009</v>
      </c>
      <c r="N321" s="9" t="s">
        <v>42</v>
      </c>
      <c r="O321" s="9">
        <v>10421</v>
      </c>
      <c r="P321" s="9" t="s">
        <v>1265</v>
      </c>
      <c r="Q321" s="10">
        <v>7</v>
      </c>
      <c r="R321" s="10">
        <v>1750000</v>
      </c>
      <c r="S321" s="10">
        <v>300000</v>
      </c>
      <c r="T321" s="10">
        <v>0</v>
      </c>
      <c r="U321" s="10">
        <v>200000</v>
      </c>
      <c r="V321" s="10">
        <v>0</v>
      </c>
      <c r="W321" s="10">
        <v>2250000</v>
      </c>
      <c r="X321" s="10">
        <v>12000000</v>
      </c>
      <c r="Y321" s="10">
        <v>0</v>
      </c>
      <c r="Z321" s="10">
        <v>11500000</v>
      </c>
      <c r="AA321" s="10">
        <v>4200000</v>
      </c>
      <c r="AB321" s="10">
        <v>12000000</v>
      </c>
      <c r="AC321" s="10">
        <v>0</v>
      </c>
      <c r="AD321" s="9" t="s">
        <v>44</v>
      </c>
      <c r="AE321" s="10" t="s">
        <v>2257</v>
      </c>
      <c r="AF321" s="13">
        <v>1714285714</v>
      </c>
      <c r="AG321" s="10">
        <v>1</v>
      </c>
      <c r="AH321" s="10">
        <v>1</v>
      </c>
      <c r="AI321" s="10">
        <v>1</v>
      </c>
      <c r="AJ321" s="12" t="s">
        <v>1266</v>
      </c>
      <c r="AK321" s="10">
        <v>0</v>
      </c>
      <c r="AL321" s="10">
        <v>0</v>
      </c>
      <c r="AM321" s="9">
        <v>2006</v>
      </c>
      <c r="AN321" s="10">
        <v>4</v>
      </c>
      <c r="AO321" s="10">
        <v>3</v>
      </c>
      <c r="AP321" s="6"/>
      <c r="AQ321" s="7"/>
      <c r="AR321" s="8"/>
      <c r="AS321" s="4">
        <f t="shared" si="12"/>
        <v>500000</v>
      </c>
      <c r="AT321" s="4">
        <f t="shared" si="13"/>
        <v>6960002.4208704075</v>
      </c>
      <c r="AU321" s="4">
        <f t="shared" si="14"/>
        <v>5039997.5791295925</v>
      </c>
      <c r="AV321" s="9" t="s">
        <v>1265</v>
      </c>
      <c r="AW321" s="12" t="s">
        <v>1266</v>
      </c>
      <c r="AX321" s="10">
        <v>0</v>
      </c>
      <c r="AY321">
        <f>S321*AU321/AS321</f>
        <v>3023998.5474777552</v>
      </c>
      <c r="AZ321">
        <f>AU321-AY321</f>
        <v>2015999.0316518373</v>
      </c>
      <c r="BA321" s="10">
        <v>12000000</v>
      </c>
      <c r="BB321" s="10">
        <v>0</v>
      </c>
      <c r="BC321" s="9" t="s">
        <v>42</v>
      </c>
      <c r="BD321" s="9">
        <v>10421</v>
      </c>
      <c r="BE321" t="s">
        <v>46</v>
      </c>
    </row>
    <row r="322" spans="1:57" ht="270.75" thickBot="1" x14ac:dyDescent="0.3">
      <c r="A322" s="9" t="s">
        <v>1267</v>
      </c>
      <c r="B322" s="9">
        <v>1001</v>
      </c>
      <c r="C322" s="10">
        <v>2</v>
      </c>
      <c r="D322" s="9" t="s">
        <v>37</v>
      </c>
      <c r="E322" s="11">
        <v>46255.266704652779</v>
      </c>
      <c r="F322" s="9" t="s">
        <v>1268</v>
      </c>
      <c r="G322" s="9" t="s">
        <v>39</v>
      </c>
      <c r="H322" s="9">
        <v>53</v>
      </c>
      <c r="I322" s="9" t="s">
        <v>40</v>
      </c>
      <c r="J322" s="9">
        <v>5309</v>
      </c>
      <c r="K322" s="9" t="s">
        <v>41</v>
      </c>
      <c r="L322" s="9">
        <v>5309062</v>
      </c>
      <c r="M322" s="9">
        <v>5309062006</v>
      </c>
      <c r="N322" s="9" t="s">
        <v>42</v>
      </c>
      <c r="O322" s="9">
        <v>10421</v>
      </c>
      <c r="P322" s="9" t="s">
        <v>1269</v>
      </c>
      <c r="Q322" s="10">
        <v>2</v>
      </c>
      <c r="R322" s="10">
        <v>0</v>
      </c>
      <c r="S322" s="10">
        <v>2000000</v>
      </c>
      <c r="T322" s="10">
        <v>0</v>
      </c>
      <c r="U322" s="10">
        <v>700000</v>
      </c>
      <c r="V322" s="10">
        <v>0</v>
      </c>
      <c r="W322" s="10">
        <v>2700000</v>
      </c>
      <c r="X322" s="10">
        <v>36000000</v>
      </c>
      <c r="Y322" s="10">
        <v>0</v>
      </c>
      <c r="Z322" s="10">
        <v>33300000</v>
      </c>
      <c r="AA322" s="10">
        <v>10000000</v>
      </c>
      <c r="AB322" s="10">
        <v>36000000</v>
      </c>
      <c r="AC322" s="10">
        <v>0</v>
      </c>
      <c r="AD322" s="9" t="s">
        <v>44</v>
      </c>
      <c r="AE322" s="10" t="s">
        <v>2274</v>
      </c>
      <c r="AF322" s="10">
        <v>18000000</v>
      </c>
      <c r="AG322" s="10">
        <v>1</v>
      </c>
      <c r="AH322" s="10">
        <v>1</v>
      </c>
      <c r="AI322" s="10">
        <v>1</v>
      </c>
      <c r="AJ322" s="12" t="s">
        <v>1270</v>
      </c>
      <c r="AK322" s="10">
        <v>0</v>
      </c>
      <c r="AL322" s="10">
        <v>0</v>
      </c>
      <c r="AM322" s="9">
        <v>2012</v>
      </c>
      <c r="AN322" s="10">
        <v>0</v>
      </c>
      <c r="AO322" s="10">
        <v>2</v>
      </c>
      <c r="AP322" s="6"/>
      <c r="AQ322" s="7"/>
      <c r="AR322" s="8"/>
      <c r="AS322" s="4">
        <f t="shared" si="12"/>
        <v>2700000</v>
      </c>
      <c r="AT322" s="4">
        <f t="shared" si="13"/>
        <v>20880000</v>
      </c>
      <c r="AU322" s="4">
        <f t="shared" si="14"/>
        <v>15120000</v>
      </c>
      <c r="AV322" s="9" t="s">
        <v>1269</v>
      </c>
      <c r="AW322" s="12" t="s">
        <v>1270</v>
      </c>
      <c r="AX322" s="10">
        <v>0</v>
      </c>
      <c r="AY322">
        <f>S322*AU322/AS322</f>
        <v>11200000</v>
      </c>
      <c r="AZ322">
        <f>AU322-AY322</f>
        <v>3920000</v>
      </c>
      <c r="BA322" s="10">
        <v>36000000</v>
      </c>
      <c r="BB322" s="10">
        <v>0</v>
      </c>
      <c r="BC322" s="9" t="s">
        <v>42</v>
      </c>
      <c r="BD322" s="9">
        <v>10421</v>
      </c>
      <c r="BE322" t="s">
        <v>46</v>
      </c>
    </row>
    <row r="323" spans="1:57" ht="270.75" thickBot="1" x14ac:dyDescent="0.3">
      <c r="A323" s="9" t="s">
        <v>1271</v>
      </c>
      <c r="B323" s="9">
        <v>1001</v>
      </c>
      <c r="C323" s="10">
        <v>2</v>
      </c>
      <c r="D323" s="9" t="s">
        <v>37</v>
      </c>
      <c r="E323" s="14">
        <v>46216.374826388892</v>
      </c>
      <c r="F323" s="9" t="s">
        <v>1272</v>
      </c>
      <c r="G323" s="9" t="s">
        <v>39</v>
      </c>
      <c r="H323" s="9">
        <v>53</v>
      </c>
      <c r="I323" s="9" t="s">
        <v>40</v>
      </c>
      <c r="J323" s="9">
        <v>5309</v>
      </c>
      <c r="K323" s="9" t="s">
        <v>41</v>
      </c>
      <c r="L323" s="9">
        <v>5309062</v>
      </c>
      <c r="M323" s="9">
        <v>5309062006</v>
      </c>
      <c r="N323" s="9" t="s">
        <v>42</v>
      </c>
      <c r="O323" s="9">
        <v>10421</v>
      </c>
      <c r="P323" s="9" t="s">
        <v>1273</v>
      </c>
      <c r="Q323" s="10">
        <v>2</v>
      </c>
      <c r="R323" s="10">
        <v>400000</v>
      </c>
      <c r="S323" s="10">
        <v>200000</v>
      </c>
      <c r="T323" s="10">
        <v>0</v>
      </c>
      <c r="U323" s="10">
        <v>200000</v>
      </c>
      <c r="V323" s="10">
        <v>0</v>
      </c>
      <c r="W323" s="10">
        <v>800000</v>
      </c>
      <c r="X323" s="10">
        <v>5650000</v>
      </c>
      <c r="Y323" s="10">
        <v>0</v>
      </c>
      <c r="Z323" s="10">
        <v>5250000</v>
      </c>
      <c r="AA323" s="10">
        <v>4500000</v>
      </c>
      <c r="AB323" s="10">
        <v>5650000</v>
      </c>
      <c r="AC323" s="10">
        <v>0</v>
      </c>
      <c r="AD323" s="9" t="s">
        <v>44</v>
      </c>
      <c r="AE323" s="10" t="s">
        <v>2450</v>
      </c>
      <c r="AF323" s="10">
        <v>2825000</v>
      </c>
      <c r="AG323" s="10">
        <v>1</v>
      </c>
      <c r="AH323" s="10">
        <v>1</v>
      </c>
      <c r="AI323" s="10">
        <v>1</v>
      </c>
      <c r="AJ323" s="12" t="s">
        <v>1274</v>
      </c>
      <c r="AK323" s="10">
        <v>0</v>
      </c>
      <c r="AL323" s="10">
        <v>0</v>
      </c>
      <c r="AM323" s="9">
        <v>2011</v>
      </c>
      <c r="AN323" s="10">
        <v>1</v>
      </c>
      <c r="AO323" s="10">
        <v>1</v>
      </c>
      <c r="AP323" s="6"/>
      <c r="AQ323" s="7"/>
      <c r="AR323" s="8"/>
      <c r="AS323" s="4">
        <f t="shared" ref="AS323:AS386" si="15">AB323-Z323</f>
        <v>400000</v>
      </c>
      <c r="AT323" s="4">
        <f t="shared" ref="AT323:AT386" si="16">IF(AE323&gt;0.61,(Z323*0.58/AE323),IF(AE323&lt;0.15,(Z323*0.2/AE323),Z323))</f>
        <v>3276998.3771055657</v>
      </c>
      <c r="AU323" s="4">
        <f t="shared" ref="AU323:AU386" si="17">AB323-AT323</f>
        <v>2373001.6228944343</v>
      </c>
      <c r="AV323" s="9" t="s">
        <v>1273</v>
      </c>
      <c r="AW323" s="12" t="s">
        <v>1274</v>
      </c>
      <c r="AX323" s="10">
        <v>0</v>
      </c>
      <c r="AY323">
        <f>S323*AU323/AS323</f>
        <v>1186500.8114472171</v>
      </c>
      <c r="AZ323">
        <f>AU323-AY323</f>
        <v>1186500.8114472171</v>
      </c>
      <c r="BA323" s="10">
        <v>5650000</v>
      </c>
      <c r="BB323" s="10">
        <v>0</v>
      </c>
      <c r="BC323" s="9" t="s">
        <v>42</v>
      </c>
      <c r="BD323" s="9">
        <v>10421</v>
      </c>
      <c r="BE323" t="s">
        <v>46</v>
      </c>
    </row>
    <row r="324" spans="1:57" ht="270.75" thickBot="1" x14ac:dyDescent="0.3">
      <c r="A324" s="9" t="s">
        <v>1275</v>
      </c>
      <c r="B324" s="9">
        <v>3001</v>
      </c>
      <c r="C324" s="10">
        <v>2</v>
      </c>
      <c r="D324" s="9" t="s">
        <v>37</v>
      </c>
      <c r="E324" s="11">
        <v>46255.345627233793</v>
      </c>
      <c r="F324" s="9" t="s">
        <v>1276</v>
      </c>
      <c r="G324" s="9" t="s">
        <v>39</v>
      </c>
      <c r="H324" s="9">
        <v>53</v>
      </c>
      <c r="I324" s="9" t="s">
        <v>40</v>
      </c>
      <c r="J324" s="9">
        <v>5309</v>
      </c>
      <c r="K324" s="9" t="s">
        <v>41</v>
      </c>
      <c r="L324" s="9">
        <v>5309060</v>
      </c>
      <c r="M324" s="9">
        <v>5309060028</v>
      </c>
      <c r="N324" s="9" t="s">
        <v>42</v>
      </c>
      <c r="O324" s="9">
        <v>10421</v>
      </c>
      <c r="P324" s="9" t="s">
        <v>49</v>
      </c>
      <c r="Q324" s="10">
        <v>5</v>
      </c>
      <c r="R324" s="10">
        <v>700000</v>
      </c>
      <c r="S324" s="10">
        <v>9700000</v>
      </c>
      <c r="T324" s="10">
        <v>0</v>
      </c>
      <c r="U324" s="10">
        <v>500000</v>
      </c>
      <c r="V324" s="10">
        <v>0</v>
      </c>
      <c r="W324" s="10">
        <v>10900000</v>
      </c>
      <c r="X324" s="10">
        <v>11400000</v>
      </c>
      <c r="Y324" s="10">
        <v>0</v>
      </c>
      <c r="Z324" s="10">
        <v>1200000</v>
      </c>
      <c r="AA324" s="10">
        <v>750000</v>
      </c>
      <c r="AB324" s="10">
        <v>11400000</v>
      </c>
      <c r="AC324" s="10">
        <v>0</v>
      </c>
      <c r="AD324" s="9" t="s">
        <v>44</v>
      </c>
      <c r="AE324" s="10" t="s">
        <v>2451</v>
      </c>
      <c r="AF324" s="10">
        <v>2280000</v>
      </c>
      <c r="AG324" s="10">
        <v>1</v>
      </c>
      <c r="AH324" s="10">
        <v>0</v>
      </c>
      <c r="AI324" s="10">
        <v>1</v>
      </c>
      <c r="AJ324" s="12" t="s">
        <v>1277</v>
      </c>
      <c r="AK324" s="10">
        <v>0</v>
      </c>
      <c r="AL324" s="10">
        <v>0</v>
      </c>
      <c r="AM324" s="9">
        <v>2014</v>
      </c>
      <c r="AN324" s="10">
        <v>1</v>
      </c>
      <c r="AO324" s="10">
        <v>4</v>
      </c>
      <c r="AP324" s="6"/>
      <c r="AQ324" s="7"/>
      <c r="AR324" s="8"/>
      <c r="AS324" s="4">
        <f t="shared" si="15"/>
        <v>10200000</v>
      </c>
      <c r="AT324" s="4">
        <f t="shared" si="16"/>
        <v>6612009.9180148775</v>
      </c>
      <c r="AU324" s="4">
        <f t="shared" si="17"/>
        <v>4787990.0819851225</v>
      </c>
      <c r="AV324" s="9" t="s">
        <v>49</v>
      </c>
      <c r="AW324" s="12" t="s">
        <v>1277</v>
      </c>
      <c r="AX324" s="10">
        <v>0</v>
      </c>
      <c r="AY324">
        <f>S324*AU324/AS324</f>
        <v>4553284.6858093813</v>
      </c>
      <c r="AZ324">
        <f>AU324-AY324</f>
        <v>234705.39617574122</v>
      </c>
      <c r="BA324" s="10">
        <v>11400000</v>
      </c>
      <c r="BB324" s="10">
        <v>0</v>
      </c>
      <c r="BC324" s="9" t="s">
        <v>42</v>
      </c>
      <c r="BD324" s="9">
        <v>10421</v>
      </c>
      <c r="BE324" t="s">
        <v>46</v>
      </c>
    </row>
    <row r="325" spans="1:57" ht="270.75" thickBot="1" x14ac:dyDescent="0.3">
      <c r="A325" s="9" t="s">
        <v>1278</v>
      </c>
      <c r="B325" s="9">
        <v>3001</v>
      </c>
      <c r="C325" s="10">
        <v>2</v>
      </c>
      <c r="D325" s="9" t="s">
        <v>37</v>
      </c>
      <c r="E325" s="11">
        <v>46250.552551539353</v>
      </c>
      <c r="F325" s="9" t="s">
        <v>1279</v>
      </c>
      <c r="G325" s="9" t="s">
        <v>39</v>
      </c>
      <c r="H325" s="9">
        <v>53</v>
      </c>
      <c r="I325" s="9" t="s">
        <v>40</v>
      </c>
      <c r="J325" s="9">
        <v>5309</v>
      </c>
      <c r="K325" s="9" t="s">
        <v>41</v>
      </c>
      <c r="L325" s="9">
        <v>5309021</v>
      </c>
      <c r="M325" s="9">
        <v>5309021006</v>
      </c>
      <c r="N325" s="9" t="s">
        <v>42</v>
      </c>
      <c r="O325" s="9">
        <v>10421</v>
      </c>
      <c r="P325" s="9" t="s">
        <v>1280</v>
      </c>
      <c r="Q325" s="10">
        <v>3</v>
      </c>
      <c r="R325" s="10">
        <v>500000</v>
      </c>
      <c r="S325" s="10">
        <v>250000</v>
      </c>
      <c r="T325" s="10">
        <v>0</v>
      </c>
      <c r="U325" s="10">
        <v>200000</v>
      </c>
      <c r="V325" s="10">
        <v>0</v>
      </c>
      <c r="W325" s="10">
        <v>950000</v>
      </c>
      <c r="X325" s="10">
        <v>3000000</v>
      </c>
      <c r="Y325" s="10">
        <v>0</v>
      </c>
      <c r="Z325" s="10">
        <v>2550000</v>
      </c>
      <c r="AA325" s="10">
        <v>750000</v>
      </c>
      <c r="AB325" s="10">
        <v>3000000</v>
      </c>
      <c r="AC325" s="10">
        <v>0</v>
      </c>
      <c r="AD325" s="9" t="s">
        <v>44</v>
      </c>
      <c r="AE325" s="10" t="s">
        <v>1765</v>
      </c>
      <c r="AF325" s="10">
        <v>1000000</v>
      </c>
      <c r="AG325" s="10">
        <v>1</v>
      </c>
      <c r="AH325" s="10">
        <v>1</v>
      </c>
      <c r="AI325" s="10">
        <v>1</v>
      </c>
      <c r="AJ325" s="12" t="s">
        <v>1281</v>
      </c>
      <c r="AK325" s="10">
        <v>0</v>
      </c>
      <c r="AL325" s="10">
        <v>0</v>
      </c>
      <c r="AM325" s="9">
        <v>2010</v>
      </c>
      <c r="AN325" s="10">
        <v>1</v>
      </c>
      <c r="AO325" s="10">
        <v>2</v>
      </c>
      <c r="AP325" s="6"/>
      <c r="AQ325" s="7"/>
      <c r="AR325" s="8"/>
      <c r="AS325" s="4">
        <f t="shared" si="15"/>
        <v>450000</v>
      </c>
      <c r="AT325" s="4">
        <f t="shared" si="16"/>
        <v>1740000</v>
      </c>
      <c r="AU325" s="4">
        <f t="shared" si="17"/>
        <v>1260000</v>
      </c>
      <c r="AV325" s="9" t="s">
        <v>1280</v>
      </c>
      <c r="AW325" s="12" t="s">
        <v>1281</v>
      </c>
      <c r="AX325" s="10">
        <v>0</v>
      </c>
      <c r="AY325">
        <f>S325*AU325/AS325</f>
        <v>700000</v>
      </c>
      <c r="AZ325">
        <f>AU325-AY325</f>
        <v>560000</v>
      </c>
      <c r="BA325" s="10">
        <v>3000000</v>
      </c>
      <c r="BB325" s="10">
        <v>0</v>
      </c>
      <c r="BC325" s="9" t="s">
        <v>42</v>
      </c>
      <c r="BD325" s="9">
        <v>10421</v>
      </c>
      <c r="BE325" t="s">
        <v>46</v>
      </c>
    </row>
    <row r="326" spans="1:57" ht="270.75" thickBot="1" x14ac:dyDescent="0.3">
      <c r="A326" s="9" t="s">
        <v>1282</v>
      </c>
      <c r="B326" s="9">
        <v>3001</v>
      </c>
      <c r="C326" s="10">
        <v>2</v>
      </c>
      <c r="D326" s="9" t="s">
        <v>113</v>
      </c>
      <c r="E326" s="11">
        <v>46316.98976650463</v>
      </c>
      <c r="F326" s="9" t="s">
        <v>1283</v>
      </c>
      <c r="G326" s="9" t="s">
        <v>39</v>
      </c>
      <c r="H326" s="9">
        <v>53</v>
      </c>
      <c r="I326" s="9" t="s">
        <v>40</v>
      </c>
      <c r="J326" s="9">
        <v>5309</v>
      </c>
      <c r="K326" s="9" t="s">
        <v>41</v>
      </c>
      <c r="L326" s="9">
        <v>5309062</v>
      </c>
      <c r="M326" s="9">
        <v>5309062003</v>
      </c>
      <c r="N326" s="9" t="s">
        <v>42</v>
      </c>
      <c r="O326" s="9">
        <v>10421</v>
      </c>
      <c r="P326" s="9" t="s">
        <v>1284</v>
      </c>
      <c r="Q326" s="10">
        <v>3</v>
      </c>
      <c r="R326" s="10">
        <v>200000</v>
      </c>
      <c r="S326" s="10">
        <v>150000</v>
      </c>
      <c r="T326" s="10">
        <v>0</v>
      </c>
      <c r="U326" s="10">
        <v>500000</v>
      </c>
      <c r="V326" s="10">
        <v>0</v>
      </c>
      <c r="W326" s="10">
        <v>850000</v>
      </c>
      <c r="X326" s="10">
        <v>8000000</v>
      </c>
      <c r="Y326" s="10">
        <v>0</v>
      </c>
      <c r="Z326" s="10">
        <v>7350000</v>
      </c>
      <c r="AA326" s="10">
        <v>4800000</v>
      </c>
      <c r="AB326" s="10">
        <v>8000000</v>
      </c>
      <c r="AC326" s="10">
        <v>0</v>
      </c>
      <c r="AD326" s="9" t="s">
        <v>44</v>
      </c>
      <c r="AE326" s="10" t="s">
        <v>2433</v>
      </c>
      <c r="AF326" s="13">
        <v>2666666667</v>
      </c>
      <c r="AG326" s="10">
        <v>1</v>
      </c>
      <c r="AH326" s="10">
        <v>1</v>
      </c>
      <c r="AI326" s="10">
        <v>1</v>
      </c>
      <c r="AJ326" s="12" t="s">
        <v>1285</v>
      </c>
      <c r="AK326" s="10">
        <v>0</v>
      </c>
      <c r="AL326" s="10">
        <v>0</v>
      </c>
      <c r="AM326" s="9">
        <v>2020</v>
      </c>
      <c r="AN326" s="10">
        <v>1</v>
      </c>
      <c r="AO326" s="10">
        <v>2</v>
      </c>
      <c r="AP326" s="6"/>
      <c r="AQ326" s="7"/>
      <c r="AR326" s="8"/>
      <c r="AS326" s="4">
        <f t="shared" si="15"/>
        <v>650000</v>
      </c>
      <c r="AT326" s="4">
        <f t="shared" si="16"/>
        <v>4640000</v>
      </c>
      <c r="AU326" s="4">
        <f t="shared" si="17"/>
        <v>3360000</v>
      </c>
      <c r="AV326" s="9" t="s">
        <v>1284</v>
      </c>
      <c r="AW326" s="12" t="s">
        <v>1285</v>
      </c>
      <c r="AX326" s="10">
        <v>0</v>
      </c>
      <c r="AY326">
        <f>S326*AU326/AS326</f>
        <v>775384.61538461538</v>
      </c>
      <c r="AZ326">
        <f>AU326-AY326</f>
        <v>2584615.3846153845</v>
      </c>
      <c r="BA326" s="10">
        <v>8000000</v>
      </c>
      <c r="BB326" s="10">
        <v>0</v>
      </c>
      <c r="BC326" s="9" t="s">
        <v>42</v>
      </c>
      <c r="BD326" s="9">
        <v>10421</v>
      </c>
      <c r="BE326" t="s">
        <v>46</v>
      </c>
    </row>
    <row r="327" spans="1:57" ht="270.75" thickBot="1" x14ac:dyDescent="0.3">
      <c r="A327" s="9" t="s">
        <v>1286</v>
      </c>
      <c r="B327" s="9">
        <v>3004</v>
      </c>
      <c r="C327" s="10">
        <v>2</v>
      </c>
      <c r="D327" s="9" t="s">
        <v>37</v>
      </c>
      <c r="E327" s="11">
        <v>46262.146190358799</v>
      </c>
      <c r="F327" s="9" t="s">
        <v>1287</v>
      </c>
      <c r="G327" s="9" t="s">
        <v>39</v>
      </c>
      <c r="H327" s="9">
        <v>53</v>
      </c>
      <c r="I327" s="9" t="s">
        <v>40</v>
      </c>
      <c r="J327" s="9">
        <v>5309</v>
      </c>
      <c r="K327" s="9" t="s">
        <v>41</v>
      </c>
      <c r="L327" s="9">
        <v>5309074</v>
      </c>
      <c r="M327" s="9">
        <v>5309074007</v>
      </c>
      <c r="N327" s="9" t="s">
        <v>42</v>
      </c>
      <c r="O327" s="9">
        <v>10421</v>
      </c>
      <c r="P327" s="9" t="s">
        <v>1288</v>
      </c>
      <c r="Q327" s="10">
        <v>3</v>
      </c>
      <c r="R327" s="10">
        <v>900000</v>
      </c>
      <c r="S327" s="10">
        <v>1000000</v>
      </c>
      <c r="T327" s="10">
        <v>0</v>
      </c>
      <c r="U327" s="10">
        <v>350000</v>
      </c>
      <c r="V327" s="10">
        <v>15000</v>
      </c>
      <c r="W327" s="10">
        <v>2265000</v>
      </c>
      <c r="X327" s="10">
        <v>4200000</v>
      </c>
      <c r="Y327" s="10">
        <v>0</v>
      </c>
      <c r="Z327" s="10">
        <v>2850000</v>
      </c>
      <c r="AA327" s="10">
        <v>1950000</v>
      </c>
      <c r="AB327" s="10">
        <v>4200000</v>
      </c>
      <c r="AC327" s="10">
        <v>0</v>
      </c>
      <c r="AD327" s="9" t="s">
        <v>44</v>
      </c>
      <c r="AE327" s="10" t="s">
        <v>2276</v>
      </c>
      <c r="AF327" s="10">
        <v>1400000</v>
      </c>
      <c r="AG327" s="10">
        <v>1</v>
      </c>
      <c r="AH327" s="10">
        <v>1</v>
      </c>
      <c r="AI327" s="10">
        <v>1</v>
      </c>
      <c r="AJ327" s="12" t="s">
        <v>1289</v>
      </c>
      <c r="AK327" s="10">
        <v>0</v>
      </c>
      <c r="AL327" s="10">
        <v>0</v>
      </c>
      <c r="AM327" s="9">
        <v>2019</v>
      </c>
      <c r="AN327" s="10">
        <v>2</v>
      </c>
      <c r="AO327" s="10">
        <v>1</v>
      </c>
      <c r="AP327" s="6"/>
      <c r="AQ327" s="7"/>
      <c r="AR327" s="8"/>
      <c r="AS327" s="4">
        <f t="shared" si="15"/>
        <v>1350000</v>
      </c>
      <c r="AT327" s="4">
        <f t="shared" si="16"/>
        <v>2436001.5385272875</v>
      </c>
      <c r="AU327" s="4">
        <f t="shared" si="17"/>
        <v>1763998.4614727125</v>
      </c>
      <c r="AV327" s="9" t="s">
        <v>1288</v>
      </c>
      <c r="AW327" s="12" t="s">
        <v>1289</v>
      </c>
      <c r="AX327" s="10">
        <v>0</v>
      </c>
      <c r="AY327">
        <f>S327*AU327/AS327</f>
        <v>1306665.5270168241</v>
      </c>
      <c r="AZ327">
        <f>AU327-AY327</f>
        <v>457332.93445588835</v>
      </c>
      <c r="BA327" s="10">
        <v>4200000</v>
      </c>
      <c r="BB327" s="10">
        <v>0</v>
      </c>
      <c r="BC327" s="9" t="s">
        <v>42</v>
      </c>
      <c r="BD327" s="9">
        <v>10421</v>
      </c>
      <c r="BE327" t="s">
        <v>46</v>
      </c>
    </row>
    <row r="328" spans="1:57" ht="270.75" thickBot="1" x14ac:dyDescent="0.3">
      <c r="A328" s="9" t="s">
        <v>1286</v>
      </c>
      <c r="B328" s="9">
        <v>3002</v>
      </c>
      <c r="C328" s="10">
        <v>2</v>
      </c>
      <c r="D328" s="9" t="s">
        <v>37</v>
      </c>
      <c r="E328" s="11">
        <v>46262.146190358799</v>
      </c>
      <c r="F328" s="9" t="s">
        <v>1287</v>
      </c>
      <c r="G328" s="9" t="s">
        <v>39</v>
      </c>
      <c r="H328" s="9">
        <v>53</v>
      </c>
      <c r="I328" s="9" t="s">
        <v>40</v>
      </c>
      <c r="J328" s="9">
        <v>5309</v>
      </c>
      <c r="K328" s="9" t="s">
        <v>41</v>
      </c>
      <c r="L328" s="9">
        <v>5309074</v>
      </c>
      <c r="M328" s="9">
        <v>5309074007</v>
      </c>
      <c r="N328" s="9" t="s">
        <v>42</v>
      </c>
      <c r="O328" s="9">
        <v>10421</v>
      </c>
      <c r="P328" s="9" t="s">
        <v>1290</v>
      </c>
      <c r="Q328" s="10">
        <v>4</v>
      </c>
      <c r="R328" s="10">
        <v>1500000</v>
      </c>
      <c r="S328" s="10">
        <v>2500000</v>
      </c>
      <c r="T328" s="10">
        <v>0</v>
      </c>
      <c r="U328" s="10">
        <v>350000</v>
      </c>
      <c r="V328" s="10">
        <v>15000</v>
      </c>
      <c r="W328" s="10">
        <v>4365000</v>
      </c>
      <c r="X328" s="10">
        <v>15200000</v>
      </c>
      <c r="Y328" s="10">
        <v>0</v>
      </c>
      <c r="Z328" s="10">
        <v>12350000</v>
      </c>
      <c r="AA328" s="10">
        <v>1950000</v>
      </c>
      <c r="AB328" s="10">
        <v>15200000</v>
      </c>
      <c r="AC328" s="10">
        <v>0</v>
      </c>
      <c r="AD328" s="9" t="s">
        <v>44</v>
      </c>
      <c r="AE328" s="10" t="s">
        <v>2362</v>
      </c>
      <c r="AF328" s="10">
        <v>3800000</v>
      </c>
      <c r="AG328" s="10">
        <v>1</v>
      </c>
      <c r="AH328" s="10">
        <v>1</v>
      </c>
      <c r="AI328" s="10">
        <v>1</v>
      </c>
      <c r="AJ328" s="12" t="s">
        <v>1289</v>
      </c>
      <c r="AK328" s="10">
        <v>0</v>
      </c>
      <c r="AL328" s="10">
        <v>0</v>
      </c>
      <c r="AM328" s="9">
        <v>2021</v>
      </c>
      <c r="AN328" s="10">
        <v>3</v>
      </c>
      <c r="AO328" s="10">
        <v>1</v>
      </c>
      <c r="AP328" s="6"/>
      <c r="AQ328" s="7"/>
      <c r="AR328" s="8"/>
      <c r="AS328" s="4">
        <f t="shared" si="15"/>
        <v>2850000</v>
      </c>
      <c r="AT328" s="4">
        <f t="shared" si="16"/>
        <v>8815999.9999999981</v>
      </c>
      <c r="AU328" s="4">
        <f t="shared" si="17"/>
        <v>6384000.0000000019</v>
      </c>
      <c r="AV328" s="9" t="s">
        <v>1290</v>
      </c>
      <c r="AW328" s="12" t="s">
        <v>1289</v>
      </c>
      <c r="AX328" s="10">
        <v>0</v>
      </c>
      <c r="AY328">
        <f>S328*AU328/AS328</f>
        <v>5600000.0000000009</v>
      </c>
      <c r="AZ328">
        <f>AU328-AY328</f>
        <v>784000.00000000093</v>
      </c>
      <c r="BA328" s="10">
        <v>15200000</v>
      </c>
      <c r="BB328" s="10">
        <v>0</v>
      </c>
      <c r="BC328" s="9" t="s">
        <v>42</v>
      </c>
      <c r="BD328" s="9">
        <v>10421</v>
      </c>
      <c r="BE328" t="s">
        <v>46</v>
      </c>
    </row>
    <row r="329" spans="1:57" ht="270.75" thickBot="1" x14ac:dyDescent="0.3">
      <c r="A329" s="9" t="s">
        <v>1291</v>
      </c>
      <c r="B329" s="9">
        <v>3001</v>
      </c>
      <c r="C329" s="10">
        <v>2</v>
      </c>
      <c r="D329" s="9" t="s">
        <v>37</v>
      </c>
      <c r="E329" s="14">
        <v>46221.26</v>
      </c>
      <c r="F329" s="9" t="s">
        <v>1292</v>
      </c>
      <c r="G329" s="9" t="s">
        <v>39</v>
      </c>
      <c r="H329" s="9">
        <v>53</v>
      </c>
      <c r="I329" s="9" t="s">
        <v>40</v>
      </c>
      <c r="J329" s="9">
        <v>5309</v>
      </c>
      <c r="K329" s="9" t="s">
        <v>41</v>
      </c>
      <c r="L329" s="9">
        <v>5309062</v>
      </c>
      <c r="M329" s="9">
        <v>5309062006</v>
      </c>
      <c r="N329" s="9" t="s">
        <v>42</v>
      </c>
      <c r="O329" s="9">
        <v>10421</v>
      </c>
      <c r="P329" s="9" t="s">
        <v>1293</v>
      </c>
      <c r="Q329" s="10">
        <v>4</v>
      </c>
      <c r="R329" s="10">
        <v>150000</v>
      </c>
      <c r="S329" s="10">
        <v>100000</v>
      </c>
      <c r="T329" s="10">
        <v>0</v>
      </c>
      <c r="U329" s="10">
        <v>150000</v>
      </c>
      <c r="V329" s="10">
        <v>0</v>
      </c>
      <c r="W329" s="10">
        <v>400000</v>
      </c>
      <c r="X329" s="10">
        <v>4200000</v>
      </c>
      <c r="Y329" s="10">
        <v>0</v>
      </c>
      <c r="Z329" s="10">
        <v>3950000</v>
      </c>
      <c r="AA329" s="10">
        <v>2400000</v>
      </c>
      <c r="AB329" s="10">
        <v>4200000</v>
      </c>
      <c r="AC329" s="10">
        <v>0</v>
      </c>
      <c r="AD329" s="9" t="s">
        <v>44</v>
      </c>
      <c r="AE329" s="10" t="s">
        <v>2409</v>
      </c>
      <c r="AF329" s="10">
        <v>1050000</v>
      </c>
      <c r="AG329" s="10">
        <v>1</v>
      </c>
      <c r="AH329" s="10">
        <v>1</v>
      </c>
      <c r="AI329" s="10">
        <v>1</v>
      </c>
      <c r="AJ329" s="12" t="s">
        <v>1294</v>
      </c>
      <c r="AK329" s="10">
        <v>0</v>
      </c>
      <c r="AL329" s="10">
        <v>0</v>
      </c>
      <c r="AM329" s="9">
        <v>1999</v>
      </c>
      <c r="AN329" s="10">
        <v>1</v>
      </c>
      <c r="AO329" s="10">
        <v>3</v>
      </c>
      <c r="AP329" s="6"/>
      <c r="AQ329" s="7"/>
      <c r="AR329" s="8"/>
      <c r="AS329" s="4">
        <f t="shared" si="15"/>
        <v>250000</v>
      </c>
      <c r="AT329" s="4">
        <f t="shared" si="16"/>
        <v>2436000.4933671886</v>
      </c>
      <c r="AU329" s="4">
        <f t="shared" si="17"/>
        <v>1763999.5066328114</v>
      </c>
      <c r="AV329" s="9" t="s">
        <v>1293</v>
      </c>
      <c r="AW329" s="12" t="s">
        <v>1294</v>
      </c>
      <c r="AX329" s="10">
        <v>0</v>
      </c>
      <c r="AY329">
        <f>S329*AU329/AS329</f>
        <v>705599.80265312456</v>
      </c>
      <c r="AZ329">
        <f>AU329-AY329</f>
        <v>1058399.7039796868</v>
      </c>
      <c r="BA329" s="10">
        <v>4200000</v>
      </c>
      <c r="BB329" s="10">
        <v>0</v>
      </c>
      <c r="BC329" s="9" t="s">
        <v>42</v>
      </c>
      <c r="BD329" s="9">
        <v>10421</v>
      </c>
      <c r="BE329" t="s">
        <v>46</v>
      </c>
    </row>
    <row r="330" spans="1:57" ht="270.75" thickBot="1" x14ac:dyDescent="0.3">
      <c r="A330" s="9" t="s">
        <v>1295</v>
      </c>
      <c r="B330" s="9">
        <v>3001</v>
      </c>
      <c r="C330" s="10">
        <v>2</v>
      </c>
      <c r="D330" s="9" t="s">
        <v>37</v>
      </c>
      <c r="E330" s="11">
        <v>46255.262799293982</v>
      </c>
      <c r="F330" s="9" t="s">
        <v>1296</v>
      </c>
      <c r="G330" s="9" t="s">
        <v>39</v>
      </c>
      <c r="H330" s="9">
        <v>53</v>
      </c>
      <c r="I330" s="9" t="s">
        <v>40</v>
      </c>
      <c r="J330" s="9">
        <v>5309</v>
      </c>
      <c r="K330" s="9" t="s">
        <v>41</v>
      </c>
      <c r="L330" s="9">
        <v>5309062</v>
      </c>
      <c r="M330" s="9">
        <v>5309062006</v>
      </c>
      <c r="N330" s="9" t="s">
        <v>42</v>
      </c>
      <c r="O330" s="9">
        <v>10421</v>
      </c>
      <c r="P330" s="9" t="s">
        <v>1297</v>
      </c>
      <c r="Q330" s="10">
        <v>2</v>
      </c>
      <c r="R330" s="10">
        <v>0</v>
      </c>
      <c r="S330" s="10">
        <v>800000</v>
      </c>
      <c r="T330" s="10">
        <v>0</v>
      </c>
      <c r="U330" s="10">
        <v>350000</v>
      </c>
      <c r="V330" s="10">
        <v>0</v>
      </c>
      <c r="W330" s="10">
        <v>1150000</v>
      </c>
      <c r="X330" s="10">
        <v>15600000</v>
      </c>
      <c r="Y330" s="10">
        <v>0</v>
      </c>
      <c r="Z330" s="10">
        <v>14450000</v>
      </c>
      <c r="AA330" s="10">
        <v>5000000</v>
      </c>
      <c r="AB330" s="10">
        <v>15600000</v>
      </c>
      <c r="AC330" s="10">
        <v>0</v>
      </c>
      <c r="AD330" s="9" t="s">
        <v>44</v>
      </c>
      <c r="AE330" s="10" t="s">
        <v>2452</v>
      </c>
      <c r="AF330" s="10">
        <v>7800000</v>
      </c>
      <c r="AG330" s="10">
        <v>1</v>
      </c>
      <c r="AH330" s="10">
        <v>1</v>
      </c>
      <c r="AI330" s="10">
        <v>1</v>
      </c>
      <c r="AJ330" s="12" t="s">
        <v>1298</v>
      </c>
      <c r="AK330" s="10">
        <v>0</v>
      </c>
      <c r="AL330" s="10">
        <v>0</v>
      </c>
      <c r="AM330" s="9">
        <v>2009</v>
      </c>
      <c r="AN330" s="10">
        <v>0</v>
      </c>
      <c r="AO330" s="10">
        <v>2</v>
      </c>
      <c r="AP330" s="6"/>
      <c r="AQ330" s="7"/>
      <c r="AR330" s="8"/>
      <c r="AS330" s="4">
        <f t="shared" si="15"/>
        <v>1150000</v>
      </c>
      <c r="AT330" s="4">
        <f t="shared" si="16"/>
        <v>9048000.5009273626</v>
      </c>
      <c r="AU330" s="4">
        <f t="shared" si="17"/>
        <v>6551999.4990726374</v>
      </c>
      <c r="AV330" s="9" t="s">
        <v>1297</v>
      </c>
      <c r="AW330" s="12" t="s">
        <v>1298</v>
      </c>
      <c r="AX330" s="10">
        <v>0</v>
      </c>
      <c r="AY330">
        <f>S330*AU330/AS330</f>
        <v>4557912.6950070523</v>
      </c>
      <c r="AZ330">
        <f>AU330-AY330</f>
        <v>1994086.8040655851</v>
      </c>
      <c r="BA330" s="10">
        <v>15600000</v>
      </c>
      <c r="BB330" s="10">
        <v>0</v>
      </c>
      <c r="BC330" s="9" t="s">
        <v>42</v>
      </c>
      <c r="BD330" s="9">
        <v>10421</v>
      </c>
      <c r="BE330" t="s">
        <v>46</v>
      </c>
    </row>
    <row r="331" spans="1:57" ht="270.75" thickBot="1" x14ac:dyDescent="0.3">
      <c r="A331" s="9" t="s">
        <v>1299</v>
      </c>
      <c r="B331" s="9">
        <v>3003</v>
      </c>
      <c r="C331" s="10">
        <v>2</v>
      </c>
      <c r="D331" s="9" t="s">
        <v>84</v>
      </c>
      <c r="E331" s="11">
        <v>46315.299820462962</v>
      </c>
      <c r="F331" s="9" t="s">
        <v>1300</v>
      </c>
      <c r="G331" s="9" t="s">
        <v>39</v>
      </c>
      <c r="H331" s="9">
        <v>53</v>
      </c>
      <c r="I331" s="9" t="s">
        <v>40</v>
      </c>
      <c r="J331" s="9">
        <v>5309</v>
      </c>
      <c r="K331" s="9" t="s">
        <v>41</v>
      </c>
      <c r="L331" s="9">
        <v>5309062</v>
      </c>
      <c r="M331" s="9">
        <v>5309062003</v>
      </c>
      <c r="N331" s="9" t="s">
        <v>42</v>
      </c>
      <c r="O331" s="9">
        <v>10421</v>
      </c>
      <c r="P331" s="9" t="s">
        <v>1301</v>
      </c>
      <c r="Q331" s="10">
        <v>3</v>
      </c>
      <c r="R331" s="10">
        <v>200000</v>
      </c>
      <c r="S331" s="10">
        <v>150000</v>
      </c>
      <c r="T331" s="10">
        <v>0</v>
      </c>
      <c r="U331" s="10">
        <v>400000</v>
      </c>
      <c r="V331" s="10">
        <v>0</v>
      </c>
      <c r="W331" s="10">
        <v>750000</v>
      </c>
      <c r="X331" s="10">
        <v>6000000</v>
      </c>
      <c r="Y331" s="10">
        <v>0</v>
      </c>
      <c r="Z331" s="10">
        <v>5450000</v>
      </c>
      <c r="AA331" s="10">
        <v>4800000</v>
      </c>
      <c r="AB331" s="10">
        <v>6000000</v>
      </c>
      <c r="AC331" s="10">
        <v>0</v>
      </c>
      <c r="AD331" s="9" t="s">
        <v>44</v>
      </c>
      <c r="AE331" s="10" t="s">
        <v>2361</v>
      </c>
      <c r="AF331" s="10">
        <v>2000000</v>
      </c>
      <c r="AG331" s="10">
        <v>1</v>
      </c>
      <c r="AH331" s="10">
        <v>1</v>
      </c>
      <c r="AI331" s="10">
        <v>1</v>
      </c>
      <c r="AJ331" s="12" t="s">
        <v>1302</v>
      </c>
      <c r="AK331" s="10">
        <v>0</v>
      </c>
      <c r="AL331" s="10">
        <v>0</v>
      </c>
      <c r="AM331" s="9">
        <v>2020</v>
      </c>
      <c r="AN331" s="10">
        <v>1</v>
      </c>
      <c r="AO331" s="10">
        <v>2</v>
      </c>
      <c r="AP331" s="6"/>
      <c r="AQ331" s="7"/>
      <c r="AR331" s="8"/>
      <c r="AS331" s="4">
        <f t="shared" si="15"/>
        <v>550000</v>
      </c>
      <c r="AT331" s="4">
        <f t="shared" si="16"/>
        <v>3480001.277064689</v>
      </c>
      <c r="AU331" s="4">
        <f t="shared" si="17"/>
        <v>2519998.722935311</v>
      </c>
      <c r="AV331" s="9" t="s">
        <v>1301</v>
      </c>
      <c r="AW331" s="12" t="s">
        <v>1302</v>
      </c>
      <c r="AX331" s="10">
        <v>0</v>
      </c>
      <c r="AY331">
        <f>S331*AU331/AS331</f>
        <v>687272.37898235756</v>
      </c>
      <c r="AZ331">
        <f>AU331-AY331</f>
        <v>1832726.3439529533</v>
      </c>
      <c r="BA331" s="10">
        <v>6000000</v>
      </c>
      <c r="BB331" s="10">
        <v>0</v>
      </c>
      <c r="BC331" s="9" t="s">
        <v>42</v>
      </c>
      <c r="BD331" s="9">
        <v>10421</v>
      </c>
      <c r="BE331" t="s">
        <v>46</v>
      </c>
    </row>
    <row r="332" spans="1:57" ht="270.75" thickBot="1" x14ac:dyDescent="0.3">
      <c r="A332" s="9" t="s">
        <v>1303</v>
      </c>
      <c r="B332" s="9">
        <v>1001</v>
      </c>
      <c r="C332" s="10">
        <v>2</v>
      </c>
      <c r="D332" s="9" t="s">
        <v>37</v>
      </c>
      <c r="E332" s="14">
        <v>46216.279120370367</v>
      </c>
      <c r="F332" s="9" t="s">
        <v>1304</v>
      </c>
      <c r="G332" s="9" t="s">
        <v>39</v>
      </c>
      <c r="H332" s="9">
        <v>53</v>
      </c>
      <c r="I332" s="9" t="s">
        <v>40</v>
      </c>
      <c r="J332" s="9">
        <v>5309</v>
      </c>
      <c r="K332" s="9" t="s">
        <v>41</v>
      </c>
      <c r="L332" s="9">
        <v>5309062</v>
      </c>
      <c r="M332" s="9">
        <v>5309062006</v>
      </c>
      <c r="N332" s="9" t="s">
        <v>42</v>
      </c>
      <c r="O332" s="9">
        <v>10421</v>
      </c>
      <c r="P332" s="9" t="s">
        <v>1305</v>
      </c>
      <c r="Q332" s="10">
        <v>2</v>
      </c>
      <c r="R332" s="10">
        <v>0</v>
      </c>
      <c r="S332" s="10">
        <v>600000</v>
      </c>
      <c r="T332" s="10">
        <v>0</v>
      </c>
      <c r="U332" s="10">
        <v>300000</v>
      </c>
      <c r="V332" s="10">
        <v>0</v>
      </c>
      <c r="W332" s="10">
        <v>900000</v>
      </c>
      <c r="X332" s="10">
        <v>9500000</v>
      </c>
      <c r="Y332" s="10">
        <v>0</v>
      </c>
      <c r="Z332" s="10">
        <v>8600000</v>
      </c>
      <c r="AA332" s="10">
        <v>5000000</v>
      </c>
      <c r="AB332" s="10">
        <v>9500000</v>
      </c>
      <c r="AC332" s="10">
        <v>0</v>
      </c>
      <c r="AD332" s="9" t="s">
        <v>44</v>
      </c>
      <c r="AE332" s="10" t="s">
        <v>2453</v>
      </c>
      <c r="AF332" s="10">
        <v>4750000</v>
      </c>
      <c r="AG332" s="10">
        <v>1</v>
      </c>
      <c r="AH332" s="10">
        <v>1</v>
      </c>
      <c r="AI332" s="10">
        <v>1</v>
      </c>
      <c r="AJ332" s="12" t="s">
        <v>1306</v>
      </c>
      <c r="AK332" s="10">
        <v>0</v>
      </c>
      <c r="AL332" s="10">
        <v>0</v>
      </c>
      <c r="AM332" s="9">
        <v>2014</v>
      </c>
      <c r="AN332" s="10">
        <v>0</v>
      </c>
      <c r="AO332" s="10">
        <v>2</v>
      </c>
      <c r="AP332" s="6"/>
      <c r="AQ332" s="7"/>
      <c r="AR332" s="8"/>
      <c r="AS332" s="4">
        <f t="shared" si="15"/>
        <v>900000</v>
      </c>
      <c r="AT332" s="4">
        <f t="shared" si="16"/>
        <v>5510000.9610466789</v>
      </c>
      <c r="AU332" s="4">
        <f t="shared" si="17"/>
        <v>3989999.0389533211</v>
      </c>
      <c r="AV332" s="9" t="s">
        <v>1305</v>
      </c>
      <c r="AW332" s="12" t="s">
        <v>1306</v>
      </c>
      <c r="AX332" s="10">
        <v>0</v>
      </c>
      <c r="AY332">
        <f>S332*AU332/AS332</f>
        <v>2659999.3593022139</v>
      </c>
      <c r="AZ332">
        <f>AU332-AY332</f>
        <v>1329999.6796511072</v>
      </c>
      <c r="BA332" s="10">
        <v>9500000</v>
      </c>
      <c r="BB332" s="10">
        <v>0</v>
      </c>
      <c r="BC332" s="9" t="s">
        <v>42</v>
      </c>
      <c r="BD332" s="9">
        <v>10421</v>
      </c>
      <c r="BE332" t="s">
        <v>46</v>
      </c>
    </row>
    <row r="333" spans="1:57" ht="270.75" thickBot="1" x14ac:dyDescent="0.3">
      <c r="A333" s="9" t="s">
        <v>1307</v>
      </c>
      <c r="B333" s="9">
        <v>3001</v>
      </c>
      <c r="C333" s="10">
        <v>2</v>
      </c>
      <c r="D333" s="9" t="s">
        <v>37</v>
      </c>
      <c r="E333" s="11">
        <v>46213.42419189815</v>
      </c>
      <c r="F333" s="9" t="s">
        <v>1308</v>
      </c>
      <c r="G333" s="9" t="s">
        <v>39</v>
      </c>
      <c r="H333" s="9">
        <v>53</v>
      </c>
      <c r="I333" s="9" t="s">
        <v>40</v>
      </c>
      <c r="J333" s="9">
        <v>5309</v>
      </c>
      <c r="K333" s="9" t="s">
        <v>41</v>
      </c>
      <c r="L333" s="9">
        <v>5309021</v>
      </c>
      <c r="M333" s="9">
        <v>5309021006</v>
      </c>
      <c r="N333" s="9" t="s">
        <v>42</v>
      </c>
      <c r="O333" s="9">
        <v>10421</v>
      </c>
      <c r="P333" s="9" t="s">
        <v>1309</v>
      </c>
      <c r="Q333" s="10">
        <v>3</v>
      </c>
      <c r="R333" s="10">
        <v>400000</v>
      </c>
      <c r="S333" s="10">
        <v>500000</v>
      </c>
      <c r="T333" s="10">
        <v>0</v>
      </c>
      <c r="U333" s="10">
        <v>0</v>
      </c>
      <c r="V333" s="10">
        <v>0</v>
      </c>
      <c r="W333" s="10">
        <v>900000</v>
      </c>
      <c r="X333" s="10">
        <v>6200000</v>
      </c>
      <c r="Y333" s="10">
        <v>800000</v>
      </c>
      <c r="Z333" s="10">
        <v>5700000</v>
      </c>
      <c r="AA333" s="10">
        <v>85000000</v>
      </c>
      <c r="AB333" s="10">
        <v>6200000</v>
      </c>
      <c r="AC333" s="10">
        <v>0</v>
      </c>
      <c r="AD333" s="9" t="s">
        <v>44</v>
      </c>
      <c r="AE333" s="10" t="s">
        <v>2454</v>
      </c>
      <c r="AF333" s="13">
        <v>2066666667</v>
      </c>
      <c r="AG333" s="10">
        <v>1</v>
      </c>
      <c r="AH333" s="10">
        <v>1</v>
      </c>
      <c r="AI333" s="10">
        <v>1</v>
      </c>
      <c r="AJ333" s="12" t="s">
        <v>1310</v>
      </c>
      <c r="AK333" s="10">
        <v>0</v>
      </c>
      <c r="AL333" s="10">
        <v>0</v>
      </c>
      <c r="AM333" s="9">
        <v>2025</v>
      </c>
      <c r="AN333" s="10">
        <v>1</v>
      </c>
      <c r="AO333" s="10">
        <v>2</v>
      </c>
      <c r="AP333" s="6"/>
      <c r="AQ333" s="7"/>
      <c r="AR333" s="8"/>
      <c r="AS333" s="4">
        <f t="shared" si="15"/>
        <v>500000</v>
      </c>
      <c r="AT333" s="4">
        <f t="shared" si="16"/>
        <v>3595999.3691229178</v>
      </c>
      <c r="AU333" s="4">
        <f t="shared" si="17"/>
        <v>2604000.6308770822</v>
      </c>
      <c r="AV333" s="9" t="s">
        <v>1309</v>
      </c>
      <c r="AW333" s="12" t="s">
        <v>1310</v>
      </c>
      <c r="AX333" s="10">
        <v>0</v>
      </c>
      <c r="AY333">
        <f>S333*AU333/AS333</f>
        <v>2604000.6308770822</v>
      </c>
      <c r="AZ333">
        <f>AU333-AY333</f>
        <v>0</v>
      </c>
      <c r="BA333" s="10">
        <v>6200000</v>
      </c>
      <c r="BB333" s="10">
        <v>800000</v>
      </c>
      <c r="BC333" s="9" t="s">
        <v>42</v>
      </c>
      <c r="BD333" s="9">
        <v>10421</v>
      </c>
      <c r="BE333" t="s">
        <v>46</v>
      </c>
    </row>
    <row r="334" spans="1:57" ht="270.75" thickBot="1" x14ac:dyDescent="0.3">
      <c r="A334" s="9" t="s">
        <v>1311</v>
      </c>
      <c r="B334" s="9">
        <v>1002</v>
      </c>
      <c r="C334" s="10">
        <v>2</v>
      </c>
      <c r="D334" s="9" t="s">
        <v>37</v>
      </c>
      <c r="E334" s="11">
        <v>46225.345679456019</v>
      </c>
      <c r="F334" s="9" t="s">
        <v>1312</v>
      </c>
      <c r="G334" s="9" t="s">
        <v>39</v>
      </c>
      <c r="H334" s="9">
        <v>53</v>
      </c>
      <c r="I334" s="9" t="s">
        <v>40</v>
      </c>
      <c r="J334" s="9">
        <v>5309</v>
      </c>
      <c r="K334" s="9" t="s">
        <v>41</v>
      </c>
      <c r="L334" s="9">
        <v>5309031</v>
      </c>
      <c r="M334" s="9">
        <v>5309031003</v>
      </c>
      <c r="N334" s="9" t="s">
        <v>42</v>
      </c>
      <c r="O334" s="9">
        <v>10421</v>
      </c>
      <c r="P334" s="9" t="s">
        <v>1313</v>
      </c>
      <c r="Q334" s="10">
        <v>2</v>
      </c>
      <c r="R334" s="10">
        <v>180000</v>
      </c>
      <c r="S334" s="10">
        <v>650000</v>
      </c>
      <c r="T334" s="10">
        <v>0</v>
      </c>
      <c r="U334" s="10">
        <v>150000</v>
      </c>
      <c r="V334" s="10">
        <v>5000</v>
      </c>
      <c r="W334" s="10">
        <v>985000</v>
      </c>
      <c r="X334" s="10">
        <v>2950000</v>
      </c>
      <c r="Y334" s="10">
        <v>0</v>
      </c>
      <c r="Z334" s="10">
        <v>2150000</v>
      </c>
      <c r="AA334" s="10">
        <v>2100000</v>
      </c>
      <c r="AB334" s="10">
        <v>2950000</v>
      </c>
      <c r="AC334" s="10">
        <v>0</v>
      </c>
      <c r="AD334" s="9" t="s">
        <v>44</v>
      </c>
      <c r="AE334" s="10" t="s">
        <v>2455</v>
      </c>
      <c r="AF334" s="10">
        <v>1475000</v>
      </c>
      <c r="AG334" s="10">
        <v>1</v>
      </c>
      <c r="AH334" s="10">
        <v>1</v>
      </c>
      <c r="AI334" s="10">
        <v>1</v>
      </c>
      <c r="AJ334" s="12" t="s">
        <v>1314</v>
      </c>
      <c r="AK334" s="10">
        <v>0</v>
      </c>
      <c r="AL334" s="10">
        <v>0</v>
      </c>
      <c r="AM334" s="9">
        <v>2020</v>
      </c>
      <c r="AN334" s="10">
        <v>1</v>
      </c>
      <c r="AO334" s="10">
        <v>1</v>
      </c>
      <c r="AP334" s="6"/>
      <c r="AQ334" s="7"/>
      <c r="AR334" s="8"/>
      <c r="AS334" s="4">
        <f t="shared" si="15"/>
        <v>800000</v>
      </c>
      <c r="AT334" s="4">
        <f t="shared" si="16"/>
        <v>1710998.9654424861</v>
      </c>
      <c r="AU334" s="4">
        <f t="shared" si="17"/>
        <v>1239001.0345575139</v>
      </c>
      <c r="AV334" s="9" t="s">
        <v>1313</v>
      </c>
      <c r="AW334" s="12" t="s">
        <v>1314</v>
      </c>
      <c r="AX334" s="10">
        <v>0</v>
      </c>
      <c r="AY334">
        <f>S334*AU334/AS334</f>
        <v>1006688.34057798</v>
      </c>
      <c r="AZ334">
        <f>AU334-AY334</f>
        <v>232312.69397953385</v>
      </c>
      <c r="BA334" s="10">
        <v>2950000</v>
      </c>
      <c r="BB334" s="10">
        <v>0</v>
      </c>
      <c r="BC334" s="9" t="s">
        <v>42</v>
      </c>
      <c r="BD334" s="9">
        <v>10421</v>
      </c>
      <c r="BE334" t="s">
        <v>46</v>
      </c>
    </row>
    <row r="335" spans="1:57" ht="270.75" thickBot="1" x14ac:dyDescent="0.3">
      <c r="A335" s="9" t="s">
        <v>1315</v>
      </c>
      <c r="B335" s="9">
        <v>3001</v>
      </c>
      <c r="C335" s="10">
        <v>2</v>
      </c>
      <c r="D335" s="9" t="s">
        <v>37</v>
      </c>
      <c r="E335" s="14">
        <v>46206.098935185182</v>
      </c>
      <c r="F335" s="9" t="s">
        <v>1316</v>
      </c>
      <c r="G335" s="9" t="s">
        <v>39</v>
      </c>
      <c r="H335" s="9">
        <v>53</v>
      </c>
      <c r="I335" s="9" t="s">
        <v>40</v>
      </c>
      <c r="J335" s="9">
        <v>5309</v>
      </c>
      <c r="K335" s="9" t="s">
        <v>41</v>
      </c>
      <c r="L335" s="9">
        <v>5309062</v>
      </c>
      <c r="M335" s="9">
        <v>5309062006</v>
      </c>
      <c r="N335" s="9" t="s">
        <v>42</v>
      </c>
      <c r="O335" s="9">
        <v>10421</v>
      </c>
      <c r="P335" s="9" t="s">
        <v>1317</v>
      </c>
      <c r="Q335" s="10">
        <v>3</v>
      </c>
      <c r="R335" s="10">
        <v>210000</v>
      </c>
      <c r="S335" s="10">
        <v>500000</v>
      </c>
      <c r="T335" s="10">
        <v>0</v>
      </c>
      <c r="U335" s="10">
        <v>150000</v>
      </c>
      <c r="V335" s="10">
        <v>0</v>
      </c>
      <c r="W335" s="10">
        <v>860000</v>
      </c>
      <c r="X335" s="10">
        <v>2800000</v>
      </c>
      <c r="Y335" s="10">
        <v>0</v>
      </c>
      <c r="Z335" s="10">
        <v>2150000</v>
      </c>
      <c r="AA335" s="10">
        <v>2400000</v>
      </c>
      <c r="AB335" s="10">
        <v>2800000</v>
      </c>
      <c r="AC335" s="10">
        <v>0</v>
      </c>
      <c r="AD335" s="9" t="s">
        <v>44</v>
      </c>
      <c r="AE335" s="10" t="s">
        <v>2456</v>
      </c>
      <c r="AF335" s="13">
        <v>9333333333</v>
      </c>
      <c r="AG335" s="10">
        <v>1</v>
      </c>
      <c r="AH335" s="10">
        <v>1</v>
      </c>
      <c r="AI335" s="10">
        <v>1</v>
      </c>
      <c r="AJ335" s="12" t="s">
        <v>1318</v>
      </c>
      <c r="AK335" s="10">
        <v>0</v>
      </c>
      <c r="AL335" s="10">
        <v>0</v>
      </c>
      <c r="AM335" s="9">
        <v>2021</v>
      </c>
      <c r="AN335" s="10">
        <v>1</v>
      </c>
      <c r="AO335" s="10">
        <v>2</v>
      </c>
      <c r="AP335" s="6"/>
      <c r="AQ335" s="7"/>
      <c r="AR335" s="8"/>
      <c r="AS335" s="4">
        <f t="shared" si="15"/>
        <v>650000</v>
      </c>
      <c r="AT335" s="4">
        <f t="shared" si="16"/>
        <v>1624000.302139591</v>
      </c>
      <c r="AU335" s="4">
        <f t="shared" si="17"/>
        <v>1175999.697860409</v>
      </c>
      <c r="AV335" s="9" t="s">
        <v>1317</v>
      </c>
      <c r="AW335" s="12" t="s">
        <v>1318</v>
      </c>
      <c r="AX335" s="10">
        <v>0</v>
      </c>
      <c r="AY335">
        <f>S335*AU335/AS335</f>
        <v>904615.15220031457</v>
      </c>
      <c r="AZ335">
        <f>AU335-AY335</f>
        <v>271384.54566009447</v>
      </c>
      <c r="BA335" s="10">
        <v>2800000</v>
      </c>
      <c r="BB335" s="10">
        <v>0</v>
      </c>
      <c r="BC335" s="9" t="s">
        <v>42</v>
      </c>
      <c r="BD335" s="9">
        <v>10421</v>
      </c>
      <c r="BE335" t="s">
        <v>46</v>
      </c>
    </row>
    <row r="336" spans="1:57" ht="270.75" thickBot="1" x14ac:dyDescent="0.3">
      <c r="A336" s="9" t="s">
        <v>1319</v>
      </c>
      <c r="B336" s="9">
        <v>3001</v>
      </c>
      <c r="C336" s="10">
        <v>2</v>
      </c>
      <c r="D336" s="9" t="s">
        <v>37</v>
      </c>
      <c r="E336" s="14">
        <v>46221.095983796295</v>
      </c>
      <c r="F336" s="9" t="s">
        <v>1320</v>
      </c>
      <c r="G336" s="9" t="s">
        <v>39</v>
      </c>
      <c r="H336" s="9">
        <v>53</v>
      </c>
      <c r="I336" s="9" t="s">
        <v>40</v>
      </c>
      <c r="J336" s="9">
        <v>5309</v>
      </c>
      <c r="K336" s="9" t="s">
        <v>41</v>
      </c>
      <c r="L336" s="9">
        <v>5309062</v>
      </c>
      <c r="M336" s="9">
        <v>5309062002</v>
      </c>
      <c r="N336" s="9" t="s">
        <v>42</v>
      </c>
      <c r="O336" s="9">
        <v>10421</v>
      </c>
      <c r="P336" s="9" t="s">
        <v>106</v>
      </c>
      <c r="Q336" s="10">
        <v>2</v>
      </c>
      <c r="R336" s="10">
        <v>0</v>
      </c>
      <c r="S336" s="10">
        <v>100000</v>
      </c>
      <c r="T336" s="10">
        <v>0</v>
      </c>
      <c r="U336" s="10">
        <v>500000</v>
      </c>
      <c r="V336" s="10">
        <v>0</v>
      </c>
      <c r="W336" s="10">
        <v>600000</v>
      </c>
      <c r="X336" s="10">
        <v>11000000</v>
      </c>
      <c r="Y336" s="10">
        <v>0</v>
      </c>
      <c r="Z336" s="10">
        <v>10400000</v>
      </c>
      <c r="AA336" s="10">
        <v>2000000</v>
      </c>
      <c r="AB336" s="10">
        <v>11000000</v>
      </c>
      <c r="AC336" s="10">
        <v>0</v>
      </c>
      <c r="AD336" s="9" t="s">
        <v>44</v>
      </c>
      <c r="AE336" s="10" t="s">
        <v>2457</v>
      </c>
      <c r="AF336" s="10">
        <v>5500000</v>
      </c>
      <c r="AG336" s="10">
        <v>1</v>
      </c>
      <c r="AH336" s="10">
        <v>1</v>
      </c>
      <c r="AI336" s="10">
        <v>1</v>
      </c>
      <c r="AJ336" s="12" t="s">
        <v>1321</v>
      </c>
      <c r="AK336" s="10">
        <v>0</v>
      </c>
      <c r="AL336" s="10">
        <v>0</v>
      </c>
      <c r="AM336" s="9">
        <v>1997</v>
      </c>
      <c r="AN336" s="10">
        <v>0</v>
      </c>
      <c r="AO336" s="10">
        <v>2</v>
      </c>
      <c r="AP336" s="6"/>
      <c r="AQ336" s="7"/>
      <c r="AR336" s="8"/>
      <c r="AS336" s="4">
        <f t="shared" si="15"/>
        <v>600000</v>
      </c>
      <c r="AT336" s="4">
        <f t="shared" si="16"/>
        <v>6379996.9326937823</v>
      </c>
      <c r="AU336" s="4">
        <f t="shared" si="17"/>
        <v>4620003.0673062177</v>
      </c>
      <c r="AV336" s="9" t="s">
        <v>106</v>
      </c>
      <c r="AW336" s="12" t="s">
        <v>1321</v>
      </c>
      <c r="AX336" s="10">
        <v>0</v>
      </c>
      <c r="AY336">
        <f>S336*AU336/AS336</f>
        <v>770000.511217703</v>
      </c>
      <c r="AZ336">
        <f>AU336-AY336</f>
        <v>3850002.5560885146</v>
      </c>
      <c r="BA336" s="10">
        <v>11000000</v>
      </c>
      <c r="BB336" s="10">
        <v>0</v>
      </c>
      <c r="BC336" s="9" t="s">
        <v>42</v>
      </c>
      <c r="BD336" s="9">
        <v>10421</v>
      </c>
      <c r="BE336" t="s">
        <v>46</v>
      </c>
    </row>
    <row r="337" spans="1:57" ht="270.75" thickBot="1" x14ac:dyDescent="0.3">
      <c r="A337" s="9" t="s">
        <v>1322</v>
      </c>
      <c r="B337" s="9">
        <v>3001</v>
      </c>
      <c r="C337" s="10">
        <v>2</v>
      </c>
      <c r="D337" s="9" t="s">
        <v>37</v>
      </c>
      <c r="E337" s="11">
        <v>46246.320647303241</v>
      </c>
      <c r="F337" s="9" t="s">
        <v>1323</v>
      </c>
      <c r="G337" s="9" t="s">
        <v>39</v>
      </c>
      <c r="H337" s="9">
        <v>53</v>
      </c>
      <c r="I337" s="9" t="s">
        <v>40</v>
      </c>
      <c r="J337" s="9">
        <v>5309</v>
      </c>
      <c r="K337" s="9" t="s">
        <v>41</v>
      </c>
      <c r="L337" s="9">
        <v>5309062</v>
      </c>
      <c r="M337" s="9">
        <v>5309062006</v>
      </c>
      <c r="N337" s="9" t="s">
        <v>42</v>
      </c>
      <c r="O337" s="9">
        <v>10421</v>
      </c>
      <c r="P337" s="9" t="s">
        <v>1324</v>
      </c>
      <c r="Q337" s="10">
        <v>2</v>
      </c>
      <c r="R337" s="10">
        <v>0</v>
      </c>
      <c r="S337" s="10">
        <v>200000</v>
      </c>
      <c r="T337" s="10">
        <v>0</v>
      </c>
      <c r="U337" s="10">
        <v>250000</v>
      </c>
      <c r="V337" s="10">
        <v>0</v>
      </c>
      <c r="W337" s="10">
        <v>450000</v>
      </c>
      <c r="X337" s="10">
        <v>6440000</v>
      </c>
      <c r="Y337" s="10">
        <v>0</v>
      </c>
      <c r="Z337" s="10">
        <v>5990000</v>
      </c>
      <c r="AA337" s="10">
        <v>4500000</v>
      </c>
      <c r="AB337" s="10">
        <v>6440000</v>
      </c>
      <c r="AC337" s="10">
        <v>0</v>
      </c>
      <c r="AD337" s="9" t="s">
        <v>44</v>
      </c>
      <c r="AE337" s="10" t="s">
        <v>2458</v>
      </c>
      <c r="AF337" s="10">
        <v>3220000</v>
      </c>
      <c r="AG337" s="10">
        <v>1</v>
      </c>
      <c r="AH337" s="10">
        <v>1</v>
      </c>
      <c r="AI337" s="10">
        <v>1</v>
      </c>
      <c r="AJ337" s="12" t="s">
        <v>1325</v>
      </c>
      <c r="AK337" s="10">
        <v>0</v>
      </c>
      <c r="AL337" s="10">
        <v>0</v>
      </c>
      <c r="AM337" s="9">
        <v>2011</v>
      </c>
      <c r="AN337" s="10">
        <v>0</v>
      </c>
      <c r="AO337" s="10">
        <v>2</v>
      </c>
      <c r="AP337" s="6"/>
      <c r="AQ337" s="7"/>
      <c r="AR337" s="8"/>
      <c r="AS337" s="4">
        <f t="shared" si="15"/>
        <v>450000</v>
      </c>
      <c r="AT337" s="4">
        <f t="shared" si="16"/>
        <v>3735200.8979447898</v>
      </c>
      <c r="AU337" s="4">
        <f t="shared" si="17"/>
        <v>2704799.1020552102</v>
      </c>
      <c r="AV337" s="9" t="s">
        <v>1324</v>
      </c>
      <c r="AW337" s="12" t="s">
        <v>1325</v>
      </c>
      <c r="AX337" s="10">
        <v>0</v>
      </c>
      <c r="AY337">
        <f>S337*AU337/AS337</f>
        <v>1202132.9342467601</v>
      </c>
      <c r="AZ337">
        <f>AU337-AY337</f>
        <v>1502666.1678084501</v>
      </c>
      <c r="BA337" s="10">
        <v>6440000</v>
      </c>
      <c r="BB337" s="10">
        <v>0</v>
      </c>
      <c r="BC337" s="9" t="s">
        <v>42</v>
      </c>
      <c r="BD337" s="9">
        <v>10421</v>
      </c>
      <c r="BE337" t="s">
        <v>46</v>
      </c>
    </row>
    <row r="338" spans="1:57" ht="270.75" thickBot="1" x14ac:dyDescent="0.3">
      <c r="A338" s="9" t="s">
        <v>1326</v>
      </c>
      <c r="B338" s="9">
        <v>2</v>
      </c>
      <c r="C338" s="10">
        <v>2</v>
      </c>
      <c r="D338" s="9" t="s">
        <v>113</v>
      </c>
      <c r="E338" s="11">
        <v>46280.580962314816</v>
      </c>
      <c r="F338" s="9" t="s">
        <v>1327</v>
      </c>
      <c r="G338" s="9" t="s">
        <v>39</v>
      </c>
      <c r="H338" s="9">
        <v>53</v>
      </c>
      <c r="I338" s="9" t="s">
        <v>40</v>
      </c>
      <c r="J338" s="9">
        <v>5309</v>
      </c>
      <c r="K338" s="9" t="s">
        <v>41</v>
      </c>
      <c r="L338" s="9">
        <v>5309074</v>
      </c>
      <c r="M338" s="9">
        <v>5309074001</v>
      </c>
      <c r="N338" s="9" t="s">
        <v>42</v>
      </c>
      <c r="O338" s="9">
        <v>10421</v>
      </c>
      <c r="P338" s="9" t="s">
        <v>49</v>
      </c>
      <c r="Q338" s="10">
        <v>2</v>
      </c>
      <c r="R338" s="10">
        <v>1500000</v>
      </c>
      <c r="S338" s="10">
        <v>2000000</v>
      </c>
      <c r="T338" s="10">
        <v>0</v>
      </c>
      <c r="U338" s="10">
        <v>1000000</v>
      </c>
      <c r="V338" s="10">
        <v>0</v>
      </c>
      <c r="W338" s="10">
        <v>4500000</v>
      </c>
      <c r="X338" s="10">
        <v>8570000</v>
      </c>
      <c r="Y338" s="10">
        <v>0</v>
      </c>
      <c r="Z338" s="10">
        <v>5570000</v>
      </c>
      <c r="AA338" s="10">
        <v>7200000</v>
      </c>
      <c r="AB338" s="10">
        <v>8570000</v>
      </c>
      <c r="AC338" s="10">
        <v>0</v>
      </c>
      <c r="AD338" s="9" t="s">
        <v>44</v>
      </c>
      <c r="AE338" s="10" t="s">
        <v>2459</v>
      </c>
      <c r="AF338" s="10">
        <v>4285000</v>
      </c>
      <c r="AG338" s="10">
        <v>1</v>
      </c>
      <c r="AH338" s="10">
        <v>1</v>
      </c>
      <c r="AI338" s="10">
        <v>1</v>
      </c>
      <c r="AJ338" s="12" t="s">
        <v>1328</v>
      </c>
      <c r="AK338" s="10">
        <v>0</v>
      </c>
      <c r="AL338" s="10">
        <v>0</v>
      </c>
      <c r="AM338" s="9">
        <v>2000</v>
      </c>
      <c r="AN338" s="10">
        <v>1</v>
      </c>
      <c r="AO338" s="10">
        <v>1</v>
      </c>
      <c r="AP338" s="6"/>
      <c r="AQ338" s="7"/>
      <c r="AR338" s="8"/>
      <c r="AS338" s="4">
        <f t="shared" si="15"/>
        <v>3000000</v>
      </c>
      <c r="AT338" s="4">
        <f t="shared" si="16"/>
        <v>4970597.3763812771</v>
      </c>
      <c r="AU338" s="4">
        <f t="shared" si="17"/>
        <v>3599402.6236187229</v>
      </c>
      <c r="AV338" s="9" t="s">
        <v>49</v>
      </c>
      <c r="AW338" s="12" t="s">
        <v>1328</v>
      </c>
      <c r="AX338" s="10">
        <v>0</v>
      </c>
      <c r="AY338">
        <f>S338*AU338/AS338</f>
        <v>2399601.7490791483</v>
      </c>
      <c r="AZ338">
        <f>AU338-AY338</f>
        <v>1199800.8745395746</v>
      </c>
      <c r="BA338" s="10">
        <v>8570000</v>
      </c>
      <c r="BB338" s="10">
        <v>0</v>
      </c>
      <c r="BC338" s="9" t="s">
        <v>42</v>
      </c>
      <c r="BD338" s="9">
        <v>10421</v>
      </c>
      <c r="BE338" t="s">
        <v>46</v>
      </c>
    </row>
    <row r="339" spans="1:57" ht="270.75" thickBot="1" x14ac:dyDescent="0.3">
      <c r="A339" s="9" t="s">
        <v>1329</v>
      </c>
      <c r="B339" s="9">
        <v>3002</v>
      </c>
      <c r="C339" s="10">
        <v>2</v>
      </c>
      <c r="D339" s="9" t="s">
        <v>37</v>
      </c>
      <c r="E339" s="11">
        <v>46266.421871365739</v>
      </c>
      <c r="F339" s="9" t="s">
        <v>1330</v>
      </c>
      <c r="G339" s="9" t="s">
        <v>39</v>
      </c>
      <c r="H339" s="9">
        <v>53</v>
      </c>
      <c r="I339" s="9" t="s">
        <v>40</v>
      </c>
      <c r="J339" s="9">
        <v>5309</v>
      </c>
      <c r="K339" s="9" t="s">
        <v>41</v>
      </c>
      <c r="L339" s="9">
        <v>5309074</v>
      </c>
      <c r="M339" s="9">
        <v>5309074007</v>
      </c>
      <c r="N339" s="9" t="s">
        <v>42</v>
      </c>
      <c r="O339" s="9">
        <v>10421</v>
      </c>
      <c r="P339" s="9" t="s">
        <v>49</v>
      </c>
      <c r="Q339" s="10">
        <v>3</v>
      </c>
      <c r="R339" s="10">
        <v>600000</v>
      </c>
      <c r="S339" s="10">
        <v>1000000</v>
      </c>
      <c r="T339" s="10">
        <v>0</v>
      </c>
      <c r="U339" s="10">
        <v>350000</v>
      </c>
      <c r="V339" s="10">
        <v>15</v>
      </c>
      <c r="W339" s="10">
        <v>1950015</v>
      </c>
      <c r="X339" s="10">
        <v>8000000</v>
      </c>
      <c r="Y339" s="10">
        <v>0</v>
      </c>
      <c r="Z339" s="10">
        <v>6650000</v>
      </c>
      <c r="AA339" s="10">
        <v>1950000</v>
      </c>
      <c r="AB339" s="10">
        <v>8000000</v>
      </c>
      <c r="AC339" s="10">
        <v>0</v>
      </c>
      <c r="AD339" s="9" t="s">
        <v>44</v>
      </c>
      <c r="AE339" s="10" t="s">
        <v>2460</v>
      </c>
      <c r="AF339" s="13">
        <v>2666666667</v>
      </c>
      <c r="AG339" s="10">
        <v>1</v>
      </c>
      <c r="AH339" s="10">
        <v>1</v>
      </c>
      <c r="AI339" s="10">
        <v>1</v>
      </c>
      <c r="AJ339" s="12" t="s">
        <v>1331</v>
      </c>
      <c r="AK339" s="10">
        <v>0</v>
      </c>
      <c r="AL339" s="10">
        <v>0</v>
      </c>
      <c r="AM339" s="9">
        <v>1995</v>
      </c>
      <c r="AN339" s="10">
        <v>2</v>
      </c>
      <c r="AO339" s="10">
        <v>1</v>
      </c>
      <c r="AP339" s="6"/>
      <c r="AQ339" s="7"/>
      <c r="AR339" s="8"/>
      <c r="AS339" s="4">
        <f t="shared" si="15"/>
        <v>1350000</v>
      </c>
      <c r="AT339" s="4">
        <f t="shared" si="16"/>
        <v>4639999.9999999991</v>
      </c>
      <c r="AU339" s="4">
        <f t="shared" si="17"/>
        <v>3360000.0000000009</v>
      </c>
      <c r="AV339" s="9" t="s">
        <v>49</v>
      </c>
      <c r="AW339" s="12" t="s">
        <v>1331</v>
      </c>
      <c r="AX339" s="10">
        <v>0</v>
      </c>
      <c r="AY339">
        <f>S339*AU339/AS339</f>
        <v>2488888.8888888895</v>
      </c>
      <c r="AZ339">
        <f>AU339-AY339</f>
        <v>871111.11111111147</v>
      </c>
      <c r="BA339" s="10">
        <v>8000000</v>
      </c>
      <c r="BB339" s="10">
        <v>0</v>
      </c>
      <c r="BC339" s="9" t="s">
        <v>42</v>
      </c>
      <c r="BD339" s="9">
        <v>10421</v>
      </c>
      <c r="BE339" t="s">
        <v>46</v>
      </c>
    </row>
    <row r="340" spans="1:57" ht="270.75" thickBot="1" x14ac:dyDescent="0.3">
      <c r="A340" s="9" t="s">
        <v>1332</v>
      </c>
      <c r="B340" s="9">
        <v>3002</v>
      </c>
      <c r="C340" s="10">
        <v>2</v>
      </c>
      <c r="D340" s="9" t="s">
        <v>37</v>
      </c>
      <c r="E340" s="14">
        <v>46214.824293981481</v>
      </c>
      <c r="F340" s="9" t="s">
        <v>1333</v>
      </c>
      <c r="G340" s="9" t="s">
        <v>39</v>
      </c>
      <c r="H340" s="9">
        <v>53</v>
      </c>
      <c r="I340" s="9" t="s">
        <v>40</v>
      </c>
      <c r="J340" s="9">
        <v>5309</v>
      </c>
      <c r="K340" s="9" t="s">
        <v>41</v>
      </c>
      <c r="L340" s="9">
        <v>5309062</v>
      </c>
      <c r="M340" s="9">
        <v>5309062002</v>
      </c>
      <c r="N340" s="9" t="s">
        <v>42</v>
      </c>
      <c r="O340" s="9">
        <v>10421</v>
      </c>
      <c r="P340" s="9" t="s">
        <v>106</v>
      </c>
      <c r="Q340" s="10">
        <v>1</v>
      </c>
      <c r="R340" s="10">
        <v>0</v>
      </c>
      <c r="S340" s="10">
        <v>250000</v>
      </c>
      <c r="T340" s="10">
        <v>0</v>
      </c>
      <c r="U340" s="10">
        <v>500000</v>
      </c>
      <c r="V340" s="10">
        <v>0</v>
      </c>
      <c r="W340" s="10">
        <v>750000</v>
      </c>
      <c r="X340" s="10">
        <v>8500000</v>
      </c>
      <c r="Y340" s="10">
        <v>0</v>
      </c>
      <c r="Z340" s="10">
        <v>7750000</v>
      </c>
      <c r="AA340" s="10">
        <v>3200000</v>
      </c>
      <c r="AB340" s="10">
        <v>8500000</v>
      </c>
      <c r="AC340" s="10">
        <v>0</v>
      </c>
      <c r="AD340" s="9" t="s">
        <v>44</v>
      </c>
      <c r="AE340" s="10" t="s">
        <v>2461</v>
      </c>
      <c r="AF340" s="10">
        <v>8500000</v>
      </c>
      <c r="AG340" s="10">
        <v>1</v>
      </c>
      <c r="AH340" s="10">
        <v>1</v>
      </c>
      <c r="AI340" s="10">
        <v>1</v>
      </c>
      <c r="AJ340" s="12" t="s">
        <v>1334</v>
      </c>
      <c r="AK340" s="10">
        <v>0</v>
      </c>
      <c r="AL340" s="10">
        <v>0</v>
      </c>
      <c r="AM340" s="9">
        <v>1996</v>
      </c>
      <c r="AN340" s="10">
        <v>0</v>
      </c>
      <c r="AO340" s="10">
        <v>1</v>
      </c>
      <c r="AP340" s="6"/>
      <c r="AQ340" s="7"/>
      <c r="AR340" s="8"/>
      <c r="AS340" s="4">
        <f t="shared" si="15"/>
        <v>750000</v>
      </c>
      <c r="AT340" s="4">
        <f t="shared" si="16"/>
        <v>4929998.409677932</v>
      </c>
      <c r="AU340" s="4">
        <f t="shared" si="17"/>
        <v>3570001.590322068</v>
      </c>
      <c r="AV340" s="9" t="s">
        <v>106</v>
      </c>
      <c r="AW340" s="12" t="s">
        <v>1334</v>
      </c>
      <c r="AX340" s="10">
        <v>0</v>
      </c>
      <c r="AY340">
        <f>S340*AU340/AS340</f>
        <v>1190000.5301073559</v>
      </c>
      <c r="AZ340">
        <f>AU340-AY340</f>
        <v>2380001.0602147123</v>
      </c>
      <c r="BA340" s="10">
        <v>8500000</v>
      </c>
      <c r="BB340" s="10">
        <v>0</v>
      </c>
      <c r="BC340" s="9" t="s">
        <v>42</v>
      </c>
      <c r="BD340" s="9">
        <v>10421</v>
      </c>
      <c r="BE340" t="s">
        <v>46</v>
      </c>
    </row>
    <row r="341" spans="1:57" ht="270.75" thickBot="1" x14ac:dyDescent="0.3">
      <c r="A341" s="9" t="s">
        <v>1335</v>
      </c>
      <c r="B341" s="9">
        <v>3001</v>
      </c>
      <c r="C341" s="10">
        <v>2</v>
      </c>
      <c r="D341" s="9" t="s">
        <v>37</v>
      </c>
      <c r="E341" s="11">
        <v>46272.887856168978</v>
      </c>
      <c r="F341" s="9" t="s">
        <v>1336</v>
      </c>
      <c r="G341" s="9" t="s">
        <v>39</v>
      </c>
      <c r="H341" s="9">
        <v>53</v>
      </c>
      <c r="I341" s="9" t="s">
        <v>40</v>
      </c>
      <c r="J341" s="9">
        <v>5309</v>
      </c>
      <c r="K341" s="9" t="s">
        <v>41</v>
      </c>
      <c r="L341" s="9">
        <v>5309070</v>
      </c>
      <c r="M341" s="9">
        <v>5309070015</v>
      </c>
      <c r="N341" s="9" t="s">
        <v>42</v>
      </c>
      <c r="O341" s="9">
        <v>10421</v>
      </c>
      <c r="P341" s="9" t="s">
        <v>1337</v>
      </c>
      <c r="Q341" s="10">
        <v>2</v>
      </c>
      <c r="R341" s="10">
        <v>0</v>
      </c>
      <c r="S341" s="10">
        <v>100000</v>
      </c>
      <c r="T341" s="10">
        <v>0</v>
      </c>
      <c r="U341" s="10">
        <v>100000</v>
      </c>
      <c r="V341" s="10">
        <v>0</v>
      </c>
      <c r="W341" s="10">
        <v>200000</v>
      </c>
      <c r="X341" s="10">
        <v>9000000</v>
      </c>
      <c r="Y341" s="10">
        <v>0</v>
      </c>
      <c r="Z341" s="10">
        <v>8800000</v>
      </c>
      <c r="AA341" s="10">
        <v>900000</v>
      </c>
      <c r="AB341" s="10">
        <v>9000000</v>
      </c>
      <c r="AC341" s="10">
        <v>0</v>
      </c>
      <c r="AD341" s="9" t="s">
        <v>44</v>
      </c>
      <c r="AE341" s="10" t="s">
        <v>2462</v>
      </c>
      <c r="AF341" s="10">
        <v>4500000</v>
      </c>
      <c r="AG341" s="10">
        <v>1</v>
      </c>
      <c r="AH341" s="10">
        <v>1</v>
      </c>
      <c r="AI341" s="10">
        <v>1</v>
      </c>
      <c r="AJ341" s="12" t="s">
        <v>1338</v>
      </c>
      <c r="AK341" s="10">
        <v>0</v>
      </c>
      <c r="AL341" s="10">
        <v>0</v>
      </c>
      <c r="AM341" s="9">
        <v>2010</v>
      </c>
      <c r="AN341" s="10">
        <v>0</v>
      </c>
      <c r="AO341" s="10">
        <v>2</v>
      </c>
      <c r="AP341" s="6"/>
      <c r="AQ341" s="7"/>
      <c r="AR341" s="8"/>
      <c r="AS341" s="4">
        <f t="shared" si="15"/>
        <v>200000</v>
      </c>
      <c r="AT341" s="4">
        <f t="shared" si="16"/>
        <v>5219998.8136366326</v>
      </c>
      <c r="AU341" s="4">
        <f t="shared" si="17"/>
        <v>3780001.1863633674</v>
      </c>
      <c r="AV341" s="9" t="s">
        <v>1337</v>
      </c>
      <c r="AW341" s="12" t="s">
        <v>1338</v>
      </c>
      <c r="AX341" s="10">
        <v>0</v>
      </c>
      <c r="AY341">
        <f>S341*AU341/AS341</f>
        <v>1890000.5931816837</v>
      </c>
      <c r="AZ341">
        <f>AU341-AY341</f>
        <v>1890000.5931816837</v>
      </c>
      <c r="BA341" s="10">
        <v>9000000</v>
      </c>
      <c r="BB341" s="10">
        <v>0</v>
      </c>
      <c r="BC341" s="9" t="s">
        <v>42</v>
      </c>
      <c r="BD341" s="9">
        <v>10421</v>
      </c>
      <c r="BE341" t="s">
        <v>46</v>
      </c>
    </row>
    <row r="342" spans="1:57" ht="270.75" thickBot="1" x14ac:dyDescent="0.3">
      <c r="A342" s="9" t="s">
        <v>1339</v>
      </c>
      <c r="B342" s="9">
        <v>3002</v>
      </c>
      <c r="C342" s="10">
        <v>2</v>
      </c>
      <c r="D342" s="9" t="s">
        <v>37</v>
      </c>
      <c r="E342" s="11">
        <v>46215.201817557871</v>
      </c>
      <c r="F342" s="9" t="s">
        <v>1340</v>
      </c>
      <c r="G342" s="9" t="s">
        <v>39</v>
      </c>
      <c r="H342" s="9">
        <v>53</v>
      </c>
      <c r="I342" s="9" t="s">
        <v>40</v>
      </c>
      <c r="J342" s="9">
        <v>5309</v>
      </c>
      <c r="K342" s="9" t="s">
        <v>41</v>
      </c>
      <c r="L342" s="9">
        <v>5309062</v>
      </c>
      <c r="M342" s="9">
        <v>5309062004</v>
      </c>
      <c r="N342" s="9" t="s">
        <v>42</v>
      </c>
      <c r="O342" s="9">
        <v>10421</v>
      </c>
      <c r="P342" s="9" t="s">
        <v>49</v>
      </c>
      <c r="Q342" s="10">
        <v>5</v>
      </c>
      <c r="R342" s="10">
        <v>150000</v>
      </c>
      <c r="S342" s="10">
        <v>200000</v>
      </c>
      <c r="T342" s="10">
        <v>0</v>
      </c>
      <c r="U342" s="10">
        <v>50000</v>
      </c>
      <c r="V342" s="10">
        <v>0</v>
      </c>
      <c r="W342" s="10">
        <v>400000</v>
      </c>
      <c r="X342" s="10">
        <v>7500000</v>
      </c>
      <c r="Y342" s="10">
        <v>0</v>
      </c>
      <c r="Z342" s="10">
        <v>7250000</v>
      </c>
      <c r="AA342" s="10">
        <v>8400000</v>
      </c>
      <c r="AB342" s="10">
        <v>7500000</v>
      </c>
      <c r="AC342" s="10">
        <v>0</v>
      </c>
      <c r="AD342" s="9" t="s">
        <v>44</v>
      </c>
      <c r="AE342" s="10" t="s">
        <v>2312</v>
      </c>
      <c r="AF342" s="10">
        <v>1500000</v>
      </c>
      <c r="AG342" s="10">
        <v>1</v>
      </c>
      <c r="AH342" s="10">
        <v>1</v>
      </c>
      <c r="AI342" s="10">
        <v>1</v>
      </c>
      <c r="AJ342" s="12" t="s">
        <v>1341</v>
      </c>
      <c r="AK342" s="10">
        <v>0</v>
      </c>
      <c r="AL342" s="10">
        <v>0</v>
      </c>
      <c r="AM342" s="9">
        <v>2000</v>
      </c>
      <c r="AN342" s="10">
        <v>1</v>
      </c>
      <c r="AO342" s="10">
        <v>4</v>
      </c>
      <c r="AP342" s="6"/>
      <c r="AQ342" s="7"/>
      <c r="AR342" s="8"/>
      <c r="AS342" s="4">
        <f t="shared" si="15"/>
        <v>250000</v>
      </c>
      <c r="AT342" s="4">
        <f t="shared" si="16"/>
        <v>4349998.5000005169</v>
      </c>
      <c r="AU342" s="4">
        <f t="shared" si="17"/>
        <v>3150001.4999994831</v>
      </c>
      <c r="AV342" s="9" t="s">
        <v>49</v>
      </c>
      <c r="AW342" s="12" t="s">
        <v>1341</v>
      </c>
      <c r="AX342" s="10">
        <v>0</v>
      </c>
      <c r="AY342">
        <f>S342*AU342/AS342</f>
        <v>2520001.1999995862</v>
      </c>
      <c r="AZ342">
        <f>AU342-AY342</f>
        <v>630000.2999998969</v>
      </c>
      <c r="BA342" s="10">
        <v>7500000</v>
      </c>
      <c r="BB342" s="10">
        <v>0</v>
      </c>
      <c r="BC342" s="9" t="s">
        <v>42</v>
      </c>
      <c r="BD342" s="9">
        <v>10421</v>
      </c>
      <c r="BE342" t="s">
        <v>46</v>
      </c>
    </row>
    <row r="343" spans="1:57" ht="270.75" thickBot="1" x14ac:dyDescent="0.3">
      <c r="A343" s="9" t="s">
        <v>1342</v>
      </c>
      <c r="B343" s="9">
        <v>3001</v>
      </c>
      <c r="C343" s="10">
        <v>2</v>
      </c>
      <c r="D343" s="9" t="s">
        <v>37</v>
      </c>
      <c r="E343" s="11">
        <v>46238.539296712966</v>
      </c>
      <c r="F343" s="9" t="s">
        <v>1343</v>
      </c>
      <c r="G343" s="9" t="s">
        <v>39</v>
      </c>
      <c r="H343" s="9">
        <v>53</v>
      </c>
      <c r="I343" s="9" t="s">
        <v>40</v>
      </c>
      <c r="J343" s="9">
        <v>5309</v>
      </c>
      <c r="K343" s="9" t="s">
        <v>41</v>
      </c>
      <c r="L343" s="9">
        <v>5309062</v>
      </c>
      <c r="M343" s="9">
        <v>5309062004</v>
      </c>
      <c r="N343" s="9" t="s">
        <v>42</v>
      </c>
      <c r="O343" s="9">
        <v>10421</v>
      </c>
      <c r="P343" s="9" t="s">
        <v>1344</v>
      </c>
      <c r="Q343" s="10">
        <v>3</v>
      </c>
      <c r="R343" s="10">
        <v>200000</v>
      </c>
      <c r="S343" s="10">
        <v>250000</v>
      </c>
      <c r="T343" s="10">
        <v>0</v>
      </c>
      <c r="U343" s="10">
        <v>100000</v>
      </c>
      <c r="V343" s="10">
        <v>0</v>
      </c>
      <c r="W343" s="10">
        <v>550000</v>
      </c>
      <c r="X343" s="10">
        <v>5000000</v>
      </c>
      <c r="Y343" s="10">
        <v>0</v>
      </c>
      <c r="Z343" s="10">
        <v>4650000</v>
      </c>
      <c r="AA343" s="10">
        <v>5150000</v>
      </c>
      <c r="AB343" s="10">
        <v>5000000</v>
      </c>
      <c r="AC343" s="10">
        <v>0</v>
      </c>
      <c r="AD343" s="9" t="s">
        <v>44</v>
      </c>
      <c r="AE343" s="10" t="s">
        <v>1755</v>
      </c>
      <c r="AF343" s="13">
        <v>1666666667</v>
      </c>
      <c r="AG343" s="10">
        <v>1</v>
      </c>
      <c r="AH343" s="10">
        <v>1</v>
      </c>
      <c r="AI343" s="10">
        <v>1</v>
      </c>
      <c r="AJ343" s="12" t="s">
        <v>1345</v>
      </c>
      <c r="AK343" s="10">
        <v>0</v>
      </c>
      <c r="AL343" s="10">
        <v>0</v>
      </c>
      <c r="AM343" s="9">
        <v>2010</v>
      </c>
      <c r="AN343" s="10">
        <v>2</v>
      </c>
      <c r="AO343" s="10">
        <v>1</v>
      </c>
      <c r="AP343" s="6"/>
      <c r="AQ343" s="7"/>
      <c r="AR343" s="8"/>
      <c r="AS343" s="4">
        <f t="shared" si="15"/>
        <v>350000</v>
      </c>
      <c r="AT343" s="4">
        <f t="shared" si="16"/>
        <v>2900000</v>
      </c>
      <c r="AU343" s="4">
        <f t="shared" si="17"/>
        <v>2100000</v>
      </c>
      <c r="AV343" s="9" t="s">
        <v>1344</v>
      </c>
      <c r="AW343" s="12" t="s">
        <v>1345</v>
      </c>
      <c r="AX343" s="10">
        <v>0</v>
      </c>
      <c r="AY343">
        <f>S343*AU343/AS343</f>
        <v>1500000</v>
      </c>
      <c r="AZ343">
        <f>AU343-AY343</f>
        <v>600000</v>
      </c>
      <c r="BA343" s="10">
        <v>5000000</v>
      </c>
      <c r="BB343" s="10">
        <v>0</v>
      </c>
      <c r="BC343" s="9" t="s">
        <v>42</v>
      </c>
      <c r="BD343" s="9">
        <v>10421</v>
      </c>
      <c r="BE343" t="s">
        <v>46</v>
      </c>
    </row>
    <row r="344" spans="1:57" ht="255.75" thickBot="1" x14ac:dyDescent="0.3">
      <c r="A344" s="9" t="s">
        <v>1346</v>
      </c>
      <c r="B344" s="9">
        <v>3001</v>
      </c>
      <c r="C344" s="10">
        <v>2</v>
      </c>
      <c r="D344" s="9" t="s">
        <v>37</v>
      </c>
      <c r="E344" s="14">
        <v>46224.975405092591</v>
      </c>
      <c r="F344" s="9" t="s">
        <v>1347</v>
      </c>
      <c r="G344" s="9" t="s">
        <v>39</v>
      </c>
      <c r="H344" s="9">
        <v>53</v>
      </c>
      <c r="I344" s="9" t="s">
        <v>40</v>
      </c>
      <c r="J344" s="9">
        <v>5309</v>
      </c>
      <c r="K344" s="9" t="s">
        <v>41</v>
      </c>
      <c r="L344" s="9">
        <v>5309060</v>
      </c>
      <c r="M344" s="9">
        <v>5309060042</v>
      </c>
      <c r="N344" s="9" t="s">
        <v>42</v>
      </c>
      <c r="O344" s="9">
        <v>10421</v>
      </c>
      <c r="P344" s="9" t="s">
        <v>1348</v>
      </c>
      <c r="Q344" s="10">
        <v>5</v>
      </c>
      <c r="R344" s="10">
        <v>1050000</v>
      </c>
      <c r="S344" s="10">
        <v>875000</v>
      </c>
      <c r="T344" s="10">
        <v>0</v>
      </c>
      <c r="U344" s="10">
        <v>150000</v>
      </c>
      <c r="V344" s="10">
        <v>0</v>
      </c>
      <c r="W344" s="10">
        <v>2075000</v>
      </c>
      <c r="X344" s="10">
        <v>8450000</v>
      </c>
      <c r="Y344" s="10">
        <v>0</v>
      </c>
      <c r="Z344" s="10">
        <v>7425000</v>
      </c>
      <c r="AA344" s="10">
        <v>3500000</v>
      </c>
      <c r="AB344" s="10">
        <v>8450000</v>
      </c>
      <c r="AC344" s="10">
        <v>0</v>
      </c>
      <c r="AD344" s="9" t="s">
        <v>44</v>
      </c>
      <c r="AE344" s="10" t="s">
        <v>2463</v>
      </c>
      <c r="AF344" s="10">
        <v>1690000</v>
      </c>
      <c r="AG344" s="10">
        <v>1</v>
      </c>
      <c r="AH344" s="10">
        <v>1</v>
      </c>
      <c r="AI344" s="10">
        <v>1</v>
      </c>
      <c r="AJ344" s="12" t="s">
        <v>1349</v>
      </c>
      <c r="AK344" s="10">
        <v>0</v>
      </c>
      <c r="AL344" s="10">
        <v>0</v>
      </c>
      <c r="AM344" s="9">
        <v>2018</v>
      </c>
      <c r="AN344" s="10">
        <v>1</v>
      </c>
      <c r="AO344" s="10">
        <v>4</v>
      </c>
      <c r="AP344" s="6"/>
      <c r="AQ344" s="7"/>
      <c r="AR344" s="8"/>
      <c r="AS344" s="4">
        <f t="shared" si="15"/>
        <v>1025000</v>
      </c>
      <c r="AT344" s="4">
        <f t="shared" si="16"/>
        <v>4901001.2541282671</v>
      </c>
      <c r="AU344" s="4">
        <f t="shared" si="17"/>
        <v>3548998.7458717329</v>
      </c>
      <c r="AV344" s="9" t="s">
        <v>1348</v>
      </c>
      <c r="AW344" s="12" t="s">
        <v>1349</v>
      </c>
      <c r="AX344" s="10">
        <v>0</v>
      </c>
      <c r="AY344">
        <f>S344*AU344/AS344</f>
        <v>3029633.0757441618</v>
      </c>
      <c r="AZ344">
        <f>AU344-AY344</f>
        <v>519365.67012757109</v>
      </c>
      <c r="BA344" s="10">
        <v>8450000</v>
      </c>
      <c r="BB344" s="10">
        <v>0</v>
      </c>
      <c r="BC344" s="9" t="s">
        <v>42</v>
      </c>
      <c r="BD344" s="9">
        <v>10421</v>
      </c>
      <c r="BE344" t="s">
        <v>46</v>
      </c>
    </row>
    <row r="345" spans="1:57" ht="270.75" thickBot="1" x14ac:dyDescent="0.3">
      <c r="A345" s="9" t="s">
        <v>1350</v>
      </c>
      <c r="B345" s="9">
        <v>3</v>
      </c>
      <c r="C345" s="10">
        <v>2</v>
      </c>
      <c r="D345" s="9" t="s">
        <v>37</v>
      </c>
      <c r="E345" s="14">
        <v>46217.213263888887</v>
      </c>
      <c r="F345" s="9" t="s">
        <v>1351</v>
      </c>
      <c r="G345" s="9" t="s">
        <v>39</v>
      </c>
      <c r="H345" s="9">
        <v>53</v>
      </c>
      <c r="I345" s="9" t="s">
        <v>40</v>
      </c>
      <c r="J345" s="9">
        <v>5309</v>
      </c>
      <c r="K345" s="9" t="s">
        <v>41</v>
      </c>
      <c r="L345" s="9">
        <v>5309010</v>
      </c>
      <c r="M345" s="9">
        <v>5309010004</v>
      </c>
      <c r="N345" s="9" t="s">
        <v>42</v>
      </c>
      <c r="O345" s="9">
        <v>10421</v>
      </c>
      <c r="P345" s="9" t="s">
        <v>1352</v>
      </c>
      <c r="Q345" s="10">
        <v>2</v>
      </c>
      <c r="R345" s="10">
        <v>0</v>
      </c>
      <c r="S345" s="10">
        <v>300000</v>
      </c>
      <c r="T345" s="10">
        <v>0</v>
      </c>
      <c r="U345" s="10">
        <v>20000</v>
      </c>
      <c r="V345" s="10">
        <v>24700</v>
      </c>
      <c r="W345" s="10">
        <v>344700</v>
      </c>
      <c r="X345" s="10">
        <v>6000000</v>
      </c>
      <c r="Y345" s="10">
        <v>0</v>
      </c>
      <c r="Z345" s="10">
        <v>5680000</v>
      </c>
      <c r="AA345" s="10">
        <v>30000000</v>
      </c>
      <c r="AB345" s="10">
        <v>6000000</v>
      </c>
      <c r="AC345" s="10">
        <v>0</v>
      </c>
      <c r="AD345" s="9" t="s">
        <v>44</v>
      </c>
      <c r="AE345" s="10" t="s">
        <v>2464</v>
      </c>
      <c r="AF345" s="10">
        <v>3000000</v>
      </c>
      <c r="AG345" s="10">
        <v>0</v>
      </c>
      <c r="AH345" s="10">
        <v>1</v>
      </c>
      <c r="AI345" s="10">
        <v>1</v>
      </c>
      <c r="AJ345" s="12" t="s">
        <v>1353</v>
      </c>
      <c r="AK345" s="10">
        <v>0</v>
      </c>
      <c r="AL345" s="10">
        <v>0</v>
      </c>
      <c r="AM345" s="9">
        <v>2000</v>
      </c>
      <c r="AN345" s="10">
        <v>0</v>
      </c>
      <c r="AO345" s="10">
        <v>2</v>
      </c>
      <c r="AP345" s="6"/>
      <c r="AQ345" s="7"/>
      <c r="AR345" s="8"/>
      <c r="AS345" s="4">
        <f t="shared" si="15"/>
        <v>320000</v>
      </c>
      <c r="AT345" s="4">
        <f t="shared" si="16"/>
        <v>3479998.7746483185</v>
      </c>
      <c r="AU345" s="4">
        <f t="shared" si="17"/>
        <v>2520001.2253516815</v>
      </c>
      <c r="AV345" s="9" t="s">
        <v>1352</v>
      </c>
      <c r="AW345" s="12" t="s">
        <v>1353</v>
      </c>
      <c r="AX345" s="10">
        <v>0</v>
      </c>
      <c r="AY345">
        <f>S345*AU345/AS345</f>
        <v>2362501.1487672012</v>
      </c>
      <c r="AZ345">
        <f>AU345-AY345</f>
        <v>157500.07658448024</v>
      </c>
      <c r="BA345" s="10">
        <v>6000000</v>
      </c>
      <c r="BB345" s="10">
        <v>0</v>
      </c>
      <c r="BC345" s="9" t="s">
        <v>42</v>
      </c>
      <c r="BD345" s="9">
        <v>10421</v>
      </c>
      <c r="BE345" t="s">
        <v>46</v>
      </c>
    </row>
    <row r="346" spans="1:57" ht="270.75" thickBot="1" x14ac:dyDescent="0.3">
      <c r="A346" s="9" t="s">
        <v>1354</v>
      </c>
      <c r="B346" s="9">
        <v>3006</v>
      </c>
      <c r="C346" s="10">
        <v>2</v>
      </c>
      <c r="D346" s="9" t="s">
        <v>37</v>
      </c>
      <c r="E346" s="14">
        <v>46214.362326388888</v>
      </c>
      <c r="F346" s="9" t="s">
        <v>1355</v>
      </c>
      <c r="G346" s="9" t="s">
        <v>39</v>
      </c>
      <c r="H346" s="9">
        <v>53</v>
      </c>
      <c r="I346" s="9" t="s">
        <v>40</v>
      </c>
      <c r="J346" s="9">
        <v>5309</v>
      </c>
      <c r="K346" s="9" t="s">
        <v>41</v>
      </c>
      <c r="L346" s="9">
        <v>5309060</v>
      </c>
      <c r="M346" s="9">
        <v>5309060010</v>
      </c>
      <c r="N346" s="9" t="s">
        <v>42</v>
      </c>
      <c r="O346" s="9">
        <v>10421</v>
      </c>
      <c r="P346" s="9" t="s">
        <v>1356</v>
      </c>
      <c r="Q346" s="10">
        <v>3</v>
      </c>
      <c r="R346" s="10">
        <v>0</v>
      </c>
      <c r="S346" s="10">
        <v>300000</v>
      </c>
      <c r="T346" s="10">
        <v>0</v>
      </c>
      <c r="U346" s="10">
        <v>500000</v>
      </c>
      <c r="V346" s="10">
        <v>0</v>
      </c>
      <c r="W346" s="10">
        <v>800000</v>
      </c>
      <c r="X346" s="10">
        <v>6500000</v>
      </c>
      <c r="Y346" s="10">
        <v>0</v>
      </c>
      <c r="Z346" s="10">
        <v>5700000</v>
      </c>
      <c r="AA346" s="10">
        <v>8000000</v>
      </c>
      <c r="AB346" s="10">
        <v>6500000</v>
      </c>
      <c r="AC346" s="10">
        <v>0</v>
      </c>
      <c r="AD346" s="9" t="s">
        <v>44</v>
      </c>
      <c r="AE346" s="10" t="s">
        <v>2465</v>
      </c>
      <c r="AF346" s="13">
        <v>2166666667</v>
      </c>
      <c r="AG346" s="10">
        <v>1</v>
      </c>
      <c r="AH346" s="10">
        <v>1</v>
      </c>
      <c r="AI346" s="10">
        <v>1</v>
      </c>
      <c r="AJ346" s="12" t="s">
        <v>1357</v>
      </c>
      <c r="AK346" s="10">
        <v>0</v>
      </c>
      <c r="AL346" s="10">
        <v>0</v>
      </c>
      <c r="AM346" s="9">
        <v>2024</v>
      </c>
      <c r="AN346" s="10">
        <v>0</v>
      </c>
      <c r="AO346" s="10">
        <v>3</v>
      </c>
      <c r="AP346" s="6"/>
      <c r="AQ346" s="7"/>
      <c r="AR346" s="8"/>
      <c r="AS346" s="4">
        <f t="shared" si="15"/>
        <v>800000</v>
      </c>
      <c r="AT346" s="4">
        <f t="shared" si="16"/>
        <v>3770000.3307017833</v>
      </c>
      <c r="AU346" s="4">
        <f t="shared" si="17"/>
        <v>2729999.6692982167</v>
      </c>
      <c r="AV346" s="9" t="s">
        <v>1356</v>
      </c>
      <c r="AW346" s="12" t="s">
        <v>1357</v>
      </c>
      <c r="AX346" s="10">
        <v>0</v>
      </c>
      <c r="AY346">
        <f>S346*AU346/AS346</f>
        <v>1023749.8759868313</v>
      </c>
      <c r="AZ346">
        <f>AU346-AY346</f>
        <v>1706249.7933113854</v>
      </c>
      <c r="BA346" s="10">
        <v>6500000</v>
      </c>
      <c r="BB346" s="10">
        <v>0</v>
      </c>
      <c r="BC346" s="9" t="s">
        <v>42</v>
      </c>
      <c r="BD346" s="9">
        <v>10421</v>
      </c>
      <c r="BE346" t="s">
        <v>46</v>
      </c>
    </row>
    <row r="347" spans="1:57" ht="270.75" thickBot="1" x14ac:dyDescent="0.3">
      <c r="A347" s="9" t="s">
        <v>1358</v>
      </c>
      <c r="B347" s="9">
        <v>3001</v>
      </c>
      <c r="C347" s="10">
        <v>2</v>
      </c>
      <c r="D347" s="9" t="s">
        <v>37</v>
      </c>
      <c r="E347" s="11">
        <v>46265.564833020835</v>
      </c>
      <c r="F347" s="9" t="s">
        <v>1359</v>
      </c>
      <c r="G347" s="9" t="s">
        <v>39</v>
      </c>
      <c r="H347" s="9">
        <v>53</v>
      </c>
      <c r="I347" s="9" t="s">
        <v>40</v>
      </c>
      <c r="J347" s="9">
        <v>5309</v>
      </c>
      <c r="K347" s="9" t="s">
        <v>41</v>
      </c>
      <c r="L347" s="9">
        <v>5309074</v>
      </c>
      <c r="M347" s="9">
        <v>5309074007</v>
      </c>
      <c r="N347" s="9" t="s">
        <v>42</v>
      </c>
      <c r="O347" s="9">
        <v>10421</v>
      </c>
      <c r="P347" s="9" t="s">
        <v>49</v>
      </c>
      <c r="Q347" s="10">
        <v>3</v>
      </c>
      <c r="R347" s="10">
        <v>500000</v>
      </c>
      <c r="S347" s="10">
        <v>1000000</v>
      </c>
      <c r="T347" s="10">
        <v>0</v>
      </c>
      <c r="U347" s="10">
        <v>350000</v>
      </c>
      <c r="V347" s="10">
        <v>15000</v>
      </c>
      <c r="W347" s="10">
        <v>1865000</v>
      </c>
      <c r="X347" s="10">
        <v>7200000</v>
      </c>
      <c r="Y347" s="10">
        <v>0</v>
      </c>
      <c r="Z347" s="10">
        <v>5850000</v>
      </c>
      <c r="AA347" s="10">
        <v>600000</v>
      </c>
      <c r="AB347" s="10">
        <v>7200000</v>
      </c>
      <c r="AC347" s="10">
        <v>0</v>
      </c>
      <c r="AD347" s="9" t="s">
        <v>44</v>
      </c>
      <c r="AE347" s="10" t="s">
        <v>2362</v>
      </c>
      <c r="AF347" s="10">
        <v>2400000</v>
      </c>
      <c r="AG347" s="10">
        <v>1</v>
      </c>
      <c r="AH347" s="10">
        <v>1</v>
      </c>
      <c r="AI347" s="10">
        <v>1</v>
      </c>
      <c r="AJ347" s="12" t="s">
        <v>1360</v>
      </c>
      <c r="AK347" s="10">
        <v>0</v>
      </c>
      <c r="AL347" s="10">
        <v>0</v>
      </c>
      <c r="AM347" s="9">
        <v>2021</v>
      </c>
      <c r="AN347" s="10">
        <v>2</v>
      </c>
      <c r="AO347" s="10">
        <v>1</v>
      </c>
      <c r="AP347" s="6"/>
      <c r="AQ347" s="7"/>
      <c r="AR347" s="8"/>
      <c r="AS347" s="4">
        <f t="shared" si="15"/>
        <v>1350000</v>
      </c>
      <c r="AT347" s="4">
        <f t="shared" si="16"/>
        <v>4175999.9999999995</v>
      </c>
      <c r="AU347" s="4">
        <f t="shared" si="17"/>
        <v>3024000.0000000005</v>
      </c>
      <c r="AV347" s="9" t="s">
        <v>49</v>
      </c>
      <c r="AW347" s="12" t="s">
        <v>1360</v>
      </c>
      <c r="AX347" s="10">
        <v>0</v>
      </c>
      <c r="AY347">
        <f>S347*AU347/AS347</f>
        <v>2240000.0000000005</v>
      </c>
      <c r="AZ347">
        <f>AU347-AY347</f>
        <v>784000</v>
      </c>
      <c r="BA347" s="10">
        <v>7200000</v>
      </c>
      <c r="BB347" s="10">
        <v>0</v>
      </c>
      <c r="BC347" s="9" t="s">
        <v>42</v>
      </c>
      <c r="BD347" s="9">
        <v>10421</v>
      </c>
      <c r="BE347" t="s">
        <v>46</v>
      </c>
    </row>
    <row r="348" spans="1:57" ht="270.75" thickBot="1" x14ac:dyDescent="0.3">
      <c r="A348" s="9" t="s">
        <v>1361</v>
      </c>
      <c r="B348" s="9">
        <v>3001</v>
      </c>
      <c r="C348" s="10">
        <v>2</v>
      </c>
      <c r="D348" s="9" t="s">
        <v>37</v>
      </c>
      <c r="E348" s="11">
        <v>46270.712754293978</v>
      </c>
      <c r="F348" s="9" t="s">
        <v>1362</v>
      </c>
      <c r="G348" s="9" t="s">
        <v>39</v>
      </c>
      <c r="H348" s="9">
        <v>53</v>
      </c>
      <c r="I348" s="9" t="s">
        <v>40</v>
      </c>
      <c r="J348" s="9">
        <v>5309</v>
      </c>
      <c r="K348" s="9" t="s">
        <v>41</v>
      </c>
      <c r="L348" s="9">
        <v>5309074</v>
      </c>
      <c r="M348" s="9">
        <v>5309074007</v>
      </c>
      <c r="N348" s="9" t="s">
        <v>42</v>
      </c>
      <c r="O348" s="9">
        <v>10421</v>
      </c>
      <c r="P348" s="9" t="s">
        <v>49</v>
      </c>
      <c r="Q348" s="10">
        <v>5</v>
      </c>
      <c r="R348" s="10">
        <v>1000000</v>
      </c>
      <c r="S348" s="10">
        <v>2000000</v>
      </c>
      <c r="T348" s="10">
        <v>0</v>
      </c>
      <c r="U348" s="10">
        <v>450000</v>
      </c>
      <c r="V348" s="10">
        <v>15000</v>
      </c>
      <c r="W348" s="10">
        <v>3465000</v>
      </c>
      <c r="X348" s="10">
        <v>12000000</v>
      </c>
      <c r="Y348" s="10">
        <v>0</v>
      </c>
      <c r="Z348" s="10">
        <v>9550000</v>
      </c>
      <c r="AA348" s="10">
        <v>1950000</v>
      </c>
      <c r="AB348" s="10">
        <v>12000000</v>
      </c>
      <c r="AC348" s="10">
        <v>0</v>
      </c>
      <c r="AD348" s="9" t="s">
        <v>44</v>
      </c>
      <c r="AE348" s="10" t="s">
        <v>2466</v>
      </c>
      <c r="AF348" s="10">
        <v>2400000</v>
      </c>
      <c r="AG348" s="10">
        <v>1</v>
      </c>
      <c r="AH348" s="10">
        <v>1</v>
      </c>
      <c r="AI348" s="10">
        <v>1</v>
      </c>
      <c r="AJ348" s="12" t="s">
        <v>1363</v>
      </c>
      <c r="AK348" s="10">
        <v>0</v>
      </c>
      <c r="AL348" s="10">
        <v>0</v>
      </c>
      <c r="AM348" s="9">
        <v>2024</v>
      </c>
      <c r="AN348" s="10">
        <v>4</v>
      </c>
      <c r="AO348" s="10">
        <v>1</v>
      </c>
      <c r="AP348" s="6"/>
      <c r="AQ348" s="7"/>
      <c r="AR348" s="8"/>
      <c r="AS348" s="4">
        <f t="shared" si="15"/>
        <v>2450000</v>
      </c>
      <c r="AT348" s="4">
        <f t="shared" si="16"/>
        <v>6960002.9151844671</v>
      </c>
      <c r="AU348" s="4">
        <f t="shared" si="17"/>
        <v>5039997.0848155329</v>
      </c>
      <c r="AV348" s="9" t="s">
        <v>49</v>
      </c>
      <c r="AW348" s="12" t="s">
        <v>1363</v>
      </c>
      <c r="AX348" s="10">
        <v>0</v>
      </c>
      <c r="AY348">
        <f>S348*AU348/AS348</f>
        <v>4114283.3345432924</v>
      </c>
      <c r="AZ348">
        <f>AU348-AY348</f>
        <v>925713.75027224049</v>
      </c>
      <c r="BA348" s="10">
        <v>12000000</v>
      </c>
      <c r="BB348" s="10">
        <v>0</v>
      </c>
      <c r="BC348" s="9" t="s">
        <v>42</v>
      </c>
      <c r="BD348" s="9">
        <v>10421</v>
      </c>
      <c r="BE348" t="s">
        <v>46</v>
      </c>
    </row>
    <row r="349" spans="1:57" ht="270.75" thickBot="1" x14ac:dyDescent="0.3">
      <c r="A349" s="9" t="s">
        <v>1364</v>
      </c>
      <c r="B349" s="9">
        <v>3004</v>
      </c>
      <c r="C349" s="10">
        <v>2</v>
      </c>
      <c r="D349" s="9" t="s">
        <v>37</v>
      </c>
      <c r="E349" s="11">
        <v>46293.15391158565</v>
      </c>
      <c r="F349" s="9" t="s">
        <v>1365</v>
      </c>
      <c r="G349" s="9" t="s">
        <v>39</v>
      </c>
      <c r="H349" s="9">
        <v>53</v>
      </c>
      <c r="I349" s="9" t="s">
        <v>40</v>
      </c>
      <c r="J349" s="9">
        <v>5309</v>
      </c>
      <c r="K349" s="9" t="s">
        <v>41</v>
      </c>
      <c r="L349" s="9">
        <v>5309062</v>
      </c>
      <c r="M349" s="9">
        <v>5309062013</v>
      </c>
      <c r="N349" s="9" t="s">
        <v>42</v>
      </c>
      <c r="O349" s="9">
        <v>10421</v>
      </c>
      <c r="P349" s="9" t="s">
        <v>1366</v>
      </c>
      <c r="Q349" s="10">
        <v>4</v>
      </c>
      <c r="R349" s="10">
        <v>300000</v>
      </c>
      <c r="S349" s="10">
        <v>300000</v>
      </c>
      <c r="T349" s="10">
        <v>0</v>
      </c>
      <c r="U349" s="10">
        <v>150000</v>
      </c>
      <c r="V349" s="10">
        <v>0</v>
      </c>
      <c r="W349" s="10">
        <v>750000</v>
      </c>
      <c r="X349" s="10">
        <v>4530000</v>
      </c>
      <c r="Y349" s="10">
        <v>0</v>
      </c>
      <c r="Z349" s="10">
        <v>4080000</v>
      </c>
      <c r="AA349" s="10">
        <v>2400000</v>
      </c>
      <c r="AB349" s="10">
        <v>4530000</v>
      </c>
      <c r="AC349" s="10">
        <v>0</v>
      </c>
      <c r="AD349" s="9" t="s">
        <v>44</v>
      </c>
      <c r="AE349" s="10" t="s">
        <v>2467</v>
      </c>
      <c r="AF349" s="10">
        <v>1132500</v>
      </c>
      <c r="AG349" s="10">
        <v>1</v>
      </c>
      <c r="AH349" s="10">
        <v>1</v>
      </c>
      <c r="AI349" s="10">
        <v>1</v>
      </c>
      <c r="AJ349" s="12" t="s">
        <v>1367</v>
      </c>
      <c r="AK349" s="10">
        <v>0</v>
      </c>
      <c r="AL349" s="10">
        <v>0</v>
      </c>
      <c r="AM349" s="9">
        <v>1990</v>
      </c>
      <c r="AN349" s="10">
        <v>2</v>
      </c>
      <c r="AO349" s="10">
        <v>2</v>
      </c>
      <c r="AP349" s="6"/>
      <c r="AQ349" s="7"/>
      <c r="AR349" s="8"/>
      <c r="AS349" s="4">
        <f t="shared" si="15"/>
        <v>450000</v>
      </c>
      <c r="AT349" s="4">
        <f t="shared" si="16"/>
        <v>2627400.7341266759</v>
      </c>
      <c r="AU349" s="4">
        <f t="shared" si="17"/>
        <v>1902599.2658733241</v>
      </c>
      <c r="AV349" s="9" t="s">
        <v>1366</v>
      </c>
      <c r="AW349" s="12" t="s">
        <v>1367</v>
      </c>
      <c r="AX349" s="10">
        <v>0</v>
      </c>
      <c r="AY349">
        <f>S349*AU349/AS349</f>
        <v>1268399.5105822161</v>
      </c>
      <c r="AZ349">
        <f>AU349-AY349</f>
        <v>634199.75529110804</v>
      </c>
      <c r="BA349" s="10">
        <v>4530000</v>
      </c>
      <c r="BB349" s="10">
        <v>0</v>
      </c>
      <c r="BC349" s="9" t="s">
        <v>42</v>
      </c>
      <c r="BD349" s="9">
        <v>10421</v>
      </c>
      <c r="BE349" t="s">
        <v>46</v>
      </c>
    </row>
    <row r="350" spans="1:57" ht="255.75" thickBot="1" x14ac:dyDescent="0.3">
      <c r="A350" s="9" t="s">
        <v>1368</v>
      </c>
      <c r="B350" s="9">
        <v>3002</v>
      </c>
      <c r="C350" s="10">
        <v>2</v>
      </c>
      <c r="D350" s="9" t="s">
        <v>37</v>
      </c>
      <c r="E350" s="11">
        <v>46238.374852638888</v>
      </c>
      <c r="F350" s="9" t="s">
        <v>1369</v>
      </c>
      <c r="G350" s="9" t="s">
        <v>39</v>
      </c>
      <c r="H350" s="9">
        <v>53</v>
      </c>
      <c r="I350" s="9" t="s">
        <v>40</v>
      </c>
      <c r="J350" s="9">
        <v>5309</v>
      </c>
      <c r="K350" s="9" t="s">
        <v>41</v>
      </c>
      <c r="L350" s="9">
        <v>5309073</v>
      </c>
      <c r="M350" s="9">
        <v>5309073001</v>
      </c>
      <c r="N350" s="9" t="s">
        <v>42</v>
      </c>
      <c r="O350" s="9">
        <v>10421</v>
      </c>
      <c r="P350" s="9" t="s">
        <v>1370</v>
      </c>
      <c r="Q350" s="10">
        <v>2</v>
      </c>
      <c r="R350" s="10">
        <v>1400000</v>
      </c>
      <c r="S350" s="10">
        <v>150000</v>
      </c>
      <c r="T350" s="10">
        <v>0</v>
      </c>
      <c r="U350" s="10">
        <v>300000</v>
      </c>
      <c r="V350" s="10">
        <v>0</v>
      </c>
      <c r="W350" s="10">
        <v>1850000</v>
      </c>
      <c r="X350" s="10">
        <v>15000000</v>
      </c>
      <c r="Y350" s="10">
        <v>0</v>
      </c>
      <c r="Z350" s="10">
        <v>14550000</v>
      </c>
      <c r="AA350" s="10">
        <v>22000000</v>
      </c>
      <c r="AB350" s="10">
        <v>15000000</v>
      </c>
      <c r="AC350" s="10">
        <v>0</v>
      </c>
      <c r="AD350" s="9" t="s">
        <v>44</v>
      </c>
      <c r="AE350" s="10" t="s">
        <v>1812</v>
      </c>
      <c r="AF350" s="10">
        <v>7500000</v>
      </c>
      <c r="AG350" s="10">
        <v>1</v>
      </c>
      <c r="AH350" s="10">
        <v>1</v>
      </c>
      <c r="AI350" s="10">
        <v>1</v>
      </c>
      <c r="AJ350" s="12" t="s">
        <v>1371</v>
      </c>
      <c r="AK350" s="10">
        <v>0</v>
      </c>
      <c r="AL350" s="10">
        <v>0</v>
      </c>
      <c r="AM350" s="9">
        <v>2000</v>
      </c>
      <c r="AN350" s="10">
        <v>1</v>
      </c>
      <c r="AO350" s="10">
        <v>1</v>
      </c>
      <c r="AP350" s="6"/>
      <c r="AQ350" s="7"/>
      <c r="AR350" s="8"/>
      <c r="AS350" s="4">
        <f t="shared" si="15"/>
        <v>450000</v>
      </c>
      <c r="AT350" s="4">
        <f t="shared" si="16"/>
        <v>8700000</v>
      </c>
      <c r="AU350" s="4">
        <f t="shared" si="17"/>
        <v>6300000</v>
      </c>
      <c r="AV350" s="9" t="s">
        <v>1370</v>
      </c>
      <c r="AW350" s="12" t="s">
        <v>1371</v>
      </c>
      <c r="AX350" s="10">
        <v>0</v>
      </c>
      <c r="AY350">
        <f>S350*AU350/AS350</f>
        <v>2100000</v>
      </c>
      <c r="AZ350">
        <f>AU350-AY350</f>
        <v>4200000</v>
      </c>
      <c r="BA350" s="10">
        <v>15000000</v>
      </c>
      <c r="BB350" s="10">
        <v>0</v>
      </c>
      <c r="BC350" s="9" t="s">
        <v>42</v>
      </c>
      <c r="BD350" s="9">
        <v>10421</v>
      </c>
      <c r="BE350" t="s">
        <v>46</v>
      </c>
    </row>
    <row r="351" spans="1:57" ht="270.75" thickBot="1" x14ac:dyDescent="0.3">
      <c r="A351" s="9" t="s">
        <v>1372</v>
      </c>
      <c r="B351" s="9">
        <v>3001</v>
      </c>
      <c r="C351" s="10">
        <v>2</v>
      </c>
      <c r="D351" s="9" t="s">
        <v>37</v>
      </c>
      <c r="E351" s="14">
        <v>46220.055590277778</v>
      </c>
      <c r="F351" s="9" t="s">
        <v>1373</v>
      </c>
      <c r="G351" s="9" t="s">
        <v>39</v>
      </c>
      <c r="H351" s="9">
        <v>53</v>
      </c>
      <c r="I351" s="9" t="s">
        <v>40</v>
      </c>
      <c r="J351" s="9">
        <v>5309</v>
      </c>
      <c r="K351" s="9" t="s">
        <v>41</v>
      </c>
      <c r="L351" s="9">
        <v>5309021</v>
      </c>
      <c r="M351" s="9">
        <v>5309021003</v>
      </c>
      <c r="N351" s="9" t="s">
        <v>42</v>
      </c>
      <c r="O351" s="9">
        <v>10421</v>
      </c>
      <c r="P351" s="9" t="s">
        <v>1374</v>
      </c>
      <c r="Q351" s="10">
        <v>2</v>
      </c>
      <c r="R351" s="10">
        <v>105000</v>
      </c>
      <c r="S351" s="10">
        <v>100000</v>
      </c>
      <c r="T351" s="10">
        <v>0</v>
      </c>
      <c r="U351" s="10">
        <v>50000</v>
      </c>
      <c r="V351" s="10">
        <v>0</v>
      </c>
      <c r="W351" s="10">
        <v>255000</v>
      </c>
      <c r="X351" s="10">
        <v>1900000</v>
      </c>
      <c r="Y351" s="10">
        <v>250000</v>
      </c>
      <c r="Z351" s="10">
        <v>1750000</v>
      </c>
      <c r="AA351" s="10">
        <v>160000000</v>
      </c>
      <c r="AB351" s="10">
        <v>1900000</v>
      </c>
      <c r="AC351" s="10">
        <v>0</v>
      </c>
      <c r="AD351" s="9" t="s">
        <v>44</v>
      </c>
      <c r="AE351" s="10" t="s">
        <v>2468</v>
      </c>
      <c r="AF351" s="10">
        <v>950000</v>
      </c>
      <c r="AG351" s="10">
        <v>1</v>
      </c>
      <c r="AH351" s="10">
        <v>1</v>
      </c>
      <c r="AI351" s="10">
        <v>1</v>
      </c>
      <c r="AJ351" s="12" t="s">
        <v>1375</v>
      </c>
      <c r="AK351" s="10">
        <v>0</v>
      </c>
      <c r="AL351" s="10">
        <v>0</v>
      </c>
      <c r="AM351" s="9">
        <v>1998</v>
      </c>
      <c r="AN351" s="10">
        <v>2</v>
      </c>
      <c r="AO351" s="10">
        <v>0</v>
      </c>
      <c r="AP351" s="6"/>
      <c r="AQ351" s="7"/>
      <c r="AR351" s="8"/>
      <c r="AS351" s="4">
        <f t="shared" si="15"/>
        <v>150000</v>
      </c>
      <c r="AT351" s="4">
        <f t="shared" si="16"/>
        <v>1101999.5592001763</v>
      </c>
      <c r="AU351" s="4">
        <f t="shared" si="17"/>
        <v>798000.44079982373</v>
      </c>
      <c r="AV351" s="9" t="s">
        <v>1374</v>
      </c>
      <c r="AW351" s="12" t="s">
        <v>1375</v>
      </c>
      <c r="AX351" s="10">
        <v>0</v>
      </c>
      <c r="AY351">
        <f>S351*AU351/AS351</f>
        <v>532000.29386654915</v>
      </c>
      <c r="AZ351">
        <f>AU351-AY351</f>
        <v>266000.14693327458</v>
      </c>
      <c r="BA351" s="10">
        <v>1900000</v>
      </c>
      <c r="BB351" s="10">
        <v>250000</v>
      </c>
      <c r="BC351" s="9" t="s">
        <v>42</v>
      </c>
      <c r="BD351" s="9">
        <v>10421</v>
      </c>
      <c r="BE351" t="s">
        <v>46</v>
      </c>
    </row>
    <row r="352" spans="1:57" ht="270.75" thickBot="1" x14ac:dyDescent="0.3">
      <c r="A352" s="9" t="s">
        <v>1376</v>
      </c>
      <c r="B352" s="9">
        <v>3001</v>
      </c>
      <c r="C352" s="10">
        <v>2</v>
      </c>
      <c r="D352" s="9" t="s">
        <v>37</v>
      </c>
      <c r="E352" s="14">
        <v>46232.903738425928</v>
      </c>
      <c r="F352" s="9" t="s">
        <v>1377</v>
      </c>
      <c r="G352" s="9" t="s">
        <v>39</v>
      </c>
      <c r="H352" s="9">
        <v>53</v>
      </c>
      <c r="I352" s="9" t="s">
        <v>40</v>
      </c>
      <c r="J352" s="9">
        <v>5309</v>
      </c>
      <c r="K352" s="9" t="s">
        <v>41</v>
      </c>
      <c r="L352" s="9">
        <v>5309074</v>
      </c>
      <c r="M352" s="9">
        <v>5309074007</v>
      </c>
      <c r="N352" s="9" t="s">
        <v>42</v>
      </c>
      <c r="O352" s="9">
        <v>10421</v>
      </c>
      <c r="P352" s="9" t="s">
        <v>1378</v>
      </c>
      <c r="Q352" s="10">
        <v>2</v>
      </c>
      <c r="R352" s="10">
        <v>0</v>
      </c>
      <c r="S352" s="10">
        <v>4000000</v>
      </c>
      <c r="T352" s="10">
        <v>0</v>
      </c>
      <c r="U352" s="10">
        <v>50000</v>
      </c>
      <c r="V352" s="10">
        <v>0</v>
      </c>
      <c r="W352" s="10">
        <v>4050000</v>
      </c>
      <c r="X352" s="10">
        <v>16000000</v>
      </c>
      <c r="Y352" s="10">
        <v>0</v>
      </c>
      <c r="Z352" s="10">
        <v>11950000</v>
      </c>
      <c r="AA352" s="10">
        <v>1100000</v>
      </c>
      <c r="AB352" s="10">
        <v>16000000</v>
      </c>
      <c r="AC352" s="10">
        <v>0</v>
      </c>
      <c r="AD352" s="9" t="s">
        <v>44</v>
      </c>
      <c r="AE352" s="10" t="s">
        <v>2469</v>
      </c>
      <c r="AF352" s="10">
        <v>8000000</v>
      </c>
      <c r="AG352" s="10">
        <v>1</v>
      </c>
      <c r="AH352" s="10">
        <v>1</v>
      </c>
      <c r="AI352" s="10">
        <v>1</v>
      </c>
      <c r="AJ352" s="12" t="s">
        <v>1379</v>
      </c>
      <c r="AK352" s="10">
        <v>0</v>
      </c>
      <c r="AL352" s="10">
        <v>0</v>
      </c>
      <c r="AM352" s="9">
        <v>1990</v>
      </c>
      <c r="AN352" s="10">
        <v>0</v>
      </c>
      <c r="AO352" s="10">
        <v>2</v>
      </c>
      <c r="AP352" s="6"/>
      <c r="AQ352" s="7"/>
      <c r="AR352" s="8"/>
      <c r="AS352" s="4">
        <f t="shared" si="15"/>
        <v>4050000</v>
      </c>
      <c r="AT352" s="4">
        <f t="shared" si="16"/>
        <v>9280000</v>
      </c>
      <c r="AU352" s="4">
        <f t="shared" si="17"/>
        <v>6720000</v>
      </c>
      <c r="AV352" s="9" t="s">
        <v>1378</v>
      </c>
      <c r="AW352" s="12" t="s">
        <v>1379</v>
      </c>
      <c r="AX352" s="10">
        <v>0</v>
      </c>
      <c r="AY352">
        <f>S352*AU352/AS352</f>
        <v>6637037.0370370373</v>
      </c>
      <c r="AZ352">
        <f>AU352-AY352</f>
        <v>82962.962962962687</v>
      </c>
      <c r="BA352" s="10">
        <v>16000000</v>
      </c>
      <c r="BB352" s="10">
        <v>0</v>
      </c>
      <c r="BC352" s="9" t="s">
        <v>42</v>
      </c>
      <c r="BD352" s="9">
        <v>10421</v>
      </c>
      <c r="BE352" t="s">
        <v>46</v>
      </c>
    </row>
    <row r="353" spans="1:57" ht="270.75" thickBot="1" x14ac:dyDescent="0.3">
      <c r="A353" s="9" t="s">
        <v>1380</v>
      </c>
      <c r="B353" s="9">
        <v>3001</v>
      </c>
      <c r="C353" s="10">
        <v>2</v>
      </c>
      <c r="D353" s="9" t="s">
        <v>37</v>
      </c>
      <c r="E353" s="11">
        <v>46227.497524791666</v>
      </c>
      <c r="F353" s="9" t="s">
        <v>1381</v>
      </c>
      <c r="G353" s="9" t="s">
        <v>39</v>
      </c>
      <c r="H353" s="9">
        <v>53</v>
      </c>
      <c r="I353" s="9" t="s">
        <v>40</v>
      </c>
      <c r="J353" s="9">
        <v>5309</v>
      </c>
      <c r="K353" s="9" t="s">
        <v>41</v>
      </c>
      <c r="L353" s="9">
        <v>5309062</v>
      </c>
      <c r="M353" s="9">
        <v>5309062005</v>
      </c>
      <c r="N353" s="9" t="s">
        <v>42</v>
      </c>
      <c r="O353" s="9">
        <v>10421</v>
      </c>
      <c r="P353" s="9" t="s">
        <v>1382</v>
      </c>
      <c r="Q353" s="10">
        <v>4</v>
      </c>
      <c r="R353" s="10">
        <v>300000</v>
      </c>
      <c r="S353" s="10">
        <v>975000</v>
      </c>
      <c r="T353" s="10">
        <v>0</v>
      </c>
      <c r="U353" s="10">
        <v>200000</v>
      </c>
      <c r="V353" s="10">
        <v>0</v>
      </c>
      <c r="W353" s="10">
        <v>1475000</v>
      </c>
      <c r="X353" s="10">
        <v>6000000</v>
      </c>
      <c r="Y353" s="10">
        <v>1800000</v>
      </c>
      <c r="Z353" s="10">
        <v>4825000</v>
      </c>
      <c r="AA353" s="10">
        <v>2250000</v>
      </c>
      <c r="AB353" s="10">
        <v>6000000</v>
      </c>
      <c r="AC353" s="10">
        <v>0</v>
      </c>
      <c r="AD353" s="9" t="s">
        <v>44</v>
      </c>
      <c r="AE353" s="10" t="s">
        <v>2470</v>
      </c>
      <c r="AF353" s="10">
        <v>1500000</v>
      </c>
      <c r="AG353" s="10">
        <v>1</v>
      </c>
      <c r="AH353" s="10">
        <v>1</v>
      </c>
      <c r="AI353" s="10">
        <v>1</v>
      </c>
      <c r="AJ353" s="12" t="s">
        <v>1383</v>
      </c>
      <c r="AK353" s="10">
        <v>0</v>
      </c>
      <c r="AL353" s="10">
        <v>0</v>
      </c>
      <c r="AM353" s="9">
        <v>2024</v>
      </c>
      <c r="AN353" s="10">
        <v>2</v>
      </c>
      <c r="AO353" s="10">
        <v>2</v>
      </c>
      <c r="AP353" s="6"/>
      <c r="AQ353" s="7"/>
      <c r="AR353" s="8"/>
      <c r="AS353" s="4">
        <f t="shared" si="15"/>
        <v>1175000</v>
      </c>
      <c r="AT353" s="4">
        <f t="shared" si="16"/>
        <v>3479998.5575135513</v>
      </c>
      <c r="AU353" s="4">
        <f t="shared" si="17"/>
        <v>2520001.4424864487</v>
      </c>
      <c r="AV353" s="9" t="s">
        <v>1382</v>
      </c>
      <c r="AW353" s="12" t="s">
        <v>1383</v>
      </c>
      <c r="AX353" s="10">
        <v>0</v>
      </c>
      <c r="AY353">
        <f>S353*AU353/AS353</f>
        <v>2091065.0267440747</v>
      </c>
      <c r="AZ353">
        <f>AU353-AY353</f>
        <v>428936.41574237403</v>
      </c>
      <c r="BA353" s="10">
        <v>6000000</v>
      </c>
      <c r="BB353" s="10">
        <v>1800000</v>
      </c>
      <c r="BC353" s="9" t="s">
        <v>42</v>
      </c>
      <c r="BD353" s="9">
        <v>10421</v>
      </c>
      <c r="BE353" t="s">
        <v>46</v>
      </c>
    </row>
    <row r="354" spans="1:57" ht="270.75" thickBot="1" x14ac:dyDescent="0.3">
      <c r="A354" s="9" t="s">
        <v>1384</v>
      </c>
      <c r="B354" s="9">
        <v>3001</v>
      </c>
      <c r="C354" s="10">
        <v>2</v>
      </c>
      <c r="D354" s="9" t="s">
        <v>37</v>
      </c>
      <c r="E354" s="11">
        <v>46260.91857065972</v>
      </c>
      <c r="F354" s="9" t="s">
        <v>1385</v>
      </c>
      <c r="G354" s="9" t="s">
        <v>39</v>
      </c>
      <c r="H354" s="9">
        <v>53</v>
      </c>
      <c r="I354" s="9" t="s">
        <v>40</v>
      </c>
      <c r="J354" s="9">
        <v>5309</v>
      </c>
      <c r="K354" s="9" t="s">
        <v>41</v>
      </c>
      <c r="L354" s="9">
        <v>5309074</v>
      </c>
      <c r="M354" s="9">
        <v>5309074007</v>
      </c>
      <c r="N354" s="9" t="s">
        <v>42</v>
      </c>
      <c r="O354" s="9">
        <v>10421</v>
      </c>
      <c r="P354" s="9" t="s">
        <v>1386</v>
      </c>
      <c r="Q354" s="10">
        <v>3</v>
      </c>
      <c r="R354" s="10">
        <v>1500000</v>
      </c>
      <c r="S354" s="10">
        <v>3000000</v>
      </c>
      <c r="T354" s="10">
        <v>0</v>
      </c>
      <c r="U354" s="10">
        <v>350000</v>
      </c>
      <c r="V354" s="10">
        <v>15000</v>
      </c>
      <c r="W354" s="10">
        <v>4865000</v>
      </c>
      <c r="X354" s="10">
        <v>15600000</v>
      </c>
      <c r="Y354" s="10">
        <v>0</v>
      </c>
      <c r="Z354" s="10">
        <v>12250000</v>
      </c>
      <c r="AA354" s="10">
        <v>1950000</v>
      </c>
      <c r="AB354" s="10">
        <v>15600000</v>
      </c>
      <c r="AC354" s="10">
        <v>0</v>
      </c>
      <c r="AD354" s="9" t="s">
        <v>44</v>
      </c>
      <c r="AE354" s="10" t="s">
        <v>2471</v>
      </c>
      <c r="AF354" s="10">
        <v>5200000</v>
      </c>
      <c r="AG354" s="10">
        <v>1</v>
      </c>
      <c r="AH354" s="10">
        <v>1</v>
      </c>
      <c r="AI354" s="10">
        <v>1</v>
      </c>
      <c r="AJ354" s="12" t="s">
        <v>1387</v>
      </c>
      <c r="AK354" s="10">
        <v>0</v>
      </c>
      <c r="AL354" s="10">
        <v>0</v>
      </c>
      <c r="AM354" s="9">
        <v>1999</v>
      </c>
      <c r="AN354" s="10">
        <v>2</v>
      </c>
      <c r="AO354" s="10">
        <v>1</v>
      </c>
      <c r="AP354" s="6"/>
      <c r="AQ354" s="7"/>
      <c r="AR354" s="8"/>
      <c r="AS354" s="4">
        <f t="shared" si="15"/>
        <v>3350000</v>
      </c>
      <c r="AT354" s="4">
        <f t="shared" si="16"/>
        <v>9048004.7271208372</v>
      </c>
      <c r="AU354" s="4">
        <f t="shared" si="17"/>
        <v>6551995.2728791628</v>
      </c>
      <c r="AV354" s="9" t="s">
        <v>1386</v>
      </c>
      <c r="AW354" s="12" t="s">
        <v>1387</v>
      </c>
      <c r="AX354" s="10">
        <v>0</v>
      </c>
      <c r="AY354">
        <f>S354*AU354/AS354</f>
        <v>5867458.4533246234</v>
      </c>
      <c r="AZ354">
        <f>AU354-AY354</f>
        <v>684536.8195545394</v>
      </c>
      <c r="BA354" s="10">
        <v>15600000</v>
      </c>
      <c r="BB354" s="10">
        <v>0</v>
      </c>
      <c r="BC354" s="9" t="s">
        <v>42</v>
      </c>
      <c r="BD354" s="9">
        <v>10421</v>
      </c>
      <c r="BE354" t="s">
        <v>46</v>
      </c>
    </row>
    <row r="355" spans="1:57" ht="270.75" thickBot="1" x14ac:dyDescent="0.3">
      <c r="A355" s="9" t="s">
        <v>1384</v>
      </c>
      <c r="B355" s="9">
        <v>3003</v>
      </c>
      <c r="C355" s="10">
        <v>2</v>
      </c>
      <c r="D355" s="9" t="s">
        <v>37</v>
      </c>
      <c r="E355" s="11">
        <v>46260.91857065972</v>
      </c>
      <c r="F355" s="9" t="s">
        <v>1385</v>
      </c>
      <c r="G355" s="9" t="s">
        <v>39</v>
      </c>
      <c r="H355" s="9">
        <v>53</v>
      </c>
      <c r="I355" s="9" t="s">
        <v>40</v>
      </c>
      <c r="J355" s="9">
        <v>5309</v>
      </c>
      <c r="K355" s="9" t="s">
        <v>41</v>
      </c>
      <c r="L355" s="9">
        <v>5309074</v>
      </c>
      <c r="M355" s="9">
        <v>5309074007</v>
      </c>
      <c r="N355" s="9" t="s">
        <v>42</v>
      </c>
      <c r="O355" s="9">
        <v>10421</v>
      </c>
      <c r="P355" s="9" t="s">
        <v>1388</v>
      </c>
      <c r="Q355" s="10">
        <v>3</v>
      </c>
      <c r="R355" s="10">
        <v>2000000</v>
      </c>
      <c r="S355" s="10">
        <v>4000000</v>
      </c>
      <c r="T355" s="10">
        <v>0</v>
      </c>
      <c r="U355" s="10">
        <v>350000</v>
      </c>
      <c r="V355" s="10">
        <v>15000</v>
      </c>
      <c r="W355" s="10">
        <v>6365000</v>
      </c>
      <c r="X355" s="10">
        <v>20000000</v>
      </c>
      <c r="Y355" s="10">
        <v>0</v>
      </c>
      <c r="Z355" s="10">
        <v>15650000</v>
      </c>
      <c r="AA355" s="10">
        <v>3500000</v>
      </c>
      <c r="AB355" s="10">
        <v>20000000</v>
      </c>
      <c r="AC355" s="10">
        <v>0</v>
      </c>
      <c r="AD355" s="9" t="s">
        <v>44</v>
      </c>
      <c r="AE355" s="10" t="s">
        <v>2472</v>
      </c>
      <c r="AF355" s="13">
        <v>6666666667</v>
      </c>
      <c r="AG355" s="10">
        <v>1</v>
      </c>
      <c r="AH355" s="10">
        <v>1</v>
      </c>
      <c r="AI355" s="10">
        <v>1</v>
      </c>
      <c r="AJ355" s="12" t="s">
        <v>1387</v>
      </c>
      <c r="AK355" s="10">
        <v>0</v>
      </c>
      <c r="AL355" s="10">
        <v>0</v>
      </c>
      <c r="AM355" s="9">
        <v>1999</v>
      </c>
      <c r="AN355" s="10">
        <v>2</v>
      </c>
      <c r="AO355" s="10">
        <v>1</v>
      </c>
      <c r="AP355" s="6"/>
      <c r="AQ355" s="7"/>
      <c r="AR355" s="8"/>
      <c r="AS355" s="4">
        <f t="shared" si="15"/>
        <v>4350000</v>
      </c>
      <c r="AT355" s="4">
        <f t="shared" si="16"/>
        <v>11600000</v>
      </c>
      <c r="AU355" s="4">
        <f t="shared" si="17"/>
        <v>8400000</v>
      </c>
      <c r="AV355" s="9" t="s">
        <v>1388</v>
      </c>
      <c r="AW355" s="12" t="s">
        <v>1387</v>
      </c>
      <c r="AX355" s="10">
        <v>0</v>
      </c>
      <c r="AY355">
        <f>S355*AU355/AS355</f>
        <v>7724137.931034483</v>
      </c>
      <c r="AZ355">
        <f>AU355-AY355</f>
        <v>675862.06896551698</v>
      </c>
      <c r="BA355" s="10">
        <v>20000000</v>
      </c>
      <c r="BB355" s="10">
        <v>0</v>
      </c>
      <c r="BC355" s="9" t="s">
        <v>42</v>
      </c>
      <c r="BD355" s="9">
        <v>10421</v>
      </c>
      <c r="BE355" t="s">
        <v>46</v>
      </c>
    </row>
    <row r="356" spans="1:57" ht="270.75" thickBot="1" x14ac:dyDescent="0.3">
      <c r="A356" s="9" t="s">
        <v>1389</v>
      </c>
      <c r="B356" s="9">
        <v>3001</v>
      </c>
      <c r="C356" s="10">
        <v>2</v>
      </c>
      <c r="D356" s="9" t="s">
        <v>37</v>
      </c>
      <c r="E356" s="11">
        <v>46260.921467337961</v>
      </c>
      <c r="F356" s="9" t="s">
        <v>1390</v>
      </c>
      <c r="G356" s="9" t="s">
        <v>39</v>
      </c>
      <c r="H356" s="9">
        <v>53</v>
      </c>
      <c r="I356" s="9" t="s">
        <v>40</v>
      </c>
      <c r="J356" s="9">
        <v>5309</v>
      </c>
      <c r="K356" s="9" t="s">
        <v>41</v>
      </c>
      <c r="L356" s="9">
        <v>5309074</v>
      </c>
      <c r="M356" s="9">
        <v>5309074007</v>
      </c>
      <c r="N356" s="9" t="s">
        <v>42</v>
      </c>
      <c r="O356" s="9">
        <v>10421</v>
      </c>
      <c r="P356" s="9" t="s">
        <v>49</v>
      </c>
      <c r="Q356" s="10">
        <v>3</v>
      </c>
      <c r="R356" s="10">
        <v>500000</v>
      </c>
      <c r="S356" s="10">
        <v>1000000</v>
      </c>
      <c r="T356" s="10">
        <v>0</v>
      </c>
      <c r="U356" s="10">
        <v>350000</v>
      </c>
      <c r="V356" s="10">
        <v>15000</v>
      </c>
      <c r="W356" s="10">
        <v>1865000</v>
      </c>
      <c r="X356" s="10">
        <v>7200000</v>
      </c>
      <c r="Y356" s="10">
        <v>0</v>
      </c>
      <c r="Z356" s="10">
        <v>5850000</v>
      </c>
      <c r="AA356" s="10">
        <v>1950000</v>
      </c>
      <c r="AB356" s="10">
        <v>7200000</v>
      </c>
      <c r="AC356" s="10">
        <v>0</v>
      </c>
      <c r="AD356" s="9" t="s">
        <v>44</v>
      </c>
      <c r="AE356" s="10" t="s">
        <v>2362</v>
      </c>
      <c r="AF356" s="10">
        <v>2400000</v>
      </c>
      <c r="AG356" s="10">
        <v>1</v>
      </c>
      <c r="AH356" s="10">
        <v>1</v>
      </c>
      <c r="AI356" s="10">
        <v>1</v>
      </c>
      <c r="AJ356" s="12" t="s">
        <v>1391</v>
      </c>
      <c r="AK356" s="10">
        <v>0</v>
      </c>
      <c r="AL356" s="10">
        <v>0</v>
      </c>
      <c r="AM356" s="9">
        <v>1999</v>
      </c>
      <c r="AN356" s="10">
        <v>2</v>
      </c>
      <c r="AO356" s="10">
        <v>1</v>
      </c>
      <c r="AP356" s="6"/>
      <c r="AQ356" s="7"/>
      <c r="AR356" s="8"/>
      <c r="AS356" s="4">
        <f t="shared" si="15"/>
        <v>1350000</v>
      </c>
      <c r="AT356" s="4">
        <f t="shared" si="16"/>
        <v>4175999.9999999995</v>
      </c>
      <c r="AU356" s="4">
        <f t="shared" si="17"/>
        <v>3024000.0000000005</v>
      </c>
      <c r="AV356" s="9" t="s">
        <v>49</v>
      </c>
      <c r="AW356" s="12" t="s">
        <v>1391</v>
      </c>
      <c r="AX356" s="10">
        <v>0</v>
      </c>
      <c r="AY356">
        <f>S356*AU356/AS356</f>
        <v>2240000.0000000005</v>
      </c>
      <c r="AZ356">
        <f>AU356-AY356</f>
        <v>784000</v>
      </c>
      <c r="BA356" s="10">
        <v>7200000</v>
      </c>
      <c r="BB356" s="10">
        <v>0</v>
      </c>
      <c r="BC356" s="9" t="s">
        <v>42</v>
      </c>
      <c r="BD356" s="9">
        <v>10421</v>
      </c>
      <c r="BE356" t="s">
        <v>46</v>
      </c>
    </row>
    <row r="357" spans="1:57" ht="270.75" thickBot="1" x14ac:dyDescent="0.3">
      <c r="A357" s="9" t="s">
        <v>1392</v>
      </c>
      <c r="B357" s="9">
        <v>1002</v>
      </c>
      <c r="C357" s="10">
        <v>2</v>
      </c>
      <c r="D357" s="9" t="s">
        <v>37</v>
      </c>
      <c r="E357" s="11">
        <v>46250.34839284722</v>
      </c>
      <c r="F357" s="9" t="s">
        <v>1393</v>
      </c>
      <c r="G357" s="9" t="s">
        <v>39</v>
      </c>
      <c r="H357" s="9">
        <v>53</v>
      </c>
      <c r="I357" s="9" t="s">
        <v>40</v>
      </c>
      <c r="J357" s="9">
        <v>5309</v>
      </c>
      <c r="K357" s="9" t="s">
        <v>41</v>
      </c>
      <c r="L357" s="9">
        <v>5309062</v>
      </c>
      <c r="M357" s="9">
        <v>5309062002</v>
      </c>
      <c r="N357" s="9" t="s">
        <v>42</v>
      </c>
      <c r="O357" s="9">
        <v>10421</v>
      </c>
      <c r="P357" s="9" t="s">
        <v>106</v>
      </c>
      <c r="Q357" s="10">
        <v>2</v>
      </c>
      <c r="R357" s="10">
        <v>0</v>
      </c>
      <c r="S357" s="10">
        <v>100000</v>
      </c>
      <c r="T357" s="10">
        <v>0</v>
      </c>
      <c r="U357" s="10">
        <v>1000000</v>
      </c>
      <c r="V357" s="10">
        <v>0</v>
      </c>
      <c r="W357" s="10">
        <v>1100000</v>
      </c>
      <c r="X357" s="10">
        <v>9000000</v>
      </c>
      <c r="Y357" s="10">
        <v>0</v>
      </c>
      <c r="Z357" s="10">
        <v>7900000</v>
      </c>
      <c r="AA357" s="10">
        <v>1500000</v>
      </c>
      <c r="AB357" s="10">
        <v>9000000</v>
      </c>
      <c r="AC357" s="10">
        <v>0</v>
      </c>
      <c r="AD357" s="9" t="s">
        <v>44</v>
      </c>
      <c r="AE357" s="10" t="s">
        <v>2473</v>
      </c>
      <c r="AF357" s="10">
        <v>4500000</v>
      </c>
      <c r="AG357" s="10">
        <v>1</v>
      </c>
      <c r="AH357" s="10">
        <v>1</v>
      </c>
      <c r="AI357" s="10">
        <v>1</v>
      </c>
      <c r="AJ357" s="12" t="s">
        <v>1394</v>
      </c>
      <c r="AK357" s="10">
        <v>0</v>
      </c>
      <c r="AL357" s="10">
        <v>0</v>
      </c>
      <c r="AM357" s="9">
        <v>1999</v>
      </c>
      <c r="AN357" s="10">
        <v>0</v>
      </c>
      <c r="AO357" s="10">
        <v>2</v>
      </c>
      <c r="AP357" s="6"/>
      <c r="AQ357" s="7"/>
      <c r="AR357" s="8"/>
      <c r="AS357" s="4">
        <f t="shared" si="15"/>
        <v>1100000</v>
      </c>
      <c r="AT357" s="4">
        <f t="shared" si="16"/>
        <v>5219998.6784813479</v>
      </c>
      <c r="AU357" s="4">
        <f t="shared" si="17"/>
        <v>3780001.3215186521</v>
      </c>
      <c r="AV357" s="9" t="s">
        <v>106</v>
      </c>
      <c r="AW357" s="12" t="s">
        <v>1394</v>
      </c>
      <c r="AX357" s="10">
        <v>0</v>
      </c>
      <c r="AY357">
        <f>S357*AU357/AS357</f>
        <v>343636.48377442296</v>
      </c>
      <c r="AZ357">
        <f>AU357-AY357</f>
        <v>3436364.837744229</v>
      </c>
      <c r="BA357" s="10">
        <v>9000000</v>
      </c>
      <c r="BB357" s="10">
        <v>0</v>
      </c>
      <c r="BC357" s="9" t="s">
        <v>42</v>
      </c>
      <c r="BD357" s="9">
        <v>10421</v>
      </c>
      <c r="BE357" t="s">
        <v>46</v>
      </c>
    </row>
    <row r="358" spans="1:57" ht="270.75" thickBot="1" x14ac:dyDescent="0.3">
      <c r="A358" s="9" t="s">
        <v>1395</v>
      </c>
      <c r="B358" s="9">
        <v>3001</v>
      </c>
      <c r="C358" s="10">
        <v>2</v>
      </c>
      <c r="D358" s="9" t="s">
        <v>37</v>
      </c>
      <c r="E358" s="11">
        <v>46251.928398611111</v>
      </c>
      <c r="F358" s="9" t="s">
        <v>1396</v>
      </c>
      <c r="G358" s="9" t="s">
        <v>39</v>
      </c>
      <c r="H358" s="9">
        <v>53</v>
      </c>
      <c r="I358" s="9" t="s">
        <v>40</v>
      </c>
      <c r="J358" s="9">
        <v>5309</v>
      </c>
      <c r="K358" s="9" t="s">
        <v>41</v>
      </c>
      <c r="L358" s="9">
        <v>5309074</v>
      </c>
      <c r="M358" s="9">
        <v>5309074007</v>
      </c>
      <c r="N358" s="9" t="s">
        <v>42</v>
      </c>
      <c r="O358" s="9">
        <v>10421</v>
      </c>
      <c r="P358" s="9" t="s">
        <v>49</v>
      </c>
      <c r="Q358" s="10">
        <v>3</v>
      </c>
      <c r="R358" s="10">
        <v>500000</v>
      </c>
      <c r="S358" s="10">
        <v>1300000</v>
      </c>
      <c r="T358" s="10">
        <v>0</v>
      </c>
      <c r="U358" s="10">
        <v>350000</v>
      </c>
      <c r="V358" s="10">
        <v>15000</v>
      </c>
      <c r="W358" s="10">
        <v>2165000</v>
      </c>
      <c r="X358" s="10">
        <v>6800000</v>
      </c>
      <c r="Y358" s="10">
        <v>0</v>
      </c>
      <c r="Z358" s="10">
        <v>5150000</v>
      </c>
      <c r="AA358" s="10">
        <v>1950000</v>
      </c>
      <c r="AB358" s="10">
        <v>6800000</v>
      </c>
      <c r="AC358" s="10">
        <v>0</v>
      </c>
      <c r="AD358" s="9" t="s">
        <v>44</v>
      </c>
      <c r="AE358" s="10" t="s">
        <v>2474</v>
      </c>
      <c r="AF358" s="13">
        <v>2266666667</v>
      </c>
      <c r="AG358" s="10">
        <v>1</v>
      </c>
      <c r="AH358" s="10">
        <v>1</v>
      </c>
      <c r="AI358" s="10">
        <v>1</v>
      </c>
      <c r="AJ358" s="12" t="s">
        <v>1397</v>
      </c>
      <c r="AK358" s="10">
        <v>0</v>
      </c>
      <c r="AL358" s="10">
        <v>0</v>
      </c>
      <c r="AM358" s="9">
        <v>1995</v>
      </c>
      <c r="AN358" s="10">
        <v>2</v>
      </c>
      <c r="AO358" s="10">
        <v>1</v>
      </c>
      <c r="AP358" s="6"/>
      <c r="AQ358" s="7"/>
      <c r="AR358" s="8"/>
      <c r="AS358" s="4">
        <f t="shared" si="15"/>
        <v>1650000</v>
      </c>
      <c r="AT358" s="4">
        <f t="shared" si="16"/>
        <v>3943999.6936699264</v>
      </c>
      <c r="AU358" s="4">
        <f t="shared" si="17"/>
        <v>2856000.3063300736</v>
      </c>
      <c r="AV358" s="9" t="s">
        <v>49</v>
      </c>
      <c r="AW358" s="12" t="s">
        <v>1397</v>
      </c>
      <c r="AX358" s="10">
        <v>0</v>
      </c>
      <c r="AY358">
        <f>S358*AU358/AS358</f>
        <v>2250182.0595327853</v>
      </c>
      <c r="AZ358">
        <f>AU358-AY358</f>
        <v>605818.2467972883</v>
      </c>
      <c r="BA358" s="10">
        <v>6800000</v>
      </c>
      <c r="BB358" s="10">
        <v>0</v>
      </c>
      <c r="BC358" s="9" t="s">
        <v>42</v>
      </c>
      <c r="BD358" s="9">
        <v>10421</v>
      </c>
      <c r="BE358" t="s">
        <v>46</v>
      </c>
    </row>
    <row r="359" spans="1:57" ht="270.75" thickBot="1" x14ac:dyDescent="0.3">
      <c r="A359" s="9" t="s">
        <v>1398</v>
      </c>
      <c r="B359" s="9">
        <v>3001</v>
      </c>
      <c r="C359" s="10">
        <v>2</v>
      </c>
      <c r="D359" s="9" t="s">
        <v>37</v>
      </c>
      <c r="E359" s="11">
        <v>46239.478000868054</v>
      </c>
      <c r="F359" s="9" t="s">
        <v>1399</v>
      </c>
      <c r="G359" s="9" t="s">
        <v>39</v>
      </c>
      <c r="H359" s="9">
        <v>53</v>
      </c>
      <c r="I359" s="9" t="s">
        <v>40</v>
      </c>
      <c r="J359" s="9">
        <v>5309</v>
      </c>
      <c r="K359" s="9" t="s">
        <v>41</v>
      </c>
      <c r="L359" s="9">
        <v>5309062</v>
      </c>
      <c r="M359" s="9">
        <v>5309062005</v>
      </c>
      <c r="N359" s="9" t="s">
        <v>42</v>
      </c>
      <c r="O359" s="9">
        <v>10421</v>
      </c>
      <c r="P359" s="9" t="s">
        <v>1400</v>
      </c>
      <c r="Q359" s="10">
        <v>2</v>
      </c>
      <c r="R359" s="10">
        <v>0</v>
      </c>
      <c r="S359" s="10">
        <v>150000</v>
      </c>
      <c r="T359" s="10">
        <v>0</v>
      </c>
      <c r="U359" s="10">
        <v>90000</v>
      </c>
      <c r="V359" s="10">
        <v>0</v>
      </c>
      <c r="W359" s="10">
        <v>240000</v>
      </c>
      <c r="X359" s="10">
        <v>2500000</v>
      </c>
      <c r="Y359" s="10">
        <v>0</v>
      </c>
      <c r="Z359" s="10">
        <v>2260000</v>
      </c>
      <c r="AA359" s="10">
        <v>2145000</v>
      </c>
      <c r="AB359" s="10">
        <v>2500000</v>
      </c>
      <c r="AC359" s="10">
        <v>0</v>
      </c>
      <c r="AD359" s="9" t="s">
        <v>44</v>
      </c>
      <c r="AE359" s="10" t="s">
        <v>2475</v>
      </c>
      <c r="AF359" s="10">
        <v>1250000</v>
      </c>
      <c r="AG359" s="10">
        <v>1</v>
      </c>
      <c r="AH359" s="10">
        <v>1</v>
      </c>
      <c r="AI359" s="10">
        <v>1</v>
      </c>
      <c r="AJ359" s="12" t="s">
        <v>1401</v>
      </c>
      <c r="AK359" s="10">
        <v>0</v>
      </c>
      <c r="AL359" s="10">
        <v>0</v>
      </c>
      <c r="AM359" s="9">
        <v>2015</v>
      </c>
      <c r="AN359" s="10">
        <v>0</v>
      </c>
      <c r="AO359" s="10">
        <v>2</v>
      </c>
      <c r="AP359" s="6"/>
      <c r="AQ359" s="7"/>
      <c r="AR359" s="8"/>
      <c r="AS359" s="4">
        <f t="shared" si="15"/>
        <v>240000</v>
      </c>
      <c r="AT359" s="4">
        <f t="shared" si="16"/>
        <v>1450000</v>
      </c>
      <c r="AU359" s="4">
        <f t="shared" si="17"/>
        <v>1050000</v>
      </c>
      <c r="AV359" s="9" t="s">
        <v>1400</v>
      </c>
      <c r="AW359" s="12" t="s">
        <v>1401</v>
      </c>
      <c r="AX359" s="10">
        <v>0</v>
      </c>
      <c r="AY359">
        <f>S359*AU359/AS359</f>
        <v>656250</v>
      </c>
      <c r="AZ359">
        <f>AU359-AY359</f>
        <v>393750</v>
      </c>
      <c r="BA359" s="10">
        <v>2500000</v>
      </c>
      <c r="BB359" s="10">
        <v>0</v>
      </c>
      <c r="BC359" s="9" t="s">
        <v>42</v>
      </c>
      <c r="BD359" s="9">
        <v>10421</v>
      </c>
      <c r="BE359" t="s">
        <v>46</v>
      </c>
    </row>
    <row r="360" spans="1:57" ht="270.75" thickBot="1" x14ac:dyDescent="0.3">
      <c r="A360" s="9" t="s">
        <v>1402</v>
      </c>
      <c r="B360" s="9">
        <v>3001</v>
      </c>
      <c r="C360" s="10">
        <v>2</v>
      </c>
      <c r="D360" s="9" t="s">
        <v>37</v>
      </c>
      <c r="E360" s="11">
        <v>46232.258941550928</v>
      </c>
      <c r="F360" s="9" t="s">
        <v>1403</v>
      </c>
      <c r="G360" s="9" t="s">
        <v>39</v>
      </c>
      <c r="H360" s="9">
        <v>53</v>
      </c>
      <c r="I360" s="9" t="s">
        <v>40</v>
      </c>
      <c r="J360" s="9">
        <v>5309</v>
      </c>
      <c r="K360" s="9" t="s">
        <v>41</v>
      </c>
      <c r="L360" s="9">
        <v>5309062</v>
      </c>
      <c r="M360" s="9">
        <v>5309062005</v>
      </c>
      <c r="N360" s="9" t="s">
        <v>42</v>
      </c>
      <c r="O360" s="9">
        <v>10421</v>
      </c>
      <c r="P360" s="9" t="s">
        <v>1404</v>
      </c>
      <c r="Q360" s="10">
        <v>4</v>
      </c>
      <c r="R360" s="10">
        <v>0</v>
      </c>
      <c r="S360" s="10">
        <v>150000</v>
      </c>
      <c r="T360" s="10">
        <v>0</v>
      </c>
      <c r="U360" s="10">
        <v>100000</v>
      </c>
      <c r="V360" s="10">
        <v>0</v>
      </c>
      <c r="W360" s="10">
        <v>250000</v>
      </c>
      <c r="X360" s="10">
        <v>4800000</v>
      </c>
      <c r="Y360" s="10">
        <v>0</v>
      </c>
      <c r="Z360" s="10">
        <v>4550000</v>
      </c>
      <c r="AA360" s="10">
        <v>3600000</v>
      </c>
      <c r="AB360" s="10">
        <v>4800000</v>
      </c>
      <c r="AC360" s="10">
        <v>0</v>
      </c>
      <c r="AD360" s="9" t="s">
        <v>44</v>
      </c>
      <c r="AE360" s="10" t="s">
        <v>2344</v>
      </c>
      <c r="AF360" s="10">
        <v>1200000</v>
      </c>
      <c r="AG360" s="10">
        <v>1</v>
      </c>
      <c r="AH360" s="10">
        <v>1</v>
      </c>
      <c r="AI360" s="10">
        <v>1</v>
      </c>
      <c r="AJ360" s="12" t="s">
        <v>1405</v>
      </c>
      <c r="AK360" s="10">
        <v>0</v>
      </c>
      <c r="AL360" s="10">
        <v>0</v>
      </c>
      <c r="AM360" s="9">
        <v>2014</v>
      </c>
      <c r="AN360" s="10">
        <v>0</v>
      </c>
      <c r="AO360" s="10">
        <v>4</v>
      </c>
      <c r="AP360" s="6"/>
      <c r="AQ360" s="7"/>
      <c r="AR360" s="8"/>
      <c r="AS360" s="4">
        <f t="shared" si="15"/>
        <v>250000</v>
      </c>
      <c r="AT360" s="4">
        <f t="shared" si="16"/>
        <v>2783999.0210113334</v>
      </c>
      <c r="AU360" s="4">
        <f t="shared" si="17"/>
        <v>2016000.9789886666</v>
      </c>
      <c r="AV360" s="9" t="s">
        <v>1404</v>
      </c>
      <c r="AW360" s="12" t="s">
        <v>1405</v>
      </c>
      <c r="AX360" s="10">
        <v>0</v>
      </c>
      <c r="AY360">
        <f>S360*AU360/AS360</f>
        <v>1209600.5873932</v>
      </c>
      <c r="AZ360">
        <f>AU360-AY360</f>
        <v>806400.39159546653</v>
      </c>
      <c r="BA360" s="10">
        <v>4800000</v>
      </c>
      <c r="BB360" s="10">
        <v>0</v>
      </c>
      <c r="BC360" s="9" t="s">
        <v>42</v>
      </c>
      <c r="BD360" s="9">
        <v>10421</v>
      </c>
      <c r="BE360" t="s">
        <v>46</v>
      </c>
    </row>
    <row r="361" spans="1:57" ht="270.75" thickBot="1" x14ac:dyDescent="0.3">
      <c r="A361" s="9" t="s">
        <v>1406</v>
      </c>
      <c r="B361" s="9">
        <v>3001</v>
      </c>
      <c r="C361" s="10">
        <v>2</v>
      </c>
      <c r="D361" s="9" t="s">
        <v>37</v>
      </c>
      <c r="E361" s="11">
        <v>46263.516824849539</v>
      </c>
      <c r="F361" s="9" t="s">
        <v>1407</v>
      </c>
      <c r="G361" s="9" t="s">
        <v>39</v>
      </c>
      <c r="H361" s="9">
        <v>53</v>
      </c>
      <c r="I361" s="9" t="s">
        <v>40</v>
      </c>
      <c r="J361" s="9">
        <v>5309</v>
      </c>
      <c r="K361" s="9" t="s">
        <v>41</v>
      </c>
      <c r="L361" s="9">
        <v>5309073</v>
      </c>
      <c r="M361" s="9">
        <v>5309073004</v>
      </c>
      <c r="N361" s="9" t="s">
        <v>42</v>
      </c>
      <c r="O361" s="9">
        <v>10421</v>
      </c>
      <c r="P361" s="9" t="s">
        <v>1408</v>
      </c>
      <c r="Q361" s="10">
        <v>2</v>
      </c>
      <c r="R361" s="10">
        <v>0</v>
      </c>
      <c r="S361" s="10">
        <v>1500000</v>
      </c>
      <c r="T361" s="10">
        <v>0</v>
      </c>
      <c r="U361" s="10">
        <v>500000</v>
      </c>
      <c r="V361" s="10">
        <v>0</v>
      </c>
      <c r="W361" s="10">
        <v>2000000</v>
      </c>
      <c r="X361" s="10">
        <v>10120000</v>
      </c>
      <c r="Y361" s="10">
        <v>0</v>
      </c>
      <c r="Z361" s="10">
        <v>8120000</v>
      </c>
      <c r="AA361" s="10">
        <v>6000000</v>
      </c>
      <c r="AB361" s="10">
        <v>10120000</v>
      </c>
      <c r="AC361" s="10">
        <v>0</v>
      </c>
      <c r="AD361" s="9" t="s">
        <v>44</v>
      </c>
      <c r="AE361" s="10" t="s">
        <v>2476</v>
      </c>
      <c r="AF361" s="10">
        <v>5060000</v>
      </c>
      <c r="AG361" s="10">
        <v>1</v>
      </c>
      <c r="AH361" s="10">
        <v>1</v>
      </c>
      <c r="AI361" s="10">
        <v>1</v>
      </c>
      <c r="AJ361" s="12" t="s">
        <v>1409</v>
      </c>
      <c r="AK361" s="10">
        <v>0</v>
      </c>
      <c r="AL361" s="10">
        <v>0</v>
      </c>
      <c r="AM361" s="9">
        <v>2017</v>
      </c>
      <c r="AN361" s="10">
        <v>0</v>
      </c>
      <c r="AO361" s="10">
        <v>2</v>
      </c>
      <c r="AP361" s="6"/>
      <c r="AQ361" s="7"/>
      <c r="AR361" s="8"/>
      <c r="AS361" s="4">
        <f t="shared" si="15"/>
        <v>2000000</v>
      </c>
      <c r="AT361" s="4">
        <f t="shared" si="16"/>
        <v>5869596.6459447742</v>
      </c>
      <c r="AU361" s="4">
        <f t="shared" si="17"/>
        <v>4250403.3540552258</v>
      </c>
      <c r="AV361" s="9" t="s">
        <v>1408</v>
      </c>
      <c r="AW361" s="12" t="s">
        <v>1409</v>
      </c>
      <c r="AX361" s="10">
        <v>0</v>
      </c>
      <c r="AY361">
        <f>S361*AU361/AS361</f>
        <v>3187802.5155414194</v>
      </c>
      <c r="AZ361">
        <f>AU361-AY361</f>
        <v>1062600.8385138065</v>
      </c>
      <c r="BA361" s="10">
        <v>10120000</v>
      </c>
      <c r="BB361" s="10">
        <v>0</v>
      </c>
      <c r="BC361" s="9" t="s">
        <v>42</v>
      </c>
      <c r="BD361" s="9">
        <v>10421</v>
      </c>
      <c r="BE361" t="s">
        <v>46</v>
      </c>
    </row>
    <row r="362" spans="1:57" ht="270.75" thickBot="1" x14ac:dyDescent="0.3">
      <c r="A362" s="9" t="s">
        <v>1410</v>
      </c>
      <c r="B362" s="9">
        <v>3001</v>
      </c>
      <c r="C362" s="10">
        <v>2</v>
      </c>
      <c r="D362" s="9" t="s">
        <v>37</v>
      </c>
      <c r="E362" s="14">
        <v>46217.396770833337</v>
      </c>
      <c r="F362" s="9" t="s">
        <v>1411</v>
      </c>
      <c r="G362" s="9" t="s">
        <v>39</v>
      </c>
      <c r="H362" s="9">
        <v>53</v>
      </c>
      <c r="I362" s="9" t="s">
        <v>40</v>
      </c>
      <c r="J362" s="9">
        <v>5309</v>
      </c>
      <c r="K362" s="9" t="s">
        <v>41</v>
      </c>
      <c r="L362" s="9">
        <v>5309073</v>
      </c>
      <c r="M362" s="9">
        <v>5309073011</v>
      </c>
      <c r="N362" s="9" t="s">
        <v>42</v>
      </c>
      <c r="O362" s="9">
        <v>10421</v>
      </c>
      <c r="P362" s="9" t="s">
        <v>1412</v>
      </c>
      <c r="Q362" s="10">
        <v>3</v>
      </c>
      <c r="R362" s="10">
        <v>0</v>
      </c>
      <c r="S362" s="10">
        <v>400000</v>
      </c>
      <c r="T362" s="10">
        <v>0</v>
      </c>
      <c r="U362" s="10">
        <v>400000</v>
      </c>
      <c r="V362" s="10">
        <v>0</v>
      </c>
      <c r="W362" s="10">
        <v>800000</v>
      </c>
      <c r="X362" s="10">
        <v>4650000</v>
      </c>
      <c r="Y362" s="10">
        <v>0</v>
      </c>
      <c r="Z362" s="10">
        <v>3850000</v>
      </c>
      <c r="AA362" s="10">
        <v>2000000</v>
      </c>
      <c r="AB362" s="10">
        <v>4650000</v>
      </c>
      <c r="AC362" s="10">
        <v>0</v>
      </c>
      <c r="AD362" s="9" t="s">
        <v>44</v>
      </c>
      <c r="AE362" s="10" t="s">
        <v>2477</v>
      </c>
      <c r="AF362" s="10">
        <v>1550000</v>
      </c>
      <c r="AG362" s="10">
        <v>1</v>
      </c>
      <c r="AH362" s="10">
        <v>1</v>
      </c>
      <c r="AI362" s="10">
        <v>1</v>
      </c>
      <c r="AJ362" s="12" t="s">
        <v>1413</v>
      </c>
      <c r="AK362" s="10">
        <v>0</v>
      </c>
      <c r="AL362" s="10">
        <v>0</v>
      </c>
      <c r="AM362" s="9">
        <v>2000</v>
      </c>
      <c r="AN362" s="10">
        <v>0</v>
      </c>
      <c r="AO362" s="10">
        <v>3</v>
      </c>
      <c r="AP362" s="6"/>
      <c r="AQ362" s="7"/>
      <c r="AR362" s="8"/>
      <c r="AS362" s="4">
        <f t="shared" si="15"/>
        <v>800000</v>
      </c>
      <c r="AT362" s="4">
        <f t="shared" si="16"/>
        <v>2696999.9649740262</v>
      </c>
      <c r="AU362" s="4">
        <f t="shared" si="17"/>
        <v>1953000.0350259738</v>
      </c>
      <c r="AV362" s="9" t="s">
        <v>1412</v>
      </c>
      <c r="AW362" s="12" t="s">
        <v>1413</v>
      </c>
      <c r="AX362" s="10">
        <v>0</v>
      </c>
      <c r="AY362">
        <f>S362*AU362/AS362</f>
        <v>976500.0175129869</v>
      </c>
      <c r="AZ362">
        <f>AU362-AY362</f>
        <v>976500.0175129869</v>
      </c>
      <c r="BA362" s="10">
        <v>4650000</v>
      </c>
      <c r="BB362" s="10">
        <v>0</v>
      </c>
      <c r="BC362" s="9" t="s">
        <v>42</v>
      </c>
      <c r="BD362" s="9">
        <v>10421</v>
      </c>
      <c r="BE362" t="s">
        <v>46</v>
      </c>
    </row>
    <row r="363" spans="1:57" ht="270.75" thickBot="1" x14ac:dyDescent="0.3">
      <c r="A363" s="9" t="s">
        <v>1414</v>
      </c>
      <c r="B363" s="9">
        <v>3001</v>
      </c>
      <c r="C363" s="10">
        <v>2</v>
      </c>
      <c r="D363" s="9" t="s">
        <v>37</v>
      </c>
      <c r="E363" s="14">
        <v>46224.984432870369</v>
      </c>
      <c r="F363" s="9" t="s">
        <v>1415</v>
      </c>
      <c r="G363" s="9" t="s">
        <v>39</v>
      </c>
      <c r="H363" s="9">
        <v>53</v>
      </c>
      <c r="I363" s="9" t="s">
        <v>40</v>
      </c>
      <c r="J363" s="9">
        <v>5309</v>
      </c>
      <c r="K363" s="9" t="s">
        <v>41</v>
      </c>
      <c r="L363" s="9">
        <v>5309060</v>
      </c>
      <c r="M363" s="9">
        <v>5309060042</v>
      </c>
      <c r="N363" s="9" t="s">
        <v>42</v>
      </c>
      <c r="O363" s="9">
        <v>10421</v>
      </c>
      <c r="P363" s="9" t="s">
        <v>1416</v>
      </c>
      <c r="Q363" s="10">
        <v>3</v>
      </c>
      <c r="R363" s="10">
        <v>700000</v>
      </c>
      <c r="S363" s="10">
        <v>1000000</v>
      </c>
      <c r="T363" s="10">
        <v>0</v>
      </c>
      <c r="U363" s="10">
        <v>150000</v>
      </c>
      <c r="V363" s="10">
        <v>0</v>
      </c>
      <c r="W363" s="10">
        <v>1850000</v>
      </c>
      <c r="X363" s="10">
        <v>8500000</v>
      </c>
      <c r="Y363" s="10">
        <v>0</v>
      </c>
      <c r="Z363" s="10">
        <v>7350000</v>
      </c>
      <c r="AA363" s="10">
        <v>3000000</v>
      </c>
      <c r="AB363" s="10">
        <v>8500000</v>
      </c>
      <c r="AC363" s="10">
        <v>0</v>
      </c>
      <c r="AD363" s="9" t="s">
        <v>44</v>
      </c>
      <c r="AE363" s="10" t="s">
        <v>2478</v>
      </c>
      <c r="AF363" s="13">
        <v>2833333333</v>
      </c>
      <c r="AG363" s="10">
        <v>1</v>
      </c>
      <c r="AH363" s="10">
        <v>1</v>
      </c>
      <c r="AI363" s="10">
        <v>1</v>
      </c>
      <c r="AJ363" s="12" t="s">
        <v>1417</v>
      </c>
      <c r="AK363" s="10">
        <v>0</v>
      </c>
      <c r="AL363" s="10">
        <v>0</v>
      </c>
      <c r="AM363" s="9">
        <v>2022</v>
      </c>
      <c r="AN363" s="10">
        <v>1</v>
      </c>
      <c r="AO363" s="10">
        <v>2</v>
      </c>
      <c r="AP363" s="6"/>
      <c r="AQ363" s="7"/>
      <c r="AR363" s="8"/>
      <c r="AS363" s="4">
        <f t="shared" si="15"/>
        <v>1150000</v>
      </c>
      <c r="AT363" s="4">
        <f t="shared" si="16"/>
        <v>4929999.3292517923</v>
      </c>
      <c r="AU363" s="4">
        <f t="shared" si="17"/>
        <v>3570000.6707482077</v>
      </c>
      <c r="AV363" s="9" t="s">
        <v>1416</v>
      </c>
      <c r="AW363" s="12" t="s">
        <v>1417</v>
      </c>
      <c r="AX363" s="10">
        <v>0</v>
      </c>
      <c r="AY363">
        <f>S363*AU363/AS363</f>
        <v>3104348.4093462676</v>
      </c>
      <c r="AZ363">
        <f>AU363-AY363</f>
        <v>465652.26140194014</v>
      </c>
      <c r="BA363" s="10">
        <v>8500000</v>
      </c>
      <c r="BB363" s="10">
        <v>0</v>
      </c>
      <c r="BC363" s="9" t="s">
        <v>42</v>
      </c>
      <c r="BD363" s="9">
        <v>10421</v>
      </c>
      <c r="BE363" t="s">
        <v>46</v>
      </c>
    </row>
    <row r="364" spans="1:57" ht="270.75" thickBot="1" x14ac:dyDescent="0.3">
      <c r="A364" s="9" t="s">
        <v>1418</v>
      </c>
      <c r="B364" s="9">
        <v>1002</v>
      </c>
      <c r="C364" s="10">
        <v>2</v>
      </c>
      <c r="D364" s="9" t="s">
        <v>37</v>
      </c>
      <c r="E364" s="11">
        <v>46223.088109583332</v>
      </c>
      <c r="F364" s="9" t="s">
        <v>1419</v>
      </c>
      <c r="G364" s="9" t="s">
        <v>39</v>
      </c>
      <c r="H364" s="9">
        <v>53</v>
      </c>
      <c r="I364" s="9" t="s">
        <v>40</v>
      </c>
      <c r="J364" s="9">
        <v>5309</v>
      </c>
      <c r="K364" s="9" t="s">
        <v>41</v>
      </c>
      <c r="L364" s="9">
        <v>5309010</v>
      </c>
      <c r="M364" s="9">
        <v>5309010010</v>
      </c>
      <c r="N364" s="9" t="s">
        <v>42</v>
      </c>
      <c r="O364" s="9">
        <v>10421</v>
      </c>
      <c r="P364" s="9" t="s">
        <v>1420</v>
      </c>
      <c r="Q364" s="10">
        <v>2</v>
      </c>
      <c r="R364" s="10">
        <v>0</v>
      </c>
      <c r="S364" s="10">
        <v>500000</v>
      </c>
      <c r="T364" s="10">
        <v>0</v>
      </c>
      <c r="U364" s="10">
        <v>50000</v>
      </c>
      <c r="V364" s="10">
        <v>0</v>
      </c>
      <c r="W364" s="10">
        <v>550000</v>
      </c>
      <c r="X364" s="10">
        <v>2500000</v>
      </c>
      <c r="Y364" s="10">
        <v>300000</v>
      </c>
      <c r="Z364" s="10">
        <v>1950000</v>
      </c>
      <c r="AA364" s="10">
        <v>25000000</v>
      </c>
      <c r="AB364" s="10">
        <v>2500000</v>
      </c>
      <c r="AC364" s="10">
        <v>0</v>
      </c>
      <c r="AD364" s="9" t="s">
        <v>44</v>
      </c>
      <c r="AE364" s="10" t="s">
        <v>65</v>
      </c>
      <c r="AF364" s="10">
        <v>1250000</v>
      </c>
      <c r="AG364" s="10">
        <v>1</v>
      </c>
      <c r="AH364" s="10">
        <v>1</v>
      </c>
      <c r="AI364" s="10">
        <v>1</v>
      </c>
      <c r="AJ364" s="12" t="s">
        <v>1421</v>
      </c>
      <c r="AK364" s="10">
        <v>0</v>
      </c>
      <c r="AL364" s="10">
        <v>0</v>
      </c>
      <c r="AM364" s="9">
        <v>2019</v>
      </c>
      <c r="AN364" s="10">
        <v>0</v>
      </c>
      <c r="AO364" s="10">
        <v>2</v>
      </c>
      <c r="AP364" s="6"/>
      <c r="AQ364" s="7"/>
      <c r="AR364" s="8"/>
      <c r="AS364" s="4">
        <f t="shared" si="15"/>
        <v>550000</v>
      </c>
      <c r="AT364" s="4">
        <f t="shared" si="16"/>
        <v>1450000</v>
      </c>
      <c r="AU364" s="4">
        <f t="shared" si="17"/>
        <v>1050000</v>
      </c>
      <c r="AV364" s="9" t="s">
        <v>1420</v>
      </c>
      <c r="AW364" s="12" t="s">
        <v>1421</v>
      </c>
      <c r="AX364" s="10">
        <v>0</v>
      </c>
      <c r="AY364">
        <f>S364*AU364/AS364</f>
        <v>954545.45454545459</v>
      </c>
      <c r="AZ364">
        <f>AU364-AY364</f>
        <v>95454.545454545412</v>
      </c>
      <c r="BA364" s="10">
        <v>2500000</v>
      </c>
      <c r="BB364" s="10">
        <v>300000</v>
      </c>
      <c r="BC364" s="9" t="s">
        <v>42</v>
      </c>
      <c r="BD364" s="9">
        <v>10421</v>
      </c>
      <c r="BE364" t="s">
        <v>46</v>
      </c>
    </row>
    <row r="365" spans="1:57" ht="270.75" thickBot="1" x14ac:dyDescent="0.3">
      <c r="A365" s="9" t="s">
        <v>1422</v>
      </c>
      <c r="B365" s="9">
        <v>3002</v>
      </c>
      <c r="C365" s="10">
        <v>2</v>
      </c>
      <c r="D365" s="9" t="s">
        <v>37</v>
      </c>
      <c r="E365" s="14">
        <v>46239.525729166664</v>
      </c>
      <c r="F365" s="9" t="s">
        <v>1423</v>
      </c>
      <c r="G365" s="9" t="s">
        <v>39</v>
      </c>
      <c r="H365" s="9">
        <v>53</v>
      </c>
      <c r="I365" s="9" t="s">
        <v>40</v>
      </c>
      <c r="J365" s="9">
        <v>5309</v>
      </c>
      <c r="K365" s="9" t="s">
        <v>41</v>
      </c>
      <c r="L365" s="9">
        <v>5309062</v>
      </c>
      <c r="M365" s="9">
        <v>5309062005</v>
      </c>
      <c r="N365" s="9" t="s">
        <v>42</v>
      </c>
      <c r="O365" s="9">
        <v>10421</v>
      </c>
      <c r="P365" s="9" t="s">
        <v>1424</v>
      </c>
      <c r="Q365" s="10">
        <v>2</v>
      </c>
      <c r="R365" s="10">
        <v>0</v>
      </c>
      <c r="S365" s="10">
        <v>100000</v>
      </c>
      <c r="T365" s="10">
        <v>0</v>
      </c>
      <c r="U365" s="10">
        <v>50000</v>
      </c>
      <c r="V365" s="10">
        <v>0</v>
      </c>
      <c r="W365" s="10">
        <v>150000</v>
      </c>
      <c r="X365" s="10">
        <v>5500000</v>
      </c>
      <c r="Y365" s="10">
        <v>0</v>
      </c>
      <c r="Z365" s="10">
        <v>5350000</v>
      </c>
      <c r="AA365" s="10">
        <v>2150000</v>
      </c>
      <c r="AB365" s="10">
        <v>5500000</v>
      </c>
      <c r="AC365" s="10">
        <v>0</v>
      </c>
      <c r="AD365" s="9" t="s">
        <v>44</v>
      </c>
      <c r="AE365" s="10" t="s">
        <v>2351</v>
      </c>
      <c r="AF365" s="10">
        <v>2750000</v>
      </c>
      <c r="AG365" s="10">
        <v>1</v>
      </c>
      <c r="AH365" s="10">
        <v>1</v>
      </c>
      <c r="AI365" s="10">
        <v>1</v>
      </c>
      <c r="AJ365" s="12" t="s">
        <v>1425</v>
      </c>
      <c r="AK365" s="10">
        <v>0</v>
      </c>
      <c r="AL365" s="10">
        <v>0</v>
      </c>
      <c r="AM365" s="9">
        <v>2009</v>
      </c>
      <c r="AN365" s="10">
        <v>0</v>
      </c>
      <c r="AO365" s="10">
        <v>2</v>
      </c>
      <c r="AP365" s="6"/>
      <c r="AQ365" s="7"/>
      <c r="AR365" s="8"/>
      <c r="AS365" s="4">
        <f t="shared" si="15"/>
        <v>150000</v>
      </c>
      <c r="AT365" s="4">
        <f t="shared" si="16"/>
        <v>3190000.894392774</v>
      </c>
      <c r="AU365" s="4">
        <f t="shared" si="17"/>
        <v>2309999.105607226</v>
      </c>
      <c r="AV365" s="9" t="s">
        <v>1424</v>
      </c>
      <c r="AW365" s="12" t="s">
        <v>1425</v>
      </c>
      <c r="AX365" s="10">
        <v>0</v>
      </c>
      <c r="AY365">
        <f>S365*AU365/AS365</f>
        <v>1539999.4037381506</v>
      </c>
      <c r="AZ365">
        <f>AU365-AY365</f>
        <v>769999.70186907542</v>
      </c>
      <c r="BA365" s="10">
        <v>5500000</v>
      </c>
      <c r="BB365" s="10">
        <v>0</v>
      </c>
      <c r="BC365" s="9" t="s">
        <v>42</v>
      </c>
      <c r="BD365" s="9">
        <v>10421</v>
      </c>
      <c r="BE365" t="s">
        <v>46</v>
      </c>
    </row>
    <row r="366" spans="1:57" ht="270.75" thickBot="1" x14ac:dyDescent="0.3">
      <c r="A366" s="9" t="s">
        <v>1426</v>
      </c>
      <c r="B366" s="9">
        <v>1</v>
      </c>
      <c r="C366" s="10">
        <v>2</v>
      </c>
      <c r="D366" s="9" t="s">
        <v>37</v>
      </c>
      <c r="E366" s="11">
        <v>46226.953474710645</v>
      </c>
      <c r="F366" s="9" t="s">
        <v>1427</v>
      </c>
      <c r="G366" s="9" t="s">
        <v>39</v>
      </c>
      <c r="H366" s="9">
        <v>53</v>
      </c>
      <c r="I366" s="9" t="s">
        <v>40</v>
      </c>
      <c r="J366" s="9">
        <v>5309</v>
      </c>
      <c r="K366" s="9" t="s">
        <v>41</v>
      </c>
      <c r="L366" s="9">
        <v>5309062</v>
      </c>
      <c r="M366" s="9">
        <v>5309062003</v>
      </c>
      <c r="N366" s="9" t="s">
        <v>42</v>
      </c>
      <c r="O366" s="9">
        <v>10421</v>
      </c>
      <c r="P366" s="9" t="s">
        <v>1428</v>
      </c>
      <c r="Q366" s="10">
        <v>3</v>
      </c>
      <c r="R366" s="10">
        <v>500000</v>
      </c>
      <c r="S366" s="10">
        <v>1000000</v>
      </c>
      <c r="T366" s="10">
        <v>0</v>
      </c>
      <c r="U366" s="10">
        <v>500000</v>
      </c>
      <c r="V366" s="10">
        <v>0</v>
      </c>
      <c r="W366" s="10">
        <v>2000000</v>
      </c>
      <c r="X366" s="10">
        <v>8000000</v>
      </c>
      <c r="Y366" s="10">
        <v>0</v>
      </c>
      <c r="Z366" s="10">
        <v>6500000</v>
      </c>
      <c r="AA366" s="10">
        <v>4800000</v>
      </c>
      <c r="AB366" s="10">
        <v>8000000</v>
      </c>
      <c r="AC366" s="10">
        <v>0</v>
      </c>
      <c r="AD366" s="9" t="s">
        <v>44</v>
      </c>
      <c r="AE366" s="10" t="s">
        <v>2362</v>
      </c>
      <c r="AF366" s="13">
        <v>2666666667</v>
      </c>
      <c r="AG366" s="10">
        <v>1</v>
      </c>
      <c r="AH366" s="10">
        <v>1</v>
      </c>
      <c r="AI366" s="10">
        <v>1</v>
      </c>
      <c r="AJ366" s="12" t="s">
        <v>1429</v>
      </c>
      <c r="AK366" s="10">
        <v>0</v>
      </c>
      <c r="AL366" s="10">
        <v>0</v>
      </c>
      <c r="AM366" s="9">
        <v>1990</v>
      </c>
      <c r="AN366" s="10">
        <v>1</v>
      </c>
      <c r="AO366" s="10">
        <v>2</v>
      </c>
      <c r="AP366" s="6"/>
      <c r="AQ366" s="7"/>
      <c r="AR366" s="8"/>
      <c r="AS366" s="4">
        <f t="shared" si="15"/>
        <v>1500000</v>
      </c>
      <c r="AT366" s="4">
        <f t="shared" si="16"/>
        <v>4639999.9999999991</v>
      </c>
      <c r="AU366" s="4">
        <f t="shared" si="17"/>
        <v>3360000.0000000009</v>
      </c>
      <c r="AV366" s="9" t="s">
        <v>1428</v>
      </c>
      <c r="AW366" s="12" t="s">
        <v>1429</v>
      </c>
      <c r="AX366" s="10">
        <v>0</v>
      </c>
      <c r="AY366">
        <f>S366*AU366/AS366</f>
        <v>2240000.0000000005</v>
      </c>
      <c r="AZ366">
        <f>AU366-AY366</f>
        <v>1120000.0000000005</v>
      </c>
      <c r="BA366" s="10">
        <v>8000000</v>
      </c>
      <c r="BB366" s="10">
        <v>0</v>
      </c>
      <c r="BC366" s="9" t="s">
        <v>42</v>
      </c>
      <c r="BD366" s="9">
        <v>10421</v>
      </c>
      <c r="BE366" t="s">
        <v>46</v>
      </c>
    </row>
    <row r="367" spans="1:57" ht="270.75" thickBot="1" x14ac:dyDescent="0.3">
      <c r="A367" s="9" t="s">
        <v>1430</v>
      </c>
      <c r="B367" s="9">
        <v>3002</v>
      </c>
      <c r="C367" s="10">
        <v>2</v>
      </c>
      <c r="D367" s="9" t="s">
        <v>37</v>
      </c>
      <c r="E367" s="11">
        <v>46264.149919282405</v>
      </c>
      <c r="F367" s="9" t="s">
        <v>1431</v>
      </c>
      <c r="G367" s="9" t="s">
        <v>39</v>
      </c>
      <c r="H367" s="9">
        <v>53</v>
      </c>
      <c r="I367" s="9" t="s">
        <v>40</v>
      </c>
      <c r="J367" s="9">
        <v>5309</v>
      </c>
      <c r="K367" s="9" t="s">
        <v>41</v>
      </c>
      <c r="L367" s="9">
        <v>5309074</v>
      </c>
      <c r="M367" s="9">
        <v>5309074006</v>
      </c>
      <c r="N367" s="9" t="s">
        <v>42</v>
      </c>
      <c r="O367" s="9">
        <v>10421</v>
      </c>
      <c r="P367" s="9" t="s">
        <v>49</v>
      </c>
      <c r="Q367" s="10">
        <v>2</v>
      </c>
      <c r="R367" s="10">
        <v>0</v>
      </c>
      <c r="S367" s="10">
        <v>1320000</v>
      </c>
      <c r="T367" s="10">
        <v>0</v>
      </c>
      <c r="U367" s="10">
        <v>100000</v>
      </c>
      <c r="V367" s="10">
        <v>0</v>
      </c>
      <c r="W367" s="10">
        <v>1420000</v>
      </c>
      <c r="X367" s="10">
        <v>9450000</v>
      </c>
      <c r="Y367" s="10">
        <v>0</v>
      </c>
      <c r="Z367" s="10">
        <v>8030000</v>
      </c>
      <c r="AA367" s="10">
        <v>2000000</v>
      </c>
      <c r="AB367" s="10">
        <v>9450000</v>
      </c>
      <c r="AC367" s="10">
        <v>0</v>
      </c>
      <c r="AD367" s="9" t="s">
        <v>44</v>
      </c>
      <c r="AE367" s="10" t="s">
        <v>2479</v>
      </c>
      <c r="AF367" s="10">
        <v>4725000</v>
      </c>
      <c r="AG367" s="10">
        <v>1</v>
      </c>
      <c r="AH367" s="10">
        <v>1</v>
      </c>
      <c r="AI367" s="10">
        <v>1</v>
      </c>
      <c r="AJ367" s="12" t="s">
        <v>1432</v>
      </c>
      <c r="AK367" s="10">
        <v>0</v>
      </c>
      <c r="AL367" s="10">
        <v>0</v>
      </c>
      <c r="AM367" s="9">
        <v>2000</v>
      </c>
      <c r="AN367" s="10">
        <v>0</v>
      </c>
      <c r="AO367" s="10">
        <v>2</v>
      </c>
      <c r="AP367" s="6"/>
      <c r="AQ367" s="7"/>
      <c r="AR367" s="8"/>
      <c r="AS367" s="4">
        <f t="shared" si="15"/>
        <v>1420000</v>
      </c>
      <c r="AT367" s="4">
        <f t="shared" si="16"/>
        <v>5481002.9009043993</v>
      </c>
      <c r="AU367" s="4">
        <f t="shared" si="17"/>
        <v>3968997.0990956007</v>
      </c>
      <c r="AV367" s="9" t="s">
        <v>49</v>
      </c>
      <c r="AW367" s="12" t="s">
        <v>1432</v>
      </c>
      <c r="AX367" s="10">
        <v>0</v>
      </c>
      <c r="AY367">
        <f>S367*AU367/AS367</f>
        <v>3689490.2611311213</v>
      </c>
      <c r="AZ367">
        <f>AU367-AY367</f>
        <v>279506.83796447935</v>
      </c>
      <c r="BA367" s="10">
        <v>9450000</v>
      </c>
      <c r="BB367" s="10">
        <v>0</v>
      </c>
      <c r="BC367" s="9" t="s">
        <v>42</v>
      </c>
      <c r="BD367" s="9">
        <v>10421</v>
      </c>
      <c r="BE367" t="s">
        <v>46</v>
      </c>
    </row>
    <row r="368" spans="1:57" ht="270.75" thickBot="1" x14ac:dyDescent="0.3">
      <c r="A368" s="9" t="s">
        <v>1433</v>
      </c>
      <c r="B368" s="9">
        <v>3003</v>
      </c>
      <c r="C368" s="10">
        <v>2</v>
      </c>
      <c r="D368" s="9" t="s">
        <v>37</v>
      </c>
      <c r="E368" s="11">
        <v>46260.046094432873</v>
      </c>
      <c r="F368" s="9" t="s">
        <v>1434</v>
      </c>
      <c r="G368" s="9" t="s">
        <v>39</v>
      </c>
      <c r="H368" s="9">
        <v>53</v>
      </c>
      <c r="I368" s="9" t="s">
        <v>40</v>
      </c>
      <c r="J368" s="9">
        <v>5309</v>
      </c>
      <c r="K368" s="9" t="s">
        <v>41</v>
      </c>
      <c r="L368" s="9">
        <v>5309062</v>
      </c>
      <c r="M368" s="9">
        <v>5309062012</v>
      </c>
      <c r="N368" s="9" t="s">
        <v>42</v>
      </c>
      <c r="O368" s="9">
        <v>10421</v>
      </c>
      <c r="P368" s="9" t="s">
        <v>1435</v>
      </c>
      <c r="Q368" s="10">
        <v>3</v>
      </c>
      <c r="R368" s="10">
        <v>300000</v>
      </c>
      <c r="S368" s="10">
        <v>250000</v>
      </c>
      <c r="T368" s="10">
        <v>0</v>
      </c>
      <c r="U368" s="10">
        <v>150000</v>
      </c>
      <c r="V368" s="10">
        <v>0</v>
      </c>
      <c r="W368" s="10">
        <v>700000</v>
      </c>
      <c r="X368" s="10">
        <v>5000000</v>
      </c>
      <c r="Y368" s="10">
        <v>500000</v>
      </c>
      <c r="Z368" s="10">
        <v>4600000</v>
      </c>
      <c r="AA368" s="10">
        <v>3900000</v>
      </c>
      <c r="AB368" s="10">
        <v>5000000</v>
      </c>
      <c r="AC368" s="10">
        <v>0</v>
      </c>
      <c r="AD368" s="9" t="s">
        <v>44</v>
      </c>
      <c r="AE368" s="10" t="s">
        <v>340</v>
      </c>
      <c r="AF368" s="13">
        <v>1666666667</v>
      </c>
      <c r="AG368" s="10">
        <v>1</v>
      </c>
      <c r="AH368" s="10">
        <v>1</v>
      </c>
      <c r="AI368" s="10">
        <v>1</v>
      </c>
      <c r="AJ368" s="12" t="s">
        <v>1436</v>
      </c>
      <c r="AK368" s="10">
        <v>0</v>
      </c>
      <c r="AL368" s="10">
        <v>0</v>
      </c>
      <c r="AM368" s="9">
        <v>2023</v>
      </c>
      <c r="AN368" s="10">
        <v>2</v>
      </c>
      <c r="AO368" s="10">
        <v>1</v>
      </c>
      <c r="AP368" s="10"/>
      <c r="AQ368" s="5"/>
      <c r="AR368" s="5"/>
      <c r="AS368" s="4">
        <f t="shared" si="15"/>
        <v>400000</v>
      </c>
      <c r="AT368" s="4">
        <f t="shared" si="16"/>
        <v>2900000</v>
      </c>
      <c r="AU368" s="4">
        <f t="shared" si="17"/>
        <v>2100000</v>
      </c>
      <c r="AV368" s="9" t="s">
        <v>1435</v>
      </c>
      <c r="AW368" s="12" t="s">
        <v>1436</v>
      </c>
      <c r="AX368" s="10">
        <v>0</v>
      </c>
      <c r="AY368">
        <f>S368*AU368/AS368</f>
        <v>1312500</v>
      </c>
      <c r="AZ368">
        <f>AU368-AY368</f>
        <v>787500</v>
      </c>
      <c r="BA368" s="10">
        <v>5000000</v>
      </c>
      <c r="BB368" s="10">
        <v>500000</v>
      </c>
      <c r="BC368" s="9" t="s">
        <v>42</v>
      </c>
      <c r="BD368" s="9">
        <v>10421</v>
      </c>
      <c r="BE368" t="s">
        <v>46</v>
      </c>
    </row>
    <row r="369" spans="1:57" ht="270.75" thickBot="1" x14ac:dyDescent="0.3">
      <c r="A369" s="9" t="s">
        <v>1437</v>
      </c>
      <c r="B369" s="9">
        <v>3001</v>
      </c>
      <c r="C369" s="10">
        <v>2</v>
      </c>
      <c r="D369" s="9" t="s">
        <v>37</v>
      </c>
      <c r="E369" s="14">
        <v>46238.398958333331</v>
      </c>
      <c r="F369" s="9" t="s">
        <v>1438</v>
      </c>
      <c r="G369" s="9" t="s">
        <v>39</v>
      </c>
      <c r="H369" s="9">
        <v>53</v>
      </c>
      <c r="I369" s="9" t="s">
        <v>40</v>
      </c>
      <c r="J369" s="9">
        <v>5309</v>
      </c>
      <c r="K369" s="9" t="s">
        <v>41</v>
      </c>
      <c r="L369" s="9">
        <v>5309062</v>
      </c>
      <c r="M369" s="9">
        <v>5309062007</v>
      </c>
      <c r="N369" s="9" t="s">
        <v>42</v>
      </c>
      <c r="O369" s="9">
        <v>10421</v>
      </c>
      <c r="P369" s="9" t="s">
        <v>1439</v>
      </c>
      <c r="Q369" s="10">
        <v>2</v>
      </c>
      <c r="R369" s="10">
        <v>900000</v>
      </c>
      <c r="S369" s="10">
        <v>150000</v>
      </c>
      <c r="T369" s="10">
        <v>0</v>
      </c>
      <c r="U369" s="10">
        <v>200000</v>
      </c>
      <c r="V369" s="10">
        <v>0</v>
      </c>
      <c r="W369" s="10">
        <v>1250000</v>
      </c>
      <c r="X369" s="10">
        <v>6200000</v>
      </c>
      <c r="Y369" s="10">
        <v>0</v>
      </c>
      <c r="Z369" s="10">
        <v>5850000</v>
      </c>
      <c r="AA369" s="10">
        <v>8000000</v>
      </c>
      <c r="AB369" s="10">
        <v>6200000</v>
      </c>
      <c r="AC369" s="10">
        <v>0</v>
      </c>
      <c r="AD369" s="9" t="s">
        <v>44</v>
      </c>
      <c r="AE369" s="10" t="s">
        <v>2480</v>
      </c>
      <c r="AF369" s="10">
        <v>3100000</v>
      </c>
      <c r="AG369" s="10">
        <v>1</v>
      </c>
      <c r="AH369" s="10">
        <v>1</v>
      </c>
      <c r="AI369" s="10">
        <v>1</v>
      </c>
      <c r="AJ369" s="12" t="s">
        <v>1440</v>
      </c>
      <c r="AK369" s="10">
        <v>0</v>
      </c>
      <c r="AL369" s="10">
        <v>0</v>
      </c>
      <c r="AM369" s="9">
        <v>2001</v>
      </c>
      <c r="AN369" s="10">
        <v>1</v>
      </c>
      <c r="AO369" s="10">
        <v>1</v>
      </c>
      <c r="AP369" s="10"/>
      <c r="AQ369" s="5"/>
      <c r="AR369" s="5"/>
      <c r="AS369" s="4">
        <f t="shared" si="15"/>
        <v>350000</v>
      </c>
      <c r="AT369" s="4">
        <f t="shared" si="16"/>
        <v>3596001.475282656</v>
      </c>
      <c r="AU369" s="4">
        <f t="shared" si="17"/>
        <v>2603998.524717344</v>
      </c>
      <c r="AV369" s="9" t="s">
        <v>1439</v>
      </c>
      <c r="AW369" s="12" t="s">
        <v>1440</v>
      </c>
      <c r="AX369" s="10">
        <v>0</v>
      </c>
      <c r="AY369">
        <f>S369*AU369/AS369</f>
        <v>1115999.3677360045</v>
      </c>
      <c r="AZ369">
        <f>AU369-AY369</f>
        <v>1487999.1569813394</v>
      </c>
      <c r="BA369" s="10">
        <v>6200000</v>
      </c>
      <c r="BB369" s="10">
        <v>0</v>
      </c>
      <c r="BC369" s="9" t="s">
        <v>42</v>
      </c>
      <c r="BD369" s="9">
        <v>10421</v>
      </c>
      <c r="BE369" t="s">
        <v>46</v>
      </c>
    </row>
    <row r="370" spans="1:57" ht="270.75" thickBot="1" x14ac:dyDescent="0.3">
      <c r="A370" s="9" t="s">
        <v>1441</v>
      </c>
      <c r="B370" s="9">
        <v>3002</v>
      </c>
      <c r="C370" s="10">
        <v>2</v>
      </c>
      <c r="D370" s="9" t="s">
        <v>84</v>
      </c>
      <c r="E370" s="11">
        <v>46309.381976192133</v>
      </c>
      <c r="F370" s="9" t="s">
        <v>1442</v>
      </c>
      <c r="G370" s="9" t="s">
        <v>39</v>
      </c>
      <c r="H370" s="9">
        <v>53</v>
      </c>
      <c r="I370" s="9" t="s">
        <v>40</v>
      </c>
      <c r="J370" s="9">
        <v>5309</v>
      </c>
      <c r="K370" s="9" t="s">
        <v>41</v>
      </c>
      <c r="L370" s="9">
        <v>5309062</v>
      </c>
      <c r="M370" s="9">
        <v>5309062013</v>
      </c>
      <c r="N370" s="9" t="s">
        <v>42</v>
      </c>
      <c r="O370" s="9">
        <v>10421</v>
      </c>
      <c r="P370" s="9" t="s">
        <v>1443</v>
      </c>
      <c r="Q370" s="10">
        <v>4</v>
      </c>
      <c r="R370" s="10">
        <v>600000</v>
      </c>
      <c r="S370" s="10">
        <v>250000</v>
      </c>
      <c r="T370" s="10">
        <v>0</v>
      </c>
      <c r="U370" s="10">
        <v>150000</v>
      </c>
      <c r="V370" s="10">
        <v>350000</v>
      </c>
      <c r="W370" s="10">
        <v>1350000</v>
      </c>
      <c r="X370" s="10">
        <v>4800000</v>
      </c>
      <c r="Y370" s="10">
        <v>0</v>
      </c>
      <c r="Z370" s="10">
        <v>4400000</v>
      </c>
      <c r="AA370" s="10">
        <v>2750000</v>
      </c>
      <c r="AB370" s="10">
        <v>4800000</v>
      </c>
      <c r="AC370" s="10">
        <v>0</v>
      </c>
      <c r="AD370" s="9" t="s">
        <v>44</v>
      </c>
      <c r="AE370" s="10" t="s">
        <v>2236</v>
      </c>
      <c r="AF370" s="10">
        <v>1200000</v>
      </c>
      <c r="AG370" s="10">
        <v>1</v>
      </c>
      <c r="AH370" s="10">
        <v>1</v>
      </c>
      <c r="AI370" s="10">
        <v>1</v>
      </c>
      <c r="AJ370" s="12" t="s">
        <v>1444</v>
      </c>
      <c r="AK370" s="10">
        <v>0</v>
      </c>
      <c r="AL370" s="10">
        <v>0</v>
      </c>
      <c r="AM370" s="9">
        <v>2017</v>
      </c>
      <c r="AN370" s="10">
        <v>2</v>
      </c>
      <c r="AO370" s="10">
        <v>2</v>
      </c>
      <c r="AP370" s="10"/>
      <c r="AQ370" s="5"/>
      <c r="AR370" s="5"/>
      <c r="AS370" s="4">
        <f t="shared" si="15"/>
        <v>400000</v>
      </c>
      <c r="AT370" s="4">
        <f t="shared" si="16"/>
        <v>2783998.9876367319</v>
      </c>
      <c r="AU370" s="4">
        <f t="shared" si="17"/>
        <v>2016001.0123632681</v>
      </c>
      <c r="AV370" s="9" t="s">
        <v>1443</v>
      </c>
      <c r="AW370" s="12" t="s">
        <v>1444</v>
      </c>
      <c r="AX370" s="10">
        <v>0</v>
      </c>
      <c r="AY370">
        <f>S370*AU370/AS370</f>
        <v>1260000.6327270425</v>
      </c>
      <c r="AZ370">
        <f>AU370-AY370</f>
        <v>756000.37963622552</v>
      </c>
      <c r="BA370" s="10">
        <v>4800000</v>
      </c>
      <c r="BB370" s="10">
        <v>0</v>
      </c>
      <c r="BC370" s="9" t="s">
        <v>42</v>
      </c>
      <c r="BD370" s="9">
        <v>10421</v>
      </c>
      <c r="BE370" t="s">
        <v>46</v>
      </c>
    </row>
    <row r="371" spans="1:57" ht="270.75" thickBot="1" x14ac:dyDescent="0.3">
      <c r="A371" s="9" t="s">
        <v>1445</v>
      </c>
      <c r="B371" s="9">
        <v>3001</v>
      </c>
      <c r="C371" s="10">
        <v>2</v>
      </c>
      <c r="D371" s="9" t="s">
        <v>37</v>
      </c>
      <c r="E371" s="14">
        <v>46221.387638888889</v>
      </c>
      <c r="F371" s="9" t="s">
        <v>1446</v>
      </c>
      <c r="G371" s="9" t="s">
        <v>39</v>
      </c>
      <c r="H371" s="9">
        <v>53</v>
      </c>
      <c r="I371" s="9" t="s">
        <v>40</v>
      </c>
      <c r="J371" s="9">
        <v>5309</v>
      </c>
      <c r="K371" s="9" t="s">
        <v>41</v>
      </c>
      <c r="L371" s="9">
        <v>5309073</v>
      </c>
      <c r="M371" s="9">
        <v>5309073010</v>
      </c>
      <c r="N371" s="9" t="s">
        <v>42</v>
      </c>
      <c r="O371" s="9">
        <v>10421</v>
      </c>
      <c r="P371" s="9" t="s">
        <v>1447</v>
      </c>
      <c r="Q371" s="10">
        <v>2</v>
      </c>
      <c r="R371" s="10">
        <v>680000</v>
      </c>
      <c r="S371" s="10">
        <v>300000</v>
      </c>
      <c r="T371" s="10">
        <v>0</v>
      </c>
      <c r="U371" s="10">
        <v>450000</v>
      </c>
      <c r="V371" s="10">
        <v>0</v>
      </c>
      <c r="W371" s="10">
        <v>1430000</v>
      </c>
      <c r="X371" s="10">
        <v>6800000</v>
      </c>
      <c r="Y371" s="10">
        <v>0</v>
      </c>
      <c r="Z371" s="10">
        <v>6050000</v>
      </c>
      <c r="AA371" s="10">
        <v>5900000</v>
      </c>
      <c r="AB371" s="10">
        <v>6800000</v>
      </c>
      <c r="AC371" s="10">
        <v>0</v>
      </c>
      <c r="AD371" s="9" t="s">
        <v>44</v>
      </c>
      <c r="AE371" s="10" t="s">
        <v>2481</v>
      </c>
      <c r="AF371" s="10">
        <v>3400000</v>
      </c>
      <c r="AG371" s="10">
        <v>1</v>
      </c>
      <c r="AH371" s="10">
        <v>1</v>
      </c>
      <c r="AI371" s="10">
        <v>1</v>
      </c>
      <c r="AJ371" s="12" t="s">
        <v>1448</v>
      </c>
      <c r="AK371" s="10">
        <v>0</v>
      </c>
      <c r="AL371" s="10">
        <v>0</v>
      </c>
      <c r="AM371" s="9">
        <v>2005</v>
      </c>
      <c r="AN371" s="10">
        <v>1</v>
      </c>
      <c r="AO371" s="10">
        <v>1</v>
      </c>
      <c r="AP371" s="10"/>
      <c r="AQ371" s="5"/>
      <c r="AR371" s="5"/>
      <c r="AS371" s="4">
        <f t="shared" si="15"/>
        <v>750000</v>
      </c>
      <c r="AT371" s="4">
        <f t="shared" si="16"/>
        <v>3943999.4784794073</v>
      </c>
      <c r="AU371" s="4">
        <f t="shared" si="17"/>
        <v>2856000.5215205927</v>
      </c>
      <c r="AV371" s="9" t="s">
        <v>1447</v>
      </c>
      <c r="AW371" s="12" t="s">
        <v>1448</v>
      </c>
      <c r="AX371" s="10">
        <v>0</v>
      </c>
      <c r="AY371">
        <f>S371*AU371/AS371</f>
        <v>1142400.2086082371</v>
      </c>
      <c r="AZ371">
        <f>AU371-AY371</f>
        <v>1713600.3129123556</v>
      </c>
      <c r="BA371" s="10">
        <v>6800000</v>
      </c>
      <c r="BB371" s="10">
        <v>0</v>
      </c>
      <c r="BC371" s="9" t="s">
        <v>42</v>
      </c>
      <c r="BD371" s="9">
        <v>10421</v>
      </c>
      <c r="BE371" t="s">
        <v>46</v>
      </c>
    </row>
    <row r="372" spans="1:57" ht="270.75" thickBot="1" x14ac:dyDescent="0.3">
      <c r="A372" s="9" t="s">
        <v>1449</v>
      </c>
      <c r="B372" s="9">
        <v>3001</v>
      </c>
      <c r="C372" s="10">
        <v>2</v>
      </c>
      <c r="D372" s="9" t="s">
        <v>37</v>
      </c>
      <c r="E372" s="14">
        <v>46243.369942129626</v>
      </c>
      <c r="F372" s="9" t="s">
        <v>1450</v>
      </c>
      <c r="G372" s="9" t="s">
        <v>39</v>
      </c>
      <c r="H372" s="9">
        <v>53</v>
      </c>
      <c r="I372" s="9" t="s">
        <v>40</v>
      </c>
      <c r="J372" s="9">
        <v>5309</v>
      </c>
      <c r="K372" s="9" t="s">
        <v>41</v>
      </c>
      <c r="L372" s="9">
        <v>5309062</v>
      </c>
      <c r="M372" s="9">
        <v>5309062007</v>
      </c>
      <c r="N372" s="9" t="s">
        <v>42</v>
      </c>
      <c r="O372" s="9">
        <v>10421</v>
      </c>
      <c r="P372" s="9" t="s">
        <v>1451</v>
      </c>
      <c r="Q372" s="10">
        <v>3</v>
      </c>
      <c r="R372" s="10">
        <v>1150000</v>
      </c>
      <c r="S372" s="10">
        <v>150000</v>
      </c>
      <c r="T372" s="10">
        <v>0</v>
      </c>
      <c r="U372" s="10">
        <v>200000</v>
      </c>
      <c r="V372" s="10">
        <v>0</v>
      </c>
      <c r="W372" s="10">
        <v>1500000</v>
      </c>
      <c r="X372" s="10">
        <v>20200000</v>
      </c>
      <c r="Y372" s="10">
        <v>500000</v>
      </c>
      <c r="Z372" s="10">
        <v>19850000</v>
      </c>
      <c r="AA372" s="10">
        <v>9500000</v>
      </c>
      <c r="AB372" s="10">
        <v>20200000</v>
      </c>
      <c r="AC372" s="10">
        <v>0</v>
      </c>
      <c r="AD372" s="9" t="s">
        <v>44</v>
      </c>
      <c r="AE372" s="10" t="s">
        <v>2482</v>
      </c>
      <c r="AF372" s="13">
        <v>6733333333</v>
      </c>
      <c r="AG372" s="10">
        <v>1</v>
      </c>
      <c r="AH372" s="10">
        <v>1</v>
      </c>
      <c r="AI372" s="10">
        <v>1</v>
      </c>
      <c r="AJ372" s="12" t="s">
        <v>1452</v>
      </c>
      <c r="AK372" s="10">
        <v>0</v>
      </c>
      <c r="AL372" s="10">
        <v>0</v>
      </c>
      <c r="AM372" s="9">
        <v>1999</v>
      </c>
      <c r="AN372" s="10">
        <v>1</v>
      </c>
      <c r="AO372" s="10">
        <v>2</v>
      </c>
      <c r="AP372" s="10"/>
      <c r="AQ372" s="5"/>
      <c r="AR372" s="5"/>
      <c r="AS372" s="4">
        <f t="shared" si="15"/>
        <v>350000</v>
      </c>
      <c r="AT372" s="4">
        <f t="shared" si="16"/>
        <v>11716003.187225047</v>
      </c>
      <c r="AU372" s="4">
        <f t="shared" si="17"/>
        <v>8483996.8127749525</v>
      </c>
      <c r="AV372" s="9" t="s">
        <v>1451</v>
      </c>
      <c r="AW372" s="12" t="s">
        <v>1452</v>
      </c>
      <c r="AX372" s="10">
        <v>0</v>
      </c>
      <c r="AY372">
        <f>S372*AU372/AS372</f>
        <v>3635998.6340464083</v>
      </c>
      <c r="AZ372">
        <f>AU372-AY372</f>
        <v>4847998.1787285442</v>
      </c>
      <c r="BA372" s="10">
        <v>20200000</v>
      </c>
      <c r="BB372" s="10">
        <v>500000</v>
      </c>
      <c r="BC372" s="9" t="s">
        <v>42</v>
      </c>
      <c r="BD372" s="9">
        <v>10421</v>
      </c>
      <c r="BE372" t="s">
        <v>46</v>
      </c>
    </row>
    <row r="373" spans="1:57" ht="270.75" thickBot="1" x14ac:dyDescent="0.3">
      <c r="A373" s="9" t="s">
        <v>1453</v>
      </c>
      <c r="B373" s="9">
        <v>3001</v>
      </c>
      <c r="C373" s="10">
        <v>2</v>
      </c>
      <c r="D373" s="9" t="s">
        <v>37</v>
      </c>
      <c r="E373" s="11">
        <v>46246.100569803239</v>
      </c>
      <c r="F373" s="9" t="s">
        <v>1454</v>
      </c>
      <c r="G373" s="9" t="s">
        <v>39</v>
      </c>
      <c r="H373" s="9">
        <v>53</v>
      </c>
      <c r="I373" s="9" t="s">
        <v>40</v>
      </c>
      <c r="J373" s="9">
        <v>5309</v>
      </c>
      <c r="K373" s="9" t="s">
        <v>41</v>
      </c>
      <c r="L373" s="9">
        <v>5309062</v>
      </c>
      <c r="M373" s="9">
        <v>5309062006</v>
      </c>
      <c r="N373" s="9" t="s">
        <v>42</v>
      </c>
      <c r="O373" s="9">
        <v>10421</v>
      </c>
      <c r="P373" s="9" t="s">
        <v>1455</v>
      </c>
      <c r="Q373" s="10">
        <v>4</v>
      </c>
      <c r="R373" s="10">
        <v>450000</v>
      </c>
      <c r="S373" s="10">
        <v>100000</v>
      </c>
      <c r="T373" s="10">
        <v>0</v>
      </c>
      <c r="U373" s="10">
        <v>200000</v>
      </c>
      <c r="V373" s="10">
        <v>0</v>
      </c>
      <c r="W373" s="10">
        <v>750000</v>
      </c>
      <c r="X373" s="10">
        <v>12600000</v>
      </c>
      <c r="Y373" s="10">
        <v>0</v>
      </c>
      <c r="Z373" s="10">
        <v>12300000</v>
      </c>
      <c r="AA373" s="10">
        <v>3600000</v>
      </c>
      <c r="AB373" s="10">
        <v>12600000</v>
      </c>
      <c r="AC373" s="10">
        <v>0</v>
      </c>
      <c r="AD373" s="9" t="s">
        <v>44</v>
      </c>
      <c r="AE373" s="10" t="s">
        <v>2315</v>
      </c>
      <c r="AF373" s="10">
        <v>3150000</v>
      </c>
      <c r="AG373" s="10">
        <v>1</v>
      </c>
      <c r="AH373" s="10">
        <v>1</v>
      </c>
      <c r="AI373" s="10">
        <v>1</v>
      </c>
      <c r="AJ373" s="12" t="s">
        <v>1456</v>
      </c>
      <c r="AK373" s="10">
        <v>0</v>
      </c>
      <c r="AL373" s="10">
        <v>0</v>
      </c>
      <c r="AM373" s="9">
        <v>2023</v>
      </c>
      <c r="AN373" s="10">
        <v>1</v>
      </c>
      <c r="AO373" s="10">
        <v>3</v>
      </c>
      <c r="AP373" s="10"/>
      <c r="AQ373" s="5"/>
      <c r="AR373" s="5"/>
      <c r="AS373" s="4">
        <f t="shared" si="15"/>
        <v>300000</v>
      </c>
      <c r="AT373" s="4">
        <f t="shared" si="16"/>
        <v>7308003.5648797872</v>
      </c>
      <c r="AU373" s="4">
        <f t="shared" si="17"/>
        <v>5291996.4351202128</v>
      </c>
      <c r="AV373" s="9" t="s">
        <v>1455</v>
      </c>
      <c r="AW373" s="12" t="s">
        <v>1456</v>
      </c>
      <c r="AX373" s="10">
        <v>0</v>
      </c>
      <c r="AY373">
        <f>S373*AU373/AS373</f>
        <v>1763998.8117067376</v>
      </c>
      <c r="AZ373">
        <f>AU373-AY373</f>
        <v>3527997.6234134752</v>
      </c>
      <c r="BA373" s="10">
        <v>12600000</v>
      </c>
      <c r="BB373" s="10">
        <v>0</v>
      </c>
      <c r="BC373" s="9" t="s">
        <v>42</v>
      </c>
      <c r="BD373" s="9">
        <v>10421</v>
      </c>
      <c r="BE373" t="s">
        <v>46</v>
      </c>
    </row>
    <row r="374" spans="1:57" ht="270.75" thickBot="1" x14ac:dyDescent="0.3">
      <c r="A374" s="9" t="s">
        <v>1457</v>
      </c>
      <c r="B374" s="9">
        <v>3001</v>
      </c>
      <c r="C374" s="10">
        <v>2</v>
      </c>
      <c r="D374" s="9" t="s">
        <v>37</v>
      </c>
      <c r="E374" s="14">
        <v>46245.153182870374</v>
      </c>
      <c r="F374" s="9" t="s">
        <v>1458</v>
      </c>
      <c r="G374" s="9" t="s">
        <v>39</v>
      </c>
      <c r="H374" s="9">
        <v>53</v>
      </c>
      <c r="I374" s="9" t="s">
        <v>40</v>
      </c>
      <c r="J374" s="9">
        <v>5309</v>
      </c>
      <c r="K374" s="9" t="s">
        <v>41</v>
      </c>
      <c r="L374" s="9">
        <v>5309072</v>
      </c>
      <c r="M374" s="9">
        <v>5309072010</v>
      </c>
      <c r="N374" s="9" t="s">
        <v>42</v>
      </c>
      <c r="O374" s="9">
        <v>10421</v>
      </c>
      <c r="P374" s="9" t="s">
        <v>1459</v>
      </c>
      <c r="Q374" s="10">
        <v>1</v>
      </c>
      <c r="R374" s="10">
        <v>0</v>
      </c>
      <c r="S374" s="10">
        <v>5000000</v>
      </c>
      <c r="T374" s="10">
        <v>0</v>
      </c>
      <c r="U374" s="10">
        <v>200000</v>
      </c>
      <c r="V374" s="10">
        <v>16000</v>
      </c>
      <c r="W374" s="10">
        <v>5216000</v>
      </c>
      <c r="X374" s="10">
        <v>15000000</v>
      </c>
      <c r="Y374" s="10">
        <v>0</v>
      </c>
      <c r="Z374" s="10">
        <v>9800000</v>
      </c>
      <c r="AA374" s="10">
        <v>50000000</v>
      </c>
      <c r="AB374" s="10">
        <v>15000000</v>
      </c>
      <c r="AC374" s="10">
        <v>0</v>
      </c>
      <c r="AD374" s="9" t="s">
        <v>44</v>
      </c>
      <c r="AE374" s="10" t="s">
        <v>2483</v>
      </c>
      <c r="AF374" s="10">
        <v>15000000</v>
      </c>
      <c r="AG374" s="10">
        <v>0</v>
      </c>
      <c r="AH374" s="10">
        <v>1</v>
      </c>
      <c r="AI374" s="10">
        <v>1</v>
      </c>
      <c r="AJ374" s="12" t="s">
        <v>1460</v>
      </c>
      <c r="AK374" s="10">
        <v>0</v>
      </c>
      <c r="AL374" s="10">
        <v>0</v>
      </c>
      <c r="AM374" s="9">
        <v>2023</v>
      </c>
      <c r="AN374" s="10">
        <v>0</v>
      </c>
      <c r="AO374" s="10">
        <v>1</v>
      </c>
      <c r="AP374" s="10"/>
      <c r="AQ374" s="5"/>
      <c r="AR374" s="5"/>
      <c r="AS374" s="4">
        <f t="shared" si="15"/>
        <v>5200000</v>
      </c>
      <c r="AT374" s="4">
        <f t="shared" si="16"/>
        <v>8700004.4387777746</v>
      </c>
      <c r="AU374" s="4">
        <f t="shared" si="17"/>
        <v>6299995.5612222254</v>
      </c>
      <c r="AV374" s="9" t="s">
        <v>1459</v>
      </c>
      <c r="AW374" s="12" t="s">
        <v>1460</v>
      </c>
      <c r="AX374" s="10">
        <v>0</v>
      </c>
      <c r="AY374">
        <f>S374*AU374/AS374</f>
        <v>6057688.0396367554</v>
      </c>
      <c r="AZ374">
        <f>AU374-AY374</f>
        <v>242307.52158547007</v>
      </c>
      <c r="BA374" s="10">
        <v>15000000</v>
      </c>
      <c r="BB374" s="10">
        <v>0</v>
      </c>
      <c r="BC374" s="9" t="s">
        <v>42</v>
      </c>
      <c r="BD374" s="9">
        <v>10421</v>
      </c>
      <c r="BE374" t="s">
        <v>46</v>
      </c>
    </row>
    <row r="375" spans="1:57" ht="270.75" thickBot="1" x14ac:dyDescent="0.3">
      <c r="A375" s="9" t="s">
        <v>1461</v>
      </c>
      <c r="B375" s="9">
        <v>3001</v>
      </c>
      <c r="C375" s="10">
        <v>2</v>
      </c>
      <c r="D375" s="9" t="s">
        <v>37</v>
      </c>
      <c r="E375" s="11">
        <v>46217.319398900465</v>
      </c>
      <c r="F375" s="9" t="s">
        <v>1462</v>
      </c>
      <c r="G375" s="9" t="s">
        <v>39</v>
      </c>
      <c r="H375" s="9">
        <v>53</v>
      </c>
      <c r="I375" s="9" t="s">
        <v>40</v>
      </c>
      <c r="J375" s="9">
        <v>5309</v>
      </c>
      <c r="K375" s="9" t="s">
        <v>41</v>
      </c>
      <c r="L375" s="9">
        <v>5309073</v>
      </c>
      <c r="M375" s="9">
        <v>5309073011</v>
      </c>
      <c r="N375" s="9" t="s">
        <v>42</v>
      </c>
      <c r="O375" s="9">
        <v>10421</v>
      </c>
      <c r="P375" s="9" t="s">
        <v>1463</v>
      </c>
      <c r="Q375" s="10">
        <v>2</v>
      </c>
      <c r="R375" s="10">
        <v>0</v>
      </c>
      <c r="S375" s="10">
        <v>200000</v>
      </c>
      <c r="T375" s="10">
        <v>0</v>
      </c>
      <c r="U375" s="10">
        <v>300000</v>
      </c>
      <c r="V375" s="10">
        <v>0</v>
      </c>
      <c r="W375" s="10">
        <v>500000</v>
      </c>
      <c r="X375" s="10">
        <v>2800000</v>
      </c>
      <c r="Y375" s="10">
        <v>0</v>
      </c>
      <c r="Z375" s="10">
        <v>2300000</v>
      </c>
      <c r="AA375" s="10">
        <v>3000000</v>
      </c>
      <c r="AB375" s="10">
        <v>2800000</v>
      </c>
      <c r="AC375" s="10">
        <v>0</v>
      </c>
      <c r="AD375" s="9" t="s">
        <v>44</v>
      </c>
      <c r="AE375" s="10" t="s">
        <v>2384</v>
      </c>
      <c r="AF375" s="10">
        <v>1400000</v>
      </c>
      <c r="AG375" s="10">
        <v>1</v>
      </c>
      <c r="AH375" s="10">
        <v>1</v>
      </c>
      <c r="AI375" s="10">
        <v>1</v>
      </c>
      <c r="AJ375" s="12" t="s">
        <v>1464</v>
      </c>
      <c r="AK375" s="10">
        <v>0</v>
      </c>
      <c r="AL375" s="10">
        <v>0</v>
      </c>
      <c r="AM375" s="9">
        <v>2002</v>
      </c>
      <c r="AN375" s="10">
        <v>0</v>
      </c>
      <c r="AO375" s="10">
        <v>2</v>
      </c>
      <c r="AP375" s="10"/>
      <c r="AQ375" s="5"/>
      <c r="AR375" s="5"/>
      <c r="AS375" s="4">
        <f t="shared" si="15"/>
        <v>500000</v>
      </c>
      <c r="AT375" s="4">
        <f t="shared" si="16"/>
        <v>1623999.1526960942</v>
      </c>
      <c r="AU375" s="4">
        <f t="shared" si="17"/>
        <v>1176000.8473039058</v>
      </c>
      <c r="AV375" s="9" t="s">
        <v>1463</v>
      </c>
      <c r="AW375" s="12" t="s">
        <v>1464</v>
      </c>
      <c r="AX375" s="10">
        <v>0</v>
      </c>
      <c r="AY375">
        <f>S375*AU375/AS375</f>
        <v>470400.3389215623</v>
      </c>
      <c r="AZ375">
        <f>AU375-AY375</f>
        <v>705600.50838234345</v>
      </c>
      <c r="BA375" s="10">
        <v>2800000</v>
      </c>
      <c r="BB375" s="10">
        <v>0</v>
      </c>
      <c r="BC375" s="9" t="s">
        <v>42</v>
      </c>
      <c r="BD375" s="9">
        <v>10421</v>
      </c>
      <c r="BE375" t="s">
        <v>46</v>
      </c>
    </row>
    <row r="376" spans="1:57" ht="270.75" thickBot="1" x14ac:dyDescent="0.3">
      <c r="A376" s="9" t="s">
        <v>1465</v>
      </c>
      <c r="B376" s="9">
        <v>3001</v>
      </c>
      <c r="C376" s="10">
        <v>2</v>
      </c>
      <c r="D376" s="9" t="s">
        <v>37</v>
      </c>
      <c r="E376" s="14">
        <v>46243.399606481478</v>
      </c>
      <c r="F376" s="9" t="s">
        <v>1466</v>
      </c>
      <c r="G376" s="9" t="s">
        <v>39</v>
      </c>
      <c r="H376" s="9">
        <v>53</v>
      </c>
      <c r="I376" s="9" t="s">
        <v>40</v>
      </c>
      <c r="J376" s="9">
        <v>5309</v>
      </c>
      <c r="K376" s="9" t="s">
        <v>41</v>
      </c>
      <c r="L376" s="9">
        <v>5309062</v>
      </c>
      <c r="M376" s="9">
        <v>5309062002</v>
      </c>
      <c r="N376" s="9" t="s">
        <v>42</v>
      </c>
      <c r="O376" s="9">
        <v>10421</v>
      </c>
      <c r="P376" s="9" t="s">
        <v>106</v>
      </c>
      <c r="Q376" s="10">
        <v>2</v>
      </c>
      <c r="R376" s="10">
        <v>0</v>
      </c>
      <c r="S376" s="10">
        <v>100000</v>
      </c>
      <c r="T376" s="10">
        <v>0</v>
      </c>
      <c r="U376" s="10">
        <v>700000</v>
      </c>
      <c r="V376" s="10">
        <v>0</v>
      </c>
      <c r="W376" s="10">
        <v>800000</v>
      </c>
      <c r="X376" s="10">
        <v>12000000</v>
      </c>
      <c r="Y376" s="10">
        <v>0</v>
      </c>
      <c r="Z376" s="10">
        <v>11200000</v>
      </c>
      <c r="AA376" s="10">
        <v>1200000</v>
      </c>
      <c r="AB376" s="10">
        <v>12000000</v>
      </c>
      <c r="AC376" s="10">
        <v>0</v>
      </c>
      <c r="AD376" s="9" t="s">
        <v>44</v>
      </c>
      <c r="AE376" s="10" t="s">
        <v>2228</v>
      </c>
      <c r="AF376" s="10">
        <v>6000000</v>
      </c>
      <c r="AG376" s="10">
        <v>1</v>
      </c>
      <c r="AH376" s="10">
        <v>1</v>
      </c>
      <c r="AI376" s="10">
        <v>1</v>
      </c>
      <c r="AJ376" s="12" t="s">
        <v>1467</v>
      </c>
      <c r="AK376" s="10">
        <v>0</v>
      </c>
      <c r="AL376" s="10">
        <v>0</v>
      </c>
      <c r="AM376" s="9">
        <v>1999</v>
      </c>
      <c r="AN376" s="10">
        <v>0</v>
      </c>
      <c r="AO376" s="10">
        <v>2</v>
      </c>
      <c r="AP376" s="10"/>
      <c r="AQ376" s="5"/>
      <c r="AR376" s="5"/>
      <c r="AS376" s="4">
        <f t="shared" si="15"/>
        <v>800000</v>
      </c>
      <c r="AT376" s="4">
        <f t="shared" si="16"/>
        <v>6960002.4857151741</v>
      </c>
      <c r="AU376" s="4">
        <f t="shared" si="17"/>
        <v>5039997.5142848259</v>
      </c>
      <c r="AV376" s="9" t="s">
        <v>106</v>
      </c>
      <c r="AW376" s="12" t="s">
        <v>1467</v>
      </c>
      <c r="AX376" s="10">
        <v>0</v>
      </c>
      <c r="AY376">
        <f>S376*AU376/AS376</f>
        <v>629999.68928560324</v>
      </c>
      <c r="AZ376">
        <f>AU376-AY376</f>
        <v>4409997.8249992225</v>
      </c>
      <c r="BA376" s="10">
        <v>12000000</v>
      </c>
      <c r="BB376" s="10">
        <v>0</v>
      </c>
      <c r="BC376" s="9" t="s">
        <v>42</v>
      </c>
      <c r="BD376" s="9">
        <v>10421</v>
      </c>
      <c r="BE376" t="s">
        <v>46</v>
      </c>
    </row>
    <row r="377" spans="1:57" ht="270.75" thickBot="1" x14ac:dyDescent="0.3">
      <c r="A377" s="9" t="s">
        <v>1468</v>
      </c>
      <c r="B377" s="9">
        <v>3001</v>
      </c>
      <c r="C377" s="10">
        <v>2</v>
      </c>
      <c r="D377" s="9" t="s">
        <v>37</v>
      </c>
      <c r="E377" s="14">
        <v>46220.265821759262</v>
      </c>
      <c r="F377" s="9" t="s">
        <v>1469</v>
      </c>
      <c r="G377" s="9" t="s">
        <v>39</v>
      </c>
      <c r="H377" s="9">
        <v>53</v>
      </c>
      <c r="I377" s="9" t="s">
        <v>40</v>
      </c>
      <c r="J377" s="9">
        <v>5309</v>
      </c>
      <c r="K377" s="9" t="s">
        <v>41</v>
      </c>
      <c r="L377" s="9">
        <v>5309021</v>
      </c>
      <c r="M377" s="9">
        <v>5309021003</v>
      </c>
      <c r="N377" s="9" t="s">
        <v>42</v>
      </c>
      <c r="O377" s="9">
        <v>10421</v>
      </c>
      <c r="P377" s="9" t="s">
        <v>1470</v>
      </c>
      <c r="Q377" s="10">
        <v>3</v>
      </c>
      <c r="R377" s="10">
        <v>0</v>
      </c>
      <c r="S377" s="10">
        <v>20000</v>
      </c>
      <c r="T377" s="10">
        <v>0</v>
      </c>
      <c r="U377" s="10">
        <v>500000</v>
      </c>
      <c r="V377" s="10">
        <v>0</v>
      </c>
      <c r="W377" s="10">
        <v>520000</v>
      </c>
      <c r="X377" s="10">
        <v>6325000</v>
      </c>
      <c r="Y377" s="10">
        <v>1500000</v>
      </c>
      <c r="Z377" s="10">
        <v>5805000</v>
      </c>
      <c r="AA377" s="10">
        <v>25500000</v>
      </c>
      <c r="AB377" s="10">
        <v>6325000</v>
      </c>
      <c r="AC377" s="10">
        <v>0</v>
      </c>
      <c r="AD377" s="9" t="s">
        <v>44</v>
      </c>
      <c r="AE377" s="10" t="s">
        <v>2484</v>
      </c>
      <c r="AF377" s="13">
        <v>2108333333</v>
      </c>
      <c r="AG377" s="10">
        <v>0</v>
      </c>
      <c r="AH377" s="10">
        <v>1</v>
      </c>
      <c r="AI377" s="10">
        <v>1</v>
      </c>
      <c r="AJ377" s="12" t="s">
        <v>1471</v>
      </c>
      <c r="AK377" s="10">
        <v>0</v>
      </c>
      <c r="AL377" s="10">
        <v>0</v>
      </c>
      <c r="AM377" s="9">
        <v>2024</v>
      </c>
      <c r="AN377" s="10">
        <v>0</v>
      </c>
      <c r="AO377" s="10">
        <v>3</v>
      </c>
      <c r="AP377" s="10"/>
      <c r="AQ377" s="5"/>
      <c r="AR377" s="5"/>
      <c r="AS377" s="4">
        <f t="shared" si="15"/>
        <v>520000</v>
      </c>
      <c r="AT377" s="4">
        <f t="shared" si="16"/>
        <v>3668498.2463251278</v>
      </c>
      <c r="AU377" s="4">
        <f t="shared" si="17"/>
        <v>2656501.7536748722</v>
      </c>
      <c r="AV377" s="9" t="s">
        <v>1470</v>
      </c>
      <c r="AW377" s="12" t="s">
        <v>1471</v>
      </c>
      <c r="AX377" s="10">
        <v>0</v>
      </c>
      <c r="AY377">
        <f>S377*AU377/AS377</f>
        <v>102173.14437211047</v>
      </c>
      <c r="AZ377">
        <f>AU377-AY377</f>
        <v>2554328.609302762</v>
      </c>
      <c r="BA377" s="10">
        <v>6325000</v>
      </c>
      <c r="BB377" s="10">
        <v>1500000</v>
      </c>
      <c r="BC377" s="9" t="s">
        <v>42</v>
      </c>
      <c r="BD377" s="9">
        <v>10421</v>
      </c>
      <c r="BE377" t="s">
        <v>46</v>
      </c>
    </row>
    <row r="378" spans="1:57" ht="270.75" thickBot="1" x14ac:dyDescent="0.3">
      <c r="A378" s="9" t="s">
        <v>1472</v>
      </c>
      <c r="B378" s="9">
        <v>3001</v>
      </c>
      <c r="C378" s="10">
        <v>2</v>
      </c>
      <c r="D378" s="9" t="s">
        <v>37</v>
      </c>
      <c r="E378" s="14">
        <v>46225.330891203703</v>
      </c>
      <c r="F378" s="9" t="s">
        <v>1473</v>
      </c>
      <c r="G378" s="9" t="s">
        <v>39</v>
      </c>
      <c r="H378" s="9">
        <v>53</v>
      </c>
      <c r="I378" s="9" t="s">
        <v>40</v>
      </c>
      <c r="J378" s="9">
        <v>5309</v>
      </c>
      <c r="K378" s="9" t="s">
        <v>41</v>
      </c>
      <c r="L378" s="9">
        <v>5309060</v>
      </c>
      <c r="M378" s="9">
        <v>5309060018</v>
      </c>
      <c r="N378" s="9" t="s">
        <v>42</v>
      </c>
      <c r="O378" s="9">
        <v>10421</v>
      </c>
      <c r="P378" s="9" t="s">
        <v>1474</v>
      </c>
      <c r="Q378" s="10">
        <v>1</v>
      </c>
      <c r="R378" s="10">
        <v>0</v>
      </c>
      <c r="S378" s="10">
        <v>150000</v>
      </c>
      <c r="T378" s="10">
        <v>0</v>
      </c>
      <c r="U378" s="10">
        <v>200000</v>
      </c>
      <c r="V378" s="10">
        <v>20500</v>
      </c>
      <c r="W378" s="10">
        <v>370500</v>
      </c>
      <c r="X378" s="10">
        <v>12000000</v>
      </c>
      <c r="Y378" s="10">
        <v>0</v>
      </c>
      <c r="Z378" s="10">
        <v>11650000</v>
      </c>
      <c r="AA378" s="10">
        <v>30000000</v>
      </c>
      <c r="AB378" s="10">
        <v>12000000</v>
      </c>
      <c r="AC378" s="10">
        <v>0</v>
      </c>
      <c r="AD378" s="9" t="s">
        <v>44</v>
      </c>
      <c r="AE378" s="10" t="s">
        <v>2485</v>
      </c>
      <c r="AF378" s="10">
        <v>12000000</v>
      </c>
      <c r="AG378" s="10">
        <v>0</v>
      </c>
      <c r="AH378" s="10">
        <v>1</v>
      </c>
      <c r="AI378" s="10">
        <v>1</v>
      </c>
      <c r="AJ378" s="12" t="s">
        <v>1475</v>
      </c>
      <c r="AK378" s="10">
        <v>0</v>
      </c>
      <c r="AL378" s="10">
        <v>0</v>
      </c>
      <c r="AM378" s="9">
        <v>1998</v>
      </c>
      <c r="AN378" s="10">
        <v>0</v>
      </c>
      <c r="AO378" s="10">
        <v>1</v>
      </c>
      <c r="AP378" s="10"/>
      <c r="AQ378" s="5"/>
      <c r="AR378" s="5"/>
      <c r="AS378" s="4">
        <f t="shared" si="15"/>
        <v>350000</v>
      </c>
      <c r="AT378" s="4">
        <f t="shared" si="16"/>
        <v>6960002.3897003913</v>
      </c>
      <c r="AU378" s="4">
        <f t="shared" si="17"/>
        <v>5039997.6102996087</v>
      </c>
      <c r="AV378" s="9" t="s">
        <v>1474</v>
      </c>
      <c r="AW378" s="12" t="s">
        <v>1475</v>
      </c>
      <c r="AX378" s="10">
        <v>0</v>
      </c>
      <c r="AY378">
        <f>S378*AU378/AS378</f>
        <v>2159998.9758426892</v>
      </c>
      <c r="AZ378">
        <f>AU378-AY378</f>
        <v>2879998.6344569195</v>
      </c>
      <c r="BA378" s="10">
        <v>12000000</v>
      </c>
      <c r="BB378" s="10">
        <v>0</v>
      </c>
      <c r="BC378" s="9" t="s">
        <v>42</v>
      </c>
      <c r="BD378" s="9">
        <v>10421</v>
      </c>
      <c r="BE378" t="s">
        <v>46</v>
      </c>
    </row>
    <row r="379" spans="1:57" ht="270.75" thickBot="1" x14ac:dyDescent="0.3">
      <c r="A379" s="9" t="s">
        <v>1476</v>
      </c>
      <c r="B379" s="9">
        <v>3002</v>
      </c>
      <c r="C379" s="10">
        <v>2</v>
      </c>
      <c r="D379" s="9" t="s">
        <v>37</v>
      </c>
      <c r="E379" s="11">
        <v>46274.957403657405</v>
      </c>
      <c r="F379" s="9" t="s">
        <v>1477</v>
      </c>
      <c r="G379" s="9" t="s">
        <v>39</v>
      </c>
      <c r="H379" s="9">
        <v>53</v>
      </c>
      <c r="I379" s="9" t="s">
        <v>40</v>
      </c>
      <c r="J379" s="9">
        <v>5309</v>
      </c>
      <c r="K379" s="9" t="s">
        <v>41</v>
      </c>
      <c r="L379" s="9">
        <v>5309074</v>
      </c>
      <c r="M379" s="9">
        <v>5309074007</v>
      </c>
      <c r="N379" s="9" t="s">
        <v>42</v>
      </c>
      <c r="O379" s="9">
        <v>10421</v>
      </c>
      <c r="P379" s="9" t="s">
        <v>152</v>
      </c>
      <c r="Q379" s="10">
        <v>3</v>
      </c>
      <c r="R379" s="10">
        <v>600000</v>
      </c>
      <c r="S379" s="10">
        <v>3500000</v>
      </c>
      <c r="T379" s="10">
        <v>0</v>
      </c>
      <c r="U379" s="10">
        <v>200000</v>
      </c>
      <c r="V379" s="10">
        <v>0</v>
      </c>
      <c r="W379" s="10">
        <v>4300000</v>
      </c>
      <c r="X379" s="10">
        <v>16800000</v>
      </c>
      <c r="Y379" s="10">
        <v>0</v>
      </c>
      <c r="Z379" s="10">
        <v>13100000</v>
      </c>
      <c r="AA379" s="10">
        <v>1250000</v>
      </c>
      <c r="AB379" s="10">
        <v>16800000</v>
      </c>
      <c r="AC379" s="10">
        <v>0</v>
      </c>
      <c r="AD379" s="9" t="s">
        <v>44</v>
      </c>
      <c r="AE379" s="10" t="s">
        <v>2486</v>
      </c>
      <c r="AF379" s="10">
        <v>5600000</v>
      </c>
      <c r="AG379" s="10">
        <v>1</v>
      </c>
      <c r="AH379" s="10">
        <v>1</v>
      </c>
      <c r="AI379" s="10">
        <v>1</v>
      </c>
      <c r="AJ379" s="12" t="s">
        <v>1478</v>
      </c>
      <c r="AK379" s="10">
        <v>0</v>
      </c>
      <c r="AL379" s="10">
        <v>0</v>
      </c>
      <c r="AM379" s="9">
        <v>2005</v>
      </c>
      <c r="AN379" s="10">
        <v>1</v>
      </c>
      <c r="AO379" s="10">
        <v>2</v>
      </c>
      <c r="AP379" s="10"/>
      <c r="AQ379" s="5"/>
      <c r="AR379" s="5"/>
      <c r="AS379" s="4">
        <f t="shared" si="15"/>
        <v>3700000</v>
      </c>
      <c r="AT379" s="4">
        <f t="shared" si="16"/>
        <v>9743998.8098932747</v>
      </c>
      <c r="AU379" s="4">
        <f t="shared" si="17"/>
        <v>7056001.1901067253</v>
      </c>
      <c r="AV379" s="9" t="s">
        <v>152</v>
      </c>
      <c r="AW379" s="12" t="s">
        <v>1478</v>
      </c>
      <c r="AX379" s="10">
        <v>0</v>
      </c>
      <c r="AY379">
        <f>S379*AU379/AS379</f>
        <v>6674595.7203712268</v>
      </c>
      <c r="AZ379">
        <f>AU379-AY379</f>
        <v>381405.46973549854</v>
      </c>
      <c r="BA379" s="10">
        <v>16800000</v>
      </c>
      <c r="BB379" s="10">
        <v>0</v>
      </c>
      <c r="BC379" s="9" t="s">
        <v>42</v>
      </c>
      <c r="BD379" s="9">
        <v>10421</v>
      </c>
      <c r="BE379" t="s">
        <v>46</v>
      </c>
    </row>
    <row r="380" spans="1:57" ht="270.75" thickBot="1" x14ac:dyDescent="0.3">
      <c r="A380" s="9" t="s">
        <v>1479</v>
      </c>
      <c r="B380" s="9">
        <v>3003</v>
      </c>
      <c r="C380" s="10">
        <v>2</v>
      </c>
      <c r="D380" s="9" t="s">
        <v>37</v>
      </c>
      <c r="E380" s="11">
        <v>46293.15391158565</v>
      </c>
      <c r="F380" s="9" t="s">
        <v>1480</v>
      </c>
      <c r="G380" s="9" t="s">
        <v>39</v>
      </c>
      <c r="H380" s="9">
        <v>53</v>
      </c>
      <c r="I380" s="9" t="s">
        <v>40</v>
      </c>
      <c r="J380" s="9">
        <v>5309</v>
      </c>
      <c r="K380" s="9" t="s">
        <v>41</v>
      </c>
      <c r="L380" s="9">
        <v>5309062</v>
      </c>
      <c r="M380" s="9">
        <v>5309062013</v>
      </c>
      <c r="N380" s="9" t="s">
        <v>42</v>
      </c>
      <c r="O380" s="9">
        <v>10421</v>
      </c>
      <c r="P380" s="9" t="s">
        <v>1481</v>
      </c>
      <c r="Q380" s="10">
        <v>2</v>
      </c>
      <c r="R380" s="10">
        <v>600000</v>
      </c>
      <c r="S380" s="10">
        <v>600000</v>
      </c>
      <c r="T380" s="10">
        <v>0</v>
      </c>
      <c r="U380" s="10">
        <v>100000</v>
      </c>
      <c r="V380" s="10">
        <v>100000</v>
      </c>
      <c r="W380" s="10">
        <v>1400000</v>
      </c>
      <c r="X380" s="10">
        <v>5500000</v>
      </c>
      <c r="Y380" s="10">
        <v>0</v>
      </c>
      <c r="Z380" s="10">
        <v>4800000</v>
      </c>
      <c r="AA380" s="10">
        <v>2400000</v>
      </c>
      <c r="AB380" s="10">
        <v>5500000</v>
      </c>
      <c r="AC380" s="10">
        <v>0</v>
      </c>
      <c r="AD380" s="9" t="s">
        <v>44</v>
      </c>
      <c r="AE380" s="10" t="s">
        <v>2487</v>
      </c>
      <c r="AF380" s="10">
        <v>2750000</v>
      </c>
      <c r="AG380" s="10">
        <v>1</v>
      </c>
      <c r="AH380" s="10">
        <v>1</v>
      </c>
      <c r="AI380" s="10">
        <v>1</v>
      </c>
      <c r="AJ380" s="12" t="s">
        <v>1482</v>
      </c>
      <c r="AK380" s="10">
        <v>0</v>
      </c>
      <c r="AL380" s="10">
        <v>0</v>
      </c>
      <c r="AM380" s="9">
        <v>1990</v>
      </c>
      <c r="AN380" s="10">
        <v>1</v>
      </c>
      <c r="AO380" s="10">
        <v>1</v>
      </c>
      <c r="AP380" s="10"/>
      <c r="AQ380" s="5"/>
      <c r="AR380" s="5"/>
      <c r="AS380" s="4">
        <f t="shared" si="15"/>
        <v>700000</v>
      </c>
      <c r="AT380" s="4">
        <f t="shared" si="16"/>
        <v>3190000.9968753112</v>
      </c>
      <c r="AU380" s="4">
        <f t="shared" si="17"/>
        <v>2309999.0031246888</v>
      </c>
      <c r="AV380" s="9" t="s">
        <v>1481</v>
      </c>
      <c r="AW380" s="12" t="s">
        <v>1482</v>
      </c>
      <c r="AX380" s="10">
        <v>0</v>
      </c>
      <c r="AY380">
        <f>S380*AU380/AS380</f>
        <v>1979999.1455354474</v>
      </c>
      <c r="AZ380">
        <f>AU380-AY380</f>
        <v>329999.85758924135</v>
      </c>
      <c r="BA380" s="10">
        <v>5500000</v>
      </c>
      <c r="BB380" s="10">
        <v>0</v>
      </c>
      <c r="BC380" s="9" t="s">
        <v>42</v>
      </c>
      <c r="BD380" s="9">
        <v>10421</v>
      </c>
      <c r="BE380" t="s">
        <v>46</v>
      </c>
    </row>
    <row r="381" spans="1:57" ht="270.75" thickBot="1" x14ac:dyDescent="0.3">
      <c r="A381" s="9" t="s">
        <v>1483</v>
      </c>
      <c r="B381" s="9">
        <v>3001</v>
      </c>
      <c r="C381" s="10">
        <v>2</v>
      </c>
      <c r="D381" s="9" t="s">
        <v>37</v>
      </c>
      <c r="E381" s="11">
        <v>46237.38035295139</v>
      </c>
      <c r="F381" s="9" t="s">
        <v>1484</v>
      </c>
      <c r="G381" s="9" t="s">
        <v>39</v>
      </c>
      <c r="H381" s="9">
        <v>53</v>
      </c>
      <c r="I381" s="9" t="s">
        <v>40</v>
      </c>
      <c r="J381" s="9">
        <v>5309</v>
      </c>
      <c r="K381" s="9" t="s">
        <v>41</v>
      </c>
      <c r="L381" s="9">
        <v>5309062</v>
      </c>
      <c r="M381" s="9">
        <v>5309062004</v>
      </c>
      <c r="N381" s="9" t="s">
        <v>42</v>
      </c>
      <c r="O381" s="9">
        <v>10421</v>
      </c>
      <c r="P381" s="9" t="s">
        <v>1485</v>
      </c>
      <c r="Q381" s="10">
        <v>3</v>
      </c>
      <c r="R381" s="10">
        <v>200000</v>
      </c>
      <c r="S381" s="10">
        <v>250000</v>
      </c>
      <c r="T381" s="10">
        <v>0</v>
      </c>
      <c r="U381" s="10">
        <v>100000</v>
      </c>
      <c r="V381" s="10">
        <v>0</v>
      </c>
      <c r="W381" s="10">
        <v>550000</v>
      </c>
      <c r="X381" s="10">
        <v>6500000</v>
      </c>
      <c r="Y381" s="10">
        <v>0</v>
      </c>
      <c r="Z381" s="10">
        <v>6150000</v>
      </c>
      <c r="AA381" s="10">
        <v>5150000</v>
      </c>
      <c r="AB381" s="10">
        <v>6500000</v>
      </c>
      <c r="AC381" s="10">
        <v>0</v>
      </c>
      <c r="AD381" s="9" t="s">
        <v>44</v>
      </c>
      <c r="AE381" s="10" t="s">
        <v>2261</v>
      </c>
      <c r="AF381" s="13">
        <v>2166666667</v>
      </c>
      <c r="AG381" s="10">
        <v>1</v>
      </c>
      <c r="AH381" s="10">
        <v>1</v>
      </c>
      <c r="AI381" s="10">
        <v>1</v>
      </c>
      <c r="AJ381" s="12" t="s">
        <v>1486</v>
      </c>
      <c r="AK381" s="10">
        <v>0</v>
      </c>
      <c r="AL381" s="10">
        <v>0</v>
      </c>
      <c r="AM381" s="9">
        <v>1990</v>
      </c>
      <c r="AN381" s="10">
        <v>2</v>
      </c>
      <c r="AO381" s="10">
        <v>1</v>
      </c>
      <c r="AP381" s="10"/>
      <c r="AQ381" s="5"/>
      <c r="AR381" s="5"/>
      <c r="AS381" s="4">
        <f t="shared" si="15"/>
        <v>350000</v>
      </c>
      <c r="AT381" s="4">
        <f t="shared" si="16"/>
        <v>3769999.3869919688</v>
      </c>
      <c r="AU381" s="4">
        <f t="shared" si="17"/>
        <v>2730000.6130080312</v>
      </c>
      <c r="AV381" s="9" t="s">
        <v>1485</v>
      </c>
      <c r="AW381" s="12" t="s">
        <v>1486</v>
      </c>
      <c r="AX381" s="10">
        <v>0</v>
      </c>
      <c r="AY381">
        <f>S381*AU381/AS381</f>
        <v>1950000.4378628794</v>
      </c>
      <c r="AZ381">
        <f>AU381-AY381</f>
        <v>780000.17514515179</v>
      </c>
      <c r="BA381" s="10">
        <v>6500000</v>
      </c>
      <c r="BB381" s="10">
        <v>0</v>
      </c>
      <c r="BC381" s="9" t="s">
        <v>42</v>
      </c>
      <c r="BD381" s="9">
        <v>10421</v>
      </c>
      <c r="BE381" t="s">
        <v>46</v>
      </c>
    </row>
    <row r="382" spans="1:57" ht="270.75" thickBot="1" x14ac:dyDescent="0.3">
      <c r="A382" s="9" t="s">
        <v>1487</v>
      </c>
      <c r="B382" s="9">
        <v>3002</v>
      </c>
      <c r="C382" s="10">
        <v>2</v>
      </c>
      <c r="D382" s="9" t="s">
        <v>37</v>
      </c>
      <c r="E382" s="11">
        <v>46261.686373101853</v>
      </c>
      <c r="F382" s="9" t="s">
        <v>1488</v>
      </c>
      <c r="G382" s="9" t="s">
        <v>39</v>
      </c>
      <c r="H382" s="9">
        <v>53</v>
      </c>
      <c r="I382" s="9" t="s">
        <v>40</v>
      </c>
      <c r="J382" s="9">
        <v>5309</v>
      </c>
      <c r="K382" s="9" t="s">
        <v>41</v>
      </c>
      <c r="L382" s="9">
        <v>5309060</v>
      </c>
      <c r="M382" s="9">
        <v>5309060041</v>
      </c>
      <c r="N382" s="9" t="s">
        <v>42</v>
      </c>
      <c r="O382" s="9">
        <v>10421</v>
      </c>
      <c r="P382" s="9" t="s">
        <v>1489</v>
      </c>
      <c r="Q382" s="10">
        <v>9</v>
      </c>
      <c r="R382" s="10">
        <v>4000000</v>
      </c>
      <c r="S382" s="10">
        <v>9000000</v>
      </c>
      <c r="T382" s="10">
        <v>0</v>
      </c>
      <c r="U382" s="10">
        <v>900000</v>
      </c>
      <c r="V382" s="10">
        <v>0</v>
      </c>
      <c r="W382" s="10">
        <v>13900000</v>
      </c>
      <c r="X382" s="10">
        <v>39000000</v>
      </c>
      <c r="Y382" s="10">
        <v>0</v>
      </c>
      <c r="Z382" s="10">
        <v>29100000</v>
      </c>
      <c r="AA382" s="10">
        <v>1500000</v>
      </c>
      <c r="AB382" s="10">
        <v>39000000</v>
      </c>
      <c r="AC382" s="10">
        <v>0</v>
      </c>
      <c r="AD382" s="9" t="s">
        <v>44</v>
      </c>
      <c r="AE382" s="10" t="s">
        <v>2488</v>
      </c>
      <c r="AF382" s="13">
        <v>4333333333</v>
      </c>
      <c r="AG382" s="10">
        <v>1</v>
      </c>
      <c r="AH382" s="10">
        <v>1</v>
      </c>
      <c r="AI382" s="10">
        <v>1</v>
      </c>
      <c r="AJ382" s="12" t="s">
        <v>1490</v>
      </c>
      <c r="AK382" s="10">
        <v>0</v>
      </c>
      <c r="AL382" s="10">
        <v>0</v>
      </c>
      <c r="AM382" s="9">
        <v>2017</v>
      </c>
      <c r="AN382" s="10">
        <v>7</v>
      </c>
      <c r="AO382" s="10">
        <v>2</v>
      </c>
      <c r="AP382" s="10"/>
      <c r="AQ382" s="5"/>
      <c r="AR382" s="5"/>
      <c r="AS382" s="4">
        <f t="shared" si="15"/>
        <v>9900000</v>
      </c>
      <c r="AT382" s="4">
        <f t="shared" si="16"/>
        <v>22619995.336083435</v>
      </c>
      <c r="AU382" s="4">
        <f t="shared" si="17"/>
        <v>16380004.663916565</v>
      </c>
      <c r="AV382" s="9" t="s">
        <v>1489</v>
      </c>
      <c r="AW382" s="12" t="s">
        <v>1490</v>
      </c>
      <c r="AX382" s="10">
        <v>0</v>
      </c>
      <c r="AY382">
        <f>S382*AU382/AS382</f>
        <v>14890913.330833241</v>
      </c>
      <c r="AZ382">
        <f>AU382-AY382</f>
        <v>1489091.3330833241</v>
      </c>
      <c r="BA382" s="10">
        <v>39000000</v>
      </c>
      <c r="BB382" s="10">
        <v>0</v>
      </c>
      <c r="BC382" s="9" t="s">
        <v>42</v>
      </c>
      <c r="BD382" s="9">
        <v>10421</v>
      </c>
      <c r="BE382" t="s">
        <v>46</v>
      </c>
    </row>
    <row r="383" spans="1:57" ht="270.75" thickBot="1" x14ac:dyDescent="0.3">
      <c r="A383" s="9" t="s">
        <v>1491</v>
      </c>
      <c r="B383" s="9">
        <v>3003</v>
      </c>
      <c r="C383" s="10">
        <v>2</v>
      </c>
      <c r="D383" s="9" t="s">
        <v>37</v>
      </c>
      <c r="E383" s="11">
        <v>46260.985325671296</v>
      </c>
      <c r="F383" s="9" t="s">
        <v>1492</v>
      </c>
      <c r="G383" s="9" t="s">
        <v>39</v>
      </c>
      <c r="H383" s="9">
        <v>53</v>
      </c>
      <c r="I383" s="9" t="s">
        <v>40</v>
      </c>
      <c r="J383" s="9">
        <v>5309</v>
      </c>
      <c r="K383" s="9" t="s">
        <v>41</v>
      </c>
      <c r="L383" s="9">
        <v>5309074</v>
      </c>
      <c r="M383" s="9">
        <v>5309074004</v>
      </c>
      <c r="N383" s="9" t="s">
        <v>42</v>
      </c>
      <c r="O383" s="9">
        <v>10421</v>
      </c>
      <c r="P383" s="9" t="s">
        <v>1493</v>
      </c>
      <c r="Q383" s="10">
        <v>1</v>
      </c>
      <c r="R383" s="10">
        <v>0</v>
      </c>
      <c r="S383" s="10">
        <v>300000</v>
      </c>
      <c r="T383" s="10">
        <v>0</v>
      </c>
      <c r="U383" s="10">
        <v>1500000</v>
      </c>
      <c r="V383" s="10">
        <v>0</v>
      </c>
      <c r="W383" s="10">
        <v>1800000</v>
      </c>
      <c r="X383" s="10">
        <v>7200000</v>
      </c>
      <c r="Y383" s="10">
        <v>0</v>
      </c>
      <c r="Z383" s="10">
        <v>5400000</v>
      </c>
      <c r="AA383" s="10">
        <v>15300000</v>
      </c>
      <c r="AB383" s="10">
        <v>7200000</v>
      </c>
      <c r="AC383" s="10">
        <v>0</v>
      </c>
      <c r="AD383" s="9" t="s">
        <v>44</v>
      </c>
      <c r="AE383" s="10" t="s">
        <v>77</v>
      </c>
      <c r="AF383" s="10">
        <v>7200000</v>
      </c>
      <c r="AG383" s="10">
        <v>1</v>
      </c>
      <c r="AH383" s="10">
        <v>1</v>
      </c>
      <c r="AI383" s="10">
        <v>1</v>
      </c>
      <c r="AJ383" s="12" t="s">
        <v>1494</v>
      </c>
      <c r="AK383" s="10">
        <v>0</v>
      </c>
      <c r="AL383" s="10">
        <v>0</v>
      </c>
      <c r="AM383" s="9">
        <v>2024</v>
      </c>
      <c r="AN383" s="10">
        <v>0</v>
      </c>
      <c r="AO383" s="10">
        <v>1</v>
      </c>
      <c r="AP383" s="10"/>
      <c r="AQ383" s="5"/>
      <c r="AR383" s="5"/>
      <c r="AS383" s="4">
        <f t="shared" si="15"/>
        <v>1800000</v>
      </c>
      <c r="AT383" s="4">
        <f t="shared" si="16"/>
        <v>4176000</v>
      </c>
      <c r="AU383" s="4">
        <f t="shared" si="17"/>
        <v>3024000</v>
      </c>
      <c r="AV383" s="9" t="s">
        <v>1493</v>
      </c>
      <c r="AW383" s="12" t="s">
        <v>1494</v>
      </c>
      <c r="AX383" s="10">
        <v>0</v>
      </c>
      <c r="AY383">
        <f>S383*AU383/AS383</f>
        <v>504000</v>
      </c>
      <c r="AZ383">
        <f>AU383-AY383</f>
        <v>2520000</v>
      </c>
      <c r="BA383" s="10">
        <v>7200000</v>
      </c>
      <c r="BB383" s="10">
        <v>0</v>
      </c>
      <c r="BC383" s="9" t="s">
        <v>42</v>
      </c>
      <c r="BD383" s="9">
        <v>10421</v>
      </c>
      <c r="BE383" t="s">
        <v>46</v>
      </c>
    </row>
    <row r="384" spans="1:57" ht="270.75" thickBot="1" x14ac:dyDescent="0.3">
      <c r="A384" s="9" t="s">
        <v>1495</v>
      </c>
      <c r="B384" s="9">
        <v>3002</v>
      </c>
      <c r="C384" s="10">
        <v>2</v>
      </c>
      <c r="D384" s="9" t="s">
        <v>37</v>
      </c>
      <c r="E384" s="14">
        <v>46242.523622685185</v>
      </c>
      <c r="F384" s="9" t="s">
        <v>1496</v>
      </c>
      <c r="G384" s="9" t="s">
        <v>39</v>
      </c>
      <c r="H384" s="9">
        <v>53</v>
      </c>
      <c r="I384" s="9" t="s">
        <v>40</v>
      </c>
      <c r="J384" s="9">
        <v>5309</v>
      </c>
      <c r="K384" s="9" t="s">
        <v>41</v>
      </c>
      <c r="L384" s="9">
        <v>5309062</v>
      </c>
      <c r="M384" s="9">
        <v>5309062006</v>
      </c>
      <c r="N384" s="9" t="s">
        <v>42</v>
      </c>
      <c r="O384" s="9">
        <v>10421</v>
      </c>
      <c r="P384" s="9" t="s">
        <v>1497</v>
      </c>
      <c r="Q384" s="10">
        <v>2</v>
      </c>
      <c r="R384" s="10">
        <v>0</v>
      </c>
      <c r="S384" s="10">
        <v>800000</v>
      </c>
      <c r="T384" s="10">
        <v>0</v>
      </c>
      <c r="U384" s="10">
        <v>150000</v>
      </c>
      <c r="V384" s="10">
        <v>0</v>
      </c>
      <c r="W384" s="10">
        <v>950000</v>
      </c>
      <c r="X384" s="10">
        <v>8000000</v>
      </c>
      <c r="Y384" s="10">
        <v>0</v>
      </c>
      <c r="Z384" s="10">
        <v>7050000</v>
      </c>
      <c r="AA384" s="10">
        <v>400000</v>
      </c>
      <c r="AB384" s="10">
        <v>8000000</v>
      </c>
      <c r="AC384" s="10">
        <v>0</v>
      </c>
      <c r="AD384" s="9" t="s">
        <v>44</v>
      </c>
      <c r="AE384" s="10" t="s">
        <v>2489</v>
      </c>
      <c r="AF384" s="10">
        <v>4000000</v>
      </c>
      <c r="AG384" s="10">
        <v>1</v>
      </c>
      <c r="AH384" s="10">
        <v>1</v>
      </c>
      <c r="AI384" s="10">
        <v>1</v>
      </c>
      <c r="AJ384" s="12" t="s">
        <v>1498</v>
      </c>
      <c r="AK384" s="10">
        <v>0</v>
      </c>
      <c r="AL384" s="10">
        <v>0</v>
      </c>
      <c r="AM384" s="9">
        <v>2023</v>
      </c>
      <c r="AN384" s="10">
        <v>0</v>
      </c>
      <c r="AO384" s="10">
        <v>2</v>
      </c>
      <c r="AP384" s="10"/>
      <c r="AQ384" s="5"/>
      <c r="AR384" s="5"/>
      <c r="AS384" s="4">
        <f t="shared" si="15"/>
        <v>950000</v>
      </c>
      <c r="AT384" s="4">
        <f t="shared" si="16"/>
        <v>4640000</v>
      </c>
      <c r="AU384" s="4">
        <f t="shared" si="17"/>
        <v>3360000</v>
      </c>
      <c r="AV384" s="9" t="s">
        <v>1497</v>
      </c>
      <c r="AW384" s="12" t="s">
        <v>1498</v>
      </c>
      <c r="AX384" s="10">
        <v>0</v>
      </c>
      <c r="AY384">
        <f>S384*AU384/AS384</f>
        <v>2829473.6842105263</v>
      </c>
      <c r="AZ384">
        <f>AU384-AY384</f>
        <v>530526.31578947371</v>
      </c>
      <c r="BA384" s="10">
        <v>8000000</v>
      </c>
      <c r="BB384" s="10">
        <v>0</v>
      </c>
      <c r="BC384" s="9" t="s">
        <v>42</v>
      </c>
      <c r="BD384" s="9">
        <v>10421</v>
      </c>
      <c r="BE384" t="s">
        <v>46</v>
      </c>
    </row>
    <row r="385" spans="1:57" ht="270.75" thickBot="1" x14ac:dyDescent="0.3">
      <c r="A385" s="9" t="s">
        <v>1495</v>
      </c>
      <c r="B385" s="9">
        <v>3001</v>
      </c>
      <c r="C385" s="10">
        <v>2</v>
      </c>
      <c r="D385" s="9" t="s">
        <v>37</v>
      </c>
      <c r="E385" s="14">
        <v>46242.523622685185</v>
      </c>
      <c r="F385" s="9" t="s">
        <v>1496</v>
      </c>
      <c r="G385" s="9" t="s">
        <v>39</v>
      </c>
      <c r="H385" s="9">
        <v>53</v>
      </c>
      <c r="I385" s="9" t="s">
        <v>40</v>
      </c>
      <c r="J385" s="9">
        <v>5309</v>
      </c>
      <c r="K385" s="9" t="s">
        <v>41</v>
      </c>
      <c r="L385" s="9">
        <v>5309062</v>
      </c>
      <c r="M385" s="9">
        <v>5309062006</v>
      </c>
      <c r="N385" s="9" t="s">
        <v>42</v>
      </c>
      <c r="O385" s="9">
        <v>10421</v>
      </c>
      <c r="P385" s="9" t="s">
        <v>1499</v>
      </c>
      <c r="Q385" s="10">
        <v>4</v>
      </c>
      <c r="R385" s="10">
        <v>300000</v>
      </c>
      <c r="S385" s="10">
        <v>150000</v>
      </c>
      <c r="T385" s="10">
        <v>0</v>
      </c>
      <c r="U385" s="10">
        <v>150000</v>
      </c>
      <c r="V385" s="10">
        <v>0</v>
      </c>
      <c r="W385" s="10">
        <v>600000</v>
      </c>
      <c r="X385" s="10">
        <v>9800000</v>
      </c>
      <c r="Y385" s="10">
        <v>0</v>
      </c>
      <c r="Z385" s="10">
        <v>9500000</v>
      </c>
      <c r="AA385" s="10">
        <v>2400000</v>
      </c>
      <c r="AB385" s="10">
        <v>9800000</v>
      </c>
      <c r="AC385" s="10">
        <v>0</v>
      </c>
      <c r="AD385" s="9" t="s">
        <v>44</v>
      </c>
      <c r="AE385" s="10" t="s">
        <v>2490</v>
      </c>
      <c r="AF385" s="10">
        <v>2450000</v>
      </c>
      <c r="AG385" s="10">
        <v>1</v>
      </c>
      <c r="AH385" s="10">
        <v>1</v>
      </c>
      <c r="AI385" s="10">
        <v>1</v>
      </c>
      <c r="AJ385" s="12" t="s">
        <v>1498</v>
      </c>
      <c r="AK385" s="10">
        <v>0</v>
      </c>
      <c r="AL385" s="10">
        <v>0</v>
      </c>
      <c r="AM385" s="9">
        <v>2002</v>
      </c>
      <c r="AN385" s="10">
        <v>2</v>
      </c>
      <c r="AO385" s="10">
        <v>2</v>
      </c>
      <c r="AP385" s="10"/>
      <c r="AQ385" s="5"/>
      <c r="AR385" s="5"/>
      <c r="AS385" s="4">
        <f t="shared" si="15"/>
        <v>300000</v>
      </c>
      <c r="AT385" s="4">
        <f t="shared" si="16"/>
        <v>5683998.5640424676</v>
      </c>
      <c r="AU385" s="4">
        <f t="shared" si="17"/>
        <v>4116001.4359575324</v>
      </c>
      <c r="AV385" s="9" t="s">
        <v>1499</v>
      </c>
      <c r="AW385" s="12" t="s">
        <v>1498</v>
      </c>
      <c r="AX385" s="10">
        <v>0</v>
      </c>
      <c r="AY385">
        <f>S385*AU385/AS385</f>
        <v>2058000.7179787662</v>
      </c>
      <c r="AZ385">
        <f>AU385-AY385</f>
        <v>2058000.7179787662</v>
      </c>
      <c r="BA385" s="10">
        <v>9800000</v>
      </c>
      <c r="BB385" s="10">
        <v>0</v>
      </c>
      <c r="BC385" s="9" t="s">
        <v>42</v>
      </c>
      <c r="BD385" s="9">
        <v>10421</v>
      </c>
      <c r="BE385" t="s">
        <v>46</v>
      </c>
    </row>
    <row r="386" spans="1:57" ht="270.75" thickBot="1" x14ac:dyDescent="0.3">
      <c r="A386" s="9" t="s">
        <v>1500</v>
      </c>
      <c r="B386" s="9">
        <v>3001</v>
      </c>
      <c r="C386" s="10">
        <v>2</v>
      </c>
      <c r="D386" s="9" t="s">
        <v>37</v>
      </c>
      <c r="E386" s="11">
        <v>46240.984280925928</v>
      </c>
      <c r="F386" s="9" t="s">
        <v>1501</v>
      </c>
      <c r="G386" s="9" t="s">
        <v>39</v>
      </c>
      <c r="H386" s="9">
        <v>53</v>
      </c>
      <c r="I386" s="9" t="s">
        <v>40</v>
      </c>
      <c r="J386" s="9">
        <v>5309</v>
      </c>
      <c r="K386" s="9" t="s">
        <v>41</v>
      </c>
      <c r="L386" s="9">
        <v>5309062</v>
      </c>
      <c r="M386" s="9">
        <v>5309062007</v>
      </c>
      <c r="N386" s="9" t="s">
        <v>42</v>
      </c>
      <c r="O386" s="9">
        <v>10421</v>
      </c>
      <c r="P386" s="9" t="s">
        <v>1502</v>
      </c>
      <c r="Q386" s="10">
        <v>3</v>
      </c>
      <c r="R386" s="10">
        <v>950000</v>
      </c>
      <c r="S386" s="10">
        <v>100000</v>
      </c>
      <c r="T386" s="10">
        <v>0</v>
      </c>
      <c r="U386" s="10">
        <v>200000</v>
      </c>
      <c r="V386" s="10">
        <v>0</v>
      </c>
      <c r="W386" s="10">
        <v>1250000</v>
      </c>
      <c r="X386" s="10">
        <v>12100000</v>
      </c>
      <c r="Y386" s="10">
        <v>0</v>
      </c>
      <c r="Z386" s="10">
        <v>11800000</v>
      </c>
      <c r="AA386" s="10">
        <v>8300000</v>
      </c>
      <c r="AB386" s="10">
        <v>12100000</v>
      </c>
      <c r="AC386" s="10">
        <v>0</v>
      </c>
      <c r="AD386" s="9" t="s">
        <v>44</v>
      </c>
      <c r="AE386" s="10" t="s">
        <v>2491</v>
      </c>
      <c r="AF386" s="13">
        <v>4033333333</v>
      </c>
      <c r="AG386" s="10">
        <v>1</v>
      </c>
      <c r="AH386" s="10">
        <v>1</v>
      </c>
      <c r="AI386" s="10">
        <v>1</v>
      </c>
      <c r="AJ386" s="12" t="s">
        <v>1503</v>
      </c>
      <c r="AK386" s="10">
        <v>0</v>
      </c>
      <c r="AL386" s="10">
        <v>0</v>
      </c>
      <c r="AM386" s="9">
        <v>1998</v>
      </c>
      <c r="AN386" s="10">
        <v>1</v>
      </c>
      <c r="AO386" s="10">
        <v>2</v>
      </c>
      <c r="AP386" s="10"/>
      <c r="AQ386" s="5"/>
      <c r="AR386" s="5"/>
      <c r="AS386" s="4">
        <f t="shared" si="15"/>
        <v>300000</v>
      </c>
      <c r="AT386" s="4">
        <f t="shared" si="16"/>
        <v>7017997.2046960276</v>
      </c>
      <c r="AU386" s="4">
        <f t="shared" si="17"/>
        <v>5082002.7953039724</v>
      </c>
      <c r="AV386" s="9" t="s">
        <v>1502</v>
      </c>
      <c r="AW386" s="12" t="s">
        <v>1503</v>
      </c>
      <c r="AX386" s="10">
        <v>0</v>
      </c>
      <c r="AY386">
        <f>S386*AU386/AS386</f>
        <v>1694000.9317679908</v>
      </c>
      <c r="AZ386">
        <f>AU386-AY386</f>
        <v>3388001.8635359816</v>
      </c>
      <c r="BA386" s="10">
        <v>12100000</v>
      </c>
      <c r="BB386" s="10">
        <v>0</v>
      </c>
      <c r="BC386" s="9" t="s">
        <v>42</v>
      </c>
      <c r="BD386" s="9">
        <v>10421</v>
      </c>
      <c r="BE386" t="s">
        <v>46</v>
      </c>
    </row>
    <row r="387" spans="1:57" ht="270.75" thickBot="1" x14ac:dyDescent="0.3">
      <c r="A387" s="9" t="s">
        <v>1504</v>
      </c>
      <c r="B387" s="9">
        <v>3001</v>
      </c>
      <c r="C387" s="10">
        <v>2</v>
      </c>
      <c r="D387" s="9" t="s">
        <v>37</v>
      </c>
      <c r="E387" s="11">
        <v>46227.267225925927</v>
      </c>
      <c r="F387" s="9" t="s">
        <v>1505</v>
      </c>
      <c r="G387" s="9" t="s">
        <v>39</v>
      </c>
      <c r="H387" s="9">
        <v>53</v>
      </c>
      <c r="I387" s="9" t="s">
        <v>40</v>
      </c>
      <c r="J387" s="9">
        <v>5309</v>
      </c>
      <c r="K387" s="9" t="s">
        <v>41</v>
      </c>
      <c r="L387" s="9">
        <v>5309062</v>
      </c>
      <c r="M387" s="9">
        <v>5309062007</v>
      </c>
      <c r="N387" s="9" t="s">
        <v>42</v>
      </c>
      <c r="O387" s="9">
        <v>10421</v>
      </c>
      <c r="P387" s="9" t="s">
        <v>1506</v>
      </c>
      <c r="Q387" s="10">
        <v>2</v>
      </c>
      <c r="R387" s="10">
        <v>0</v>
      </c>
      <c r="S387" s="10">
        <v>150000</v>
      </c>
      <c r="T387" s="10">
        <v>0</v>
      </c>
      <c r="U387" s="10">
        <v>300000</v>
      </c>
      <c r="V387" s="10">
        <v>0</v>
      </c>
      <c r="W387" s="10">
        <v>450000</v>
      </c>
      <c r="X387" s="10">
        <v>19200000</v>
      </c>
      <c r="Y387" s="10">
        <v>1000000</v>
      </c>
      <c r="Z387" s="10">
        <v>18750000</v>
      </c>
      <c r="AA387" s="10">
        <v>9000000</v>
      </c>
      <c r="AB387" s="10">
        <v>19200000</v>
      </c>
      <c r="AC387" s="10">
        <v>0</v>
      </c>
      <c r="AD387" s="9" t="s">
        <v>44</v>
      </c>
      <c r="AE387" s="10" t="s">
        <v>2492</v>
      </c>
      <c r="AF387" s="10">
        <v>9600000</v>
      </c>
      <c r="AG387" s="10">
        <v>1</v>
      </c>
      <c r="AH387" s="10">
        <v>1</v>
      </c>
      <c r="AI387" s="10">
        <v>1</v>
      </c>
      <c r="AJ387" s="12" t="s">
        <v>1507</v>
      </c>
      <c r="AK387" s="10">
        <v>0</v>
      </c>
      <c r="AL387" s="10">
        <v>0</v>
      </c>
      <c r="AM387" s="9">
        <v>2021</v>
      </c>
      <c r="AN387" s="10">
        <v>0</v>
      </c>
      <c r="AO387" s="10">
        <v>2</v>
      </c>
      <c r="AP387" s="10"/>
      <c r="AQ387" s="5"/>
      <c r="AR387" s="5"/>
      <c r="AS387" s="4">
        <f t="shared" ref="AS387:AS450" si="18">AB387-Z387</f>
        <v>450000</v>
      </c>
      <c r="AT387" s="4">
        <f t="shared" ref="AT387:AT450" si="19">IF(AE387&gt;0.61,(Z387*0.58/AE387),IF(AE387&lt;0.15,(Z387*0.2/AE387),Z387))</f>
        <v>11135994.29837092</v>
      </c>
      <c r="AU387" s="4">
        <f t="shared" ref="AU387:AU450" si="20">AB387-AT387</f>
        <v>8064005.7016290799</v>
      </c>
      <c r="AV387" s="9" t="s">
        <v>1506</v>
      </c>
      <c r="AW387" s="12" t="s">
        <v>1507</v>
      </c>
      <c r="AX387" s="10">
        <v>0</v>
      </c>
      <c r="AY387">
        <f>S387*AU387/AS387</f>
        <v>2688001.9005430266</v>
      </c>
      <c r="AZ387">
        <f>AU387-AY387</f>
        <v>5376003.8010860533</v>
      </c>
      <c r="BA387" s="10">
        <v>19200000</v>
      </c>
      <c r="BB387" s="10">
        <v>1000000</v>
      </c>
      <c r="BC387" s="9" t="s">
        <v>42</v>
      </c>
      <c r="BD387" s="9">
        <v>10421</v>
      </c>
      <c r="BE387" t="s">
        <v>46</v>
      </c>
    </row>
    <row r="388" spans="1:57" ht="255.75" thickBot="1" x14ac:dyDescent="0.3">
      <c r="A388" s="9" t="s">
        <v>1508</v>
      </c>
      <c r="B388" s="9">
        <v>1002</v>
      </c>
      <c r="C388" s="10">
        <v>2</v>
      </c>
      <c r="D388" s="9" t="s">
        <v>37</v>
      </c>
      <c r="E388" s="11">
        <v>46224.265282870372</v>
      </c>
      <c r="F388" s="9" t="s">
        <v>1509</v>
      </c>
      <c r="G388" s="9" t="s">
        <v>39</v>
      </c>
      <c r="H388" s="9">
        <v>53</v>
      </c>
      <c r="I388" s="9" t="s">
        <v>40</v>
      </c>
      <c r="J388" s="9">
        <v>5309</v>
      </c>
      <c r="K388" s="9" t="s">
        <v>41</v>
      </c>
      <c r="L388" s="9">
        <v>5309062</v>
      </c>
      <c r="M388" s="9">
        <v>5309062006</v>
      </c>
      <c r="N388" s="9" t="s">
        <v>42</v>
      </c>
      <c r="O388" s="9">
        <v>10421</v>
      </c>
      <c r="P388" s="9" t="s">
        <v>1510</v>
      </c>
      <c r="Q388" s="10">
        <v>1</v>
      </c>
      <c r="R388" s="10">
        <v>0</v>
      </c>
      <c r="S388" s="10">
        <v>200000</v>
      </c>
      <c r="T388" s="10">
        <v>0</v>
      </c>
      <c r="U388" s="10">
        <v>150000</v>
      </c>
      <c r="V388" s="10">
        <v>0</v>
      </c>
      <c r="W388" s="10">
        <v>350000</v>
      </c>
      <c r="X388" s="10">
        <v>2520000</v>
      </c>
      <c r="Y388" s="10">
        <v>0</v>
      </c>
      <c r="Z388" s="10">
        <v>2170000</v>
      </c>
      <c r="AA388" s="10">
        <v>3500000</v>
      </c>
      <c r="AB388" s="10">
        <v>2520000</v>
      </c>
      <c r="AC388" s="10">
        <v>0</v>
      </c>
      <c r="AD388" s="9" t="s">
        <v>44</v>
      </c>
      <c r="AE388" s="10" t="s">
        <v>2493</v>
      </c>
      <c r="AF388" s="10">
        <v>2520000</v>
      </c>
      <c r="AG388" s="10">
        <v>1</v>
      </c>
      <c r="AH388" s="10">
        <v>1</v>
      </c>
      <c r="AI388" s="10">
        <v>1</v>
      </c>
      <c r="AJ388" s="12" t="s">
        <v>1511</v>
      </c>
      <c r="AK388" s="10">
        <v>0</v>
      </c>
      <c r="AL388" s="10">
        <v>0</v>
      </c>
      <c r="AM388" s="9">
        <v>2022</v>
      </c>
      <c r="AN388" s="10">
        <v>0</v>
      </c>
      <c r="AO388" s="10">
        <v>1</v>
      </c>
      <c r="AP388" s="10"/>
      <c r="AQ388" s="5"/>
      <c r="AR388" s="5"/>
      <c r="AS388" s="4">
        <f t="shared" si="18"/>
        <v>350000</v>
      </c>
      <c r="AT388" s="4">
        <f t="shared" si="19"/>
        <v>1461600.1885935727</v>
      </c>
      <c r="AU388" s="4">
        <f t="shared" si="20"/>
        <v>1058399.8114064273</v>
      </c>
      <c r="AV388" s="9" t="s">
        <v>1510</v>
      </c>
      <c r="AW388" s="12" t="s">
        <v>1511</v>
      </c>
      <c r="AX388" s="10">
        <v>0</v>
      </c>
      <c r="AY388">
        <f>S388*AU388/AS388</f>
        <v>604799.89223224414</v>
      </c>
      <c r="AZ388">
        <f>AU388-AY388</f>
        <v>453599.91917418316</v>
      </c>
      <c r="BA388" s="10">
        <v>2520000</v>
      </c>
      <c r="BB388" s="10">
        <v>0</v>
      </c>
      <c r="BC388" s="9" t="s">
        <v>42</v>
      </c>
      <c r="BD388" s="9">
        <v>10421</v>
      </c>
      <c r="BE388" t="s">
        <v>46</v>
      </c>
    </row>
    <row r="389" spans="1:57" ht="255.75" thickBot="1" x14ac:dyDescent="0.3">
      <c r="A389" s="9" t="s">
        <v>1512</v>
      </c>
      <c r="B389" s="9">
        <v>3001</v>
      </c>
      <c r="C389" s="10">
        <v>2</v>
      </c>
      <c r="D389" s="9" t="s">
        <v>37</v>
      </c>
      <c r="E389" s="14">
        <v>46217.658888888887</v>
      </c>
      <c r="F389" s="9" t="s">
        <v>1513</v>
      </c>
      <c r="G389" s="9" t="s">
        <v>39</v>
      </c>
      <c r="H389" s="9">
        <v>53</v>
      </c>
      <c r="I389" s="9" t="s">
        <v>40</v>
      </c>
      <c r="J389" s="9">
        <v>5309</v>
      </c>
      <c r="K389" s="9" t="s">
        <v>41</v>
      </c>
      <c r="L389" s="9">
        <v>5309062</v>
      </c>
      <c r="M389" s="9">
        <v>5309062012</v>
      </c>
      <c r="N389" s="9" t="s">
        <v>42</v>
      </c>
      <c r="O389" s="9">
        <v>10421</v>
      </c>
      <c r="P389" s="9" t="s">
        <v>1514</v>
      </c>
      <c r="Q389" s="10">
        <v>3</v>
      </c>
      <c r="R389" s="10">
        <v>200000</v>
      </c>
      <c r="S389" s="10">
        <v>200000</v>
      </c>
      <c r="T389" s="10">
        <v>0</v>
      </c>
      <c r="U389" s="10">
        <v>100000</v>
      </c>
      <c r="V389" s="10">
        <v>0</v>
      </c>
      <c r="W389" s="10">
        <v>500000</v>
      </c>
      <c r="X389" s="10">
        <v>3500000</v>
      </c>
      <c r="Y389" s="10">
        <v>500000</v>
      </c>
      <c r="Z389" s="10">
        <v>3200000</v>
      </c>
      <c r="AA389" s="10">
        <v>3600000</v>
      </c>
      <c r="AB389" s="10">
        <v>3500000</v>
      </c>
      <c r="AC389" s="10">
        <v>0</v>
      </c>
      <c r="AD389" s="9" t="s">
        <v>44</v>
      </c>
      <c r="AE389" s="10" t="s">
        <v>2494</v>
      </c>
      <c r="AF389" s="13">
        <v>1166666667</v>
      </c>
      <c r="AG389" s="10">
        <v>1</v>
      </c>
      <c r="AH389" s="10">
        <v>1</v>
      </c>
      <c r="AI389" s="10">
        <v>1</v>
      </c>
      <c r="AJ389" s="12" t="s">
        <v>1515</v>
      </c>
      <c r="AK389" s="10">
        <v>0</v>
      </c>
      <c r="AL389" s="10">
        <v>0</v>
      </c>
      <c r="AM389" s="9">
        <v>2023</v>
      </c>
      <c r="AN389" s="10">
        <v>1</v>
      </c>
      <c r="AO389" s="10">
        <v>2</v>
      </c>
      <c r="AP389" s="10"/>
      <c r="AQ389" s="5"/>
      <c r="AR389" s="5"/>
      <c r="AS389" s="4">
        <f t="shared" si="18"/>
        <v>300000</v>
      </c>
      <c r="AT389" s="4">
        <f t="shared" si="19"/>
        <v>2029999.365625198</v>
      </c>
      <c r="AU389" s="4">
        <f t="shared" si="20"/>
        <v>1470000.634374802</v>
      </c>
      <c r="AV389" s="9" t="s">
        <v>1514</v>
      </c>
      <c r="AW389" s="12" t="s">
        <v>1515</v>
      </c>
      <c r="AX389" s="10">
        <v>0</v>
      </c>
      <c r="AY389">
        <f>S389*AU389/AS389</f>
        <v>980000.42291653459</v>
      </c>
      <c r="AZ389">
        <f>AU389-AY389</f>
        <v>490000.21145826741</v>
      </c>
      <c r="BA389" s="10">
        <v>3500000</v>
      </c>
      <c r="BB389" s="10">
        <v>500000</v>
      </c>
      <c r="BC389" s="9" t="s">
        <v>42</v>
      </c>
      <c r="BD389" s="9">
        <v>10421</v>
      </c>
      <c r="BE389" t="s">
        <v>46</v>
      </c>
    </row>
    <row r="390" spans="1:57" ht="270.75" thickBot="1" x14ac:dyDescent="0.3">
      <c r="A390" s="9" t="s">
        <v>1516</v>
      </c>
      <c r="B390" s="9">
        <v>3002</v>
      </c>
      <c r="C390" s="10">
        <v>2</v>
      </c>
      <c r="D390" s="9" t="s">
        <v>84</v>
      </c>
      <c r="E390" s="11">
        <v>46309.345781898148</v>
      </c>
      <c r="F390" s="9" t="s">
        <v>1517</v>
      </c>
      <c r="G390" s="9" t="s">
        <v>39</v>
      </c>
      <c r="H390" s="9">
        <v>53</v>
      </c>
      <c r="I390" s="9" t="s">
        <v>40</v>
      </c>
      <c r="J390" s="9">
        <v>5309</v>
      </c>
      <c r="K390" s="9" t="s">
        <v>41</v>
      </c>
      <c r="L390" s="9">
        <v>5309062</v>
      </c>
      <c r="M390" s="9">
        <v>5309062007</v>
      </c>
      <c r="N390" s="9" t="s">
        <v>42</v>
      </c>
      <c r="O390" s="9">
        <v>10421</v>
      </c>
      <c r="P390" s="9" t="s">
        <v>1518</v>
      </c>
      <c r="Q390" s="10">
        <v>2</v>
      </c>
      <c r="R390" s="10">
        <v>0</v>
      </c>
      <c r="S390" s="10">
        <v>150000</v>
      </c>
      <c r="T390" s="10">
        <v>0</v>
      </c>
      <c r="U390" s="10">
        <v>0</v>
      </c>
      <c r="V390" s="10">
        <v>0</v>
      </c>
      <c r="W390" s="10">
        <v>150000</v>
      </c>
      <c r="X390" s="10">
        <v>7250000</v>
      </c>
      <c r="Y390" s="10">
        <v>500000</v>
      </c>
      <c r="Z390" s="10">
        <v>7100000</v>
      </c>
      <c r="AA390" s="10">
        <v>6000000</v>
      </c>
      <c r="AB390" s="10">
        <v>7250000</v>
      </c>
      <c r="AC390" s="10">
        <v>0</v>
      </c>
      <c r="AD390" s="9" t="s">
        <v>44</v>
      </c>
      <c r="AE390" s="10" t="s">
        <v>2495</v>
      </c>
      <c r="AF390" s="10">
        <v>3625000</v>
      </c>
      <c r="AG390" s="10">
        <v>1</v>
      </c>
      <c r="AH390" s="10">
        <v>1</v>
      </c>
      <c r="AI390" s="10">
        <v>1</v>
      </c>
      <c r="AJ390" s="12" t="s">
        <v>1519</v>
      </c>
      <c r="AK390" s="10">
        <v>0</v>
      </c>
      <c r="AL390" s="10">
        <v>0</v>
      </c>
      <c r="AM390" s="9">
        <v>2025</v>
      </c>
      <c r="AN390" s="10">
        <v>0</v>
      </c>
      <c r="AO390" s="10">
        <v>2</v>
      </c>
      <c r="AP390" s="10"/>
      <c r="AQ390" s="5"/>
      <c r="AR390" s="5"/>
      <c r="AS390" s="4">
        <f t="shared" si="18"/>
        <v>150000</v>
      </c>
      <c r="AT390" s="4">
        <f t="shared" si="19"/>
        <v>4205001.4806343233</v>
      </c>
      <c r="AU390" s="4">
        <f t="shared" si="20"/>
        <v>3044998.5193656767</v>
      </c>
      <c r="AV390" s="9" t="s">
        <v>1518</v>
      </c>
      <c r="AW390" s="12" t="s">
        <v>1519</v>
      </c>
      <c r="AX390" s="10">
        <v>0</v>
      </c>
      <c r="AY390">
        <f>S390*AU390/AS390</f>
        <v>3044998.5193656767</v>
      </c>
      <c r="AZ390">
        <f>AU390-AY390</f>
        <v>0</v>
      </c>
      <c r="BA390" s="10">
        <v>7250000</v>
      </c>
      <c r="BB390" s="10">
        <v>500000</v>
      </c>
      <c r="BC390" s="9" t="s">
        <v>42</v>
      </c>
      <c r="BD390" s="9">
        <v>10421</v>
      </c>
      <c r="BE390" t="s">
        <v>46</v>
      </c>
    </row>
    <row r="391" spans="1:57" ht="270.75" thickBot="1" x14ac:dyDescent="0.3">
      <c r="A391" s="9" t="s">
        <v>1520</v>
      </c>
      <c r="B391" s="9">
        <v>3001</v>
      </c>
      <c r="C391" s="10">
        <v>2</v>
      </c>
      <c r="D391" s="9" t="s">
        <v>37</v>
      </c>
      <c r="E391" s="11">
        <v>46259.299520243054</v>
      </c>
      <c r="F391" s="9" t="s">
        <v>1521</v>
      </c>
      <c r="G391" s="9" t="s">
        <v>39</v>
      </c>
      <c r="H391" s="9">
        <v>53</v>
      </c>
      <c r="I391" s="9" t="s">
        <v>40</v>
      </c>
      <c r="J391" s="9">
        <v>5309</v>
      </c>
      <c r="K391" s="9" t="s">
        <v>41</v>
      </c>
      <c r="L391" s="9">
        <v>5309074</v>
      </c>
      <c r="M391" s="9">
        <v>5309074002</v>
      </c>
      <c r="N391" s="9" t="s">
        <v>42</v>
      </c>
      <c r="O391" s="9">
        <v>10421</v>
      </c>
      <c r="P391" s="9" t="s">
        <v>49</v>
      </c>
      <c r="Q391" s="10">
        <v>2</v>
      </c>
      <c r="R391" s="10">
        <v>1200000</v>
      </c>
      <c r="S391" s="10">
        <v>1000000</v>
      </c>
      <c r="T391" s="10">
        <v>0</v>
      </c>
      <c r="U391" s="10">
        <v>500000</v>
      </c>
      <c r="V391" s="10">
        <v>0</v>
      </c>
      <c r="W391" s="10">
        <v>2700000</v>
      </c>
      <c r="X391" s="10">
        <v>6000000</v>
      </c>
      <c r="Y391" s="10">
        <v>0</v>
      </c>
      <c r="Z391" s="10">
        <v>4500000</v>
      </c>
      <c r="AA391" s="10">
        <v>3850000</v>
      </c>
      <c r="AB391" s="10">
        <v>6000000</v>
      </c>
      <c r="AC391" s="10">
        <v>0</v>
      </c>
      <c r="AD391" s="9" t="s">
        <v>44</v>
      </c>
      <c r="AE391" s="10" t="s">
        <v>77</v>
      </c>
      <c r="AF391" s="10">
        <v>3000000</v>
      </c>
      <c r="AG391" s="10">
        <v>1</v>
      </c>
      <c r="AH391" s="10">
        <v>1</v>
      </c>
      <c r="AI391" s="10">
        <v>1</v>
      </c>
      <c r="AJ391" s="12" t="s">
        <v>1522</v>
      </c>
      <c r="AK391" s="10">
        <v>0</v>
      </c>
      <c r="AL391" s="10">
        <v>0</v>
      </c>
      <c r="AM391" s="9">
        <v>1989</v>
      </c>
      <c r="AN391" s="10">
        <v>1</v>
      </c>
      <c r="AO391" s="10">
        <v>1</v>
      </c>
      <c r="AP391" s="10"/>
      <c r="AQ391" s="5"/>
      <c r="AR391" s="5"/>
      <c r="AS391" s="4">
        <f t="shared" si="18"/>
        <v>1500000</v>
      </c>
      <c r="AT391" s="4">
        <f t="shared" si="19"/>
        <v>3480000</v>
      </c>
      <c r="AU391" s="4">
        <f t="shared" si="20"/>
        <v>2520000</v>
      </c>
      <c r="AV391" s="9" t="s">
        <v>49</v>
      </c>
      <c r="AW391" s="12" t="s">
        <v>1522</v>
      </c>
      <c r="AX391" s="10">
        <v>0</v>
      </c>
      <c r="AY391">
        <f>S391*AU391/AS391</f>
        <v>1680000</v>
      </c>
      <c r="AZ391">
        <f>AU391-AY391</f>
        <v>840000</v>
      </c>
      <c r="BA391" s="10">
        <v>6000000</v>
      </c>
      <c r="BB391" s="10">
        <v>0</v>
      </c>
      <c r="BC391" s="9" t="s">
        <v>42</v>
      </c>
      <c r="BD391" s="9">
        <v>10421</v>
      </c>
      <c r="BE391" t="s">
        <v>46</v>
      </c>
    </row>
    <row r="392" spans="1:57" ht="270.75" thickBot="1" x14ac:dyDescent="0.3">
      <c r="A392" s="9" t="s">
        <v>1523</v>
      </c>
      <c r="B392" s="9">
        <v>3001</v>
      </c>
      <c r="C392" s="10">
        <v>2</v>
      </c>
      <c r="D392" s="9" t="s">
        <v>84</v>
      </c>
      <c r="E392" s="11">
        <v>46308.541957060188</v>
      </c>
      <c r="F392" s="9" t="s">
        <v>1524</v>
      </c>
      <c r="G392" s="9" t="s">
        <v>39</v>
      </c>
      <c r="H392" s="9">
        <v>53</v>
      </c>
      <c r="I392" s="9" t="s">
        <v>40</v>
      </c>
      <c r="J392" s="9">
        <v>5309</v>
      </c>
      <c r="K392" s="9" t="s">
        <v>41</v>
      </c>
      <c r="L392" s="9">
        <v>5309062</v>
      </c>
      <c r="M392" s="9">
        <v>5309062004</v>
      </c>
      <c r="N392" s="9" t="s">
        <v>42</v>
      </c>
      <c r="O392" s="9">
        <v>10421</v>
      </c>
      <c r="P392" s="9" t="s">
        <v>1525</v>
      </c>
      <c r="Q392" s="10">
        <v>4</v>
      </c>
      <c r="R392" s="10">
        <v>400000</v>
      </c>
      <c r="S392" s="10">
        <v>250000</v>
      </c>
      <c r="T392" s="10">
        <v>0</v>
      </c>
      <c r="U392" s="10">
        <v>150000</v>
      </c>
      <c r="V392" s="10">
        <v>20000</v>
      </c>
      <c r="W392" s="10">
        <v>820000</v>
      </c>
      <c r="X392" s="10">
        <v>12600000</v>
      </c>
      <c r="Y392" s="10">
        <v>500000</v>
      </c>
      <c r="Z392" s="10">
        <v>12200000</v>
      </c>
      <c r="AA392" s="10">
        <v>5100000</v>
      </c>
      <c r="AB392" s="10">
        <v>12600000</v>
      </c>
      <c r="AC392" s="10">
        <v>0</v>
      </c>
      <c r="AD392" s="9" t="s">
        <v>44</v>
      </c>
      <c r="AE392" s="10" t="s">
        <v>2496</v>
      </c>
      <c r="AF392" s="10">
        <v>3150000</v>
      </c>
      <c r="AG392" s="10">
        <v>1</v>
      </c>
      <c r="AH392" s="10">
        <v>1</v>
      </c>
      <c r="AI392" s="10">
        <v>1</v>
      </c>
      <c r="AJ392" s="12" t="s">
        <v>1526</v>
      </c>
      <c r="AK392" s="10">
        <v>0</v>
      </c>
      <c r="AL392" s="10">
        <v>0</v>
      </c>
      <c r="AM392" s="9">
        <v>2012</v>
      </c>
      <c r="AN392" s="10">
        <v>2</v>
      </c>
      <c r="AO392" s="10">
        <v>2</v>
      </c>
      <c r="AP392" s="10"/>
      <c r="AQ392" s="5"/>
      <c r="AR392" s="5"/>
      <c r="AS392" s="4">
        <f t="shared" si="18"/>
        <v>400000</v>
      </c>
      <c r="AT392" s="4">
        <f t="shared" si="19"/>
        <v>7307999.76039345</v>
      </c>
      <c r="AU392" s="4">
        <f t="shared" si="20"/>
        <v>5292000.23960655</v>
      </c>
      <c r="AV392" s="9" t="s">
        <v>1525</v>
      </c>
      <c r="AW392" s="12" t="s">
        <v>1526</v>
      </c>
      <c r="AX392" s="10">
        <v>0</v>
      </c>
      <c r="AY392">
        <f>S392*AU392/AS392</f>
        <v>3307500.1497540935</v>
      </c>
      <c r="AZ392">
        <f>AU392-AY392</f>
        <v>1984500.0898524565</v>
      </c>
      <c r="BA392" s="10">
        <v>12600000</v>
      </c>
      <c r="BB392" s="10">
        <v>500000</v>
      </c>
      <c r="BC392" s="9" t="s">
        <v>42</v>
      </c>
      <c r="BD392" s="9">
        <v>10421</v>
      </c>
      <c r="BE392" t="s">
        <v>46</v>
      </c>
    </row>
    <row r="393" spans="1:57" ht="270.75" thickBot="1" x14ac:dyDescent="0.3">
      <c r="A393" s="9" t="s">
        <v>1527</v>
      </c>
      <c r="B393" s="9">
        <v>3001</v>
      </c>
      <c r="C393" s="10">
        <v>2</v>
      </c>
      <c r="D393" s="9" t="s">
        <v>37</v>
      </c>
      <c r="E393" s="14">
        <v>46227.307384259257</v>
      </c>
      <c r="F393" s="9" t="s">
        <v>1528</v>
      </c>
      <c r="G393" s="9" t="s">
        <v>39</v>
      </c>
      <c r="H393" s="9">
        <v>53</v>
      </c>
      <c r="I393" s="9" t="s">
        <v>40</v>
      </c>
      <c r="J393" s="9">
        <v>5309</v>
      </c>
      <c r="K393" s="9" t="s">
        <v>41</v>
      </c>
      <c r="L393" s="9">
        <v>5309062</v>
      </c>
      <c r="M393" s="9">
        <v>5309062007</v>
      </c>
      <c r="N393" s="9" t="s">
        <v>42</v>
      </c>
      <c r="O393" s="9">
        <v>10421</v>
      </c>
      <c r="P393" s="9" t="s">
        <v>1529</v>
      </c>
      <c r="Q393" s="10">
        <v>2</v>
      </c>
      <c r="R393" s="10">
        <v>300000</v>
      </c>
      <c r="S393" s="10">
        <v>200000</v>
      </c>
      <c r="T393" s="10">
        <v>0</v>
      </c>
      <c r="U393" s="10">
        <v>170000</v>
      </c>
      <c r="V393" s="10">
        <v>0</v>
      </c>
      <c r="W393" s="10">
        <v>670000</v>
      </c>
      <c r="X393" s="10">
        <v>13340000</v>
      </c>
      <c r="Y393" s="10">
        <v>700000</v>
      </c>
      <c r="Z393" s="10">
        <v>12970000</v>
      </c>
      <c r="AA393" s="10">
        <v>8400000</v>
      </c>
      <c r="AB393" s="10">
        <v>13340000</v>
      </c>
      <c r="AC393" s="10">
        <v>0</v>
      </c>
      <c r="AD393" s="9" t="s">
        <v>44</v>
      </c>
      <c r="AE393" s="10" t="s">
        <v>2497</v>
      </c>
      <c r="AF393" s="10">
        <v>6670000</v>
      </c>
      <c r="AG393" s="10">
        <v>1</v>
      </c>
      <c r="AH393" s="10">
        <v>1</v>
      </c>
      <c r="AI393" s="10">
        <v>1</v>
      </c>
      <c r="AJ393" s="12" t="s">
        <v>1530</v>
      </c>
      <c r="AK393" s="10">
        <v>0</v>
      </c>
      <c r="AL393" s="10">
        <v>0</v>
      </c>
      <c r="AM393" s="9">
        <v>2001</v>
      </c>
      <c r="AN393" s="10">
        <v>1</v>
      </c>
      <c r="AO393" s="10">
        <v>1</v>
      </c>
      <c r="AP393" s="10"/>
      <c r="AQ393" s="5"/>
      <c r="AR393" s="5"/>
      <c r="AS393" s="4">
        <f t="shared" si="18"/>
        <v>370000</v>
      </c>
      <c r="AT393" s="4">
        <f t="shared" si="19"/>
        <v>7737198.950079401</v>
      </c>
      <c r="AU393" s="4">
        <f t="shared" si="20"/>
        <v>5602801.049920599</v>
      </c>
      <c r="AV393" s="9" t="s">
        <v>1529</v>
      </c>
      <c r="AW393" s="12" t="s">
        <v>1530</v>
      </c>
      <c r="AX393" s="10">
        <v>0</v>
      </c>
      <c r="AY393">
        <f>S393*AU393/AS393</f>
        <v>3028541.1080651889</v>
      </c>
      <c r="AZ393">
        <f>AU393-AY393</f>
        <v>2574259.9418554101</v>
      </c>
      <c r="BA393" s="10">
        <v>13340000</v>
      </c>
      <c r="BB393" s="10">
        <v>700000</v>
      </c>
      <c r="BC393" s="9" t="s">
        <v>42</v>
      </c>
      <c r="BD393" s="9">
        <v>10421</v>
      </c>
      <c r="BE393" t="s">
        <v>46</v>
      </c>
    </row>
    <row r="394" spans="1:57" ht="270.75" thickBot="1" x14ac:dyDescent="0.3">
      <c r="A394" s="9" t="s">
        <v>1531</v>
      </c>
      <c r="B394" s="9">
        <v>3003</v>
      </c>
      <c r="C394" s="10">
        <v>2</v>
      </c>
      <c r="D394" s="9" t="s">
        <v>113</v>
      </c>
      <c r="E394" s="11">
        <v>46280.631040972221</v>
      </c>
      <c r="F394" s="9" t="s">
        <v>1532</v>
      </c>
      <c r="G394" s="9" t="s">
        <v>39</v>
      </c>
      <c r="H394" s="9">
        <v>53</v>
      </c>
      <c r="I394" s="9" t="s">
        <v>40</v>
      </c>
      <c r="J394" s="9">
        <v>5309</v>
      </c>
      <c r="K394" s="9" t="s">
        <v>41</v>
      </c>
      <c r="L394" s="9">
        <v>5309073</v>
      </c>
      <c r="M394" s="9">
        <v>5309073001</v>
      </c>
      <c r="N394" s="9" t="s">
        <v>42</v>
      </c>
      <c r="O394" s="9">
        <v>10421</v>
      </c>
      <c r="P394" s="9" t="s">
        <v>1533</v>
      </c>
      <c r="Q394" s="10">
        <v>1</v>
      </c>
      <c r="R394" s="10">
        <v>0</v>
      </c>
      <c r="S394" s="10">
        <v>100000</v>
      </c>
      <c r="T394" s="10">
        <v>0</v>
      </c>
      <c r="U394" s="10">
        <v>300000</v>
      </c>
      <c r="V394" s="10">
        <v>120000</v>
      </c>
      <c r="W394" s="10">
        <v>520000</v>
      </c>
      <c r="X394" s="10">
        <v>6720000</v>
      </c>
      <c r="Y394" s="10">
        <v>0</v>
      </c>
      <c r="Z394" s="10">
        <v>6320000</v>
      </c>
      <c r="AA394" s="10">
        <v>55000000</v>
      </c>
      <c r="AB394" s="10">
        <v>6720000</v>
      </c>
      <c r="AC394" s="10">
        <v>0</v>
      </c>
      <c r="AD394" s="9" t="s">
        <v>44</v>
      </c>
      <c r="AE394" s="10" t="s">
        <v>2409</v>
      </c>
      <c r="AF394" s="10">
        <v>6720000</v>
      </c>
      <c r="AG394" s="10">
        <v>1</v>
      </c>
      <c r="AH394" s="10">
        <v>1</v>
      </c>
      <c r="AI394" s="10">
        <v>1</v>
      </c>
      <c r="AJ394" s="12" t="s">
        <v>1534</v>
      </c>
      <c r="AK394" s="10">
        <v>0</v>
      </c>
      <c r="AL394" s="10">
        <v>0</v>
      </c>
      <c r="AM394" s="9">
        <v>2022</v>
      </c>
      <c r="AN394" s="10">
        <v>0</v>
      </c>
      <c r="AO394" s="10">
        <v>1</v>
      </c>
      <c r="AP394" s="10"/>
      <c r="AQ394" s="5"/>
      <c r="AR394" s="5"/>
      <c r="AS394" s="4">
        <f t="shared" si="18"/>
        <v>400000</v>
      </c>
      <c r="AT394" s="4">
        <f t="shared" si="19"/>
        <v>3897600.7893875013</v>
      </c>
      <c r="AU394" s="4">
        <f t="shared" si="20"/>
        <v>2822399.2106124987</v>
      </c>
      <c r="AV394" s="9" t="s">
        <v>1533</v>
      </c>
      <c r="AW394" s="12" t="s">
        <v>1534</v>
      </c>
      <c r="AX394" s="10">
        <v>0</v>
      </c>
      <c r="AY394">
        <f>S394*AU394/AS394</f>
        <v>705599.80265312467</v>
      </c>
      <c r="AZ394">
        <f>AU394-AY394</f>
        <v>2116799.4079593741</v>
      </c>
      <c r="BA394" s="10">
        <v>6720000</v>
      </c>
      <c r="BB394" s="10">
        <v>0</v>
      </c>
      <c r="BC394" s="9" t="s">
        <v>42</v>
      </c>
      <c r="BD394" s="9">
        <v>10421</v>
      </c>
      <c r="BE394" t="s">
        <v>46</v>
      </c>
    </row>
    <row r="395" spans="1:57" ht="270.75" thickBot="1" x14ac:dyDescent="0.3">
      <c r="A395" s="9" t="s">
        <v>1535</v>
      </c>
      <c r="B395" s="9">
        <v>3002</v>
      </c>
      <c r="C395" s="10">
        <v>2</v>
      </c>
      <c r="D395" s="9" t="s">
        <v>37</v>
      </c>
      <c r="E395" s="11">
        <v>46258.979647534725</v>
      </c>
      <c r="F395" s="9" t="s">
        <v>1536</v>
      </c>
      <c r="G395" s="9" t="s">
        <v>39</v>
      </c>
      <c r="H395" s="9">
        <v>53</v>
      </c>
      <c r="I395" s="9" t="s">
        <v>40</v>
      </c>
      <c r="J395" s="9">
        <v>5309</v>
      </c>
      <c r="K395" s="9" t="s">
        <v>41</v>
      </c>
      <c r="L395" s="9">
        <v>5309062</v>
      </c>
      <c r="M395" s="9">
        <v>5309062012</v>
      </c>
      <c r="N395" s="9" t="s">
        <v>42</v>
      </c>
      <c r="O395" s="9">
        <v>10421</v>
      </c>
      <c r="P395" s="9" t="s">
        <v>1537</v>
      </c>
      <c r="Q395" s="10">
        <v>3</v>
      </c>
      <c r="R395" s="10">
        <v>500000</v>
      </c>
      <c r="S395" s="10">
        <v>150000</v>
      </c>
      <c r="T395" s="10">
        <v>0</v>
      </c>
      <c r="U395" s="10">
        <v>100000</v>
      </c>
      <c r="V395" s="10">
        <v>0</v>
      </c>
      <c r="W395" s="10">
        <v>750000</v>
      </c>
      <c r="X395" s="10">
        <v>6000000</v>
      </c>
      <c r="Y395" s="10">
        <v>0</v>
      </c>
      <c r="Z395" s="10">
        <v>5750000</v>
      </c>
      <c r="AA395" s="10">
        <v>3500000</v>
      </c>
      <c r="AB395" s="10">
        <v>6000000</v>
      </c>
      <c r="AC395" s="10">
        <v>0</v>
      </c>
      <c r="AD395" s="9" t="s">
        <v>44</v>
      </c>
      <c r="AE395" s="10" t="s">
        <v>2257</v>
      </c>
      <c r="AF395" s="10">
        <v>2000000</v>
      </c>
      <c r="AG395" s="10">
        <v>1</v>
      </c>
      <c r="AH395" s="10">
        <v>1</v>
      </c>
      <c r="AI395" s="10">
        <v>1</v>
      </c>
      <c r="AJ395" s="12" t="s">
        <v>1538</v>
      </c>
      <c r="AK395" s="10">
        <v>0</v>
      </c>
      <c r="AL395" s="10">
        <v>0</v>
      </c>
      <c r="AM395" s="9">
        <v>2022</v>
      </c>
      <c r="AN395" s="10">
        <v>2</v>
      </c>
      <c r="AO395" s="10">
        <v>1</v>
      </c>
      <c r="AP395" s="10"/>
      <c r="AQ395" s="5"/>
      <c r="AR395" s="5"/>
      <c r="AS395" s="4">
        <f t="shared" si="18"/>
        <v>250000</v>
      </c>
      <c r="AT395" s="4">
        <f t="shared" si="19"/>
        <v>3480001.2104352037</v>
      </c>
      <c r="AU395" s="4">
        <f t="shared" si="20"/>
        <v>2519998.7895647963</v>
      </c>
      <c r="AV395" s="9" t="s">
        <v>1537</v>
      </c>
      <c r="AW395" s="12" t="s">
        <v>1538</v>
      </c>
      <c r="AX395" s="10">
        <v>0</v>
      </c>
      <c r="AY395">
        <f>S395*AU395/AS395</f>
        <v>1511999.2737388776</v>
      </c>
      <c r="AZ395">
        <f>AU395-AY395</f>
        <v>1007999.5158259186</v>
      </c>
      <c r="BA395" s="10">
        <v>6000000</v>
      </c>
      <c r="BB395" s="10">
        <v>0</v>
      </c>
      <c r="BC395" s="9" t="s">
        <v>42</v>
      </c>
      <c r="BD395" s="9">
        <v>10421</v>
      </c>
      <c r="BE395" t="s">
        <v>46</v>
      </c>
    </row>
    <row r="396" spans="1:57" ht="270.75" thickBot="1" x14ac:dyDescent="0.3">
      <c r="A396" s="9" t="s">
        <v>1539</v>
      </c>
      <c r="B396" s="9">
        <v>3001</v>
      </c>
      <c r="C396" s="10">
        <v>2</v>
      </c>
      <c r="D396" s="9" t="s">
        <v>37</v>
      </c>
      <c r="E396" s="11">
        <v>46214.825364374999</v>
      </c>
      <c r="F396" s="9" t="s">
        <v>1540</v>
      </c>
      <c r="G396" s="9" t="s">
        <v>39</v>
      </c>
      <c r="H396" s="9">
        <v>53</v>
      </c>
      <c r="I396" s="9" t="s">
        <v>40</v>
      </c>
      <c r="J396" s="9">
        <v>5309</v>
      </c>
      <c r="K396" s="9" t="s">
        <v>41</v>
      </c>
      <c r="L396" s="9">
        <v>5309062</v>
      </c>
      <c r="M396" s="9">
        <v>5309062002</v>
      </c>
      <c r="N396" s="9" t="s">
        <v>42</v>
      </c>
      <c r="O396" s="9">
        <v>10421</v>
      </c>
      <c r="P396" s="9" t="s">
        <v>49</v>
      </c>
      <c r="Q396" s="10">
        <v>3</v>
      </c>
      <c r="R396" s="10">
        <v>0</v>
      </c>
      <c r="S396" s="10">
        <v>300000</v>
      </c>
      <c r="T396" s="10">
        <v>0</v>
      </c>
      <c r="U396" s="10">
        <v>500000</v>
      </c>
      <c r="V396" s="10">
        <v>0</v>
      </c>
      <c r="W396" s="10">
        <v>800000</v>
      </c>
      <c r="X396" s="10">
        <v>10000000</v>
      </c>
      <c r="Y396" s="10">
        <v>0</v>
      </c>
      <c r="Z396" s="10">
        <v>9200000</v>
      </c>
      <c r="AA396" s="10">
        <v>2500000</v>
      </c>
      <c r="AB396" s="10">
        <v>10000000</v>
      </c>
      <c r="AC396" s="10">
        <v>0</v>
      </c>
      <c r="AD396" s="9" t="s">
        <v>44</v>
      </c>
      <c r="AE396" s="10" t="s">
        <v>340</v>
      </c>
      <c r="AF396" s="13">
        <v>3333333333</v>
      </c>
      <c r="AG396" s="10">
        <v>1</v>
      </c>
      <c r="AH396" s="10">
        <v>1</v>
      </c>
      <c r="AI396" s="10">
        <v>1</v>
      </c>
      <c r="AJ396" s="12" t="s">
        <v>1541</v>
      </c>
      <c r="AK396" s="10">
        <v>0</v>
      </c>
      <c r="AL396" s="10">
        <v>0</v>
      </c>
      <c r="AM396" s="9">
        <v>1987</v>
      </c>
      <c r="AN396" s="10">
        <v>0</v>
      </c>
      <c r="AO396" s="10">
        <v>3</v>
      </c>
      <c r="AP396" s="10"/>
      <c r="AQ396" s="5"/>
      <c r="AR396" s="5"/>
      <c r="AS396" s="4">
        <f t="shared" si="18"/>
        <v>800000</v>
      </c>
      <c r="AT396" s="4">
        <f t="shared" si="19"/>
        <v>5800000</v>
      </c>
      <c r="AU396" s="4">
        <f t="shared" si="20"/>
        <v>4200000</v>
      </c>
      <c r="AV396" s="9" t="s">
        <v>49</v>
      </c>
      <c r="AW396" s="12" t="s">
        <v>1541</v>
      </c>
      <c r="AX396" s="10">
        <v>0</v>
      </c>
      <c r="AY396">
        <f>S396*AU396/AS396</f>
        <v>1575000</v>
      </c>
      <c r="AZ396">
        <f>AU396-AY396</f>
        <v>2625000</v>
      </c>
      <c r="BA396" s="10">
        <v>10000000</v>
      </c>
      <c r="BB396" s="10">
        <v>0</v>
      </c>
      <c r="BC396" s="9" t="s">
        <v>42</v>
      </c>
      <c r="BD396" s="9">
        <v>10421</v>
      </c>
      <c r="BE396" t="s">
        <v>46</v>
      </c>
    </row>
    <row r="397" spans="1:57" ht="270.75" thickBot="1" x14ac:dyDescent="0.3">
      <c r="A397" s="9" t="s">
        <v>1542</v>
      </c>
      <c r="B397" s="9">
        <v>3002</v>
      </c>
      <c r="C397" s="10">
        <v>2</v>
      </c>
      <c r="D397" s="9" t="s">
        <v>37</v>
      </c>
      <c r="E397" s="11">
        <v>46229.020582164354</v>
      </c>
      <c r="F397" s="9" t="s">
        <v>1543</v>
      </c>
      <c r="G397" s="9" t="s">
        <v>39</v>
      </c>
      <c r="H397" s="9">
        <v>53</v>
      </c>
      <c r="I397" s="9" t="s">
        <v>40</v>
      </c>
      <c r="J397" s="9">
        <v>5309</v>
      </c>
      <c r="K397" s="9" t="s">
        <v>41</v>
      </c>
      <c r="L397" s="9">
        <v>5309062</v>
      </c>
      <c r="M397" s="9">
        <v>5309062008</v>
      </c>
      <c r="N397" s="9" t="s">
        <v>42</v>
      </c>
      <c r="O397" s="9">
        <v>10421</v>
      </c>
      <c r="P397" s="9" t="s">
        <v>49</v>
      </c>
      <c r="Q397" s="10">
        <v>5</v>
      </c>
      <c r="R397" s="10">
        <v>850000</v>
      </c>
      <c r="S397" s="10">
        <v>100000</v>
      </c>
      <c r="T397" s="10">
        <v>0</v>
      </c>
      <c r="U397" s="10">
        <v>100000</v>
      </c>
      <c r="V397" s="10">
        <v>0</v>
      </c>
      <c r="W397" s="10">
        <v>1050000</v>
      </c>
      <c r="X397" s="10">
        <v>4500000</v>
      </c>
      <c r="Y397" s="10">
        <v>0</v>
      </c>
      <c r="Z397" s="10">
        <v>4300000</v>
      </c>
      <c r="AA397" s="10">
        <v>5050000</v>
      </c>
      <c r="AB397" s="10">
        <v>4500000</v>
      </c>
      <c r="AC397" s="10">
        <v>0</v>
      </c>
      <c r="AD397" s="9" t="s">
        <v>44</v>
      </c>
      <c r="AE397" s="10" t="s">
        <v>2498</v>
      </c>
      <c r="AF397" s="10">
        <v>900000</v>
      </c>
      <c r="AG397" s="10">
        <v>1</v>
      </c>
      <c r="AH397" s="10">
        <v>1</v>
      </c>
      <c r="AI397" s="10">
        <v>1</v>
      </c>
      <c r="AJ397" s="12" t="s">
        <v>1544</v>
      </c>
      <c r="AK397" s="10">
        <v>0</v>
      </c>
      <c r="AL397" s="10">
        <v>0</v>
      </c>
      <c r="AM397" s="9">
        <v>2000</v>
      </c>
      <c r="AN397" s="10">
        <v>4</v>
      </c>
      <c r="AO397" s="10">
        <v>1</v>
      </c>
      <c r="AP397" s="10"/>
      <c r="AQ397" s="5"/>
      <c r="AR397" s="5"/>
      <c r="AS397" s="4">
        <f t="shared" si="18"/>
        <v>200000</v>
      </c>
      <c r="AT397" s="4">
        <f t="shared" si="19"/>
        <v>2609998.7860470763</v>
      </c>
      <c r="AU397" s="4">
        <f t="shared" si="20"/>
        <v>1890001.2139529237</v>
      </c>
      <c r="AV397" s="9" t="s">
        <v>49</v>
      </c>
      <c r="AW397" s="12" t="s">
        <v>1544</v>
      </c>
      <c r="AX397" s="10">
        <v>0</v>
      </c>
      <c r="AY397">
        <f>S397*AU397/AS397</f>
        <v>945000.60697646183</v>
      </c>
      <c r="AZ397">
        <f>AU397-AY397</f>
        <v>945000.60697646183</v>
      </c>
      <c r="BA397" s="10">
        <v>4500000</v>
      </c>
      <c r="BB397" s="10">
        <v>0</v>
      </c>
      <c r="BC397" s="9" t="s">
        <v>42</v>
      </c>
      <c r="BD397" s="9">
        <v>10421</v>
      </c>
      <c r="BE397" t="s">
        <v>46</v>
      </c>
    </row>
    <row r="398" spans="1:57" ht="270.75" thickBot="1" x14ac:dyDescent="0.3">
      <c r="A398" s="9" t="s">
        <v>1545</v>
      </c>
      <c r="B398" s="9">
        <v>3001</v>
      </c>
      <c r="C398" s="10">
        <v>2</v>
      </c>
      <c r="D398" s="9" t="s">
        <v>37</v>
      </c>
      <c r="E398" s="11">
        <v>46276.291008657405</v>
      </c>
      <c r="F398" s="9" t="s">
        <v>1546</v>
      </c>
      <c r="G398" s="9" t="s">
        <v>39</v>
      </c>
      <c r="H398" s="9">
        <v>53</v>
      </c>
      <c r="I398" s="9" t="s">
        <v>40</v>
      </c>
      <c r="J398" s="9">
        <v>5309</v>
      </c>
      <c r="K398" s="9" t="s">
        <v>41</v>
      </c>
      <c r="L398" s="9">
        <v>5309074</v>
      </c>
      <c r="M398" s="9">
        <v>5309074007</v>
      </c>
      <c r="N398" s="9" t="s">
        <v>42</v>
      </c>
      <c r="O398" s="9">
        <v>10421</v>
      </c>
      <c r="P398" s="9" t="s">
        <v>152</v>
      </c>
      <c r="Q398" s="10">
        <v>3</v>
      </c>
      <c r="R398" s="10">
        <v>1400000</v>
      </c>
      <c r="S398" s="10">
        <v>3500000</v>
      </c>
      <c r="T398" s="10">
        <v>0</v>
      </c>
      <c r="U398" s="10">
        <v>150000</v>
      </c>
      <c r="V398" s="10">
        <v>0</v>
      </c>
      <c r="W398" s="10">
        <v>5050000</v>
      </c>
      <c r="X398" s="10">
        <v>15500000</v>
      </c>
      <c r="Y398" s="10">
        <v>0</v>
      </c>
      <c r="Z398" s="10">
        <v>11850000</v>
      </c>
      <c r="AA398" s="10">
        <v>1150000</v>
      </c>
      <c r="AB398" s="10">
        <v>15500000</v>
      </c>
      <c r="AC398" s="10">
        <v>0</v>
      </c>
      <c r="AD398" s="9" t="s">
        <v>44</v>
      </c>
      <c r="AE398" s="10" t="s">
        <v>2499</v>
      </c>
      <c r="AF398" s="13">
        <v>5166666667</v>
      </c>
      <c r="AG398" s="10">
        <v>1</v>
      </c>
      <c r="AH398" s="10">
        <v>1</v>
      </c>
      <c r="AI398" s="10">
        <v>1</v>
      </c>
      <c r="AJ398" s="12" t="s">
        <v>1547</v>
      </c>
      <c r="AK398" s="10">
        <v>0</v>
      </c>
      <c r="AL398" s="10">
        <v>0</v>
      </c>
      <c r="AM398" s="9">
        <v>2007</v>
      </c>
      <c r="AN398" s="10">
        <v>2</v>
      </c>
      <c r="AO398" s="10">
        <v>1</v>
      </c>
      <c r="AP398" s="10"/>
      <c r="AQ398" s="5"/>
      <c r="AR398" s="5"/>
      <c r="AS398" s="4">
        <f t="shared" si="18"/>
        <v>3650000</v>
      </c>
      <c r="AT398" s="4">
        <f t="shared" si="19"/>
        <v>8990001.5172998328</v>
      </c>
      <c r="AU398" s="4">
        <f t="shared" si="20"/>
        <v>6509998.4827001672</v>
      </c>
      <c r="AV398" s="9" t="s">
        <v>152</v>
      </c>
      <c r="AW398" s="12" t="s">
        <v>1547</v>
      </c>
      <c r="AX398" s="10">
        <v>0</v>
      </c>
      <c r="AY398">
        <f>S398*AU398/AS398</f>
        <v>6242464.2984796129</v>
      </c>
      <c r="AZ398">
        <f>AU398-AY398</f>
        <v>267534.18422055431</v>
      </c>
      <c r="BA398" s="10">
        <v>15500000</v>
      </c>
      <c r="BB398" s="10">
        <v>0</v>
      </c>
      <c r="BC398" s="9" t="s">
        <v>42</v>
      </c>
      <c r="BD398" s="9">
        <v>10421</v>
      </c>
      <c r="BE398" t="s">
        <v>46</v>
      </c>
    </row>
    <row r="399" spans="1:57" ht="270.75" thickBot="1" x14ac:dyDescent="0.3">
      <c r="A399" s="9" t="s">
        <v>1548</v>
      </c>
      <c r="B399" s="9">
        <v>1001</v>
      </c>
      <c r="C399" s="10">
        <v>2</v>
      </c>
      <c r="D399" s="9" t="s">
        <v>37</v>
      </c>
      <c r="E399" s="11">
        <v>46215.446319976851</v>
      </c>
      <c r="F399" s="9" t="s">
        <v>1549</v>
      </c>
      <c r="G399" s="9" t="s">
        <v>39</v>
      </c>
      <c r="H399" s="9">
        <v>53</v>
      </c>
      <c r="I399" s="9" t="s">
        <v>40</v>
      </c>
      <c r="J399" s="9">
        <v>5309</v>
      </c>
      <c r="K399" s="9" t="s">
        <v>41</v>
      </c>
      <c r="L399" s="9">
        <v>5309031</v>
      </c>
      <c r="M399" s="9">
        <v>5309031006</v>
      </c>
      <c r="N399" s="9" t="s">
        <v>42</v>
      </c>
      <c r="O399" s="9">
        <v>10421</v>
      </c>
      <c r="P399" s="9" t="s">
        <v>1550</v>
      </c>
      <c r="Q399" s="10">
        <v>2</v>
      </c>
      <c r="R399" s="10">
        <v>0</v>
      </c>
      <c r="S399" s="10">
        <v>200000</v>
      </c>
      <c r="T399" s="10">
        <v>0</v>
      </c>
      <c r="U399" s="10">
        <v>80000</v>
      </c>
      <c r="V399" s="10">
        <v>0</v>
      </c>
      <c r="W399" s="10">
        <v>280000</v>
      </c>
      <c r="X399" s="10">
        <v>5200000</v>
      </c>
      <c r="Y399" s="10">
        <v>0</v>
      </c>
      <c r="Z399" s="10">
        <v>4920000</v>
      </c>
      <c r="AA399" s="10">
        <v>5150000</v>
      </c>
      <c r="AB399" s="10">
        <v>5200000</v>
      </c>
      <c r="AC399" s="10">
        <v>0</v>
      </c>
      <c r="AD399" s="9" t="s">
        <v>44</v>
      </c>
      <c r="AE399" s="10" t="s">
        <v>2261</v>
      </c>
      <c r="AF399" s="10">
        <v>2600000</v>
      </c>
      <c r="AG399" s="10">
        <v>1</v>
      </c>
      <c r="AH399" s="10">
        <v>1</v>
      </c>
      <c r="AI399" s="10">
        <v>1</v>
      </c>
      <c r="AJ399" s="12" t="s">
        <v>1551</v>
      </c>
      <c r="AK399" s="10">
        <v>0</v>
      </c>
      <c r="AL399" s="10">
        <v>0</v>
      </c>
      <c r="AM399" s="9">
        <v>2024</v>
      </c>
      <c r="AN399" s="10">
        <v>0</v>
      </c>
      <c r="AO399" s="10">
        <v>2</v>
      </c>
      <c r="AP399" s="10"/>
      <c r="AQ399" s="5"/>
      <c r="AR399" s="5"/>
      <c r="AS399" s="4">
        <f t="shared" si="18"/>
        <v>280000</v>
      </c>
      <c r="AT399" s="4">
        <f t="shared" si="19"/>
        <v>3015999.5095935757</v>
      </c>
      <c r="AU399" s="4">
        <f t="shared" si="20"/>
        <v>2184000.4904064243</v>
      </c>
      <c r="AV399" s="9" t="s">
        <v>1550</v>
      </c>
      <c r="AW399" s="12" t="s">
        <v>1551</v>
      </c>
      <c r="AX399" s="10">
        <v>0</v>
      </c>
      <c r="AY399">
        <f>S399*AU399/AS399</f>
        <v>1560000.3502903031</v>
      </c>
      <c r="AZ399">
        <f>AU399-AY399</f>
        <v>624000.14011612115</v>
      </c>
      <c r="BA399" s="10">
        <v>5200000</v>
      </c>
      <c r="BB399" s="10">
        <v>0</v>
      </c>
      <c r="BC399" s="9" t="s">
        <v>42</v>
      </c>
      <c r="BD399" s="9">
        <v>10421</v>
      </c>
      <c r="BE399" t="s">
        <v>46</v>
      </c>
    </row>
    <row r="400" spans="1:57" ht="270.75" thickBot="1" x14ac:dyDescent="0.3">
      <c r="A400" s="9" t="s">
        <v>1552</v>
      </c>
      <c r="B400" s="9">
        <v>3002</v>
      </c>
      <c r="C400" s="10">
        <v>2</v>
      </c>
      <c r="D400" s="9" t="s">
        <v>37</v>
      </c>
      <c r="E400" s="14">
        <v>46226.330543981479</v>
      </c>
      <c r="F400" s="9" t="s">
        <v>1553</v>
      </c>
      <c r="G400" s="9" t="s">
        <v>39</v>
      </c>
      <c r="H400" s="9">
        <v>53</v>
      </c>
      <c r="I400" s="9" t="s">
        <v>40</v>
      </c>
      <c r="J400" s="9">
        <v>5309</v>
      </c>
      <c r="K400" s="9" t="s">
        <v>41</v>
      </c>
      <c r="L400" s="9">
        <v>5309073</v>
      </c>
      <c r="M400" s="9">
        <v>5309073003</v>
      </c>
      <c r="N400" s="9" t="s">
        <v>42</v>
      </c>
      <c r="O400" s="9">
        <v>10421</v>
      </c>
      <c r="P400" s="9" t="s">
        <v>1554</v>
      </c>
      <c r="Q400" s="10">
        <v>1</v>
      </c>
      <c r="R400" s="10">
        <v>0</v>
      </c>
      <c r="S400" s="10">
        <v>1500000</v>
      </c>
      <c r="T400" s="10">
        <v>0</v>
      </c>
      <c r="U400" s="10">
        <v>0</v>
      </c>
      <c r="V400" s="10">
        <v>0</v>
      </c>
      <c r="W400" s="10">
        <v>1500000</v>
      </c>
      <c r="X400" s="10">
        <v>6000000</v>
      </c>
      <c r="Y400" s="10">
        <v>0</v>
      </c>
      <c r="Z400" s="10">
        <v>4500000</v>
      </c>
      <c r="AA400" s="10">
        <v>10000000</v>
      </c>
      <c r="AB400" s="10">
        <v>6000000</v>
      </c>
      <c r="AC400" s="10">
        <v>0</v>
      </c>
      <c r="AD400" s="9" t="s">
        <v>44</v>
      </c>
      <c r="AE400" s="10" t="s">
        <v>77</v>
      </c>
      <c r="AF400" s="10">
        <v>6000000</v>
      </c>
      <c r="AG400" s="10">
        <v>1</v>
      </c>
      <c r="AH400" s="10">
        <v>1</v>
      </c>
      <c r="AI400" s="10">
        <v>1</v>
      </c>
      <c r="AJ400" s="12" t="s">
        <v>1555</v>
      </c>
      <c r="AK400" s="10">
        <v>0</v>
      </c>
      <c r="AL400" s="10">
        <v>0</v>
      </c>
      <c r="AM400" s="9">
        <v>1998</v>
      </c>
      <c r="AN400" s="10">
        <v>0</v>
      </c>
      <c r="AO400" s="10">
        <v>1</v>
      </c>
      <c r="AP400" s="10"/>
      <c r="AQ400" s="5"/>
      <c r="AR400" s="5"/>
      <c r="AS400" s="4">
        <f t="shared" si="18"/>
        <v>1500000</v>
      </c>
      <c r="AT400" s="4">
        <f t="shared" si="19"/>
        <v>3480000</v>
      </c>
      <c r="AU400" s="4">
        <f t="shared" si="20"/>
        <v>2520000</v>
      </c>
      <c r="AV400" s="9" t="s">
        <v>1554</v>
      </c>
      <c r="AW400" s="12" t="s">
        <v>1555</v>
      </c>
      <c r="AX400" s="10">
        <v>0</v>
      </c>
      <c r="AY400">
        <f>S400*AU400/AS400</f>
        <v>2520000</v>
      </c>
      <c r="AZ400">
        <f>AU400-AY400</f>
        <v>0</v>
      </c>
      <c r="BA400" s="10">
        <v>6000000</v>
      </c>
      <c r="BB400" s="10">
        <v>0</v>
      </c>
      <c r="BC400" s="9" t="s">
        <v>42</v>
      </c>
      <c r="BD400" s="9">
        <v>10421</v>
      </c>
      <c r="BE400" t="s">
        <v>46</v>
      </c>
    </row>
    <row r="401" spans="1:57" ht="270.75" thickBot="1" x14ac:dyDescent="0.3">
      <c r="A401" s="9" t="s">
        <v>1552</v>
      </c>
      <c r="B401" s="9">
        <v>3001</v>
      </c>
      <c r="C401" s="10">
        <v>2</v>
      </c>
      <c r="D401" s="9" t="s">
        <v>37</v>
      </c>
      <c r="E401" s="14">
        <v>46226.330543981479</v>
      </c>
      <c r="F401" s="9" t="s">
        <v>1553</v>
      </c>
      <c r="G401" s="9" t="s">
        <v>39</v>
      </c>
      <c r="H401" s="9">
        <v>53</v>
      </c>
      <c r="I401" s="9" t="s">
        <v>40</v>
      </c>
      <c r="J401" s="9">
        <v>5309</v>
      </c>
      <c r="K401" s="9" t="s">
        <v>41</v>
      </c>
      <c r="L401" s="9">
        <v>5309073</v>
      </c>
      <c r="M401" s="9">
        <v>5309073003</v>
      </c>
      <c r="N401" s="9" t="s">
        <v>42</v>
      </c>
      <c r="O401" s="9">
        <v>10421</v>
      </c>
      <c r="P401" s="9" t="s">
        <v>1556</v>
      </c>
      <c r="Q401" s="10">
        <v>1</v>
      </c>
      <c r="R401" s="10">
        <v>0</v>
      </c>
      <c r="S401" s="10">
        <v>1200000</v>
      </c>
      <c r="T401" s="10">
        <v>0</v>
      </c>
      <c r="U401" s="10">
        <v>0</v>
      </c>
      <c r="V401" s="10">
        <v>0</v>
      </c>
      <c r="W401" s="10">
        <v>1200000</v>
      </c>
      <c r="X401" s="10">
        <v>5000000</v>
      </c>
      <c r="Y401" s="10">
        <v>0</v>
      </c>
      <c r="Z401" s="10">
        <v>3800000</v>
      </c>
      <c r="AA401" s="10">
        <v>10000000</v>
      </c>
      <c r="AB401" s="10">
        <v>5000000</v>
      </c>
      <c r="AC401" s="10">
        <v>0</v>
      </c>
      <c r="AD401" s="9" t="s">
        <v>44</v>
      </c>
      <c r="AE401" s="10" t="s">
        <v>116</v>
      </c>
      <c r="AF401" s="10">
        <v>5000000</v>
      </c>
      <c r="AG401" s="10">
        <v>1</v>
      </c>
      <c r="AH401" s="10">
        <v>1</v>
      </c>
      <c r="AI401" s="10">
        <v>1</v>
      </c>
      <c r="AJ401" s="12" t="s">
        <v>1555</v>
      </c>
      <c r="AK401" s="10">
        <v>0</v>
      </c>
      <c r="AL401" s="10">
        <v>0</v>
      </c>
      <c r="AM401" s="9">
        <v>1998</v>
      </c>
      <c r="AN401" s="10">
        <v>0</v>
      </c>
      <c r="AO401" s="10">
        <v>1</v>
      </c>
      <c r="AP401" s="10"/>
      <c r="AQ401" s="5"/>
      <c r="AR401" s="5"/>
      <c r="AS401" s="4">
        <f t="shared" si="18"/>
        <v>1200000</v>
      </c>
      <c r="AT401" s="4">
        <f t="shared" si="19"/>
        <v>2900000</v>
      </c>
      <c r="AU401" s="4">
        <f t="shared" si="20"/>
        <v>2100000</v>
      </c>
      <c r="AV401" s="9" t="s">
        <v>1556</v>
      </c>
      <c r="AW401" s="12" t="s">
        <v>1555</v>
      </c>
      <c r="AX401" s="10">
        <v>0</v>
      </c>
      <c r="AY401">
        <f>S401*AU401/AS401</f>
        <v>2100000</v>
      </c>
      <c r="AZ401">
        <f>AU401-AY401</f>
        <v>0</v>
      </c>
      <c r="BA401" s="10">
        <v>5000000</v>
      </c>
      <c r="BB401" s="10">
        <v>0</v>
      </c>
      <c r="BC401" s="9" t="s">
        <v>42</v>
      </c>
      <c r="BD401" s="9">
        <v>10421</v>
      </c>
      <c r="BE401" t="s">
        <v>46</v>
      </c>
    </row>
    <row r="402" spans="1:57" ht="270.75" thickBot="1" x14ac:dyDescent="0.3">
      <c r="A402" s="9" t="s">
        <v>1557</v>
      </c>
      <c r="B402" s="9">
        <v>3002</v>
      </c>
      <c r="C402" s="10">
        <v>2</v>
      </c>
      <c r="D402" s="9" t="s">
        <v>37</v>
      </c>
      <c r="E402" s="14">
        <v>46231.314942129633</v>
      </c>
      <c r="F402" s="9" t="s">
        <v>1558</v>
      </c>
      <c r="G402" s="9" t="s">
        <v>39</v>
      </c>
      <c r="H402" s="9">
        <v>53</v>
      </c>
      <c r="I402" s="9" t="s">
        <v>40</v>
      </c>
      <c r="J402" s="9">
        <v>5309</v>
      </c>
      <c r="K402" s="9" t="s">
        <v>41</v>
      </c>
      <c r="L402" s="9">
        <v>5309074</v>
      </c>
      <c r="M402" s="9">
        <v>5309074007</v>
      </c>
      <c r="N402" s="9" t="s">
        <v>42</v>
      </c>
      <c r="O402" s="9">
        <v>10421</v>
      </c>
      <c r="P402" s="9" t="s">
        <v>1559</v>
      </c>
      <c r="Q402" s="10">
        <v>3</v>
      </c>
      <c r="R402" s="10">
        <v>800000</v>
      </c>
      <c r="S402" s="10">
        <v>2100000</v>
      </c>
      <c r="T402" s="10">
        <v>0</v>
      </c>
      <c r="U402" s="10">
        <v>350000</v>
      </c>
      <c r="V402" s="10">
        <v>15000</v>
      </c>
      <c r="W402" s="10">
        <v>3265000</v>
      </c>
      <c r="X402" s="10">
        <v>6400000</v>
      </c>
      <c r="Y402" s="10">
        <v>0</v>
      </c>
      <c r="Z402" s="10">
        <v>3950000</v>
      </c>
      <c r="AA402" s="10">
        <v>1950000</v>
      </c>
      <c r="AB402" s="10">
        <v>6400000</v>
      </c>
      <c r="AC402" s="10">
        <v>0</v>
      </c>
      <c r="AD402" s="9" t="s">
        <v>44</v>
      </c>
      <c r="AE402" s="10" t="s">
        <v>2500</v>
      </c>
      <c r="AF402" s="13">
        <v>2133333333</v>
      </c>
      <c r="AG402" s="10">
        <v>1</v>
      </c>
      <c r="AH402" s="10">
        <v>1</v>
      </c>
      <c r="AI402" s="10">
        <v>1</v>
      </c>
      <c r="AJ402" s="12" t="s">
        <v>1560</v>
      </c>
      <c r="AK402" s="10">
        <v>0</v>
      </c>
      <c r="AL402" s="10">
        <v>0</v>
      </c>
      <c r="AM402" s="9">
        <v>1998</v>
      </c>
      <c r="AN402" s="10">
        <v>2</v>
      </c>
      <c r="AO402" s="10">
        <v>1</v>
      </c>
      <c r="AP402" s="10"/>
      <c r="AQ402" s="5"/>
      <c r="AR402" s="5"/>
      <c r="AS402" s="4">
        <f t="shared" si="18"/>
        <v>2450000</v>
      </c>
      <c r="AT402" s="4">
        <f t="shared" si="19"/>
        <v>3711996.9928125632</v>
      </c>
      <c r="AU402" s="4">
        <f t="shared" si="20"/>
        <v>2688003.0071874368</v>
      </c>
      <c r="AV402" s="9" t="s">
        <v>1559</v>
      </c>
      <c r="AW402" s="12" t="s">
        <v>1560</v>
      </c>
      <c r="AX402" s="10">
        <v>0</v>
      </c>
      <c r="AY402">
        <f>S402*AU402/AS402</f>
        <v>2304002.5775892315</v>
      </c>
      <c r="AZ402">
        <f>AU402-AY402</f>
        <v>384000.42959820526</v>
      </c>
      <c r="BA402" s="10">
        <v>6400000</v>
      </c>
      <c r="BB402" s="10">
        <v>0</v>
      </c>
      <c r="BC402" s="9" t="s">
        <v>42</v>
      </c>
      <c r="BD402" s="9">
        <v>10421</v>
      </c>
      <c r="BE402" t="s">
        <v>46</v>
      </c>
    </row>
    <row r="403" spans="1:57" ht="270.75" thickBot="1" x14ac:dyDescent="0.3">
      <c r="A403" s="9" t="s">
        <v>1561</v>
      </c>
      <c r="B403" s="9">
        <v>1001</v>
      </c>
      <c r="C403" s="10">
        <v>2</v>
      </c>
      <c r="D403" s="9" t="s">
        <v>37</v>
      </c>
      <c r="E403" s="14">
        <v>46217.569027777776</v>
      </c>
      <c r="F403" s="9" t="s">
        <v>1562</v>
      </c>
      <c r="G403" s="9" t="s">
        <v>39</v>
      </c>
      <c r="H403" s="9">
        <v>53</v>
      </c>
      <c r="I403" s="9" t="s">
        <v>40</v>
      </c>
      <c r="J403" s="9">
        <v>5309</v>
      </c>
      <c r="K403" s="9" t="s">
        <v>41</v>
      </c>
      <c r="L403" s="9">
        <v>5309021</v>
      </c>
      <c r="M403" s="9">
        <v>5309021003</v>
      </c>
      <c r="N403" s="9" t="s">
        <v>42</v>
      </c>
      <c r="O403" s="9">
        <v>10421</v>
      </c>
      <c r="P403" s="9" t="s">
        <v>49</v>
      </c>
      <c r="Q403" s="10">
        <v>2</v>
      </c>
      <c r="R403" s="10">
        <v>80000</v>
      </c>
      <c r="S403" s="10">
        <v>50000</v>
      </c>
      <c r="T403" s="10">
        <v>0</v>
      </c>
      <c r="U403" s="10">
        <v>55000</v>
      </c>
      <c r="V403" s="10">
        <v>0</v>
      </c>
      <c r="W403" s="10">
        <v>185000</v>
      </c>
      <c r="X403" s="10">
        <v>3520000</v>
      </c>
      <c r="Y403" s="10">
        <v>250000</v>
      </c>
      <c r="Z403" s="10">
        <v>3415000</v>
      </c>
      <c r="AA403" s="10">
        <v>90150000</v>
      </c>
      <c r="AB403" s="10">
        <v>3520000</v>
      </c>
      <c r="AC403" s="10">
        <v>0</v>
      </c>
      <c r="AD403" s="9" t="s">
        <v>44</v>
      </c>
      <c r="AE403" s="10" t="s">
        <v>2501</v>
      </c>
      <c r="AF403" s="10">
        <v>1760000</v>
      </c>
      <c r="AG403" s="10">
        <v>1</v>
      </c>
      <c r="AH403" s="10">
        <v>1</v>
      </c>
      <c r="AI403" s="10">
        <v>1</v>
      </c>
      <c r="AJ403" s="12" t="s">
        <v>1563</v>
      </c>
      <c r="AK403" s="10">
        <v>0</v>
      </c>
      <c r="AL403" s="10">
        <v>0</v>
      </c>
      <c r="AM403" s="9">
        <v>1998</v>
      </c>
      <c r="AN403" s="10">
        <v>1</v>
      </c>
      <c r="AO403" s="10">
        <v>1</v>
      </c>
      <c r="AP403" s="10"/>
      <c r="AQ403" s="5"/>
      <c r="AR403" s="5"/>
      <c r="AS403" s="4">
        <f t="shared" si="18"/>
        <v>105000</v>
      </c>
      <c r="AT403" s="4">
        <f t="shared" si="19"/>
        <v>2041600.9565333908</v>
      </c>
      <c r="AU403" s="4">
        <f t="shared" si="20"/>
        <v>1478399.0434666092</v>
      </c>
      <c r="AV403" s="9" t="s">
        <v>49</v>
      </c>
      <c r="AW403" s="12" t="s">
        <v>1563</v>
      </c>
      <c r="AX403" s="10">
        <v>0</v>
      </c>
      <c r="AY403">
        <f>S403*AU403/AS403</f>
        <v>703999.5445079091</v>
      </c>
      <c r="AZ403">
        <f>AU403-AY403</f>
        <v>774399.4989587001</v>
      </c>
      <c r="BA403" s="10">
        <v>3520000</v>
      </c>
      <c r="BB403" s="10">
        <v>250000</v>
      </c>
      <c r="BC403" s="9" t="s">
        <v>42</v>
      </c>
      <c r="BD403" s="9">
        <v>10421</v>
      </c>
      <c r="BE403" t="s">
        <v>46</v>
      </c>
    </row>
    <row r="404" spans="1:57" ht="270.75" thickBot="1" x14ac:dyDescent="0.3">
      <c r="A404" s="9" t="s">
        <v>1564</v>
      </c>
      <c r="B404" s="9">
        <v>3001</v>
      </c>
      <c r="C404" s="10">
        <v>2</v>
      </c>
      <c r="D404" s="9" t="s">
        <v>37</v>
      </c>
      <c r="E404" s="11">
        <v>46258.022306620369</v>
      </c>
      <c r="F404" s="9" t="s">
        <v>1565</v>
      </c>
      <c r="G404" s="9" t="s">
        <v>39</v>
      </c>
      <c r="H404" s="9">
        <v>53</v>
      </c>
      <c r="I404" s="9" t="s">
        <v>40</v>
      </c>
      <c r="J404" s="9">
        <v>5309</v>
      </c>
      <c r="K404" s="9" t="s">
        <v>41</v>
      </c>
      <c r="L404" s="9">
        <v>5309031</v>
      </c>
      <c r="M404" s="9">
        <v>5309031007</v>
      </c>
      <c r="N404" s="9" t="s">
        <v>42</v>
      </c>
      <c r="O404" s="9">
        <v>10421</v>
      </c>
      <c r="P404" s="9" t="s">
        <v>1566</v>
      </c>
      <c r="Q404" s="10">
        <v>1</v>
      </c>
      <c r="R404" s="10">
        <v>0</v>
      </c>
      <c r="S404" s="10">
        <v>50000</v>
      </c>
      <c r="T404" s="10">
        <v>0</v>
      </c>
      <c r="U404" s="10">
        <v>50000</v>
      </c>
      <c r="V404" s="10">
        <v>0</v>
      </c>
      <c r="W404" s="10">
        <v>100000</v>
      </c>
      <c r="X404" s="10">
        <v>3000000</v>
      </c>
      <c r="Y404" s="10">
        <v>0</v>
      </c>
      <c r="Z404" s="10">
        <v>2900000</v>
      </c>
      <c r="AA404" s="10">
        <v>60100000</v>
      </c>
      <c r="AB404" s="10">
        <v>3000000</v>
      </c>
      <c r="AC404" s="10">
        <v>0</v>
      </c>
      <c r="AD404" s="9" t="s">
        <v>44</v>
      </c>
      <c r="AE404" s="10" t="s">
        <v>2312</v>
      </c>
      <c r="AF404" s="10">
        <v>3000000</v>
      </c>
      <c r="AG404" s="10">
        <v>1</v>
      </c>
      <c r="AH404" s="10">
        <v>1</v>
      </c>
      <c r="AI404" s="10">
        <v>1</v>
      </c>
      <c r="AJ404" s="12" t="s">
        <v>1567</v>
      </c>
      <c r="AK404" s="10">
        <v>0</v>
      </c>
      <c r="AL404" s="10">
        <v>0</v>
      </c>
      <c r="AM404" s="9">
        <v>2021</v>
      </c>
      <c r="AN404" s="10">
        <v>0</v>
      </c>
      <c r="AO404" s="10">
        <v>1</v>
      </c>
      <c r="AP404" s="10"/>
      <c r="AQ404" s="5"/>
      <c r="AR404" s="5"/>
      <c r="AS404" s="4">
        <f t="shared" si="18"/>
        <v>100000</v>
      </c>
      <c r="AT404" s="4">
        <f t="shared" si="19"/>
        <v>1739999.4000002069</v>
      </c>
      <c r="AU404" s="4">
        <f t="shared" si="20"/>
        <v>1260000.5999997931</v>
      </c>
      <c r="AV404" s="9" t="s">
        <v>1566</v>
      </c>
      <c r="AW404" s="12" t="s">
        <v>1567</v>
      </c>
      <c r="AX404" s="10">
        <v>0</v>
      </c>
      <c r="AY404">
        <f>S404*AU404/AS404</f>
        <v>630000.29999989655</v>
      </c>
      <c r="AZ404">
        <f>AU404-AY404</f>
        <v>630000.29999989655</v>
      </c>
      <c r="BA404" s="10">
        <v>3000000</v>
      </c>
      <c r="BB404" s="10">
        <v>0</v>
      </c>
      <c r="BC404" s="9" t="s">
        <v>42</v>
      </c>
      <c r="BD404" s="9">
        <v>10421</v>
      </c>
      <c r="BE404" t="s">
        <v>46</v>
      </c>
    </row>
    <row r="405" spans="1:57" ht="270.75" thickBot="1" x14ac:dyDescent="0.3">
      <c r="A405" s="9" t="s">
        <v>1568</v>
      </c>
      <c r="B405" s="9">
        <v>3001</v>
      </c>
      <c r="C405" s="10">
        <v>2</v>
      </c>
      <c r="D405" s="9" t="s">
        <v>37</v>
      </c>
      <c r="E405" s="11">
        <v>46268.330845949073</v>
      </c>
      <c r="F405" s="9" t="s">
        <v>1569</v>
      </c>
      <c r="G405" s="9" t="s">
        <v>39</v>
      </c>
      <c r="H405" s="9">
        <v>53</v>
      </c>
      <c r="I405" s="9" t="s">
        <v>40</v>
      </c>
      <c r="J405" s="9">
        <v>5309</v>
      </c>
      <c r="K405" s="9" t="s">
        <v>41</v>
      </c>
      <c r="L405" s="9">
        <v>5309073</v>
      </c>
      <c r="M405" s="9">
        <v>5309073019</v>
      </c>
      <c r="N405" s="9" t="s">
        <v>42</v>
      </c>
      <c r="O405" s="9">
        <v>10421</v>
      </c>
      <c r="P405" s="9" t="s">
        <v>1570</v>
      </c>
      <c r="Q405" s="10">
        <v>2</v>
      </c>
      <c r="R405" s="10">
        <v>800000</v>
      </c>
      <c r="S405" s="10">
        <v>300000</v>
      </c>
      <c r="T405" s="10">
        <v>0</v>
      </c>
      <c r="U405" s="10">
        <v>200000</v>
      </c>
      <c r="V405" s="10">
        <v>0</v>
      </c>
      <c r="W405" s="10">
        <v>1300000</v>
      </c>
      <c r="X405" s="10">
        <v>7300000</v>
      </c>
      <c r="Y405" s="10">
        <v>0</v>
      </c>
      <c r="Z405" s="10">
        <v>6800000</v>
      </c>
      <c r="AA405" s="10">
        <v>1150000</v>
      </c>
      <c r="AB405" s="10">
        <v>7300000</v>
      </c>
      <c r="AC405" s="10">
        <v>0</v>
      </c>
      <c r="AD405" s="9" t="s">
        <v>44</v>
      </c>
      <c r="AE405" s="10" t="s">
        <v>2502</v>
      </c>
      <c r="AF405" s="10">
        <v>3650000</v>
      </c>
      <c r="AG405" s="10">
        <v>1</v>
      </c>
      <c r="AH405" s="10">
        <v>1</v>
      </c>
      <c r="AI405" s="10">
        <v>1</v>
      </c>
      <c r="AJ405" s="12" t="s">
        <v>1571</v>
      </c>
      <c r="AK405" s="10">
        <v>0</v>
      </c>
      <c r="AL405" s="10">
        <v>0</v>
      </c>
      <c r="AM405" s="9">
        <v>2020</v>
      </c>
      <c r="AN405" s="10">
        <v>1</v>
      </c>
      <c r="AO405" s="10">
        <v>1</v>
      </c>
      <c r="AP405" s="10"/>
      <c r="AQ405" s="5"/>
      <c r="AR405" s="5"/>
      <c r="AS405" s="4">
        <f t="shared" si="18"/>
        <v>500000</v>
      </c>
      <c r="AT405" s="4">
        <f t="shared" si="19"/>
        <v>4233999.3150883457</v>
      </c>
      <c r="AU405" s="4">
        <f t="shared" si="20"/>
        <v>3066000.6849116543</v>
      </c>
      <c r="AV405" s="9" t="s">
        <v>1570</v>
      </c>
      <c r="AW405" s="12" t="s">
        <v>1571</v>
      </c>
      <c r="AX405" s="10">
        <v>0</v>
      </c>
      <c r="AY405">
        <f>S405*AU405/AS405</f>
        <v>1839600.4109469927</v>
      </c>
      <c r="AZ405">
        <f>AU405-AY405</f>
        <v>1226400.2739646616</v>
      </c>
      <c r="BA405" s="10">
        <v>7300000</v>
      </c>
      <c r="BB405" s="10">
        <v>0</v>
      </c>
      <c r="BC405" s="9" t="s">
        <v>42</v>
      </c>
      <c r="BD405" s="9">
        <v>10421</v>
      </c>
      <c r="BE405" t="s">
        <v>46</v>
      </c>
    </row>
    <row r="406" spans="1:57" ht="255.75" thickBot="1" x14ac:dyDescent="0.3">
      <c r="A406" s="9" t="s">
        <v>1572</v>
      </c>
      <c r="B406" s="9">
        <v>3001</v>
      </c>
      <c r="C406" s="10">
        <v>2</v>
      </c>
      <c r="D406" s="9" t="s">
        <v>37</v>
      </c>
      <c r="E406" s="11">
        <v>46224.486691307873</v>
      </c>
      <c r="F406" s="9" t="s">
        <v>1573</v>
      </c>
      <c r="G406" s="9" t="s">
        <v>39</v>
      </c>
      <c r="H406" s="9">
        <v>53</v>
      </c>
      <c r="I406" s="9" t="s">
        <v>40</v>
      </c>
      <c r="J406" s="9">
        <v>5309</v>
      </c>
      <c r="K406" s="9" t="s">
        <v>41</v>
      </c>
      <c r="L406" s="9">
        <v>5309062</v>
      </c>
      <c r="M406" s="9">
        <v>5309062009</v>
      </c>
      <c r="N406" s="9" t="s">
        <v>42</v>
      </c>
      <c r="O406" s="9">
        <v>10421</v>
      </c>
      <c r="P406" s="9" t="s">
        <v>1574</v>
      </c>
      <c r="Q406" s="10">
        <v>11</v>
      </c>
      <c r="R406" s="10">
        <v>2310000</v>
      </c>
      <c r="S406" s="10">
        <v>400000</v>
      </c>
      <c r="T406" s="10">
        <v>0</v>
      </c>
      <c r="U406" s="10">
        <v>1000000</v>
      </c>
      <c r="V406" s="10">
        <v>0</v>
      </c>
      <c r="W406" s="10">
        <v>3710000</v>
      </c>
      <c r="X406" s="10">
        <v>15600000</v>
      </c>
      <c r="Y406" s="10">
        <v>0</v>
      </c>
      <c r="Z406" s="10">
        <v>14200000</v>
      </c>
      <c r="AA406" s="10">
        <v>8400000</v>
      </c>
      <c r="AB406" s="10">
        <v>15600000</v>
      </c>
      <c r="AC406" s="10">
        <v>0</v>
      </c>
      <c r="AD406" s="9" t="s">
        <v>44</v>
      </c>
      <c r="AE406" s="10" t="s">
        <v>2503</v>
      </c>
      <c r="AF406" s="13">
        <v>1418181818</v>
      </c>
      <c r="AG406" s="10">
        <v>1</v>
      </c>
      <c r="AH406" s="10">
        <v>1</v>
      </c>
      <c r="AI406" s="10">
        <v>1</v>
      </c>
      <c r="AJ406" s="12" t="s">
        <v>1575</v>
      </c>
      <c r="AK406" s="10">
        <v>0</v>
      </c>
      <c r="AL406" s="10">
        <v>0</v>
      </c>
      <c r="AM406" s="9">
        <v>1997</v>
      </c>
      <c r="AN406" s="10">
        <v>9</v>
      </c>
      <c r="AO406" s="10">
        <v>2</v>
      </c>
      <c r="AP406" s="10"/>
      <c r="AQ406" s="5"/>
      <c r="AR406" s="5"/>
      <c r="AS406" s="4">
        <f t="shared" si="18"/>
        <v>1400000</v>
      </c>
      <c r="AT406" s="4">
        <f t="shared" si="19"/>
        <v>9048004.0779736675</v>
      </c>
      <c r="AU406" s="4">
        <f t="shared" si="20"/>
        <v>6551995.9220263325</v>
      </c>
      <c r="AV406" s="9" t="s">
        <v>1574</v>
      </c>
      <c r="AW406" s="12" t="s">
        <v>1575</v>
      </c>
      <c r="AX406" s="10">
        <v>0</v>
      </c>
      <c r="AY406">
        <f>S406*AU406/AS406</f>
        <v>1871998.8348646667</v>
      </c>
      <c r="AZ406">
        <f>AU406-AY406</f>
        <v>4679997.0871616658</v>
      </c>
      <c r="BA406" s="10">
        <v>15600000</v>
      </c>
      <c r="BB406" s="10">
        <v>0</v>
      </c>
      <c r="BC406" s="9" t="s">
        <v>42</v>
      </c>
      <c r="BD406" s="9">
        <v>10421</v>
      </c>
      <c r="BE406" t="s">
        <v>46</v>
      </c>
    </row>
    <row r="407" spans="1:57" ht="270.75" thickBot="1" x14ac:dyDescent="0.3">
      <c r="A407" s="9" t="s">
        <v>1576</v>
      </c>
      <c r="B407" s="9">
        <v>3002</v>
      </c>
      <c r="C407" s="10">
        <v>2</v>
      </c>
      <c r="D407" s="9" t="s">
        <v>84</v>
      </c>
      <c r="E407" s="14">
        <v>46234.838946759257</v>
      </c>
      <c r="F407" s="9" t="s">
        <v>1577</v>
      </c>
      <c r="G407" s="9" t="s">
        <v>39</v>
      </c>
      <c r="H407" s="9">
        <v>53</v>
      </c>
      <c r="I407" s="9" t="s">
        <v>40</v>
      </c>
      <c r="J407" s="9">
        <v>5309</v>
      </c>
      <c r="K407" s="9" t="s">
        <v>41</v>
      </c>
      <c r="L407" s="9">
        <v>5309060</v>
      </c>
      <c r="M407" s="9">
        <v>5309060012</v>
      </c>
      <c r="N407" s="9" t="s">
        <v>42</v>
      </c>
      <c r="O407" s="9">
        <v>10421</v>
      </c>
      <c r="P407" s="9" t="s">
        <v>1578</v>
      </c>
      <c r="Q407" s="10">
        <v>4</v>
      </c>
      <c r="R407" s="10">
        <v>500000</v>
      </c>
      <c r="S407" s="10">
        <v>2100000</v>
      </c>
      <c r="T407" s="10">
        <v>0</v>
      </c>
      <c r="U407" s="10">
        <v>250000</v>
      </c>
      <c r="V407" s="10">
        <v>0</v>
      </c>
      <c r="W407" s="10">
        <v>2850000</v>
      </c>
      <c r="X407" s="10">
        <v>8000000</v>
      </c>
      <c r="Y407" s="10">
        <v>350000</v>
      </c>
      <c r="Z407" s="10">
        <v>5650000</v>
      </c>
      <c r="AA407" s="10">
        <v>3000000</v>
      </c>
      <c r="AB407" s="10">
        <v>8000000</v>
      </c>
      <c r="AC407" s="10">
        <v>0</v>
      </c>
      <c r="AD407" s="9" t="s">
        <v>44</v>
      </c>
      <c r="AE407" s="10" t="s">
        <v>2504</v>
      </c>
      <c r="AF407" s="10">
        <v>2000000</v>
      </c>
      <c r="AG407" s="10">
        <v>1</v>
      </c>
      <c r="AH407" s="10">
        <v>1</v>
      </c>
      <c r="AI407" s="10">
        <v>1</v>
      </c>
      <c r="AJ407" s="12" t="s">
        <v>1579</v>
      </c>
      <c r="AK407" s="10">
        <v>0</v>
      </c>
      <c r="AL407" s="10">
        <v>0</v>
      </c>
      <c r="AM407" s="9">
        <v>2008</v>
      </c>
      <c r="AN407" s="10">
        <v>1</v>
      </c>
      <c r="AO407" s="10">
        <v>3</v>
      </c>
      <c r="AP407" s="10"/>
      <c r="AQ407" s="5"/>
      <c r="AR407" s="5"/>
      <c r="AS407" s="4">
        <f t="shared" si="18"/>
        <v>2350000</v>
      </c>
      <c r="AT407" s="4">
        <f t="shared" si="19"/>
        <v>4640000</v>
      </c>
      <c r="AU407" s="4">
        <f t="shared" si="20"/>
        <v>3360000</v>
      </c>
      <c r="AV407" s="9" t="s">
        <v>1578</v>
      </c>
      <c r="AW407" s="12" t="s">
        <v>1579</v>
      </c>
      <c r="AX407" s="10">
        <v>0</v>
      </c>
      <c r="AY407">
        <f>S407*AU407/AS407</f>
        <v>3002553.1914893617</v>
      </c>
      <c r="AZ407">
        <f>AU407-AY407</f>
        <v>357446.80851063831</v>
      </c>
      <c r="BA407" s="10">
        <v>8000000</v>
      </c>
      <c r="BB407" s="10">
        <v>350000</v>
      </c>
      <c r="BC407" s="9" t="s">
        <v>42</v>
      </c>
      <c r="BD407" s="9">
        <v>10421</v>
      </c>
      <c r="BE407" t="s">
        <v>46</v>
      </c>
    </row>
    <row r="408" spans="1:57" ht="270.75" thickBot="1" x14ac:dyDescent="0.3">
      <c r="A408" s="9" t="s">
        <v>1580</v>
      </c>
      <c r="B408" s="9">
        <v>3003</v>
      </c>
      <c r="C408" s="10">
        <v>2</v>
      </c>
      <c r="D408" s="9" t="s">
        <v>37</v>
      </c>
      <c r="E408" s="14">
        <v>46224.963078703702</v>
      </c>
      <c r="F408" s="9" t="s">
        <v>1581</v>
      </c>
      <c r="G408" s="9" t="s">
        <v>39</v>
      </c>
      <c r="H408" s="9">
        <v>53</v>
      </c>
      <c r="I408" s="9" t="s">
        <v>40</v>
      </c>
      <c r="J408" s="9">
        <v>5309</v>
      </c>
      <c r="K408" s="9" t="s">
        <v>41</v>
      </c>
      <c r="L408" s="9">
        <v>5309060</v>
      </c>
      <c r="M408" s="9">
        <v>5309060042</v>
      </c>
      <c r="N408" s="9" t="s">
        <v>42</v>
      </c>
      <c r="O408" s="9">
        <v>10421</v>
      </c>
      <c r="P408" s="9" t="s">
        <v>1582</v>
      </c>
      <c r="Q408" s="10">
        <v>2</v>
      </c>
      <c r="R408" s="10">
        <v>1050000</v>
      </c>
      <c r="S408" s="10">
        <v>650000</v>
      </c>
      <c r="T408" s="10">
        <v>0</v>
      </c>
      <c r="U408" s="10">
        <v>150000</v>
      </c>
      <c r="V408" s="10">
        <v>0</v>
      </c>
      <c r="W408" s="10">
        <v>1850000</v>
      </c>
      <c r="X408" s="10">
        <v>8650000</v>
      </c>
      <c r="Y408" s="10">
        <v>0</v>
      </c>
      <c r="Z408" s="10">
        <v>7850000</v>
      </c>
      <c r="AA408" s="10">
        <v>3000000</v>
      </c>
      <c r="AB408" s="10">
        <v>8650000</v>
      </c>
      <c r="AC408" s="10">
        <v>0</v>
      </c>
      <c r="AD408" s="9" t="s">
        <v>44</v>
      </c>
      <c r="AE408" s="10" t="s">
        <v>2505</v>
      </c>
      <c r="AF408" s="10">
        <v>4325000</v>
      </c>
      <c r="AG408" s="10">
        <v>1</v>
      </c>
      <c r="AH408" s="10">
        <v>1</v>
      </c>
      <c r="AI408" s="10">
        <v>1</v>
      </c>
      <c r="AJ408" s="12" t="s">
        <v>1583</v>
      </c>
      <c r="AK408" s="10">
        <v>0</v>
      </c>
      <c r="AL408" s="10">
        <v>0</v>
      </c>
      <c r="AM408" s="9">
        <v>2020</v>
      </c>
      <c r="AN408" s="10">
        <v>1</v>
      </c>
      <c r="AO408" s="10">
        <v>1</v>
      </c>
      <c r="AP408" s="10"/>
      <c r="AQ408" s="5"/>
      <c r="AR408" s="5"/>
      <c r="AS408" s="4">
        <f t="shared" si="18"/>
        <v>800000</v>
      </c>
      <c r="AT408" s="4">
        <f t="shared" si="19"/>
        <v>5017002.4925235314</v>
      </c>
      <c r="AU408" s="4">
        <f t="shared" si="20"/>
        <v>3632997.5074764686</v>
      </c>
      <c r="AV408" s="9" t="s">
        <v>1582</v>
      </c>
      <c r="AW408" s="12" t="s">
        <v>1583</v>
      </c>
      <c r="AX408" s="10">
        <v>0</v>
      </c>
      <c r="AY408">
        <f>S408*AU408/AS408</f>
        <v>2951810.4748246307</v>
      </c>
      <c r="AZ408">
        <f>AU408-AY408</f>
        <v>681187.03265183792</v>
      </c>
      <c r="BA408" s="10">
        <v>8650000</v>
      </c>
      <c r="BB408" s="10">
        <v>0</v>
      </c>
      <c r="BC408" s="9" t="s">
        <v>42</v>
      </c>
      <c r="BD408" s="9">
        <v>10421</v>
      </c>
      <c r="BE408" t="s">
        <v>46</v>
      </c>
    </row>
    <row r="409" spans="1:57" ht="270.75" thickBot="1" x14ac:dyDescent="0.3">
      <c r="A409" s="9" t="s">
        <v>1584</v>
      </c>
      <c r="B409" s="9">
        <v>3001</v>
      </c>
      <c r="C409" s="10">
        <v>2</v>
      </c>
      <c r="D409" s="9" t="s">
        <v>37</v>
      </c>
      <c r="E409" s="11">
        <v>46260.630199027779</v>
      </c>
      <c r="F409" s="9" t="s">
        <v>1585</v>
      </c>
      <c r="G409" s="9" t="s">
        <v>39</v>
      </c>
      <c r="H409" s="9">
        <v>53</v>
      </c>
      <c r="I409" s="9" t="s">
        <v>40</v>
      </c>
      <c r="J409" s="9">
        <v>5309</v>
      </c>
      <c r="K409" s="9" t="s">
        <v>41</v>
      </c>
      <c r="L409" s="9">
        <v>5309074</v>
      </c>
      <c r="M409" s="9">
        <v>5309074001</v>
      </c>
      <c r="N409" s="9" t="s">
        <v>42</v>
      </c>
      <c r="O409" s="9">
        <v>10421</v>
      </c>
      <c r="P409" s="9" t="s">
        <v>49</v>
      </c>
      <c r="Q409" s="10">
        <v>3</v>
      </c>
      <c r="R409" s="10">
        <v>1120000</v>
      </c>
      <c r="S409" s="10">
        <v>50000</v>
      </c>
      <c r="T409" s="10">
        <v>0</v>
      </c>
      <c r="U409" s="10">
        <v>100000</v>
      </c>
      <c r="V409" s="10">
        <v>0</v>
      </c>
      <c r="W409" s="10">
        <v>1270000</v>
      </c>
      <c r="X409" s="10">
        <v>10400000</v>
      </c>
      <c r="Y409" s="10">
        <v>150000</v>
      </c>
      <c r="Z409" s="10">
        <v>10250000</v>
      </c>
      <c r="AA409" s="10">
        <v>5000150</v>
      </c>
      <c r="AB409" s="10">
        <v>10400000</v>
      </c>
      <c r="AC409" s="10">
        <v>0</v>
      </c>
      <c r="AD409" s="9" t="s">
        <v>44</v>
      </c>
      <c r="AE409" s="10" t="s">
        <v>2506</v>
      </c>
      <c r="AF409" s="13">
        <v>3466666667</v>
      </c>
      <c r="AG409" s="10">
        <v>1</v>
      </c>
      <c r="AH409" s="10">
        <v>1</v>
      </c>
      <c r="AI409" s="10">
        <v>1</v>
      </c>
      <c r="AJ409" s="12" t="s">
        <v>1586</v>
      </c>
      <c r="AK409" s="10">
        <v>0</v>
      </c>
      <c r="AL409" s="10">
        <v>0</v>
      </c>
      <c r="AM409" s="9">
        <v>2009</v>
      </c>
      <c r="AN409" s="10">
        <v>1</v>
      </c>
      <c r="AO409" s="10">
        <v>2</v>
      </c>
      <c r="AP409" s="10"/>
      <c r="AQ409" s="5"/>
      <c r="AR409" s="5"/>
      <c r="AS409" s="4">
        <f t="shared" si="18"/>
        <v>150000</v>
      </c>
      <c r="AT409" s="4">
        <f t="shared" si="19"/>
        <v>6031999.5292097926</v>
      </c>
      <c r="AU409" s="4">
        <f t="shared" si="20"/>
        <v>4368000.4707902074</v>
      </c>
      <c r="AV409" s="9" t="s">
        <v>49</v>
      </c>
      <c r="AW409" s="12" t="s">
        <v>1586</v>
      </c>
      <c r="AX409" s="10">
        <v>0</v>
      </c>
      <c r="AY409">
        <f>S409*AU409/AS409</f>
        <v>1456000.1569300692</v>
      </c>
      <c r="AZ409">
        <f>AU409-AY409</f>
        <v>2912000.3138601379</v>
      </c>
      <c r="BA409" s="10">
        <v>10400000</v>
      </c>
      <c r="BB409" s="10">
        <v>150000</v>
      </c>
      <c r="BC409" s="9" t="s">
        <v>42</v>
      </c>
      <c r="BD409" s="9">
        <v>10421</v>
      </c>
      <c r="BE409" t="s">
        <v>46</v>
      </c>
    </row>
    <row r="410" spans="1:57" ht="270.75" thickBot="1" x14ac:dyDescent="0.3">
      <c r="A410" s="9" t="s">
        <v>1587</v>
      </c>
      <c r="B410" s="9">
        <v>3001</v>
      </c>
      <c r="C410" s="10">
        <v>2</v>
      </c>
      <c r="D410" s="9" t="s">
        <v>37</v>
      </c>
      <c r="E410" s="11">
        <v>46257.361771620373</v>
      </c>
      <c r="F410" s="9" t="s">
        <v>1588</v>
      </c>
      <c r="G410" s="9" t="s">
        <v>39</v>
      </c>
      <c r="H410" s="9">
        <v>53</v>
      </c>
      <c r="I410" s="9" t="s">
        <v>40</v>
      </c>
      <c r="J410" s="9">
        <v>5309</v>
      </c>
      <c r="K410" s="9" t="s">
        <v>41</v>
      </c>
      <c r="L410" s="9">
        <v>5309073</v>
      </c>
      <c r="M410" s="9">
        <v>5309073001</v>
      </c>
      <c r="N410" s="9" t="s">
        <v>42</v>
      </c>
      <c r="O410" s="9">
        <v>10421</v>
      </c>
      <c r="P410" s="9" t="s">
        <v>1589</v>
      </c>
      <c r="Q410" s="10">
        <v>1</v>
      </c>
      <c r="R410" s="10">
        <v>0</v>
      </c>
      <c r="S410" s="10">
        <v>100000</v>
      </c>
      <c r="T410" s="10">
        <v>0</v>
      </c>
      <c r="U410" s="10">
        <v>150000</v>
      </c>
      <c r="V410" s="10">
        <v>0</v>
      </c>
      <c r="W410" s="10">
        <v>250000</v>
      </c>
      <c r="X410" s="10">
        <v>7500000</v>
      </c>
      <c r="Y410" s="10">
        <v>0</v>
      </c>
      <c r="Z410" s="10">
        <v>7250000</v>
      </c>
      <c r="AA410" s="10">
        <v>3000000</v>
      </c>
      <c r="AB410" s="10">
        <v>7500000</v>
      </c>
      <c r="AC410" s="10">
        <v>0</v>
      </c>
      <c r="AD410" s="9" t="s">
        <v>44</v>
      </c>
      <c r="AE410" s="10" t="s">
        <v>2312</v>
      </c>
      <c r="AF410" s="10">
        <v>7500000</v>
      </c>
      <c r="AG410" s="10">
        <v>1</v>
      </c>
      <c r="AH410" s="10">
        <v>1</v>
      </c>
      <c r="AI410" s="10">
        <v>1</v>
      </c>
      <c r="AJ410" s="12" t="s">
        <v>1590</v>
      </c>
      <c r="AK410" s="10">
        <v>0</v>
      </c>
      <c r="AL410" s="10">
        <v>0</v>
      </c>
      <c r="AM410" s="9">
        <v>2002</v>
      </c>
      <c r="AN410" s="10">
        <v>0</v>
      </c>
      <c r="AO410" s="10">
        <v>1</v>
      </c>
      <c r="AP410" s="10"/>
      <c r="AQ410" s="5"/>
      <c r="AR410" s="5"/>
      <c r="AS410" s="4">
        <f t="shared" si="18"/>
        <v>250000</v>
      </c>
      <c r="AT410" s="4">
        <f t="shared" si="19"/>
        <v>4349998.5000005169</v>
      </c>
      <c r="AU410" s="4">
        <f t="shared" si="20"/>
        <v>3150001.4999994831</v>
      </c>
      <c r="AV410" s="9" t="s">
        <v>1589</v>
      </c>
      <c r="AW410" s="12" t="s">
        <v>1590</v>
      </c>
      <c r="AX410" s="10">
        <v>0</v>
      </c>
      <c r="AY410">
        <f>S410*AU410/AS410</f>
        <v>1260000.5999997931</v>
      </c>
      <c r="AZ410">
        <f>AU410-AY410</f>
        <v>1890000.89999969</v>
      </c>
      <c r="BA410" s="10">
        <v>7500000</v>
      </c>
      <c r="BB410" s="10">
        <v>0</v>
      </c>
      <c r="BC410" s="9" t="s">
        <v>42</v>
      </c>
      <c r="BD410" s="9">
        <v>10421</v>
      </c>
      <c r="BE410" t="s">
        <v>46</v>
      </c>
    </row>
    <row r="411" spans="1:57" ht="270.75" thickBot="1" x14ac:dyDescent="0.3">
      <c r="A411" s="9" t="s">
        <v>1591</v>
      </c>
      <c r="B411" s="9">
        <v>3001</v>
      </c>
      <c r="C411" s="10">
        <v>2</v>
      </c>
      <c r="D411" s="9" t="s">
        <v>113</v>
      </c>
      <c r="E411" s="11">
        <v>46313.147422303242</v>
      </c>
      <c r="F411" s="9" t="s">
        <v>1592</v>
      </c>
      <c r="G411" s="9" t="s">
        <v>39</v>
      </c>
      <c r="H411" s="9">
        <v>53</v>
      </c>
      <c r="I411" s="9" t="s">
        <v>40</v>
      </c>
      <c r="J411" s="9">
        <v>5309</v>
      </c>
      <c r="K411" s="9" t="s">
        <v>41</v>
      </c>
      <c r="L411" s="9">
        <v>5309062</v>
      </c>
      <c r="M411" s="9">
        <v>5309062005</v>
      </c>
      <c r="N411" s="9" t="s">
        <v>42</v>
      </c>
      <c r="O411" s="9">
        <v>10421</v>
      </c>
      <c r="P411" s="9" t="s">
        <v>1593</v>
      </c>
      <c r="Q411" s="10">
        <v>3</v>
      </c>
      <c r="R411" s="10">
        <v>300000</v>
      </c>
      <c r="S411" s="10">
        <v>150000</v>
      </c>
      <c r="T411" s="10">
        <v>0</v>
      </c>
      <c r="U411" s="10">
        <v>250000</v>
      </c>
      <c r="V411" s="10">
        <v>0</v>
      </c>
      <c r="W411" s="10">
        <v>700000</v>
      </c>
      <c r="X411" s="10">
        <v>4500000</v>
      </c>
      <c r="Y411" s="10">
        <v>1200000</v>
      </c>
      <c r="Z411" s="10">
        <v>4100000</v>
      </c>
      <c r="AA411" s="10">
        <v>5600000</v>
      </c>
      <c r="AB411" s="10">
        <v>4500000</v>
      </c>
      <c r="AC411" s="10">
        <v>0</v>
      </c>
      <c r="AD411" s="9" t="s">
        <v>44</v>
      </c>
      <c r="AE411" s="10" t="s">
        <v>2507</v>
      </c>
      <c r="AF411" s="10">
        <v>1500000</v>
      </c>
      <c r="AG411" s="10">
        <v>1</v>
      </c>
      <c r="AH411" s="10">
        <v>1</v>
      </c>
      <c r="AI411" s="10">
        <v>1</v>
      </c>
      <c r="AJ411" s="12" t="s">
        <v>1594</v>
      </c>
      <c r="AK411" s="10">
        <v>0</v>
      </c>
      <c r="AL411" s="10">
        <v>0</v>
      </c>
      <c r="AM411" s="9">
        <v>2020</v>
      </c>
      <c r="AN411" s="10">
        <v>1</v>
      </c>
      <c r="AO411" s="10">
        <v>2</v>
      </c>
      <c r="AP411" s="10"/>
      <c r="AQ411" s="5"/>
      <c r="AR411" s="5"/>
      <c r="AS411" s="4">
        <f t="shared" si="18"/>
        <v>400000</v>
      </c>
      <c r="AT411" s="4">
        <f t="shared" si="19"/>
        <v>2610000.3182927216</v>
      </c>
      <c r="AU411" s="4">
        <f t="shared" si="20"/>
        <v>1889999.6817072784</v>
      </c>
      <c r="AV411" s="9" t="s">
        <v>1593</v>
      </c>
      <c r="AW411" s="12" t="s">
        <v>1594</v>
      </c>
      <c r="AX411" s="10">
        <v>0</v>
      </c>
      <c r="AY411">
        <f>S411*AU411/AS411</f>
        <v>708749.88064022933</v>
      </c>
      <c r="AZ411">
        <f>AU411-AY411</f>
        <v>1181249.8010670491</v>
      </c>
      <c r="BA411" s="10">
        <v>4500000</v>
      </c>
      <c r="BB411" s="10">
        <v>1200000</v>
      </c>
      <c r="BC411" s="9" t="s">
        <v>42</v>
      </c>
      <c r="BD411" s="9">
        <v>10421</v>
      </c>
      <c r="BE411" t="s">
        <v>46</v>
      </c>
    </row>
    <row r="412" spans="1:57" ht="270.75" thickBot="1" x14ac:dyDescent="0.3">
      <c r="A412" s="9" t="s">
        <v>1595</v>
      </c>
      <c r="B412" s="9">
        <v>3001</v>
      </c>
      <c r="C412" s="10">
        <v>2</v>
      </c>
      <c r="D412" s="9" t="s">
        <v>84</v>
      </c>
      <c r="E412" s="11">
        <v>46310.413792488427</v>
      </c>
      <c r="F412" s="9" t="s">
        <v>1596</v>
      </c>
      <c r="G412" s="9" t="s">
        <v>39</v>
      </c>
      <c r="H412" s="9">
        <v>53</v>
      </c>
      <c r="I412" s="9" t="s">
        <v>40</v>
      </c>
      <c r="J412" s="9">
        <v>5309</v>
      </c>
      <c r="K412" s="9" t="s">
        <v>41</v>
      </c>
      <c r="L412" s="9">
        <v>5309073</v>
      </c>
      <c r="M412" s="9">
        <v>5309073006</v>
      </c>
      <c r="N412" s="9" t="s">
        <v>42</v>
      </c>
      <c r="O412" s="9">
        <v>10421</v>
      </c>
      <c r="P412" s="9" t="s">
        <v>1597</v>
      </c>
      <c r="Q412" s="10">
        <v>3</v>
      </c>
      <c r="R412" s="10">
        <v>0</v>
      </c>
      <c r="S412" s="10">
        <v>250000</v>
      </c>
      <c r="T412" s="10">
        <v>0</v>
      </c>
      <c r="U412" s="10">
        <v>0</v>
      </c>
      <c r="V412" s="10">
        <v>400000</v>
      </c>
      <c r="W412" s="10">
        <v>650000</v>
      </c>
      <c r="X412" s="10">
        <v>8500000</v>
      </c>
      <c r="Y412" s="10">
        <v>0</v>
      </c>
      <c r="Z412" s="10">
        <v>8250000</v>
      </c>
      <c r="AA412" s="10">
        <v>5250000</v>
      </c>
      <c r="AB412" s="10">
        <v>8500000</v>
      </c>
      <c r="AC412" s="10">
        <v>0</v>
      </c>
      <c r="AD412" s="9" t="s">
        <v>44</v>
      </c>
      <c r="AE412" s="10" t="s">
        <v>2422</v>
      </c>
      <c r="AF412" s="13">
        <v>2833333333</v>
      </c>
      <c r="AG412" s="10">
        <v>1</v>
      </c>
      <c r="AH412" s="10">
        <v>1</v>
      </c>
      <c r="AI412" s="10">
        <v>1</v>
      </c>
      <c r="AJ412" s="12" t="s">
        <v>1598</v>
      </c>
      <c r="AK412" s="10">
        <v>0</v>
      </c>
      <c r="AL412" s="10">
        <v>0</v>
      </c>
      <c r="AM412" s="9">
        <v>2022</v>
      </c>
      <c r="AN412" s="10">
        <v>0</v>
      </c>
      <c r="AO412" s="10">
        <v>3</v>
      </c>
      <c r="AP412" s="10"/>
      <c r="AQ412" s="5"/>
      <c r="AR412" s="5"/>
      <c r="AS412" s="4">
        <f t="shared" si="18"/>
        <v>250000</v>
      </c>
      <c r="AT412" s="4">
        <f t="shared" si="19"/>
        <v>4930001.1951518049</v>
      </c>
      <c r="AU412" s="4">
        <f t="shared" si="20"/>
        <v>3569998.8048481951</v>
      </c>
      <c r="AV412" s="9" t="s">
        <v>1597</v>
      </c>
      <c r="AW412" s="12" t="s">
        <v>1598</v>
      </c>
      <c r="AX412" s="10">
        <v>0</v>
      </c>
      <c r="AY412">
        <f>S412*AU412/AS412</f>
        <v>3569998.8048481951</v>
      </c>
      <c r="AZ412">
        <f>AU412-AY412</f>
        <v>0</v>
      </c>
      <c r="BA412" s="10">
        <v>8500000</v>
      </c>
      <c r="BB412" s="10">
        <v>0</v>
      </c>
      <c r="BC412" s="9" t="s">
        <v>42</v>
      </c>
      <c r="BD412" s="9">
        <v>10421</v>
      </c>
      <c r="BE412" t="s">
        <v>46</v>
      </c>
    </row>
    <row r="413" spans="1:57" ht="270.75" thickBot="1" x14ac:dyDescent="0.3">
      <c r="A413" s="9" t="s">
        <v>1599</v>
      </c>
      <c r="B413" s="9">
        <v>3003</v>
      </c>
      <c r="C413" s="10">
        <v>2</v>
      </c>
      <c r="D413" s="9" t="s">
        <v>84</v>
      </c>
      <c r="E413" s="11">
        <v>46307.376908356484</v>
      </c>
      <c r="F413" s="9" t="s">
        <v>1600</v>
      </c>
      <c r="G413" s="9" t="s">
        <v>39</v>
      </c>
      <c r="H413" s="9">
        <v>53</v>
      </c>
      <c r="I413" s="9" t="s">
        <v>40</v>
      </c>
      <c r="J413" s="9">
        <v>5309</v>
      </c>
      <c r="K413" s="9" t="s">
        <v>41</v>
      </c>
      <c r="L413" s="9">
        <v>5309072</v>
      </c>
      <c r="M413" s="9">
        <v>5309072006</v>
      </c>
      <c r="N413" s="9" t="s">
        <v>42</v>
      </c>
      <c r="O413" s="9">
        <v>10421</v>
      </c>
      <c r="P413" s="9" t="s">
        <v>49</v>
      </c>
      <c r="Q413" s="10">
        <v>1</v>
      </c>
      <c r="R413" s="10">
        <v>0</v>
      </c>
      <c r="S413" s="10">
        <v>100000</v>
      </c>
      <c r="T413" s="10">
        <v>0</v>
      </c>
      <c r="U413" s="10">
        <v>100000</v>
      </c>
      <c r="V413" s="10">
        <v>0</v>
      </c>
      <c r="W413" s="10">
        <v>200000</v>
      </c>
      <c r="X413" s="10">
        <v>1200000</v>
      </c>
      <c r="Y413" s="10">
        <v>0</v>
      </c>
      <c r="Z413" s="10">
        <v>1000000</v>
      </c>
      <c r="AA413" s="10">
        <v>10000000</v>
      </c>
      <c r="AB413" s="10">
        <v>1200000</v>
      </c>
      <c r="AC413" s="10">
        <v>0</v>
      </c>
      <c r="AD413" s="9" t="s">
        <v>44</v>
      </c>
      <c r="AE413" s="10" t="s">
        <v>2358</v>
      </c>
      <c r="AF413" s="10">
        <v>1200000</v>
      </c>
      <c r="AG413" s="10">
        <v>1</v>
      </c>
      <c r="AH413" s="10">
        <v>1</v>
      </c>
      <c r="AI413" s="10">
        <v>1</v>
      </c>
      <c r="AJ413" s="12" t="s">
        <v>1601</v>
      </c>
      <c r="AK413" s="10">
        <v>0</v>
      </c>
      <c r="AL413" s="10">
        <v>0</v>
      </c>
      <c r="AM413" s="9">
        <v>2016</v>
      </c>
      <c r="AN413" s="10">
        <v>0</v>
      </c>
      <c r="AO413" s="10">
        <v>1</v>
      </c>
      <c r="AP413" s="10"/>
      <c r="AQ413" s="5"/>
      <c r="AR413" s="5"/>
      <c r="AS413" s="4">
        <f t="shared" si="18"/>
        <v>200000</v>
      </c>
      <c r="AT413" s="4">
        <f t="shared" si="19"/>
        <v>696000.27840011136</v>
      </c>
      <c r="AU413" s="4">
        <f t="shared" si="20"/>
        <v>503999.72159988864</v>
      </c>
      <c r="AV413" s="9" t="s">
        <v>49</v>
      </c>
      <c r="AW413" s="12" t="s">
        <v>1601</v>
      </c>
      <c r="AX413" s="10">
        <v>0</v>
      </c>
      <c r="AY413">
        <f>S413*AU413/AS413</f>
        <v>251999.86079994432</v>
      </c>
      <c r="AZ413">
        <f>AU413-AY413</f>
        <v>251999.86079994432</v>
      </c>
      <c r="BA413" s="10">
        <v>1200000</v>
      </c>
      <c r="BB413" s="10">
        <v>0</v>
      </c>
      <c r="BC413" s="9" t="s">
        <v>42</v>
      </c>
      <c r="BD413" s="9">
        <v>10421</v>
      </c>
      <c r="BE413" t="s">
        <v>46</v>
      </c>
    </row>
    <row r="414" spans="1:57" ht="270.75" thickBot="1" x14ac:dyDescent="0.3">
      <c r="A414" s="9" t="s">
        <v>1602</v>
      </c>
      <c r="B414" s="9">
        <v>1001</v>
      </c>
      <c r="C414" s="10">
        <v>2</v>
      </c>
      <c r="D414" s="9" t="s">
        <v>37</v>
      </c>
      <c r="E414" s="11">
        <v>46236.182194872687</v>
      </c>
      <c r="F414" s="9" t="s">
        <v>1603</v>
      </c>
      <c r="G414" s="9" t="s">
        <v>39</v>
      </c>
      <c r="H414" s="9">
        <v>53</v>
      </c>
      <c r="I414" s="9" t="s">
        <v>40</v>
      </c>
      <c r="J414" s="9">
        <v>5309</v>
      </c>
      <c r="K414" s="9" t="s">
        <v>41</v>
      </c>
      <c r="L414" s="9">
        <v>5309062</v>
      </c>
      <c r="M414" s="9">
        <v>5309062002</v>
      </c>
      <c r="N414" s="9" t="s">
        <v>42</v>
      </c>
      <c r="O414" s="9">
        <v>10421</v>
      </c>
      <c r="P414" s="9" t="s">
        <v>106</v>
      </c>
      <c r="Q414" s="10">
        <v>3</v>
      </c>
      <c r="R414" s="10">
        <v>0</v>
      </c>
      <c r="S414" s="10">
        <v>150000</v>
      </c>
      <c r="T414" s="10">
        <v>0</v>
      </c>
      <c r="U414" s="10">
        <v>500000</v>
      </c>
      <c r="V414" s="10">
        <v>0</v>
      </c>
      <c r="W414" s="10">
        <v>650000</v>
      </c>
      <c r="X414" s="10">
        <v>12000000</v>
      </c>
      <c r="Y414" s="10">
        <v>0</v>
      </c>
      <c r="Z414" s="10">
        <v>11350000</v>
      </c>
      <c r="AA414" s="10">
        <v>2500000</v>
      </c>
      <c r="AB414" s="10">
        <v>12000000</v>
      </c>
      <c r="AC414" s="10">
        <v>0</v>
      </c>
      <c r="AD414" s="9" t="s">
        <v>44</v>
      </c>
      <c r="AE414" s="10" t="s">
        <v>2323</v>
      </c>
      <c r="AF414" s="10">
        <v>4000000</v>
      </c>
      <c r="AG414" s="10">
        <v>1</v>
      </c>
      <c r="AH414" s="10">
        <v>1</v>
      </c>
      <c r="AI414" s="10">
        <v>1</v>
      </c>
      <c r="AJ414" s="12" t="s">
        <v>1604</v>
      </c>
      <c r="AK414" s="10">
        <v>0</v>
      </c>
      <c r="AL414" s="10">
        <v>0</v>
      </c>
      <c r="AM414" s="9">
        <v>1995</v>
      </c>
      <c r="AN414" s="10">
        <v>0</v>
      </c>
      <c r="AO414" s="10">
        <v>3</v>
      </c>
      <c r="AP414" s="10"/>
      <c r="AQ414" s="5"/>
      <c r="AR414" s="5"/>
      <c r="AS414" s="4">
        <f t="shared" si="18"/>
        <v>650000</v>
      </c>
      <c r="AT414" s="4">
        <f t="shared" si="19"/>
        <v>6960002.4528643005</v>
      </c>
      <c r="AU414" s="4">
        <f t="shared" si="20"/>
        <v>5039997.5471356995</v>
      </c>
      <c r="AV414" s="9" t="s">
        <v>106</v>
      </c>
      <c r="AW414" s="12" t="s">
        <v>1604</v>
      </c>
      <c r="AX414" s="10">
        <v>0</v>
      </c>
      <c r="AY414">
        <f>S414*AU414/AS414</f>
        <v>1163076.3570313153</v>
      </c>
      <c r="AZ414">
        <f>AU414-AY414</f>
        <v>3876921.190104384</v>
      </c>
      <c r="BA414" s="10">
        <v>12000000</v>
      </c>
      <c r="BB414" s="10">
        <v>0</v>
      </c>
      <c r="BC414" s="9" t="s">
        <v>42</v>
      </c>
      <c r="BD414" s="9">
        <v>10421</v>
      </c>
      <c r="BE414" t="s">
        <v>46</v>
      </c>
    </row>
    <row r="415" spans="1:57" ht="270.75" thickBot="1" x14ac:dyDescent="0.3">
      <c r="A415" s="9" t="s">
        <v>1605</v>
      </c>
      <c r="B415" s="9">
        <v>3001</v>
      </c>
      <c r="C415" s="10">
        <v>2</v>
      </c>
      <c r="D415" s="9" t="s">
        <v>37</v>
      </c>
      <c r="E415" s="11">
        <v>46214.746702638891</v>
      </c>
      <c r="F415" s="9" t="s">
        <v>1606</v>
      </c>
      <c r="G415" s="9" t="s">
        <v>39</v>
      </c>
      <c r="H415" s="9">
        <v>53</v>
      </c>
      <c r="I415" s="9" t="s">
        <v>40</v>
      </c>
      <c r="J415" s="9">
        <v>5309</v>
      </c>
      <c r="K415" s="9" t="s">
        <v>41</v>
      </c>
      <c r="L415" s="9">
        <v>5309062</v>
      </c>
      <c r="M415" s="9">
        <v>5309062009</v>
      </c>
      <c r="N415" s="9" t="s">
        <v>42</v>
      </c>
      <c r="O415" s="9">
        <v>10421</v>
      </c>
      <c r="P415" s="9" t="s">
        <v>1607</v>
      </c>
      <c r="Q415" s="10">
        <v>8</v>
      </c>
      <c r="R415" s="10">
        <v>2100000</v>
      </c>
      <c r="S415" s="10">
        <v>350000</v>
      </c>
      <c r="T415" s="10">
        <v>0</v>
      </c>
      <c r="U415" s="10">
        <v>500000</v>
      </c>
      <c r="V415" s="10">
        <v>0</v>
      </c>
      <c r="W415" s="10">
        <v>2950000</v>
      </c>
      <c r="X415" s="10">
        <v>14400000</v>
      </c>
      <c r="Y415" s="10">
        <v>0</v>
      </c>
      <c r="Z415" s="10">
        <v>13550000</v>
      </c>
      <c r="AA415" s="10">
        <v>4800000</v>
      </c>
      <c r="AB415" s="10">
        <v>14400000</v>
      </c>
      <c r="AC415" s="10">
        <v>0</v>
      </c>
      <c r="AD415" s="9" t="s">
        <v>44</v>
      </c>
      <c r="AE415" s="10" t="s">
        <v>2508</v>
      </c>
      <c r="AF415" s="10">
        <v>1800000</v>
      </c>
      <c r="AG415" s="10">
        <v>1</v>
      </c>
      <c r="AH415" s="10">
        <v>1</v>
      </c>
      <c r="AI415" s="10">
        <v>1</v>
      </c>
      <c r="AJ415" s="12" t="s">
        <v>1608</v>
      </c>
      <c r="AK415" s="10">
        <v>0</v>
      </c>
      <c r="AL415" s="10">
        <v>0</v>
      </c>
      <c r="AM415" s="9">
        <v>2019</v>
      </c>
      <c r="AN415" s="10">
        <v>7</v>
      </c>
      <c r="AO415" s="10">
        <v>1</v>
      </c>
      <c r="AP415" s="10"/>
      <c r="AQ415" s="5"/>
      <c r="AR415" s="5"/>
      <c r="AS415" s="4">
        <f t="shared" si="18"/>
        <v>850000</v>
      </c>
      <c r="AT415" s="4">
        <f t="shared" si="19"/>
        <v>8352001.972428509</v>
      </c>
      <c r="AU415" s="4">
        <f t="shared" si="20"/>
        <v>6047998.027571491</v>
      </c>
      <c r="AV415" s="9" t="s">
        <v>1607</v>
      </c>
      <c r="AW415" s="12" t="s">
        <v>1608</v>
      </c>
      <c r="AX415" s="10">
        <v>0</v>
      </c>
      <c r="AY415">
        <f>S415*AU415/AS415</f>
        <v>2490352.1290000253</v>
      </c>
      <c r="AZ415">
        <f>AU415-AY415</f>
        <v>3557645.8985714656</v>
      </c>
      <c r="BA415" s="10">
        <v>14400000</v>
      </c>
      <c r="BB415" s="10">
        <v>0</v>
      </c>
      <c r="BC415" s="9" t="s">
        <v>42</v>
      </c>
      <c r="BD415" s="9">
        <v>10421</v>
      </c>
      <c r="BE415" t="s">
        <v>46</v>
      </c>
    </row>
    <row r="416" spans="1:57" ht="255.75" thickBot="1" x14ac:dyDescent="0.3">
      <c r="A416" s="9" t="s">
        <v>1609</v>
      </c>
      <c r="B416" s="9">
        <v>3001</v>
      </c>
      <c r="C416" s="10">
        <v>2</v>
      </c>
      <c r="D416" s="9" t="s">
        <v>37</v>
      </c>
      <c r="E416" s="14">
        <v>46232.260821759257</v>
      </c>
      <c r="F416" s="9" t="s">
        <v>1610</v>
      </c>
      <c r="G416" s="9" t="s">
        <v>39</v>
      </c>
      <c r="H416" s="9">
        <v>53</v>
      </c>
      <c r="I416" s="9" t="s">
        <v>40</v>
      </c>
      <c r="J416" s="9">
        <v>5309</v>
      </c>
      <c r="K416" s="9" t="s">
        <v>41</v>
      </c>
      <c r="L416" s="9">
        <v>5309062</v>
      </c>
      <c r="M416" s="9">
        <v>5309062005</v>
      </c>
      <c r="N416" s="9" t="s">
        <v>42</v>
      </c>
      <c r="O416" s="9">
        <v>10421</v>
      </c>
      <c r="P416" s="9" t="s">
        <v>49</v>
      </c>
      <c r="Q416" s="10">
        <v>2</v>
      </c>
      <c r="R416" s="10">
        <v>0</v>
      </c>
      <c r="S416" s="10">
        <v>100000</v>
      </c>
      <c r="T416" s="10">
        <v>0</v>
      </c>
      <c r="U416" s="10">
        <v>100000</v>
      </c>
      <c r="V416" s="10">
        <v>0</v>
      </c>
      <c r="W416" s="10">
        <v>200000</v>
      </c>
      <c r="X416" s="10">
        <v>5580000</v>
      </c>
      <c r="Y416" s="10">
        <v>0</v>
      </c>
      <c r="Z416" s="10">
        <v>5380000</v>
      </c>
      <c r="AA416" s="10">
        <v>3850000</v>
      </c>
      <c r="AB416" s="10">
        <v>5580000</v>
      </c>
      <c r="AC416" s="10">
        <v>0</v>
      </c>
      <c r="AD416" s="9" t="s">
        <v>44</v>
      </c>
      <c r="AE416" s="10" t="s">
        <v>2509</v>
      </c>
      <c r="AF416" s="10">
        <v>2790000</v>
      </c>
      <c r="AG416" s="10">
        <v>1</v>
      </c>
      <c r="AH416" s="10">
        <v>1</v>
      </c>
      <c r="AI416" s="10">
        <v>1</v>
      </c>
      <c r="AJ416" s="12" t="s">
        <v>1611</v>
      </c>
      <c r="AK416" s="10">
        <v>0</v>
      </c>
      <c r="AL416" s="10">
        <v>0</v>
      </c>
      <c r="AM416" s="9">
        <v>2015</v>
      </c>
      <c r="AN416" s="10">
        <v>0</v>
      </c>
      <c r="AO416" s="10">
        <v>2</v>
      </c>
      <c r="AP416" s="10"/>
      <c r="AQ416" s="5"/>
      <c r="AR416" s="5"/>
      <c r="AS416" s="4">
        <f t="shared" si="18"/>
        <v>200000</v>
      </c>
      <c r="AT416" s="4">
        <f t="shared" si="19"/>
        <v>3236399.0134397061</v>
      </c>
      <c r="AU416" s="4">
        <f t="shared" si="20"/>
        <v>2343600.9865602939</v>
      </c>
      <c r="AV416" s="9" t="s">
        <v>49</v>
      </c>
      <c r="AW416" s="12" t="s">
        <v>1611</v>
      </c>
      <c r="AX416" s="10">
        <v>0</v>
      </c>
      <c r="AY416">
        <f>S416*AU416/AS416</f>
        <v>1171800.493280147</v>
      </c>
      <c r="AZ416">
        <f>AU416-AY416</f>
        <v>1171800.493280147</v>
      </c>
      <c r="BA416" s="10">
        <v>5580000</v>
      </c>
      <c r="BB416" s="10">
        <v>0</v>
      </c>
      <c r="BC416" s="9" t="s">
        <v>42</v>
      </c>
      <c r="BD416" s="9">
        <v>10421</v>
      </c>
      <c r="BE416" t="s">
        <v>46</v>
      </c>
    </row>
    <row r="417" spans="1:57" ht="270.75" thickBot="1" x14ac:dyDescent="0.3">
      <c r="A417" s="9" t="s">
        <v>1612</v>
      </c>
      <c r="B417" s="9">
        <v>3001</v>
      </c>
      <c r="C417" s="10">
        <v>2</v>
      </c>
      <c r="D417" s="9" t="s">
        <v>37</v>
      </c>
      <c r="E417" s="14">
        <v>46221.218900462962</v>
      </c>
      <c r="F417" s="9" t="s">
        <v>1613</v>
      </c>
      <c r="G417" s="9" t="s">
        <v>39</v>
      </c>
      <c r="H417" s="9">
        <v>53</v>
      </c>
      <c r="I417" s="9" t="s">
        <v>40</v>
      </c>
      <c r="J417" s="9">
        <v>5309</v>
      </c>
      <c r="K417" s="9" t="s">
        <v>41</v>
      </c>
      <c r="L417" s="9">
        <v>5309073</v>
      </c>
      <c r="M417" s="9">
        <v>5309073010</v>
      </c>
      <c r="N417" s="9" t="s">
        <v>42</v>
      </c>
      <c r="O417" s="9">
        <v>10421</v>
      </c>
      <c r="P417" s="9" t="s">
        <v>1614</v>
      </c>
      <c r="Q417" s="10">
        <v>2</v>
      </c>
      <c r="R417" s="10">
        <v>700000</v>
      </c>
      <c r="S417" s="10">
        <v>350000</v>
      </c>
      <c r="T417" s="10">
        <v>0</v>
      </c>
      <c r="U417" s="10">
        <v>400000</v>
      </c>
      <c r="V417" s="10">
        <v>0</v>
      </c>
      <c r="W417" s="10">
        <v>1450000</v>
      </c>
      <c r="X417" s="10">
        <v>7840000</v>
      </c>
      <c r="Y417" s="10">
        <v>0</v>
      </c>
      <c r="Z417" s="10">
        <v>7090000</v>
      </c>
      <c r="AA417" s="10">
        <v>45500000</v>
      </c>
      <c r="AB417" s="10">
        <v>7840000</v>
      </c>
      <c r="AC417" s="10">
        <v>0</v>
      </c>
      <c r="AD417" s="9" t="s">
        <v>44</v>
      </c>
      <c r="AE417" s="10" t="s">
        <v>2510</v>
      </c>
      <c r="AF417" s="10">
        <v>3920000</v>
      </c>
      <c r="AG417" s="10">
        <v>1</v>
      </c>
      <c r="AH417" s="10">
        <v>1</v>
      </c>
      <c r="AI417" s="10">
        <v>1</v>
      </c>
      <c r="AJ417" s="12" t="s">
        <v>1615</v>
      </c>
      <c r="AK417" s="10">
        <v>0</v>
      </c>
      <c r="AL417" s="10">
        <v>0</v>
      </c>
      <c r="AM417" s="9">
        <v>2016</v>
      </c>
      <c r="AN417" s="10">
        <v>1</v>
      </c>
      <c r="AO417" s="10">
        <v>1</v>
      </c>
      <c r="AP417" s="10"/>
      <c r="AQ417" s="5"/>
      <c r="AR417" s="5"/>
      <c r="AS417" s="4">
        <f t="shared" si="18"/>
        <v>750000</v>
      </c>
      <c r="AT417" s="4">
        <f t="shared" si="19"/>
        <v>4547198.6659840299</v>
      </c>
      <c r="AU417" s="4">
        <f t="shared" si="20"/>
        <v>3292801.3340159701</v>
      </c>
      <c r="AV417" s="9" t="s">
        <v>1614</v>
      </c>
      <c r="AW417" s="12" t="s">
        <v>1615</v>
      </c>
      <c r="AX417" s="10">
        <v>0</v>
      </c>
      <c r="AY417">
        <f>S417*AU417/AS417</f>
        <v>1536640.6225407862</v>
      </c>
      <c r="AZ417">
        <f>AU417-AY417</f>
        <v>1756160.711475184</v>
      </c>
      <c r="BA417" s="10">
        <v>7840000</v>
      </c>
      <c r="BB417" s="10">
        <v>0</v>
      </c>
      <c r="BC417" s="9" t="s">
        <v>42</v>
      </c>
      <c r="BD417" s="9">
        <v>10421</v>
      </c>
      <c r="BE417" t="s">
        <v>46</v>
      </c>
    </row>
    <row r="418" spans="1:57" ht="270.75" thickBot="1" x14ac:dyDescent="0.3">
      <c r="A418" s="9" t="s">
        <v>1616</v>
      </c>
      <c r="B418" s="9">
        <v>3001</v>
      </c>
      <c r="C418" s="10">
        <v>2</v>
      </c>
      <c r="D418" s="9" t="s">
        <v>37</v>
      </c>
      <c r="E418" s="11">
        <v>46263.391816770833</v>
      </c>
      <c r="F418" s="9" t="s">
        <v>1617</v>
      </c>
      <c r="G418" s="9" t="s">
        <v>39</v>
      </c>
      <c r="H418" s="9">
        <v>53</v>
      </c>
      <c r="I418" s="9" t="s">
        <v>40</v>
      </c>
      <c r="J418" s="9">
        <v>5309</v>
      </c>
      <c r="K418" s="9" t="s">
        <v>41</v>
      </c>
      <c r="L418" s="9">
        <v>5309074</v>
      </c>
      <c r="M418" s="9">
        <v>5309074006</v>
      </c>
      <c r="N418" s="9" t="s">
        <v>42</v>
      </c>
      <c r="O418" s="9">
        <v>10421</v>
      </c>
      <c r="P418" s="9" t="s">
        <v>49</v>
      </c>
      <c r="Q418" s="10">
        <v>1</v>
      </c>
      <c r="R418" s="10">
        <v>0</v>
      </c>
      <c r="S418" s="10">
        <v>150000</v>
      </c>
      <c r="T418" s="10">
        <v>0</v>
      </c>
      <c r="U418" s="10">
        <v>0</v>
      </c>
      <c r="V418" s="10">
        <v>0</v>
      </c>
      <c r="W418" s="10">
        <v>150000</v>
      </c>
      <c r="X418" s="10">
        <v>3000000</v>
      </c>
      <c r="Y418" s="10">
        <v>0</v>
      </c>
      <c r="Z418" s="10">
        <v>2850000</v>
      </c>
      <c r="AA418" s="10">
        <v>2000000</v>
      </c>
      <c r="AB418" s="10">
        <v>3000000</v>
      </c>
      <c r="AC418" s="10">
        <v>0</v>
      </c>
      <c r="AD418" s="9" t="s">
        <v>44</v>
      </c>
      <c r="AE418" s="10" t="s">
        <v>1803</v>
      </c>
      <c r="AF418" s="10">
        <v>3000000</v>
      </c>
      <c r="AG418" s="10">
        <v>1</v>
      </c>
      <c r="AH418" s="10">
        <v>1</v>
      </c>
      <c r="AI418" s="10">
        <v>1</v>
      </c>
      <c r="AJ418" s="12" t="s">
        <v>1618</v>
      </c>
      <c r="AK418" s="10">
        <v>0</v>
      </c>
      <c r="AL418" s="10">
        <v>0</v>
      </c>
      <c r="AM418" s="9">
        <v>2000</v>
      </c>
      <c r="AN418" s="10">
        <v>0</v>
      </c>
      <c r="AO418" s="10">
        <v>1</v>
      </c>
      <c r="AP418" s="10"/>
      <c r="AQ418" s="5"/>
      <c r="AR418" s="5"/>
      <c r="AS418" s="4">
        <f t="shared" si="18"/>
        <v>150000</v>
      </c>
      <c r="AT418" s="4">
        <f t="shared" si="19"/>
        <v>1740000</v>
      </c>
      <c r="AU418" s="4">
        <f t="shared" si="20"/>
        <v>1260000</v>
      </c>
      <c r="AV418" s="9" t="s">
        <v>49</v>
      </c>
      <c r="AW418" s="12" t="s">
        <v>1618</v>
      </c>
      <c r="AX418" s="10">
        <v>0</v>
      </c>
      <c r="AY418">
        <f>S418*AU418/AS418</f>
        <v>1260000</v>
      </c>
      <c r="AZ418">
        <f>AU418-AY418</f>
        <v>0</v>
      </c>
      <c r="BA418" s="10">
        <v>3000000</v>
      </c>
      <c r="BB418" s="10">
        <v>0</v>
      </c>
      <c r="BC418" s="9" t="s">
        <v>42</v>
      </c>
      <c r="BD418" s="9">
        <v>10421</v>
      </c>
      <c r="BE418" t="s">
        <v>46</v>
      </c>
    </row>
    <row r="419" spans="1:57" ht="270.75" thickBot="1" x14ac:dyDescent="0.3">
      <c r="A419" s="9" t="s">
        <v>1619</v>
      </c>
      <c r="B419" s="9">
        <v>3002</v>
      </c>
      <c r="C419" s="10">
        <v>2</v>
      </c>
      <c r="D419" s="9" t="s">
        <v>37</v>
      </c>
      <c r="E419" s="14">
        <v>46231.407430555555</v>
      </c>
      <c r="F419" s="9" t="s">
        <v>1620</v>
      </c>
      <c r="G419" s="9" t="s">
        <v>39</v>
      </c>
      <c r="H419" s="9">
        <v>53</v>
      </c>
      <c r="I419" s="9" t="s">
        <v>40</v>
      </c>
      <c r="J419" s="9">
        <v>5309</v>
      </c>
      <c r="K419" s="9" t="s">
        <v>41</v>
      </c>
      <c r="L419" s="9">
        <v>5309062</v>
      </c>
      <c r="M419" s="9">
        <v>5309062005</v>
      </c>
      <c r="N419" s="9" t="s">
        <v>42</v>
      </c>
      <c r="O419" s="9">
        <v>10421</v>
      </c>
      <c r="P419" s="9" t="s">
        <v>745</v>
      </c>
      <c r="Q419" s="10">
        <v>3</v>
      </c>
      <c r="R419" s="10">
        <v>0</v>
      </c>
      <c r="S419" s="10">
        <v>350000</v>
      </c>
      <c r="T419" s="10">
        <v>0</v>
      </c>
      <c r="U419" s="10">
        <v>140000</v>
      </c>
      <c r="V419" s="10">
        <v>0</v>
      </c>
      <c r="W419" s="10">
        <v>490000</v>
      </c>
      <c r="X419" s="10">
        <v>3500000</v>
      </c>
      <c r="Y419" s="10">
        <v>0</v>
      </c>
      <c r="Z419" s="10">
        <v>3010000</v>
      </c>
      <c r="AA419" s="10">
        <v>2570000</v>
      </c>
      <c r="AB419" s="10">
        <v>3500000</v>
      </c>
      <c r="AC419" s="10">
        <v>0</v>
      </c>
      <c r="AD419" s="9" t="s">
        <v>44</v>
      </c>
      <c r="AE419" s="10" t="s">
        <v>1941</v>
      </c>
      <c r="AF419" s="13">
        <v>1166666667</v>
      </c>
      <c r="AG419" s="10">
        <v>1</v>
      </c>
      <c r="AH419" s="10">
        <v>1</v>
      </c>
      <c r="AI419" s="10">
        <v>1</v>
      </c>
      <c r="AJ419" s="12" t="s">
        <v>1621</v>
      </c>
      <c r="AK419" s="10">
        <v>0</v>
      </c>
      <c r="AL419" s="10">
        <v>0</v>
      </c>
      <c r="AM419" s="9">
        <v>1996</v>
      </c>
      <c r="AN419" s="10">
        <v>0</v>
      </c>
      <c r="AO419" s="10">
        <v>3</v>
      </c>
      <c r="AP419" s="10"/>
      <c r="AQ419" s="5"/>
      <c r="AR419" s="5"/>
      <c r="AS419" s="4">
        <f t="shared" si="18"/>
        <v>490000</v>
      </c>
      <c r="AT419" s="4">
        <f t="shared" si="19"/>
        <v>2029999.9999999998</v>
      </c>
      <c r="AU419" s="4">
        <f t="shared" si="20"/>
        <v>1470000.0000000002</v>
      </c>
      <c r="AV419" s="9" t="s">
        <v>745</v>
      </c>
      <c r="AW419" s="12" t="s">
        <v>1621</v>
      </c>
      <c r="AX419" s="10">
        <v>0</v>
      </c>
      <c r="AY419">
        <f>S419*AU419/AS419</f>
        <v>1050000.0000000002</v>
      </c>
      <c r="AZ419">
        <f>AU419-AY419</f>
        <v>420000</v>
      </c>
      <c r="BA419" s="10">
        <v>3500000</v>
      </c>
      <c r="BB419" s="10">
        <v>0</v>
      </c>
      <c r="BC419" s="9" t="s">
        <v>42</v>
      </c>
      <c r="BD419" s="9">
        <v>10421</v>
      </c>
      <c r="BE419" t="s">
        <v>46</v>
      </c>
    </row>
    <row r="420" spans="1:57" ht="270.75" thickBot="1" x14ac:dyDescent="0.3">
      <c r="A420" s="9" t="s">
        <v>1622</v>
      </c>
      <c r="B420" s="9">
        <v>3001</v>
      </c>
      <c r="C420" s="10">
        <v>2</v>
      </c>
      <c r="D420" s="9" t="s">
        <v>37</v>
      </c>
      <c r="E420" s="11">
        <v>46279.801940138888</v>
      </c>
      <c r="F420" s="9" t="s">
        <v>1623</v>
      </c>
      <c r="G420" s="9" t="s">
        <v>39</v>
      </c>
      <c r="H420" s="9">
        <v>53</v>
      </c>
      <c r="I420" s="9" t="s">
        <v>40</v>
      </c>
      <c r="J420" s="9">
        <v>5309</v>
      </c>
      <c r="K420" s="9" t="s">
        <v>41</v>
      </c>
      <c r="L420" s="9">
        <v>5309073</v>
      </c>
      <c r="M420" s="9">
        <v>5309073011</v>
      </c>
      <c r="N420" s="9" t="s">
        <v>42</v>
      </c>
      <c r="O420" s="9">
        <v>10421</v>
      </c>
      <c r="P420" s="9" t="s">
        <v>1624</v>
      </c>
      <c r="Q420" s="10">
        <v>2</v>
      </c>
      <c r="R420" s="10">
        <v>480000</v>
      </c>
      <c r="S420" s="10">
        <v>300000</v>
      </c>
      <c r="T420" s="10">
        <v>0</v>
      </c>
      <c r="U420" s="10">
        <v>300000</v>
      </c>
      <c r="V420" s="10">
        <v>0</v>
      </c>
      <c r="W420" s="10">
        <v>1080000</v>
      </c>
      <c r="X420" s="10">
        <v>2800000</v>
      </c>
      <c r="Y420" s="10">
        <v>0</v>
      </c>
      <c r="Z420" s="10">
        <v>2200000</v>
      </c>
      <c r="AA420" s="10">
        <v>6000000</v>
      </c>
      <c r="AB420" s="10">
        <v>2800000</v>
      </c>
      <c r="AC420" s="10">
        <v>0</v>
      </c>
      <c r="AD420" s="9" t="s">
        <v>44</v>
      </c>
      <c r="AE420" s="10" t="s">
        <v>2385</v>
      </c>
      <c r="AF420" s="10">
        <v>1400000</v>
      </c>
      <c r="AG420" s="10">
        <v>1</v>
      </c>
      <c r="AH420" s="10">
        <v>1</v>
      </c>
      <c r="AI420" s="10">
        <v>1</v>
      </c>
      <c r="AJ420" s="12" t="s">
        <v>1625</v>
      </c>
      <c r="AK420" s="10">
        <v>0</v>
      </c>
      <c r="AL420" s="10">
        <v>0</v>
      </c>
      <c r="AM420" s="9">
        <v>2017</v>
      </c>
      <c r="AN420" s="10">
        <v>1</v>
      </c>
      <c r="AO420" s="10">
        <v>1</v>
      </c>
      <c r="AP420" s="10"/>
      <c r="AQ420" s="5"/>
      <c r="AR420" s="5"/>
      <c r="AS420" s="4">
        <f t="shared" si="18"/>
        <v>600000</v>
      </c>
      <c r="AT420" s="4">
        <f t="shared" si="19"/>
        <v>1624000.5905456692</v>
      </c>
      <c r="AU420" s="4">
        <f t="shared" si="20"/>
        <v>1175999.4094543308</v>
      </c>
      <c r="AV420" s="9" t="s">
        <v>1624</v>
      </c>
      <c r="AW420" s="12" t="s">
        <v>1625</v>
      </c>
      <c r="AX420" s="10">
        <v>0</v>
      </c>
      <c r="AY420">
        <f>S420*AU420/AS420</f>
        <v>587999.7047271654</v>
      </c>
      <c r="AZ420">
        <f>AU420-AY420</f>
        <v>587999.7047271654</v>
      </c>
      <c r="BA420" s="10">
        <v>2800000</v>
      </c>
      <c r="BB420" s="10">
        <v>0</v>
      </c>
      <c r="BC420" s="9" t="s">
        <v>42</v>
      </c>
      <c r="BD420" s="9">
        <v>10421</v>
      </c>
      <c r="BE420" t="s">
        <v>46</v>
      </c>
    </row>
    <row r="421" spans="1:57" ht="270.75" thickBot="1" x14ac:dyDescent="0.3">
      <c r="A421" s="9" t="s">
        <v>1626</v>
      </c>
      <c r="B421" s="9">
        <v>3001</v>
      </c>
      <c r="C421" s="10">
        <v>2</v>
      </c>
      <c r="D421" s="9" t="s">
        <v>113</v>
      </c>
      <c r="E421" s="11">
        <v>46316.99603130787</v>
      </c>
      <c r="F421" s="9" t="s">
        <v>1627</v>
      </c>
      <c r="G421" s="9" t="s">
        <v>39</v>
      </c>
      <c r="H421" s="9">
        <v>53</v>
      </c>
      <c r="I421" s="9" t="s">
        <v>40</v>
      </c>
      <c r="J421" s="9">
        <v>5309</v>
      </c>
      <c r="K421" s="9" t="s">
        <v>41</v>
      </c>
      <c r="L421" s="9">
        <v>5309062</v>
      </c>
      <c r="M421" s="9">
        <v>5309062003</v>
      </c>
      <c r="N421" s="9" t="s">
        <v>42</v>
      </c>
      <c r="O421" s="9">
        <v>10421</v>
      </c>
      <c r="P421" s="9" t="s">
        <v>1628</v>
      </c>
      <c r="Q421" s="10">
        <v>3</v>
      </c>
      <c r="R421" s="10">
        <v>200000</v>
      </c>
      <c r="S421" s="10">
        <v>100000</v>
      </c>
      <c r="T421" s="10">
        <v>0</v>
      </c>
      <c r="U421" s="10">
        <v>300000</v>
      </c>
      <c r="V421" s="10">
        <v>0</v>
      </c>
      <c r="W421" s="10">
        <v>600000</v>
      </c>
      <c r="X421" s="10">
        <v>8000000</v>
      </c>
      <c r="Y421" s="10">
        <v>0</v>
      </c>
      <c r="Z421" s="10">
        <v>7600000</v>
      </c>
      <c r="AA421" s="10">
        <v>4800000</v>
      </c>
      <c r="AB421" s="10">
        <v>8000000</v>
      </c>
      <c r="AC421" s="10">
        <v>0</v>
      </c>
      <c r="AD421" s="9" t="s">
        <v>44</v>
      </c>
      <c r="AE421" s="10" t="s">
        <v>1803</v>
      </c>
      <c r="AF421" s="13">
        <v>2666666667</v>
      </c>
      <c r="AG421" s="10">
        <v>1</v>
      </c>
      <c r="AH421" s="10">
        <v>1</v>
      </c>
      <c r="AI421" s="10">
        <v>1</v>
      </c>
      <c r="AJ421" s="12" t="s">
        <v>1629</v>
      </c>
      <c r="AK421" s="10">
        <v>0</v>
      </c>
      <c r="AL421" s="10">
        <v>0</v>
      </c>
      <c r="AM421" s="9">
        <v>2000</v>
      </c>
      <c r="AN421" s="10">
        <v>1</v>
      </c>
      <c r="AO421" s="10">
        <v>2</v>
      </c>
      <c r="AP421" s="10"/>
      <c r="AQ421" s="5"/>
      <c r="AR421" s="5"/>
      <c r="AS421" s="4">
        <f t="shared" si="18"/>
        <v>400000</v>
      </c>
      <c r="AT421" s="4">
        <f t="shared" si="19"/>
        <v>4640000</v>
      </c>
      <c r="AU421" s="4">
        <f t="shared" si="20"/>
        <v>3360000</v>
      </c>
      <c r="AV421" s="9" t="s">
        <v>1628</v>
      </c>
      <c r="AW421" s="12" t="s">
        <v>1629</v>
      </c>
      <c r="AX421" s="10">
        <v>0</v>
      </c>
      <c r="AY421">
        <f>S421*AU421/AS421</f>
        <v>840000</v>
      </c>
      <c r="AZ421">
        <f>AU421-AY421</f>
        <v>2520000</v>
      </c>
      <c r="BA421" s="10">
        <v>8000000</v>
      </c>
      <c r="BB421" s="10">
        <v>0</v>
      </c>
      <c r="BC421" s="9" t="s">
        <v>42</v>
      </c>
      <c r="BD421" s="9">
        <v>10421</v>
      </c>
      <c r="BE421" t="s">
        <v>46</v>
      </c>
    </row>
    <row r="422" spans="1:57" ht="270.75" thickBot="1" x14ac:dyDescent="0.3">
      <c r="A422" s="9" t="s">
        <v>1630</v>
      </c>
      <c r="B422" s="9">
        <v>3001</v>
      </c>
      <c r="C422" s="10">
        <v>2</v>
      </c>
      <c r="D422" s="9" t="s">
        <v>113</v>
      </c>
      <c r="E422" s="11">
        <v>46312.329946678241</v>
      </c>
      <c r="F422" s="9" t="s">
        <v>1631</v>
      </c>
      <c r="G422" s="9" t="s">
        <v>39</v>
      </c>
      <c r="H422" s="9">
        <v>53</v>
      </c>
      <c r="I422" s="9" t="s">
        <v>40</v>
      </c>
      <c r="J422" s="9">
        <v>5309</v>
      </c>
      <c r="K422" s="9" t="s">
        <v>41</v>
      </c>
      <c r="L422" s="9">
        <v>5309062</v>
      </c>
      <c r="M422" s="9">
        <v>5309062006</v>
      </c>
      <c r="N422" s="9" t="s">
        <v>42</v>
      </c>
      <c r="O422" s="9">
        <v>10421</v>
      </c>
      <c r="P422" s="9" t="s">
        <v>1632</v>
      </c>
      <c r="Q422" s="10">
        <v>1</v>
      </c>
      <c r="R422" s="10">
        <v>0</v>
      </c>
      <c r="S422" s="10">
        <v>250000</v>
      </c>
      <c r="T422" s="10">
        <v>0</v>
      </c>
      <c r="U422" s="10">
        <v>150000</v>
      </c>
      <c r="V422" s="10">
        <v>0</v>
      </c>
      <c r="W422" s="10">
        <v>400000</v>
      </c>
      <c r="X422" s="10">
        <v>3640000</v>
      </c>
      <c r="Y422" s="10">
        <v>1</v>
      </c>
      <c r="Z422" s="10">
        <v>3240000</v>
      </c>
      <c r="AA422" s="10">
        <v>34999999</v>
      </c>
      <c r="AB422" s="10">
        <v>3640000</v>
      </c>
      <c r="AC422" s="10">
        <v>0</v>
      </c>
      <c r="AD422" s="9" t="s">
        <v>44</v>
      </c>
      <c r="AE422" s="10" t="s">
        <v>2511</v>
      </c>
      <c r="AF422" s="10">
        <v>3640000</v>
      </c>
      <c r="AG422" s="10">
        <v>1</v>
      </c>
      <c r="AH422" s="10">
        <v>1</v>
      </c>
      <c r="AI422" s="10">
        <v>1</v>
      </c>
      <c r="AJ422" s="12" t="s">
        <v>1633</v>
      </c>
      <c r="AK422" s="10">
        <v>0</v>
      </c>
      <c r="AL422" s="10">
        <v>0</v>
      </c>
      <c r="AM422" s="9">
        <v>2016</v>
      </c>
      <c r="AN422" s="10">
        <v>0</v>
      </c>
      <c r="AO422" s="10">
        <v>1</v>
      </c>
      <c r="AP422" s="10"/>
      <c r="AQ422" s="5"/>
      <c r="AR422" s="5"/>
      <c r="AS422" s="4">
        <f t="shared" si="18"/>
        <v>400000</v>
      </c>
      <c r="AT422" s="4">
        <f t="shared" si="19"/>
        <v>2111199.7393580568</v>
      </c>
      <c r="AU422" s="4">
        <f t="shared" si="20"/>
        <v>1528800.2606419432</v>
      </c>
      <c r="AV422" s="9" t="s">
        <v>1632</v>
      </c>
      <c r="AW422" s="12" t="s">
        <v>1633</v>
      </c>
      <c r="AX422" s="10">
        <v>0</v>
      </c>
      <c r="AY422">
        <f>S422*AU422/AS422</f>
        <v>955500.16290121444</v>
      </c>
      <c r="AZ422">
        <f>AU422-AY422</f>
        <v>573300.09774072876</v>
      </c>
      <c r="BA422" s="10">
        <v>3640000</v>
      </c>
      <c r="BB422" s="10">
        <v>1</v>
      </c>
      <c r="BC422" s="9" t="s">
        <v>42</v>
      </c>
      <c r="BD422" s="9">
        <v>10421</v>
      </c>
      <c r="BE422" t="s">
        <v>46</v>
      </c>
    </row>
    <row r="423" spans="1:57" ht="270.75" thickBot="1" x14ac:dyDescent="0.3">
      <c r="A423" s="9" t="s">
        <v>1634</v>
      </c>
      <c r="B423" s="9">
        <v>2</v>
      </c>
      <c r="C423" s="10">
        <v>2</v>
      </c>
      <c r="D423" s="9" t="s">
        <v>37</v>
      </c>
      <c r="E423" s="11">
        <v>46253.364916967592</v>
      </c>
      <c r="F423" s="9" t="s">
        <v>1635</v>
      </c>
      <c r="G423" s="9" t="s">
        <v>39</v>
      </c>
      <c r="H423" s="9">
        <v>53</v>
      </c>
      <c r="I423" s="9" t="s">
        <v>40</v>
      </c>
      <c r="J423" s="9">
        <v>5309</v>
      </c>
      <c r="K423" s="9" t="s">
        <v>41</v>
      </c>
      <c r="L423" s="9">
        <v>5309021</v>
      </c>
      <c r="M423" s="9">
        <v>5309021006</v>
      </c>
      <c r="N423" s="9" t="s">
        <v>42</v>
      </c>
      <c r="O423" s="9">
        <v>10421</v>
      </c>
      <c r="P423" s="9" t="s">
        <v>1636</v>
      </c>
      <c r="Q423" s="10">
        <v>3</v>
      </c>
      <c r="R423" s="10">
        <v>0</v>
      </c>
      <c r="S423" s="10">
        <v>650000</v>
      </c>
      <c r="T423" s="10">
        <v>0</v>
      </c>
      <c r="U423" s="10">
        <v>350000</v>
      </c>
      <c r="V423" s="10">
        <v>0</v>
      </c>
      <c r="W423" s="10">
        <v>1000000</v>
      </c>
      <c r="X423" s="10">
        <v>3500000</v>
      </c>
      <c r="Y423" s="10">
        <v>0</v>
      </c>
      <c r="Z423" s="10">
        <v>2500000</v>
      </c>
      <c r="AA423" s="10">
        <v>10300000</v>
      </c>
      <c r="AB423" s="10">
        <v>3500000</v>
      </c>
      <c r="AC423" s="10">
        <v>0</v>
      </c>
      <c r="AD423" s="9" t="s">
        <v>44</v>
      </c>
      <c r="AE423" s="10" t="s">
        <v>2512</v>
      </c>
      <c r="AF423" s="13">
        <v>1166666667</v>
      </c>
      <c r="AG423" s="10">
        <v>0</v>
      </c>
      <c r="AH423" s="10">
        <v>1</v>
      </c>
      <c r="AI423" s="10">
        <v>1</v>
      </c>
      <c r="AJ423" s="12" t="s">
        <v>1637</v>
      </c>
      <c r="AK423" s="10">
        <v>0</v>
      </c>
      <c r="AL423" s="10">
        <v>0</v>
      </c>
      <c r="AM423" s="9">
        <v>1999</v>
      </c>
      <c r="AN423" s="10">
        <v>0</v>
      </c>
      <c r="AO423" s="10">
        <v>3</v>
      </c>
      <c r="AP423" s="10"/>
      <c r="AQ423" s="5"/>
      <c r="AR423" s="5"/>
      <c r="AS423" s="4">
        <f t="shared" si="18"/>
        <v>1000000</v>
      </c>
      <c r="AT423" s="4">
        <f t="shared" si="19"/>
        <v>2029999.1880003249</v>
      </c>
      <c r="AU423" s="4">
        <f t="shared" si="20"/>
        <v>1470000.8119996751</v>
      </c>
      <c r="AV423" s="9" t="s">
        <v>1636</v>
      </c>
      <c r="AW423" s="12" t="s">
        <v>1637</v>
      </c>
      <c r="AX423" s="10">
        <v>0</v>
      </c>
      <c r="AY423">
        <f>S423*AU423/AS423</f>
        <v>955500.52779978886</v>
      </c>
      <c r="AZ423">
        <f>AU423-AY423</f>
        <v>514500.28419988626</v>
      </c>
      <c r="BA423" s="10">
        <v>3500000</v>
      </c>
      <c r="BB423" s="10">
        <v>0</v>
      </c>
      <c r="BC423" s="9" t="s">
        <v>42</v>
      </c>
      <c r="BD423" s="9">
        <v>10421</v>
      </c>
      <c r="BE423" t="s">
        <v>46</v>
      </c>
    </row>
    <row r="424" spans="1:57" ht="270.75" thickBot="1" x14ac:dyDescent="0.3">
      <c r="A424" s="9" t="s">
        <v>1638</v>
      </c>
      <c r="B424" s="9">
        <v>1002</v>
      </c>
      <c r="C424" s="10">
        <v>2</v>
      </c>
      <c r="D424" s="9" t="s">
        <v>37</v>
      </c>
      <c r="E424" s="14">
        <v>46226.539456018516</v>
      </c>
      <c r="F424" s="9" t="s">
        <v>1639</v>
      </c>
      <c r="G424" s="9" t="s">
        <v>39</v>
      </c>
      <c r="H424" s="9">
        <v>53</v>
      </c>
      <c r="I424" s="9" t="s">
        <v>40</v>
      </c>
      <c r="J424" s="9">
        <v>5309</v>
      </c>
      <c r="K424" s="9" t="s">
        <v>41</v>
      </c>
      <c r="L424" s="9">
        <v>5309073</v>
      </c>
      <c r="M424" s="9">
        <v>5309073003</v>
      </c>
      <c r="N424" s="9" t="s">
        <v>42</v>
      </c>
      <c r="O424" s="9">
        <v>10421</v>
      </c>
      <c r="P424" s="9" t="s">
        <v>1640</v>
      </c>
      <c r="Q424" s="10">
        <v>1</v>
      </c>
      <c r="R424" s="10">
        <v>0</v>
      </c>
      <c r="S424" s="10">
        <v>1200000</v>
      </c>
      <c r="T424" s="10">
        <v>0</v>
      </c>
      <c r="U424" s="10">
        <v>0</v>
      </c>
      <c r="V424" s="10">
        <v>0</v>
      </c>
      <c r="W424" s="10">
        <v>1200000</v>
      </c>
      <c r="X424" s="10">
        <v>3500000</v>
      </c>
      <c r="Y424" s="10">
        <v>0</v>
      </c>
      <c r="Z424" s="10">
        <v>2300000</v>
      </c>
      <c r="AA424" s="10">
        <v>5000000</v>
      </c>
      <c r="AB424" s="10">
        <v>3500000</v>
      </c>
      <c r="AC424" s="10">
        <v>0</v>
      </c>
      <c r="AD424" s="9" t="s">
        <v>44</v>
      </c>
      <c r="AE424" s="10" t="s">
        <v>2513</v>
      </c>
      <c r="AF424" s="10">
        <v>3500000</v>
      </c>
      <c r="AG424" s="10">
        <v>1</v>
      </c>
      <c r="AH424" s="10">
        <v>1</v>
      </c>
      <c r="AI424" s="10">
        <v>1</v>
      </c>
      <c r="AJ424" s="12" t="s">
        <v>1641</v>
      </c>
      <c r="AK424" s="10">
        <v>0</v>
      </c>
      <c r="AL424" s="10">
        <v>0</v>
      </c>
      <c r="AM424" s="9">
        <v>2021</v>
      </c>
      <c r="AN424" s="10">
        <v>0</v>
      </c>
      <c r="AO424" s="10">
        <v>1</v>
      </c>
      <c r="AP424" s="10"/>
      <c r="AQ424" s="5"/>
      <c r="AR424" s="5"/>
      <c r="AS424" s="4">
        <f t="shared" si="18"/>
        <v>1200000</v>
      </c>
      <c r="AT424" s="4">
        <f t="shared" si="19"/>
        <v>2029999.558695748</v>
      </c>
      <c r="AU424" s="4">
        <f t="shared" si="20"/>
        <v>1470000.441304252</v>
      </c>
      <c r="AV424" s="9" t="s">
        <v>1640</v>
      </c>
      <c r="AW424" s="12" t="s">
        <v>1641</v>
      </c>
      <c r="AX424" s="10">
        <v>0</v>
      </c>
      <c r="AY424">
        <f>S424*AU424/AS424</f>
        <v>1470000.441304252</v>
      </c>
      <c r="AZ424">
        <f>AU424-AY424</f>
        <v>0</v>
      </c>
      <c r="BA424" s="10">
        <v>3500000</v>
      </c>
      <c r="BB424" s="10">
        <v>0</v>
      </c>
      <c r="BC424" s="9" t="s">
        <v>42</v>
      </c>
      <c r="BD424" s="9">
        <v>10421</v>
      </c>
      <c r="BE424" t="s">
        <v>46</v>
      </c>
    </row>
    <row r="425" spans="1:57" ht="255.75" thickBot="1" x14ac:dyDescent="0.3">
      <c r="A425" s="9" t="s">
        <v>1642</v>
      </c>
      <c r="B425" s="9">
        <v>3001</v>
      </c>
      <c r="C425" s="10">
        <v>2</v>
      </c>
      <c r="D425" s="9" t="s">
        <v>37</v>
      </c>
      <c r="E425" s="11">
        <v>46263.396718993055</v>
      </c>
      <c r="F425" s="9" t="s">
        <v>1643</v>
      </c>
      <c r="G425" s="9" t="s">
        <v>39</v>
      </c>
      <c r="H425" s="9">
        <v>53</v>
      </c>
      <c r="I425" s="9" t="s">
        <v>40</v>
      </c>
      <c r="J425" s="9">
        <v>5309</v>
      </c>
      <c r="K425" s="9" t="s">
        <v>41</v>
      </c>
      <c r="L425" s="9">
        <v>5309074</v>
      </c>
      <c r="M425" s="9">
        <v>5309074006</v>
      </c>
      <c r="N425" s="9" t="s">
        <v>42</v>
      </c>
      <c r="O425" s="9">
        <v>10421</v>
      </c>
      <c r="P425" s="9" t="s">
        <v>49</v>
      </c>
      <c r="Q425" s="10">
        <v>2</v>
      </c>
      <c r="R425" s="10">
        <v>0</v>
      </c>
      <c r="S425" s="10">
        <v>150000</v>
      </c>
      <c r="T425" s="10">
        <v>0</v>
      </c>
      <c r="U425" s="10">
        <v>100000</v>
      </c>
      <c r="V425" s="10">
        <v>0</v>
      </c>
      <c r="W425" s="10">
        <v>250000</v>
      </c>
      <c r="X425" s="10">
        <v>2740000</v>
      </c>
      <c r="Y425" s="10">
        <v>0</v>
      </c>
      <c r="Z425" s="10">
        <v>2490000</v>
      </c>
      <c r="AA425" s="10">
        <v>2500000</v>
      </c>
      <c r="AB425" s="10">
        <v>2740000</v>
      </c>
      <c r="AC425" s="10">
        <v>0</v>
      </c>
      <c r="AD425" s="9" t="s">
        <v>44</v>
      </c>
      <c r="AE425" s="10" t="s">
        <v>2514</v>
      </c>
      <c r="AF425" s="10">
        <v>1370000</v>
      </c>
      <c r="AG425" s="10">
        <v>1</v>
      </c>
      <c r="AH425" s="10">
        <v>1</v>
      </c>
      <c r="AI425" s="10">
        <v>1</v>
      </c>
      <c r="AJ425" s="12" t="s">
        <v>1644</v>
      </c>
      <c r="AK425" s="10">
        <v>0</v>
      </c>
      <c r="AL425" s="10">
        <v>0</v>
      </c>
      <c r="AM425" s="9">
        <v>1999</v>
      </c>
      <c r="AN425" s="10">
        <v>0</v>
      </c>
      <c r="AO425" s="10">
        <v>2</v>
      </c>
      <c r="AP425" s="10"/>
      <c r="AQ425" s="5"/>
      <c r="AR425" s="5"/>
      <c r="AS425" s="4">
        <f t="shared" si="18"/>
        <v>250000</v>
      </c>
      <c r="AT425" s="4">
        <f t="shared" si="19"/>
        <v>1589200.2169992265</v>
      </c>
      <c r="AU425" s="4">
        <f t="shared" si="20"/>
        <v>1150799.7830007735</v>
      </c>
      <c r="AV425" s="9" t="s">
        <v>49</v>
      </c>
      <c r="AW425" s="12" t="s">
        <v>1644</v>
      </c>
      <c r="AX425" s="10">
        <v>0</v>
      </c>
      <c r="AY425">
        <f>S425*AU425/AS425</f>
        <v>690479.86980046413</v>
      </c>
      <c r="AZ425">
        <f>AU425-AY425</f>
        <v>460319.91320030938</v>
      </c>
      <c r="BA425" s="10">
        <v>2740000</v>
      </c>
      <c r="BB425" s="10">
        <v>0</v>
      </c>
      <c r="BC425" s="9" t="s">
        <v>42</v>
      </c>
      <c r="BD425" s="9">
        <v>10421</v>
      </c>
      <c r="BE425" t="s">
        <v>46</v>
      </c>
    </row>
    <row r="426" spans="1:57" ht="270.75" thickBot="1" x14ac:dyDescent="0.3">
      <c r="A426" s="9" t="s">
        <v>1645</v>
      </c>
      <c r="B426" s="9">
        <v>3001</v>
      </c>
      <c r="C426" s="10">
        <v>2</v>
      </c>
      <c r="D426" s="9" t="s">
        <v>37</v>
      </c>
      <c r="E426" s="11">
        <v>46224.26994002315</v>
      </c>
      <c r="F426" s="9" t="s">
        <v>1646</v>
      </c>
      <c r="G426" s="9" t="s">
        <v>39</v>
      </c>
      <c r="H426" s="9">
        <v>53</v>
      </c>
      <c r="I426" s="9" t="s">
        <v>40</v>
      </c>
      <c r="J426" s="9">
        <v>5309</v>
      </c>
      <c r="K426" s="9" t="s">
        <v>41</v>
      </c>
      <c r="L426" s="9">
        <v>5309062</v>
      </c>
      <c r="M426" s="9">
        <v>5309062006</v>
      </c>
      <c r="N426" s="9" t="s">
        <v>42</v>
      </c>
      <c r="O426" s="9">
        <v>10421</v>
      </c>
      <c r="P426" s="9" t="s">
        <v>1647</v>
      </c>
      <c r="Q426" s="10">
        <v>2</v>
      </c>
      <c r="R426" s="10">
        <v>0</v>
      </c>
      <c r="S426" s="10">
        <v>250000</v>
      </c>
      <c r="T426" s="10">
        <v>0</v>
      </c>
      <c r="U426" s="10">
        <v>200000</v>
      </c>
      <c r="V426" s="10">
        <v>0</v>
      </c>
      <c r="W426" s="10">
        <v>450000</v>
      </c>
      <c r="X426" s="10">
        <v>4567000</v>
      </c>
      <c r="Y426" s="10">
        <v>0</v>
      </c>
      <c r="Z426" s="10">
        <v>4117000</v>
      </c>
      <c r="AA426" s="10">
        <v>3500000</v>
      </c>
      <c r="AB426" s="10">
        <v>4567000</v>
      </c>
      <c r="AC426" s="10">
        <v>0</v>
      </c>
      <c r="AD426" s="9" t="s">
        <v>44</v>
      </c>
      <c r="AE426" s="10" t="s">
        <v>2515</v>
      </c>
      <c r="AF426" s="10">
        <v>2283500</v>
      </c>
      <c r="AG426" s="10">
        <v>1</v>
      </c>
      <c r="AH426" s="10">
        <v>1</v>
      </c>
      <c r="AI426" s="10">
        <v>1</v>
      </c>
      <c r="AJ426" s="12" t="s">
        <v>1648</v>
      </c>
      <c r="AK426" s="10">
        <v>0</v>
      </c>
      <c r="AL426" s="10">
        <v>0</v>
      </c>
      <c r="AM426" s="9">
        <v>2011</v>
      </c>
      <c r="AN426" s="10">
        <v>0</v>
      </c>
      <c r="AO426" s="10">
        <v>2</v>
      </c>
      <c r="AP426" s="10"/>
      <c r="AQ426" s="5"/>
      <c r="AR426" s="5"/>
      <c r="AS426" s="4">
        <f t="shared" si="18"/>
        <v>450000</v>
      </c>
      <c r="AT426" s="4">
        <f t="shared" si="19"/>
        <v>2648860.1357564945</v>
      </c>
      <c r="AU426" s="4">
        <f t="shared" si="20"/>
        <v>1918139.8642435055</v>
      </c>
      <c r="AV426" s="9" t="s">
        <v>1647</v>
      </c>
      <c r="AW426" s="12" t="s">
        <v>1648</v>
      </c>
      <c r="AX426" s="10">
        <v>0</v>
      </c>
      <c r="AY426">
        <f>S426*AU426/AS426</f>
        <v>1065633.2579130586</v>
      </c>
      <c r="AZ426">
        <f>AU426-AY426</f>
        <v>852506.6063304469</v>
      </c>
      <c r="BA426" s="10">
        <v>4567000</v>
      </c>
      <c r="BB426" s="10">
        <v>0</v>
      </c>
      <c r="BC426" s="9" t="s">
        <v>42</v>
      </c>
      <c r="BD426" s="9">
        <v>10421</v>
      </c>
      <c r="BE426" t="s">
        <v>46</v>
      </c>
    </row>
    <row r="427" spans="1:57" ht="270.75" thickBot="1" x14ac:dyDescent="0.3">
      <c r="A427" s="9" t="s">
        <v>1649</v>
      </c>
      <c r="B427" s="9">
        <v>3001</v>
      </c>
      <c r="C427" s="10">
        <v>2</v>
      </c>
      <c r="D427" s="9" t="s">
        <v>37</v>
      </c>
      <c r="E427" s="11">
        <v>46268.938274652777</v>
      </c>
      <c r="F427" s="9" t="s">
        <v>1650</v>
      </c>
      <c r="G427" s="9" t="s">
        <v>39</v>
      </c>
      <c r="H427" s="9">
        <v>53</v>
      </c>
      <c r="I427" s="9" t="s">
        <v>40</v>
      </c>
      <c r="J427" s="9">
        <v>5309</v>
      </c>
      <c r="K427" s="9" t="s">
        <v>41</v>
      </c>
      <c r="L427" s="9">
        <v>5309073</v>
      </c>
      <c r="M427" s="9">
        <v>5309073019</v>
      </c>
      <c r="N427" s="9" t="s">
        <v>42</v>
      </c>
      <c r="O427" s="9">
        <v>10421</v>
      </c>
      <c r="P427" s="9" t="s">
        <v>1651</v>
      </c>
      <c r="Q427" s="10">
        <v>2</v>
      </c>
      <c r="R427" s="10">
        <v>416000</v>
      </c>
      <c r="S427" s="10">
        <v>300000</v>
      </c>
      <c r="T427" s="10">
        <v>0</v>
      </c>
      <c r="U427" s="10">
        <v>200000</v>
      </c>
      <c r="V427" s="10">
        <v>0</v>
      </c>
      <c r="W427" s="10">
        <v>916000</v>
      </c>
      <c r="X427" s="10">
        <v>3780000</v>
      </c>
      <c r="Y427" s="10">
        <v>0</v>
      </c>
      <c r="Z427" s="10">
        <v>3280000</v>
      </c>
      <c r="AA427" s="10">
        <v>4900000</v>
      </c>
      <c r="AB427" s="10">
        <v>3780000</v>
      </c>
      <c r="AC427" s="10">
        <v>0</v>
      </c>
      <c r="AD427" s="9" t="s">
        <v>44</v>
      </c>
      <c r="AE427" s="10" t="s">
        <v>2516</v>
      </c>
      <c r="AF427" s="10">
        <v>1890000</v>
      </c>
      <c r="AG427" s="10">
        <v>1</v>
      </c>
      <c r="AH427" s="10">
        <v>1</v>
      </c>
      <c r="AI427" s="10">
        <v>1</v>
      </c>
      <c r="AJ427" s="12" t="s">
        <v>1652</v>
      </c>
      <c r="AK427" s="10">
        <v>0</v>
      </c>
      <c r="AL427" s="10">
        <v>0</v>
      </c>
      <c r="AM427" s="9">
        <v>2019</v>
      </c>
      <c r="AN427" s="10">
        <v>1</v>
      </c>
      <c r="AO427" s="10">
        <v>1</v>
      </c>
      <c r="AP427" s="10"/>
      <c r="AQ427" s="5"/>
      <c r="AR427" s="5"/>
      <c r="AS427" s="4">
        <f t="shared" si="18"/>
        <v>500000</v>
      </c>
      <c r="AT427" s="4">
        <f t="shared" si="19"/>
        <v>2192399.6657927339</v>
      </c>
      <c r="AU427" s="4">
        <f t="shared" si="20"/>
        <v>1587600.3342072661</v>
      </c>
      <c r="AV427" s="9" t="s">
        <v>1651</v>
      </c>
      <c r="AW427" s="12" t="s">
        <v>1652</v>
      </c>
      <c r="AX427" s="10">
        <v>0</v>
      </c>
      <c r="AY427">
        <f>S427*AU427/AS427</f>
        <v>952560.20052435959</v>
      </c>
      <c r="AZ427">
        <f>AU427-AY427</f>
        <v>635040.13368290651</v>
      </c>
      <c r="BA427" s="10">
        <v>3780000</v>
      </c>
      <c r="BB427" s="10">
        <v>0</v>
      </c>
      <c r="BC427" s="9" t="s">
        <v>42</v>
      </c>
      <c r="BD427" s="9">
        <v>10421</v>
      </c>
      <c r="BE427" t="s">
        <v>46</v>
      </c>
    </row>
    <row r="428" spans="1:57" ht="270.75" thickBot="1" x14ac:dyDescent="0.3">
      <c r="A428" s="9" t="s">
        <v>1653</v>
      </c>
      <c r="B428" s="9">
        <v>3001</v>
      </c>
      <c r="C428" s="10">
        <v>2</v>
      </c>
      <c r="D428" s="9" t="s">
        <v>37</v>
      </c>
      <c r="E428" s="14">
        <v>46246.156840277778</v>
      </c>
      <c r="F428" s="9" t="s">
        <v>1654</v>
      </c>
      <c r="G428" s="9" t="s">
        <v>39</v>
      </c>
      <c r="H428" s="9">
        <v>53</v>
      </c>
      <c r="I428" s="9" t="s">
        <v>40</v>
      </c>
      <c r="J428" s="9">
        <v>5309</v>
      </c>
      <c r="K428" s="9" t="s">
        <v>41</v>
      </c>
      <c r="L428" s="9">
        <v>5309062</v>
      </c>
      <c r="M428" s="9">
        <v>5309062006</v>
      </c>
      <c r="N428" s="9" t="s">
        <v>42</v>
      </c>
      <c r="O428" s="9">
        <v>10421</v>
      </c>
      <c r="P428" s="9" t="s">
        <v>1655</v>
      </c>
      <c r="Q428" s="10">
        <v>5</v>
      </c>
      <c r="R428" s="10">
        <v>600000</v>
      </c>
      <c r="S428" s="10">
        <v>100000</v>
      </c>
      <c r="T428" s="10">
        <v>0</v>
      </c>
      <c r="U428" s="10">
        <v>200000</v>
      </c>
      <c r="V428" s="10">
        <v>0</v>
      </c>
      <c r="W428" s="10">
        <v>900000</v>
      </c>
      <c r="X428" s="10">
        <v>8400000</v>
      </c>
      <c r="Y428" s="10">
        <v>0</v>
      </c>
      <c r="Z428" s="10">
        <v>8100000</v>
      </c>
      <c r="AA428" s="10">
        <v>2400000</v>
      </c>
      <c r="AB428" s="10">
        <v>8400000</v>
      </c>
      <c r="AC428" s="10">
        <v>0</v>
      </c>
      <c r="AD428" s="9" t="s">
        <v>44</v>
      </c>
      <c r="AE428" s="10" t="s">
        <v>2264</v>
      </c>
      <c r="AF428" s="10">
        <v>1680000</v>
      </c>
      <c r="AG428" s="10">
        <v>1</v>
      </c>
      <c r="AH428" s="10">
        <v>1</v>
      </c>
      <c r="AI428" s="10">
        <v>1</v>
      </c>
      <c r="AJ428" s="12" t="s">
        <v>1656</v>
      </c>
      <c r="AK428" s="10">
        <v>0</v>
      </c>
      <c r="AL428" s="10">
        <v>0</v>
      </c>
      <c r="AM428" s="9">
        <v>2023</v>
      </c>
      <c r="AN428" s="10">
        <v>3</v>
      </c>
      <c r="AO428" s="10">
        <v>2</v>
      </c>
      <c r="AP428" s="10"/>
      <c r="AQ428" s="5"/>
      <c r="AR428" s="5"/>
      <c r="AS428" s="4">
        <f t="shared" si="18"/>
        <v>300000</v>
      </c>
      <c r="AT428" s="4">
        <f t="shared" si="19"/>
        <v>4871998.5564448722</v>
      </c>
      <c r="AU428" s="4">
        <f t="shared" si="20"/>
        <v>3528001.4435551278</v>
      </c>
      <c r="AV428" s="9" t="s">
        <v>1655</v>
      </c>
      <c r="AW428" s="12" t="s">
        <v>1656</v>
      </c>
      <c r="AX428" s="10">
        <v>0</v>
      </c>
      <c r="AY428">
        <f>S428*AU428/AS428</f>
        <v>1176000.4811850425</v>
      </c>
      <c r="AZ428">
        <f>AU428-AY428</f>
        <v>2352000.9623700855</v>
      </c>
      <c r="BA428" s="10">
        <v>8400000</v>
      </c>
      <c r="BB428" s="10">
        <v>0</v>
      </c>
      <c r="BC428" s="9" t="s">
        <v>42</v>
      </c>
      <c r="BD428" s="9">
        <v>10421</v>
      </c>
      <c r="BE428" t="s">
        <v>46</v>
      </c>
    </row>
    <row r="429" spans="1:57" ht="270.75" thickBot="1" x14ac:dyDescent="0.3">
      <c r="A429" s="9" t="s">
        <v>1657</v>
      </c>
      <c r="B429" s="9">
        <v>3001</v>
      </c>
      <c r="C429" s="10">
        <v>2</v>
      </c>
      <c r="D429" s="9" t="s">
        <v>37</v>
      </c>
      <c r="E429" s="11">
        <v>46239.492819861109</v>
      </c>
      <c r="F429" s="9" t="s">
        <v>1658</v>
      </c>
      <c r="G429" s="9" t="s">
        <v>39</v>
      </c>
      <c r="H429" s="9">
        <v>53</v>
      </c>
      <c r="I429" s="9" t="s">
        <v>40</v>
      </c>
      <c r="J429" s="9">
        <v>5309</v>
      </c>
      <c r="K429" s="9" t="s">
        <v>41</v>
      </c>
      <c r="L429" s="9">
        <v>5309062</v>
      </c>
      <c r="M429" s="9">
        <v>5309062005</v>
      </c>
      <c r="N429" s="9" t="s">
        <v>42</v>
      </c>
      <c r="O429" s="9">
        <v>10421</v>
      </c>
      <c r="P429" s="9" t="s">
        <v>1659</v>
      </c>
      <c r="Q429" s="10">
        <v>3</v>
      </c>
      <c r="R429" s="10">
        <v>0</v>
      </c>
      <c r="S429" s="10">
        <v>100000</v>
      </c>
      <c r="T429" s="10">
        <v>0</v>
      </c>
      <c r="U429" s="10">
        <v>50000</v>
      </c>
      <c r="V429" s="10">
        <v>0</v>
      </c>
      <c r="W429" s="10">
        <v>150000</v>
      </c>
      <c r="X429" s="10">
        <v>8400000</v>
      </c>
      <c r="Y429" s="10">
        <v>0</v>
      </c>
      <c r="Z429" s="10">
        <v>8250000</v>
      </c>
      <c r="AA429" s="10">
        <v>384150000</v>
      </c>
      <c r="AB429" s="10">
        <v>8400000</v>
      </c>
      <c r="AC429" s="10">
        <v>0</v>
      </c>
      <c r="AD429" s="9" t="s">
        <v>44</v>
      </c>
      <c r="AE429" s="10" t="s">
        <v>2517</v>
      </c>
      <c r="AF429" s="10">
        <v>2800000</v>
      </c>
      <c r="AG429" s="10">
        <v>1</v>
      </c>
      <c r="AH429" s="10">
        <v>1</v>
      </c>
      <c r="AI429" s="10">
        <v>1</v>
      </c>
      <c r="AJ429" s="12" t="s">
        <v>1660</v>
      </c>
      <c r="AK429" s="10">
        <v>0</v>
      </c>
      <c r="AL429" s="10">
        <v>0</v>
      </c>
      <c r="AM429" s="9">
        <v>1986</v>
      </c>
      <c r="AN429" s="10">
        <v>0</v>
      </c>
      <c r="AO429" s="10">
        <v>3</v>
      </c>
      <c r="AP429" s="10"/>
      <c r="AQ429" s="5"/>
      <c r="AR429" s="5"/>
      <c r="AS429" s="4">
        <f t="shared" si="18"/>
        <v>150000</v>
      </c>
      <c r="AT429" s="4">
        <f t="shared" si="19"/>
        <v>4871999.2913455581</v>
      </c>
      <c r="AU429" s="4">
        <f t="shared" si="20"/>
        <v>3528000.7086544419</v>
      </c>
      <c r="AV429" s="9" t="s">
        <v>1659</v>
      </c>
      <c r="AW429" s="12" t="s">
        <v>1660</v>
      </c>
      <c r="AX429" s="10">
        <v>0</v>
      </c>
      <c r="AY429">
        <f>S429*AU429/AS429</f>
        <v>2352000.4724362949</v>
      </c>
      <c r="AZ429">
        <f>AU429-AY429</f>
        <v>1176000.236218147</v>
      </c>
      <c r="BA429" s="10">
        <v>8400000</v>
      </c>
      <c r="BB429" s="10">
        <v>0</v>
      </c>
      <c r="BC429" s="9" t="s">
        <v>42</v>
      </c>
      <c r="BD429" s="9">
        <v>10421</v>
      </c>
      <c r="BE429" t="s">
        <v>46</v>
      </c>
    </row>
    <row r="430" spans="1:57" ht="270.75" thickBot="1" x14ac:dyDescent="0.3">
      <c r="A430" s="9" t="s">
        <v>1657</v>
      </c>
      <c r="B430" s="9">
        <v>3002</v>
      </c>
      <c r="C430" s="10">
        <v>2</v>
      </c>
      <c r="D430" s="9" t="s">
        <v>37</v>
      </c>
      <c r="E430" s="11">
        <v>46239.492819861109</v>
      </c>
      <c r="F430" s="9" t="s">
        <v>1658</v>
      </c>
      <c r="G430" s="9" t="s">
        <v>39</v>
      </c>
      <c r="H430" s="9">
        <v>53</v>
      </c>
      <c r="I430" s="9" t="s">
        <v>40</v>
      </c>
      <c r="J430" s="9">
        <v>5309</v>
      </c>
      <c r="K430" s="9" t="s">
        <v>41</v>
      </c>
      <c r="L430" s="9">
        <v>5309062</v>
      </c>
      <c r="M430" s="9">
        <v>5309062005</v>
      </c>
      <c r="N430" s="9" t="s">
        <v>42</v>
      </c>
      <c r="O430" s="9">
        <v>10421</v>
      </c>
      <c r="P430" s="9" t="s">
        <v>1661</v>
      </c>
      <c r="Q430" s="10">
        <v>3</v>
      </c>
      <c r="R430" s="10">
        <v>0</v>
      </c>
      <c r="S430" s="10">
        <v>1000000</v>
      </c>
      <c r="T430" s="10">
        <v>0</v>
      </c>
      <c r="U430" s="10">
        <v>0</v>
      </c>
      <c r="V430" s="10">
        <v>0</v>
      </c>
      <c r="W430" s="10">
        <v>1000000</v>
      </c>
      <c r="X430" s="10">
        <v>8000000</v>
      </c>
      <c r="Y430" s="10">
        <v>0</v>
      </c>
      <c r="Z430" s="10">
        <v>7000000</v>
      </c>
      <c r="AA430" s="10">
        <v>400000</v>
      </c>
      <c r="AB430" s="10">
        <v>8000000</v>
      </c>
      <c r="AC430" s="10">
        <v>0</v>
      </c>
      <c r="AD430" s="9" t="s">
        <v>44</v>
      </c>
      <c r="AE430" s="10" t="s">
        <v>2226</v>
      </c>
      <c r="AF430" s="13">
        <v>2666666667</v>
      </c>
      <c r="AG430" s="10">
        <v>1</v>
      </c>
      <c r="AH430" s="10">
        <v>1</v>
      </c>
      <c r="AI430" s="10">
        <v>1</v>
      </c>
      <c r="AJ430" s="12" t="s">
        <v>1660</v>
      </c>
      <c r="AK430" s="10">
        <v>0</v>
      </c>
      <c r="AL430" s="10">
        <v>0</v>
      </c>
      <c r="AM430" s="9">
        <v>2015</v>
      </c>
      <c r="AN430" s="10">
        <v>0</v>
      </c>
      <c r="AO430" s="10">
        <v>3</v>
      </c>
      <c r="AP430" s="10"/>
      <c r="AQ430" s="5"/>
      <c r="AR430" s="5"/>
      <c r="AS430" s="4">
        <f t="shared" si="18"/>
        <v>1000000</v>
      </c>
      <c r="AT430" s="4">
        <f t="shared" si="19"/>
        <v>4639999.9999999991</v>
      </c>
      <c r="AU430" s="4">
        <f t="shared" si="20"/>
        <v>3360000.0000000009</v>
      </c>
      <c r="AV430" s="9" t="s">
        <v>1661</v>
      </c>
      <c r="AW430" s="12" t="s">
        <v>1660</v>
      </c>
      <c r="AX430" s="10">
        <v>0</v>
      </c>
      <c r="AY430">
        <f>S430*AU430/AS430</f>
        <v>3360000.0000000009</v>
      </c>
      <c r="AZ430">
        <f>AU430-AY430</f>
        <v>0</v>
      </c>
      <c r="BA430" s="10">
        <v>8000000</v>
      </c>
      <c r="BB430" s="10">
        <v>0</v>
      </c>
      <c r="BC430" s="9" t="s">
        <v>42</v>
      </c>
      <c r="BD430" s="9">
        <v>10421</v>
      </c>
      <c r="BE430" t="s">
        <v>46</v>
      </c>
    </row>
    <row r="431" spans="1:57" ht="270.75" thickBot="1" x14ac:dyDescent="0.3">
      <c r="A431" s="9" t="s">
        <v>1662</v>
      </c>
      <c r="B431" s="9">
        <v>3001</v>
      </c>
      <c r="C431" s="10">
        <v>2</v>
      </c>
      <c r="D431" s="9" t="s">
        <v>37</v>
      </c>
      <c r="E431" s="11">
        <v>46266.501216863428</v>
      </c>
      <c r="F431" s="9" t="s">
        <v>1663</v>
      </c>
      <c r="G431" s="9" t="s">
        <v>39</v>
      </c>
      <c r="H431" s="9">
        <v>53</v>
      </c>
      <c r="I431" s="9" t="s">
        <v>40</v>
      </c>
      <c r="J431" s="9">
        <v>5309</v>
      </c>
      <c r="K431" s="9" t="s">
        <v>41</v>
      </c>
      <c r="L431" s="9">
        <v>5309073</v>
      </c>
      <c r="M431" s="9">
        <v>5309073011</v>
      </c>
      <c r="N431" s="9" t="s">
        <v>42</v>
      </c>
      <c r="O431" s="9">
        <v>10421</v>
      </c>
      <c r="P431" s="9" t="s">
        <v>1664</v>
      </c>
      <c r="Q431" s="10">
        <v>2</v>
      </c>
      <c r="R431" s="10">
        <v>480000</v>
      </c>
      <c r="S431" s="10">
        <v>200000</v>
      </c>
      <c r="T431" s="10">
        <v>0</v>
      </c>
      <c r="U431" s="10">
        <v>300000</v>
      </c>
      <c r="V431" s="10">
        <v>0</v>
      </c>
      <c r="W431" s="10">
        <v>980000</v>
      </c>
      <c r="X431" s="10">
        <v>2400000</v>
      </c>
      <c r="Y431" s="10">
        <v>0</v>
      </c>
      <c r="Z431" s="10">
        <v>1900000</v>
      </c>
      <c r="AA431" s="10">
        <v>5000000</v>
      </c>
      <c r="AB431" s="10">
        <v>2400000</v>
      </c>
      <c r="AC431" s="10">
        <v>0</v>
      </c>
      <c r="AD431" s="9" t="s">
        <v>44</v>
      </c>
      <c r="AE431" s="10" t="s">
        <v>2518</v>
      </c>
      <c r="AF431" s="10">
        <v>1200000</v>
      </c>
      <c r="AG431" s="10">
        <v>1</v>
      </c>
      <c r="AH431" s="10">
        <v>1</v>
      </c>
      <c r="AI431" s="10">
        <v>1</v>
      </c>
      <c r="AJ431" s="12" t="s">
        <v>1665</v>
      </c>
      <c r="AK431" s="10">
        <v>0</v>
      </c>
      <c r="AL431" s="10">
        <v>0</v>
      </c>
      <c r="AM431" s="9">
        <v>2010</v>
      </c>
      <c r="AN431" s="10">
        <v>1</v>
      </c>
      <c r="AO431" s="10">
        <v>1</v>
      </c>
      <c r="AP431" s="10"/>
      <c r="AQ431" s="5"/>
      <c r="AR431" s="5"/>
      <c r="AS431" s="4">
        <f t="shared" si="18"/>
        <v>500000</v>
      </c>
      <c r="AT431" s="4">
        <f t="shared" si="19"/>
        <v>1391999.4138949837</v>
      </c>
      <c r="AU431" s="4">
        <f t="shared" si="20"/>
        <v>1008000.5861050163</v>
      </c>
      <c r="AV431" s="9" t="s">
        <v>1664</v>
      </c>
      <c r="AW431" s="12" t="s">
        <v>1665</v>
      </c>
      <c r="AX431" s="10">
        <v>0</v>
      </c>
      <c r="AY431">
        <f>S431*AU431/AS431</f>
        <v>403200.23444200651</v>
      </c>
      <c r="AZ431">
        <f>AU431-AY431</f>
        <v>604800.35166300973</v>
      </c>
      <c r="BA431" s="10">
        <v>2400000</v>
      </c>
      <c r="BB431" s="10">
        <v>0</v>
      </c>
      <c r="BC431" s="9" t="s">
        <v>42</v>
      </c>
      <c r="BD431" s="9">
        <v>10421</v>
      </c>
      <c r="BE431" t="s">
        <v>46</v>
      </c>
    </row>
    <row r="432" spans="1:57" ht="255.75" thickBot="1" x14ac:dyDescent="0.3">
      <c r="A432" s="9" t="s">
        <v>1666</v>
      </c>
      <c r="B432" s="9">
        <v>3001</v>
      </c>
      <c r="C432" s="10">
        <v>2</v>
      </c>
      <c r="D432" s="9" t="s">
        <v>37</v>
      </c>
      <c r="E432" s="14">
        <v>46239.56653935185</v>
      </c>
      <c r="F432" s="9" t="s">
        <v>1667</v>
      </c>
      <c r="G432" s="9" t="s">
        <v>39</v>
      </c>
      <c r="H432" s="9">
        <v>53</v>
      </c>
      <c r="I432" s="9" t="s">
        <v>40</v>
      </c>
      <c r="J432" s="9">
        <v>5309</v>
      </c>
      <c r="K432" s="9" t="s">
        <v>41</v>
      </c>
      <c r="L432" s="9">
        <v>5309062</v>
      </c>
      <c r="M432" s="9">
        <v>5309062009</v>
      </c>
      <c r="N432" s="9" t="s">
        <v>42</v>
      </c>
      <c r="O432" s="9">
        <v>10421</v>
      </c>
      <c r="P432" s="9" t="s">
        <v>1668</v>
      </c>
      <c r="Q432" s="10">
        <v>7</v>
      </c>
      <c r="R432" s="10">
        <v>840000</v>
      </c>
      <c r="S432" s="10">
        <v>300000</v>
      </c>
      <c r="T432" s="10">
        <v>0</v>
      </c>
      <c r="U432" s="10">
        <v>500000</v>
      </c>
      <c r="V432" s="10">
        <v>0</v>
      </c>
      <c r="W432" s="10">
        <v>1640000</v>
      </c>
      <c r="X432" s="10">
        <v>7200000</v>
      </c>
      <c r="Y432" s="10">
        <v>0</v>
      </c>
      <c r="Z432" s="10">
        <v>6400000</v>
      </c>
      <c r="AA432" s="10">
        <v>3000000</v>
      </c>
      <c r="AB432" s="10">
        <v>7200000</v>
      </c>
      <c r="AC432" s="10">
        <v>0</v>
      </c>
      <c r="AD432" s="9" t="s">
        <v>44</v>
      </c>
      <c r="AE432" s="10" t="s">
        <v>2279</v>
      </c>
      <c r="AF432" s="13">
        <v>1028571429</v>
      </c>
      <c r="AG432" s="10">
        <v>1</v>
      </c>
      <c r="AH432" s="10">
        <v>1</v>
      </c>
      <c r="AI432" s="10">
        <v>1</v>
      </c>
      <c r="AJ432" s="12" t="s">
        <v>1669</v>
      </c>
      <c r="AK432" s="10">
        <v>0</v>
      </c>
      <c r="AL432" s="10">
        <v>0</v>
      </c>
      <c r="AM432" s="9">
        <v>2024</v>
      </c>
      <c r="AN432" s="10">
        <v>5</v>
      </c>
      <c r="AO432" s="10">
        <v>2</v>
      </c>
      <c r="AP432" s="10"/>
      <c r="AQ432" s="5"/>
      <c r="AR432" s="5"/>
      <c r="AS432" s="4">
        <f t="shared" si="18"/>
        <v>800000</v>
      </c>
      <c r="AT432" s="4">
        <f t="shared" si="19"/>
        <v>4175999.4780000644</v>
      </c>
      <c r="AU432" s="4">
        <f t="shared" si="20"/>
        <v>3024000.5219999356</v>
      </c>
      <c r="AV432" s="9" t="s">
        <v>1668</v>
      </c>
      <c r="AW432" s="12" t="s">
        <v>1669</v>
      </c>
      <c r="AX432" s="10">
        <v>0</v>
      </c>
      <c r="AY432">
        <f>S432*AU432/AS432</f>
        <v>1134000.195749976</v>
      </c>
      <c r="AZ432">
        <f>AU432-AY432</f>
        <v>1890000.3262499596</v>
      </c>
      <c r="BA432" s="10">
        <v>7200000</v>
      </c>
      <c r="BB432" s="10">
        <v>0</v>
      </c>
      <c r="BC432" s="9" t="s">
        <v>42</v>
      </c>
      <c r="BD432" s="9">
        <v>10421</v>
      </c>
      <c r="BE432" t="s">
        <v>46</v>
      </c>
    </row>
    <row r="433" spans="1:57" ht="270.75" thickBot="1" x14ac:dyDescent="0.3">
      <c r="A433" s="9" t="s">
        <v>1670</v>
      </c>
      <c r="B433" s="9">
        <v>3001</v>
      </c>
      <c r="C433" s="10">
        <v>2</v>
      </c>
      <c r="D433" s="9" t="s">
        <v>84</v>
      </c>
      <c r="E433" s="11">
        <v>46313.211982743058</v>
      </c>
      <c r="F433" s="9" t="s">
        <v>1671</v>
      </c>
      <c r="G433" s="9" t="s">
        <v>39</v>
      </c>
      <c r="H433" s="9">
        <v>53</v>
      </c>
      <c r="I433" s="9" t="s">
        <v>40</v>
      </c>
      <c r="J433" s="9">
        <v>5309</v>
      </c>
      <c r="K433" s="9" t="s">
        <v>41</v>
      </c>
      <c r="L433" s="9">
        <v>5309062</v>
      </c>
      <c r="M433" s="9">
        <v>5309062009</v>
      </c>
      <c r="N433" s="9" t="s">
        <v>42</v>
      </c>
      <c r="O433" s="9">
        <v>10421</v>
      </c>
      <c r="P433" s="9" t="s">
        <v>1672</v>
      </c>
      <c r="Q433" s="10">
        <v>11</v>
      </c>
      <c r="R433" s="10">
        <v>1680000</v>
      </c>
      <c r="S433" s="10">
        <v>500000</v>
      </c>
      <c r="T433" s="10">
        <v>0</v>
      </c>
      <c r="U433" s="10">
        <v>1000000</v>
      </c>
      <c r="V433" s="10">
        <v>0</v>
      </c>
      <c r="W433" s="10">
        <v>3180000</v>
      </c>
      <c r="X433" s="10">
        <v>11400000</v>
      </c>
      <c r="Y433" s="10">
        <v>0</v>
      </c>
      <c r="Z433" s="10">
        <v>9900000</v>
      </c>
      <c r="AA433" s="10">
        <v>4800000</v>
      </c>
      <c r="AB433" s="10">
        <v>11400000</v>
      </c>
      <c r="AC433" s="10">
        <v>0</v>
      </c>
      <c r="AD433" s="9" t="s">
        <v>44</v>
      </c>
      <c r="AE433" s="10" t="s">
        <v>2519</v>
      </c>
      <c r="AF433" s="13">
        <v>1036363636</v>
      </c>
      <c r="AG433" s="10">
        <v>1</v>
      </c>
      <c r="AH433" s="10">
        <v>1</v>
      </c>
      <c r="AI433" s="10">
        <v>1</v>
      </c>
      <c r="AJ433" s="12" t="s">
        <v>1673</v>
      </c>
      <c r="AK433" s="10">
        <v>0</v>
      </c>
      <c r="AL433" s="10">
        <v>0</v>
      </c>
      <c r="AM433" s="9">
        <v>2018</v>
      </c>
      <c r="AN433" s="10">
        <v>9</v>
      </c>
      <c r="AO433" s="10">
        <v>2</v>
      </c>
      <c r="AP433" s="10"/>
      <c r="AQ433" s="5"/>
      <c r="AR433" s="5"/>
      <c r="AS433" s="4">
        <f t="shared" si="18"/>
        <v>1500000</v>
      </c>
      <c r="AT433" s="4">
        <f t="shared" si="19"/>
        <v>6612000.4007272972</v>
      </c>
      <c r="AU433" s="4">
        <f t="shared" si="20"/>
        <v>4787999.5992727028</v>
      </c>
      <c r="AV433" s="9" t="s">
        <v>1672</v>
      </c>
      <c r="AW433" s="12" t="s">
        <v>1673</v>
      </c>
      <c r="AX433" s="10">
        <v>0</v>
      </c>
      <c r="AY433">
        <f>S433*AU433/AS433</f>
        <v>1595999.8664242344</v>
      </c>
      <c r="AZ433">
        <f>AU433-AY433</f>
        <v>3191999.7328484682</v>
      </c>
      <c r="BA433" s="10">
        <v>11400000</v>
      </c>
      <c r="BB433" s="10">
        <v>0</v>
      </c>
      <c r="BC433" s="9" t="s">
        <v>42</v>
      </c>
      <c r="BD433" s="9">
        <v>10421</v>
      </c>
      <c r="BE433" t="s">
        <v>46</v>
      </c>
    </row>
    <row r="434" spans="1:57" ht="270.75" thickBot="1" x14ac:dyDescent="0.3">
      <c r="A434" s="9" t="s">
        <v>1674</v>
      </c>
      <c r="B434" s="9">
        <v>2</v>
      </c>
      <c r="C434" s="10">
        <v>2</v>
      </c>
      <c r="D434" s="9" t="s">
        <v>37</v>
      </c>
      <c r="E434" s="11">
        <v>46250.538801574075</v>
      </c>
      <c r="F434" s="9" t="s">
        <v>1675</v>
      </c>
      <c r="G434" s="9" t="s">
        <v>39</v>
      </c>
      <c r="H434" s="9">
        <v>53</v>
      </c>
      <c r="I434" s="9" t="s">
        <v>40</v>
      </c>
      <c r="J434" s="9">
        <v>5309</v>
      </c>
      <c r="K434" s="9" t="s">
        <v>41</v>
      </c>
      <c r="L434" s="9">
        <v>5309021</v>
      </c>
      <c r="M434" s="9">
        <v>5309021006</v>
      </c>
      <c r="N434" s="9" t="s">
        <v>42</v>
      </c>
      <c r="O434" s="9">
        <v>10421</v>
      </c>
      <c r="P434" s="9" t="s">
        <v>1676</v>
      </c>
      <c r="Q434" s="10">
        <v>4</v>
      </c>
      <c r="R434" s="10">
        <v>500000</v>
      </c>
      <c r="S434" s="10">
        <v>1450000</v>
      </c>
      <c r="T434" s="10">
        <v>0</v>
      </c>
      <c r="U434" s="10">
        <v>350000</v>
      </c>
      <c r="V434" s="10">
        <v>0</v>
      </c>
      <c r="W434" s="10">
        <v>2300000</v>
      </c>
      <c r="X434" s="10">
        <v>8700000</v>
      </c>
      <c r="Y434" s="10">
        <v>500000</v>
      </c>
      <c r="Z434" s="10">
        <v>6900000</v>
      </c>
      <c r="AA434" s="10">
        <v>60000000</v>
      </c>
      <c r="AB434" s="10">
        <v>8700000</v>
      </c>
      <c r="AC434" s="10">
        <v>0</v>
      </c>
      <c r="AD434" s="9" t="s">
        <v>44</v>
      </c>
      <c r="AE434" s="10" t="s">
        <v>2520</v>
      </c>
      <c r="AF434" s="10">
        <v>2175000</v>
      </c>
      <c r="AG434" s="10">
        <v>1</v>
      </c>
      <c r="AH434" s="10">
        <v>1</v>
      </c>
      <c r="AI434" s="10">
        <v>1</v>
      </c>
      <c r="AJ434" s="12" t="s">
        <v>1677</v>
      </c>
      <c r="AK434" s="10">
        <v>0</v>
      </c>
      <c r="AL434" s="10">
        <v>0</v>
      </c>
      <c r="AM434" s="9">
        <v>1990</v>
      </c>
      <c r="AN434" s="10">
        <v>1</v>
      </c>
      <c r="AO434" s="10">
        <v>3</v>
      </c>
      <c r="AP434" s="10"/>
      <c r="AQ434" s="5"/>
      <c r="AR434" s="5"/>
      <c r="AS434" s="4">
        <f t="shared" si="18"/>
        <v>1800000</v>
      </c>
      <c r="AT434" s="4">
        <f t="shared" si="19"/>
        <v>5046002.8520885678</v>
      </c>
      <c r="AU434" s="4">
        <f t="shared" si="20"/>
        <v>3653997.1479114322</v>
      </c>
      <c r="AV434" s="9" t="s">
        <v>1676</v>
      </c>
      <c r="AW434" s="12" t="s">
        <v>1677</v>
      </c>
      <c r="AX434" s="10">
        <v>0</v>
      </c>
      <c r="AY434">
        <f>S434*AU434/AS434</f>
        <v>2943497.7024842096</v>
      </c>
      <c r="AZ434">
        <f>AU434-AY434</f>
        <v>710499.44542722264</v>
      </c>
      <c r="BA434" s="10">
        <v>8700000</v>
      </c>
      <c r="BB434" s="10">
        <v>500000</v>
      </c>
      <c r="BC434" s="9" t="s">
        <v>42</v>
      </c>
      <c r="BD434" s="9">
        <v>10421</v>
      </c>
      <c r="BE434" t="s">
        <v>46</v>
      </c>
    </row>
    <row r="435" spans="1:57" ht="270.75" thickBot="1" x14ac:dyDescent="0.3">
      <c r="A435" s="9" t="s">
        <v>1678</v>
      </c>
      <c r="B435" s="9">
        <v>3001</v>
      </c>
      <c r="C435" s="10">
        <v>2</v>
      </c>
      <c r="D435" s="9" t="s">
        <v>37</v>
      </c>
      <c r="E435" s="14">
        <v>46229.426759259259</v>
      </c>
      <c r="F435" s="9" t="s">
        <v>1679</v>
      </c>
      <c r="G435" s="9" t="s">
        <v>39</v>
      </c>
      <c r="H435" s="9">
        <v>53</v>
      </c>
      <c r="I435" s="9" t="s">
        <v>40</v>
      </c>
      <c r="J435" s="9">
        <v>5309</v>
      </c>
      <c r="K435" s="9" t="s">
        <v>41</v>
      </c>
      <c r="L435" s="9">
        <v>5309073</v>
      </c>
      <c r="M435" s="9">
        <v>5309073011</v>
      </c>
      <c r="N435" s="9" t="s">
        <v>42</v>
      </c>
      <c r="O435" s="9">
        <v>10421</v>
      </c>
      <c r="P435" s="9" t="s">
        <v>1680</v>
      </c>
      <c r="Q435" s="10">
        <v>2</v>
      </c>
      <c r="R435" s="10">
        <v>600000</v>
      </c>
      <c r="S435" s="10">
        <v>300000</v>
      </c>
      <c r="T435" s="10">
        <v>0</v>
      </c>
      <c r="U435" s="10">
        <v>400000</v>
      </c>
      <c r="V435" s="10">
        <v>0</v>
      </c>
      <c r="W435" s="10">
        <v>1300000</v>
      </c>
      <c r="X435" s="10">
        <v>5600000</v>
      </c>
      <c r="Y435" s="10">
        <v>0</v>
      </c>
      <c r="Z435" s="10">
        <v>4900000</v>
      </c>
      <c r="AA435" s="10">
        <v>4000000</v>
      </c>
      <c r="AB435" s="10">
        <v>5600000</v>
      </c>
      <c r="AC435" s="10">
        <v>0</v>
      </c>
      <c r="AD435" s="9" t="s">
        <v>44</v>
      </c>
      <c r="AE435" s="10" t="s">
        <v>2226</v>
      </c>
      <c r="AF435" s="10">
        <v>2800000</v>
      </c>
      <c r="AG435" s="10">
        <v>1</v>
      </c>
      <c r="AH435" s="10">
        <v>1</v>
      </c>
      <c r="AI435" s="10">
        <v>1</v>
      </c>
      <c r="AJ435" s="12" t="s">
        <v>1681</v>
      </c>
      <c r="AK435" s="10">
        <v>0</v>
      </c>
      <c r="AL435" s="10">
        <v>0</v>
      </c>
      <c r="AM435" s="9">
        <v>1998</v>
      </c>
      <c r="AN435" s="10">
        <v>1</v>
      </c>
      <c r="AO435" s="10">
        <v>1</v>
      </c>
      <c r="AP435" s="10"/>
      <c r="AQ435" s="5"/>
      <c r="AR435" s="5"/>
      <c r="AS435" s="4">
        <f t="shared" si="18"/>
        <v>700000</v>
      </c>
      <c r="AT435" s="4">
        <f t="shared" si="19"/>
        <v>3248000</v>
      </c>
      <c r="AU435" s="4">
        <f t="shared" si="20"/>
        <v>2352000</v>
      </c>
      <c r="AV435" s="9" t="s">
        <v>1680</v>
      </c>
      <c r="AW435" s="12" t="s">
        <v>1681</v>
      </c>
      <c r="AX435" s="10">
        <v>0</v>
      </c>
      <c r="AY435">
        <f>S435*AU435/AS435</f>
        <v>1008000</v>
      </c>
      <c r="AZ435">
        <f>AU435-AY435</f>
        <v>1344000</v>
      </c>
      <c r="BA435" s="10">
        <v>5600000</v>
      </c>
      <c r="BB435" s="10">
        <v>0</v>
      </c>
      <c r="BC435" s="9" t="s">
        <v>42</v>
      </c>
      <c r="BD435" s="9">
        <v>10421</v>
      </c>
      <c r="BE435" t="s">
        <v>46</v>
      </c>
    </row>
    <row r="436" spans="1:57" ht="270.75" thickBot="1" x14ac:dyDescent="0.3">
      <c r="A436" s="9" t="s">
        <v>1682</v>
      </c>
      <c r="B436" s="9">
        <v>3001</v>
      </c>
      <c r="C436" s="10">
        <v>2</v>
      </c>
      <c r="D436" s="9" t="s">
        <v>37</v>
      </c>
      <c r="E436" s="14">
        <v>46216.185231481482</v>
      </c>
      <c r="F436" s="9" t="s">
        <v>1683</v>
      </c>
      <c r="G436" s="9" t="s">
        <v>39</v>
      </c>
      <c r="H436" s="9">
        <v>53</v>
      </c>
      <c r="I436" s="9" t="s">
        <v>40</v>
      </c>
      <c r="J436" s="9">
        <v>5309</v>
      </c>
      <c r="K436" s="9" t="s">
        <v>41</v>
      </c>
      <c r="L436" s="9">
        <v>5309062</v>
      </c>
      <c r="M436" s="9">
        <v>5309062009</v>
      </c>
      <c r="N436" s="9" t="s">
        <v>42</v>
      </c>
      <c r="O436" s="9">
        <v>10421</v>
      </c>
      <c r="P436" s="9" t="s">
        <v>1684</v>
      </c>
      <c r="Q436" s="10">
        <v>7</v>
      </c>
      <c r="R436" s="10">
        <v>1050000</v>
      </c>
      <c r="S436" s="10">
        <v>200000</v>
      </c>
      <c r="T436" s="10">
        <v>0</v>
      </c>
      <c r="U436" s="10">
        <v>250000</v>
      </c>
      <c r="V436" s="10">
        <v>0</v>
      </c>
      <c r="W436" s="10">
        <v>1500000</v>
      </c>
      <c r="X436" s="10">
        <v>7200000</v>
      </c>
      <c r="Y436" s="10">
        <v>0</v>
      </c>
      <c r="Z436" s="10">
        <v>6750000</v>
      </c>
      <c r="AA436" s="10">
        <v>4800000</v>
      </c>
      <c r="AB436" s="10">
        <v>7200000</v>
      </c>
      <c r="AC436" s="10">
        <v>0</v>
      </c>
      <c r="AD436" s="9" t="s">
        <v>44</v>
      </c>
      <c r="AE436" s="10" t="s">
        <v>2254</v>
      </c>
      <c r="AF436" s="13">
        <v>1028571429</v>
      </c>
      <c r="AG436" s="10">
        <v>1</v>
      </c>
      <c r="AH436" s="10">
        <v>1</v>
      </c>
      <c r="AI436" s="10">
        <v>1</v>
      </c>
      <c r="AJ436" s="12" t="s">
        <v>1685</v>
      </c>
      <c r="AK436" s="10">
        <v>0</v>
      </c>
      <c r="AL436" s="10">
        <v>0</v>
      </c>
      <c r="AM436" s="9">
        <v>2017</v>
      </c>
      <c r="AN436" s="10">
        <v>5</v>
      </c>
      <c r="AO436" s="10">
        <v>2</v>
      </c>
      <c r="AP436" s="10"/>
      <c r="AQ436" s="5"/>
      <c r="AR436" s="5"/>
      <c r="AS436" s="4">
        <f t="shared" si="18"/>
        <v>450000</v>
      </c>
      <c r="AT436" s="4">
        <f t="shared" si="19"/>
        <v>4175999.9999999995</v>
      </c>
      <c r="AU436" s="4">
        <f t="shared" si="20"/>
        <v>3024000.0000000005</v>
      </c>
      <c r="AV436" s="9" t="s">
        <v>1684</v>
      </c>
      <c r="AW436" s="12" t="s">
        <v>1685</v>
      </c>
      <c r="AX436" s="10">
        <v>0</v>
      </c>
      <c r="AY436">
        <f>S436*AU436/AS436</f>
        <v>1344000.0000000002</v>
      </c>
      <c r="AZ436">
        <f>AU436-AY436</f>
        <v>1680000.0000000002</v>
      </c>
      <c r="BA436" s="10">
        <v>7200000</v>
      </c>
      <c r="BB436" s="10">
        <v>0</v>
      </c>
      <c r="BC436" s="9" t="s">
        <v>42</v>
      </c>
      <c r="BD436" s="9">
        <v>10421</v>
      </c>
      <c r="BE436" t="s">
        <v>46</v>
      </c>
    </row>
    <row r="437" spans="1:57" ht="270.75" thickBot="1" x14ac:dyDescent="0.3">
      <c r="A437" s="9" t="s">
        <v>1686</v>
      </c>
      <c r="B437" s="9">
        <v>3001</v>
      </c>
      <c r="C437" s="10">
        <v>2</v>
      </c>
      <c r="D437" s="9" t="s">
        <v>37</v>
      </c>
      <c r="E437" s="14">
        <v>46244.908043981479</v>
      </c>
      <c r="F437" s="9" t="s">
        <v>1687</v>
      </c>
      <c r="G437" s="9" t="s">
        <v>39</v>
      </c>
      <c r="H437" s="9">
        <v>53</v>
      </c>
      <c r="I437" s="9" t="s">
        <v>40</v>
      </c>
      <c r="J437" s="9">
        <v>5309</v>
      </c>
      <c r="K437" s="9" t="s">
        <v>41</v>
      </c>
      <c r="L437" s="9">
        <v>5309073</v>
      </c>
      <c r="M437" s="9">
        <v>5309073001</v>
      </c>
      <c r="N437" s="9" t="s">
        <v>42</v>
      </c>
      <c r="O437" s="9">
        <v>10421</v>
      </c>
      <c r="P437" s="9" t="s">
        <v>1688</v>
      </c>
      <c r="Q437" s="10">
        <v>2</v>
      </c>
      <c r="R437" s="10">
        <v>400000</v>
      </c>
      <c r="S437" s="10">
        <v>150000</v>
      </c>
      <c r="T437" s="10">
        <v>0</v>
      </c>
      <c r="U437" s="10">
        <v>100000</v>
      </c>
      <c r="V437" s="10">
        <v>0</v>
      </c>
      <c r="W437" s="10">
        <v>650000</v>
      </c>
      <c r="X437" s="10">
        <v>4500000</v>
      </c>
      <c r="Y437" s="10">
        <v>0</v>
      </c>
      <c r="Z437" s="10">
        <v>4250000</v>
      </c>
      <c r="AA437" s="10">
        <v>2500000</v>
      </c>
      <c r="AB437" s="10">
        <v>4500000</v>
      </c>
      <c r="AC437" s="10">
        <v>0</v>
      </c>
      <c r="AD437" s="9" t="s">
        <v>44</v>
      </c>
      <c r="AE437" s="10" t="s">
        <v>2290</v>
      </c>
      <c r="AF437" s="10">
        <v>2250000</v>
      </c>
      <c r="AG437" s="10">
        <v>1</v>
      </c>
      <c r="AH437" s="10">
        <v>1</v>
      </c>
      <c r="AI437" s="10">
        <v>1</v>
      </c>
      <c r="AJ437" s="12" t="s">
        <v>1689</v>
      </c>
      <c r="AK437" s="10">
        <v>0</v>
      </c>
      <c r="AL437" s="10">
        <v>0</v>
      </c>
      <c r="AM437" s="9">
        <v>2014</v>
      </c>
      <c r="AN437" s="10">
        <v>1</v>
      </c>
      <c r="AO437" s="10">
        <v>1</v>
      </c>
      <c r="AP437" s="10"/>
      <c r="AQ437" s="5"/>
      <c r="AR437" s="5"/>
      <c r="AS437" s="4">
        <f t="shared" si="18"/>
        <v>250000</v>
      </c>
      <c r="AT437" s="4">
        <f t="shared" si="19"/>
        <v>2610001.2282358725</v>
      </c>
      <c r="AU437" s="4">
        <f t="shared" si="20"/>
        <v>1889998.7717641275</v>
      </c>
      <c r="AV437" s="9" t="s">
        <v>1688</v>
      </c>
      <c r="AW437" s="12" t="s">
        <v>1689</v>
      </c>
      <c r="AX437" s="10">
        <v>0</v>
      </c>
      <c r="AY437">
        <f>S437*AU437/AS437</f>
        <v>1133999.2630584766</v>
      </c>
      <c r="AZ437">
        <f>AU437-AY437</f>
        <v>755999.50870565092</v>
      </c>
      <c r="BA437" s="10">
        <v>4500000</v>
      </c>
      <c r="BB437" s="10">
        <v>0</v>
      </c>
      <c r="BC437" s="9" t="s">
        <v>42</v>
      </c>
      <c r="BD437" s="9">
        <v>10421</v>
      </c>
      <c r="BE437" t="s">
        <v>46</v>
      </c>
    </row>
    <row r="438" spans="1:57" ht="270.75" thickBot="1" x14ac:dyDescent="0.3">
      <c r="A438" s="9" t="s">
        <v>1690</v>
      </c>
      <c r="B438" s="9">
        <v>1001</v>
      </c>
      <c r="C438" s="10">
        <v>2</v>
      </c>
      <c r="D438" s="9" t="s">
        <v>37</v>
      </c>
      <c r="E438" s="11">
        <v>46220.11474070602</v>
      </c>
      <c r="F438" s="9" t="s">
        <v>1691</v>
      </c>
      <c r="G438" s="9" t="s">
        <v>39</v>
      </c>
      <c r="H438" s="9">
        <v>53</v>
      </c>
      <c r="I438" s="9" t="s">
        <v>40</v>
      </c>
      <c r="J438" s="9">
        <v>5309</v>
      </c>
      <c r="K438" s="9" t="s">
        <v>41</v>
      </c>
      <c r="L438" s="9">
        <v>5309010</v>
      </c>
      <c r="M438" s="9">
        <v>5309010004</v>
      </c>
      <c r="N438" s="9" t="s">
        <v>42</v>
      </c>
      <c r="O438" s="9">
        <v>10421</v>
      </c>
      <c r="P438" s="9" t="s">
        <v>1692</v>
      </c>
      <c r="Q438" s="10">
        <v>2</v>
      </c>
      <c r="R438" s="10">
        <v>0</v>
      </c>
      <c r="S438" s="10">
        <v>700000</v>
      </c>
      <c r="T438" s="10">
        <v>0</v>
      </c>
      <c r="U438" s="10">
        <v>0</v>
      </c>
      <c r="V438" s="10">
        <v>0</v>
      </c>
      <c r="W438" s="10">
        <v>700000</v>
      </c>
      <c r="X438" s="10">
        <v>7000000</v>
      </c>
      <c r="Y438" s="10">
        <v>0</v>
      </c>
      <c r="Z438" s="10">
        <v>6300000</v>
      </c>
      <c r="AA438" s="10">
        <v>50500000</v>
      </c>
      <c r="AB438" s="10">
        <v>7000000</v>
      </c>
      <c r="AC438" s="10">
        <v>0</v>
      </c>
      <c r="AD438" s="9" t="s">
        <v>44</v>
      </c>
      <c r="AE438" s="10" t="s">
        <v>2339</v>
      </c>
      <c r="AF438" s="10">
        <v>3500000</v>
      </c>
      <c r="AG438" s="10">
        <v>1</v>
      </c>
      <c r="AH438" s="10">
        <v>1</v>
      </c>
      <c r="AI438" s="10">
        <v>1</v>
      </c>
      <c r="AJ438" s="12" t="s">
        <v>1693</v>
      </c>
      <c r="AK438" s="10">
        <v>0</v>
      </c>
      <c r="AL438" s="10">
        <v>0</v>
      </c>
      <c r="AM438" s="9">
        <v>1990</v>
      </c>
      <c r="AN438" s="10">
        <v>0</v>
      </c>
      <c r="AO438" s="10">
        <v>2</v>
      </c>
      <c r="AP438" s="10"/>
      <c r="AQ438" s="5"/>
      <c r="AR438" s="5"/>
      <c r="AS438" s="4">
        <f t="shared" si="18"/>
        <v>700000</v>
      </c>
      <c r="AT438" s="4">
        <f t="shared" si="19"/>
        <v>4059999.9999999995</v>
      </c>
      <c r="AU438" s="4">
        <f t="shared" si="20"/>
        <v>2940000.0000000005</v>
      </c>
      <c r="AV438" s="9" t="s">
        <v>1692</v>
      </c>
      <c r="AW438" s="12" t="s">
        <v>1693</v>
      </c>
      <c r="AX438" s="10">
        <v>0</v>
      </c>
      <c r="AY438">
        <f>S438*AU438/AS438</f>
        <v>2940000.0000000005</v>
      </c>
      <c r="AZ438">
        <f>AU438-AY438</f>
        <v>0</v>
      </c>
      <c r="BA438" s="10">
        <v>7000000</v>
      </c>
      <c r="BB438" s="10">
        <v>0</v>
      </c>
      <c r="BC438" s="9" t="s">
        <v>42</v>
      </c>
      <c r="BD438" s="9">
        <v>10421</v>
      </c>
      <c r="BE438" t="s">
        <v>46</v>
      </c>
    </row>
    <row r="439" spans="1:57" ht="255.75" thickBot="1" x14ac:dyDescent="0.3">
      <c r="A439" s="9" t="s">
        <v>1694</v>
      </c>
      <c r="B439" s="9">
        <v>3001</v>
      </c>
      <c r="C439" s="10">
        <v>2</v>
      </c>
      <c r="D439" s="9" t="s">
        <v>37</v>
      </c>
      <c r="E439" s="14">
        <v>46244.652013888888</v>
      </c>
      <c r="F439" s="9" t="s">
        <v>1695</v>
      </c>
      <c r="G439" s="9" t="s">
        <v>39</v>
      </c>
      <c r="H439" s="9">
        <v>53</v>
      </c>
      <c r="I439" s="9" t="s">
        <v>40</v>
      </c>
      <c r="J439" s="9">
        <v>5309</v>
      </c>
      <c r="K439" s="9" t="s">
        <v>41</v>
      </c>
      <c r="L439" s="9">
        <v>5309062</v>
      </c>
      <c r="M439" s="9">
        <v>5309062013</v>
      </c>
      <c r="N439" s="9" t="s">
        <v>42</v>
      </c>
      <c r="O439" s="9">
        <v>10421</v>
      </c>
      <c r="P439" s="9" t="s">
        <v>1696</v>
      </c>
      <c r="Q439" s="10">
        <v>4</v>
      </c>
      <c r="R439" s="10">
        <v>600000</v>
      </c>
      <c r="S439" s="10">
        <v>250000</v>
      </c>
      <c r="T439" s="10">
        <v>0</v>
      </c>
      <c r="U439" s="10">
        <v>150000</v>
      </c>
      <c r="V439" s="10">
        <v>350000</v>
      </c>
      <c r="W439" s="10">
        <v>1350000</v>
      </c>
      <c r="X439" s="10">
        <v>5320000</v>
      </c>
      <c r="Y439" s="10">
        <v>0</v>
      </c>
      <c r="Z439" s="10">
        <v>4920000</v>
      </c>
      <c r="AA439" s="10">
        <v>2750000</v>
      </c>
      <c r="AB439" s="10">
        <v>5320000</v>
      </c>
      <c r="AC439" s="10">
        <v>0</v>
      </c>
      <c r="AD439" s="9" t="s">
        <v>44</v>
      </c>
      <c r="AE439" s="10" t="s">
        <v>2521</v>
      </c>
      <c r="AF439" s="10">
        <v>1330000</v>
      </c>
      <c r="AG439" s="10">
        <v>1</v>
      </c>
      <c r="AH439" s="10">
        <v>1</v>
      </c>
      <c r="AI439" s="10">
        <v>1</v>
      </c>
      <c r="AJ439" s="12" t="s">
        <v>1697</v>
      </c>
      <c r="AK439" s="10">
        <v>0</v>
      </c>
      <c r="AL439" s="10">
        <v>0</v>
      </c>
      <c r="AM439" s="9">
        <v>2015</v>
      </c>
      <c r="AN439" s="10">
        <v>2</v>
      </c>
      <c r="AO439" s="10">
        <v>2</v>
      </c>
      <c r="AP439" s="10"/>
      <c r="AQ439" s="5"/>
      <c r="AR439" s="5"/>
      <c r="AS439" s="4">
        <f t="shared" si="18"/>
        <v>400000</v>
      </c>
      <c r="AT439" s="4">
        <f t="shared" si="19"/>
        <v>3085600.1003447189</v>
      </c>
      <c r="AU439" s="4">
        <f t="shared" si="20"/>
        <v>2234399.8996552811</v>
      </c>
      <c r="AV439" s="9" t="s">
        <v>1696</v>
      </c>
      <c r="AW439" s="12" t="s">
        <v>1697</v>
      </c>
      <c r="AX439" s="10">
        <v>0</v>
      </c>
      <c r="AY439">
        <f>S439*AU439/AS439</f>
        <v>1396499.9372845509</v>
      </c>
      <c r="AZ439">
        <f>AU439-AY439</f>
        <v>837899.96237073024</v>
      </c>
      <c r="BA439" s="10">
        <v>5320000</v>
      </c>
      <c r="BB439" s="10">
        <v>0</v>
      </c>
      <c r="BC439" s="9" t="s">
        <v>42</v>
      </c>
      <c r="BD439" s="9">
        <v>10421</v>
      </c>
      <c r="BE439" t="s">
        <v>46</v>
      </c>
    </row>
    <row r="440" spans="1:57" ht="270.75" thickBot="1" x14ac:dyDescent="0.3">
      <c r="A440" s="9" t="s">
        <v>1698</v>
      </c>
      <c r="B440" s="9">
        <v>3001</v>
      </c>
      <c r="C440" s="10">
        <v>2</v>
      </c>
      <c r="D440" s="9" t="s">
        <v>37</v>
      </c>
      <c r="E440" s="11">
        <v>46252.192137129627</v>
      </c>
      <c r="F440" s="9" t="s">
        <v>1699</v>
      </c>
      <c r="G440" s="9" t="s">
        <v>39</v>
      </c>
      <c r="H440" s="9">
        <v>53</v>
      </c>
      <c r="I440" s="9" t="s">
        <v>40</v>
      </c>
      <c r="J440" s="9">
        <v>5309</v>
      </c>
      <c r="K440" s="9" t="s">
        <v>41</v>
      </c>
      <c r="L440" s="9">
        <v>5309074</v>
      </c>
      <c r="M440" s="9">
        <v>5309074002</v>
      </c>
      <c r="N440" s="9" t="s">
        <v>42</v>
      </c>
      <c r="O440" s="9">
        <v>10421</v>
      </c>
      <c r="P440" s="9" t="s">
        <v>49</v>
      </c>
      <c r="Q440" s="10">
        <v>2</v>
      </c>
      <c r="R440" s="10">
        <v>1900000</v>
      </c>
      <c r="S440" s="10">
        <v>300000</v>
      </c>
      <c r="T440" s="10">
        <v>0</v>
      </c>
      <c r="U440" s="10">
        <v>450000</v>
      </c>
      <c r="V440" s="10">
        <v>0</v>
      </c>
      <c r="W440" s="10">
        <v>2650000</v>
      </c>
      <c r="X440" s="10">
        <v>6000000</v>
      </c>
      <c r="Y440" s="10">
        <v>0</v>
      </c>
      <c r="Z440" s="10">
        <v>5250000</v>
      </c>
      <c r="AA440" s="10">
        <v>5300000</v>
      </c>
      <c r="AB440" s="10">
        <v>6000000</v>
      </c>
      <c r="AC440" s="10">
        <v>0</v>
      </c>
      <c r="AD440" s="9" t="s">
        <v>44</v>
      </c>
      <c r="AE440" s="10" t="s">
        <v>2226</v>
      </c>
      <c r="AF440" s="10">
        <v>3000000</v>
      </c>
      <c r="AG440" s="10">
        <v>1</v>
      </c>
      <c r="AH440" s="10">
        <v>1</v>
      </c>
      <c r="AI440" s="10">
        <v>1</v>
      </c>
      <c r="AJ440" s="12" t="s">
        <v>1700</v>
      </c>
      <c r="AK440" s="10">
        <v>0</v>
      </c>
      <c r="AL440" s="10">
        <v>0</v>
      </c>
      <c r="AM440" s="9">
        <v>1989</v>
      </c>
      <c r="AN440" s="10">
        <v>1</v>
      </c>
      <c r="AO440" s="10">
        <v>1</v>
      </c>
      <c r="AP440" s="10"/>
      <c r="AQ440" s="5"/>
      <c r="AR440" s="5"/>
      <c r="AS440" s="4">
        <f t="shared" si="18"/>
        <v>750000</v>
      </c>
      <c r="AT440" s="4">
        <f t="shared" si="19"/>
        <v>3480000</v>
      </c>
      <c r="AU440" s="4">
        <f t="shared" si="20"/>
        <v>2520000</v>
      </c>
      <c r="AV440" s="9" t="s">
        <v>49</v>
      </c>
      <c r="AW440" s="12" t="s">
        <v>1700</v>
      </c>
      <c r="AX440" s="10">
        <v>0</v>
      </c>
      <c r="AY440">
        <f>S440*AU440/AS440</f>
        <v>1008000</v>
      </c>
      <c r="AZ440">
        <f>AU440-AY440</f>
        <v>1512000</v>
      </c>
      <c r="BA440" s="10">
        <v>6000000</v>
      </c>
      <c r="BB440" s="10">
        <v>0</v>
      </c>
      <c r="BC440" s="9" t="s">
        <v>42</v>
      </c>
      <c r="BD440" s="9">
        <v>10421</v>
      </c>
      <c r="BE440" t="s">
        <v>46</v>
      </c>
    </row>
    <row r="441" spans="1:57" ht="270.75" thickBot="1" x14ac:dyDescent="0.3">
      <c r="A441" s="9" t="s">
        <v>1701</v>
      </c>
      <c r="B441" s="9">
        <v>3001</v>
      </c>
      <c r="C441" s="10">
        <v>2</v>
      </c>
      <c r="D441" s="9" t="s">
        <v>37</v>
      </c>
      <c r="E441" s="11">
        <v>46275.472422013889</v>
      </c>
      <c r="F441" s="9" t="s">
        <v>1702</v>
      </c>
      <c r="G441" s="9" t="s">
        <v>39</v>
      </c>
      <c r="H441" s="9">
        <v>53</v>
      </c>
      <c r="I441" s="9" t="s">
        <v>40</v>
      </c>
      <c r="J441" s="9">
        <v>5309</v>
      </c>
      <c r="K441" s="9" t="s">
        <v>41</v>
      </c>
      <c r="L441" s="9">
        <v>5309062</v>
      </c>
      <c r="M441" s="9">
        <v>5309062006</v>
      </c>
      <c r="N441" s="9" t="s">
        <v>42</v>
      </c>
      <c r="O441" s="9">
        <v>10421</v>
      </c>
      <c r="P441" s="9" t="s">
        <v>1703</v>
      </c>
      <c r="Q441" s="10">
        <v>4</v>
      </c>
      <c r="R441" s="10">
        <v>660000</v>
      </c>
      <c r="S441" s="10">
        <v>400000</v>
      </c>
      <c r="T441" s="10">
        <v>0</v>
      </c>
      <c r="U441" s="10">
        <v>450000</v>
      </c>
      <c r="V441" s="10">
        <v>0</v>
      </c>
      <c r="W441" s="10">
        <v>1510000</v>
      </c>
      <c r="X441" s="10">
        <v>4500000</v>
      </c>
      <c r="Y441" s="10">
        <v>0</v>
      </c>
      <c r="Z441" s="10">
        <v>3650000</v>
      </c>
      <c r="AA441" s="10">
        <v>2400000</v>
      </c>
      <c r="AB441" s="10">
        <v>4500000</v>
      </c>
      <c r="AC441" s="10">
        <v>0</v>
      </c>
      <c r="AD441" s="9" t="s">
        <v>44</v>
      </c>
      <c r="AE441" s="10" t="s">
        <v>2522</v>
      </c>
      <c r="AF441" s="10">
        <v>1125000</v>
      </c>
      <c r="AG441" s="10">
        <v>1</v>
      </c>
      <c r="AH441" s="10">
        <v>1</v>
      </c>
      <c r="AI441" s="10">
        <v>1</v>
      </c>
      <c r="AJ441" s="12" t="s">
        <v>1704</v>
      </c>
      <c r="AK441" s="10">
        <v>0</v>
      </c>
      <c r="AL441" s="10">
        <v>0</v>
      </c>
      <c r="AM441" s="9">
        <v>2000</v>
      </c>
      <c r="AN441" s="10">
        <v>3</v>
      </c>
      <c r="AO441" s="10">
        <v>1</v>
      </c>
      <c r="AP441" s="10"/>
      <c r="AQ441" s="5"/>
      <c r="AR441" s="5"/>
      <c r="AS441" s="4">
        <f t="shared" si="18"/>
        <v>850000</v>
      </c>
      <c r="AT441" s="4">
        <f t="shared" si="19"/>
        <v>2610000.3575342954</v>
      </c>
      <c r="AU441" s="4">
        <f t="shared" si="20"/>
        <v>1889999.6424657046</v>
      </c>
      <c r="AV441" s="9" t="s">
        <v>1703</v>
      </c>
      <c r="AW441" s="12" t="s">
        <v>1704</v>
      </c>
      <c r="AX441" s="10">
        <v>0</v>
      </c>
      <c r="AY441">
        <f>S441*AU441/AS441</f>
        <v>889411.59645444923</v>
      </c>
      <c r="AZ441">
        <f>AU441-AY441</f>
        <v>1000588.0460112554</v>
      </c>
      <c r="BA441" s="10">
        <v>4500000</v>
      </c>
      <c r="BB441" s="10">
        <v>0</v>
      </c>
      <c r="BC441" s="9" t="s">
        <v>42</v>
      </c>
      <c r="BD441" s="9">
        <v>10421</v>
      </c>
      <c r="BE441" t="s">
        <v>46</v>
      </c>
    </row>
    <row r="442" spans="1:57" ht="270.75" thickBot="1" x14ac:dyDescent="0.3">
      <c r="A442" s="9" t="s">
        <v>1705</v>
      </c>
      <c r="B442" s="9">
        <v>3001</v>
      </c>
      <c r="C442" s="10">
        <v>2</v>
      </c>
      <c r="D442" s="9" t="s">
        <v>37</v>
      </c>
      <c r="E442" s="11">
        <v>46212.391903981479</v>
      </c>
      <c r="F442" s="9" t="s">
        <v>1706</v>
      </c>
      <c r="G442" s="9" t="s">
        <v>39</v>
      </c>
      <c r="H442" s="9">
        <v>53</v>
      </c>
      <c r="I442" s="9" t="s">
        <v>40</v>
      </c>
      <c r="J442" s="9">
        <v>5309</v>
      </c>
      <c r="K442" s="9" t="s">
        <v>41</v>
      </c>
      <c r="L442" s="9">
        <v>5309062</v>
      </c>
      <c r="M442" s="9">
        <v>5309062012</v>
      </c>
      <c r="N442" s="9" t="s">
        <v>42</v>
      </c>
      <c r="O442" s="9">
        <v>10421</v>
      </c>
      <c r="P442" s="9" t="s">
        <v>1707</v>
      </c>
      <c r="Q442" s="10">
        <v>3</v>
      </c>
      <c r="R442" s="10">
        <v>200000</v>
      </c>
      <c r="S442" s="10">
        <v>200000</v>
      </c>
      <c r="T442" s="10">
        <v>0</v>
      </c>
      <c r="U442" s="10">
        <v>100000</v>
      </c>
      <c r="V442" s="10">
        <v>0</v>
      </c>
      <c r="W442" s="10">
        <v>500000</v>
      </c>
      <c r="X442" s="10">
        <v>350000</v>
      </c>
      <c r="Y442" s="10">
        <v>300000</v>
      </c>
      <c r="Z442" s="10">
        <v>50000</v>
      </c>
      <c r="AA442" s="10">
        <v>3800000</v>
      </c>
      <c r="AB442" s="10">
        <v>350000</v>
      </c>
      <c r="AC442" s="10">
        <v>0</v>
      </c>
      <c r="AD442" s="9" t="s">
        <v>44</v>
      </c>
      <c r="AE442" s="10" t="s">
        <v>2523</v>
      </c>
      <c r="AF442" s="13">
        <v>1166666667</v>
      </c>
      <c r="AG442" s="10">
        <v>1</v>
      </c>
      <c r="AH442" s="10">
        <v>1</v>
      </c>
      <c r="AI442" s="10">
        <v>1</v>
      </c>
      <c r="AJ442" s="12" t="s">
        <v>1708</v>
      </c>
      <c r="AK442" s="10">
        <v>0</v>
      </c>
      <c r="AL442" s="10">
        <v>0</v>
      </c>
      <c r="AM442" s="9">
        <v>2023</v>
      </c>
      <c r="AN442" s="10">
        <v>1</v>
      </c>
      <c r="AO442" s="10">
        <v>2</v>
      </c>
      <c r="AP442" s="10"/>
      <c r="AQ442" s="5"/>
      <c r="AR442" s="5"/>
      <c r="AS442" s="4">
        <f t="shared" si="18"/>
        <v>300000</v>
      </c>
      <c r="AT442" s="4">
        <f t="shared" si="19"/>
        <v>203000.20300020295</v>
      </c>
      <c r="AU442" s="4">
        <f t="shared" si="20"/>
        <v>146999.79699979705</v>
      </c>
      <c r="AV442" s="9" t="s">
        <v>1707</v>
      </c>
      <c r="AW442" s="12" t="s">
        <v>1708</v>
      </c>
      <c r="AX442" s="10">
        <v>0</v>
      </c>
      <c r="AY442">
        <f>S442*AU442/AS442</f>
        <v>97999.864666531372</v>
      </c>
      <c r="AZ442">
        <f>AU442-AY442</f>
        <v>48999.932333265679</v>
      </c>
      <c r="BA442" s="10">
        <v>350000</v>
      </c>
      <c r="BB442" s="10">
        <v>300000</v>
      </c>
      <c r="BC442" s="9" t="s">
        <v>42</v>
      </c>
      <c r="BD442" s="9">
        <v>10421</v>
      </c>
      <c r="BE442" t="s">
        <v>46</v>
      </c>
    </row>
    <row r="443" spans="1:57" ht="270.75" thickBot="1" x14ac:dyDescent="0.3">
      <c r="A443" s="9" t="s">
        <v>1709</v>
      </c>
      <c r="B443" s="9">
        <v>3001</v>
      </c>
      <c r="C443" s="10">
        <v>2</v>
      </c>
      <c r="D443" s="9" t="s">
        <v>37</v>
      </c>
      <c r="E443" s="11">
        <v>46214.820263090274</v>
      </c>
      <c r="F443" s="9" t="s">
        <v>1710</v>
      </c>
      <c r="G443" s="9" t="s">
        <v>39</v>
      </c>
      <c r="H443" s="9">
        <v>53</v>
      </c>
      <c r="I443" s="9" t="s">
        <v>40</v>
      </c>
      <c r="J443" s="9">
        <v>5309</v>
      </c>
      <c r="K443" s="9" t="s">
        <v>41</v>
      </c>
      <c r="L443" s="9">
        <v>5309062</v>
      </c>
      <c r="M443" s="9">
        <v>5309062002</v>
      </c>
      <c r="N443" s="9" t="s">
        <v>42</v>
      </c>
      <c r="O443" s="9">
        <v>10421</v>
      </c>
      <c r="P443" s="9" t="s">
        <v>49</v>
      </c>
      <c r="Q443" s="10">
        <v>2</v>
      </c>
      <c r="R443" s="10">
        <v>0</v>
      </c>
      <c r="S443" s="10">
        <v>150000</v>
      </c>
      <c r="T443" s="10">
        <v>0</v>
      </c>
      <c r="U443" s="10">
        <v>150000</v>
      </c>
      <c r="V443" s="10">
        <v>0</v>
      </c>
      <c r="W443" s="10">
        <v>300000</v>
      </c>
      <c r="X443" s="10">
        <v>6780000</v>
      </c>
      <c r="Y443" s="10">
        <v>0</v>
      </c>
      <c r="Z443" s="10">
        <v>6480000</v>
      </c>
      <c r="AA443" s="10">
        <v>2000000</v>
      </c>
      <c r="AB443" s="10">
        <v>6780000</v>
      </c>
      <c r="AC443" s="10">
        <v>0</v>
      </c>
      <c r="AD443" s="9" t="s">
        <v>44</v>
      </c>
      <c r="AE443" s="10" t="s">
        <v>2524</v>
      </c>
      <c r="AF443" s="10">
        <v>3390000</v>
      </c>
      <c r="AG443" s="10">
        <v>1</v>
      </c>
      <c r="AH443" s="10">
        <v>1</v>
      </c>
      <c r="AI443" s="10">
        <v>1</v>
      </c>
      <c r="AJ443" s="12" t="s">
        <v>1711</v>
      </c>
      <c r="AK443" s="10">
        <v>0</v>
      </c>
      <c r="AL443" s="10">
        <v>0</v>
      </c>
      <c r="AM443" s="9">
        <v>2014</v>
      </c>
      <c r="AN443" s="10">
        <v>0</v>
      </c>
      <c r="AO443" s="10">
        <v>2</v>
      </c>
      <c r="AP443" s="10"/>
      <c r="AQ443" s="5"/>
      <c r="AR443" s="5"/>
      <c r="AS443" s="4">
        <f t="shared" si="18"/>
        <v>300000</v>
      </c>
      <c r="AT443" s="4">
        <f t="shared" si="19"/>
        <v>3932400.8738668603</v>
      </c>
      <c r="AU443" s="4">
        <f t="shared" si="20"/>
        <v>2847599.1261331397</v>
      </c>
      <c r="AV443" s="9" t="s">
        <v>49</v>
      </c>
      <c r="AW443" s="12" t="s">
        <v>1711</v>
      </c>
      <c r="AX443" s="10">
        <v>0</v>
      </c>
      <c r="AY443">
        <f>S443*AU443/AS443</f>
        <v>1423799.5630665699</v>
      </c>
      <c r="AZ443">
        <f>AU443-AY443</f>
        <v>1423799.5630665699</v>
      </c>
      <c r="BA443" s="10">
        <v>6780000</v>
      </c>
      <c r="BB443" s="10">
        <v>0</v>
      </c>
      <c r="BC443" s="9" t="s">
        <v>42</v>
      </c>
      <c r="BD443" s="9">
        <v>10421</v>
      </c>
      <c r="BE443" t="s">
        <v>46</v>
      </c>
    </row>
    <row r="444" spans="1:57" ht="270.75" thickBot="1" x14ac:dyDescent="0.3">
      <c r="A444" s="9" t="s">
        <v>1712</v>
      </c>
      <c r="B444" s="9">
        <v>3001</v>
      </c>
      <c r="C444" s="10">
        <v>2</v>
      </c>
      <c r="D444" s="9" t="s">
        <v>37</v>
      </c>
      <c r="E444" s="14">
        <v>46216.400462962964</v>
      </c>
      <c r="F444" s="9" t="s">
        <v>1713</v>
      </c>
      <c r="G444" s="9" t="s">
        <v>39</v>
      </c>
      <c r="H444" s="9">
        <v>53</v>
      </c>
      <c r="I444" s="9" t="s">
        <v>40</v>
      </c>
      <c r="J444" s="9">
        <v>5309</v>
      </c>
      <c r="K444" s="9" t="s">
        <v>41</v>
      </c>
      <c r="L444" s="9">
        <v>5309062</v>
      </c>
      <c r="M444" s="9">
        <v>5309062008</v>
      </c>
      <c r="N444" s="9" t="s">
        <v>42</v>
      </c>
      <c r="O444" s="9">
        <v>10421</v>
      </c>
      <c r="P444" s="9" t="s">
        <v>1714</v>
      </c>
      <c r="Q444" s="10">
        <v>1</v>
      </c>
      <c r="R444" s="10">
        <v>0</v>
      </c>
      <c r="S444" s="10">
        <v>100000</v>
      </c>
      <c r="T444" s="10">
        <v>0</v>
      </c>
      <c r="U444" s="10">
        <v>100000</v>
      </c>
      <c r="V444" s="10">
        <v>0</v>
      </c>
      <c r="W444" s="10">
        <v>200000</v>
      </c>
      <c r="X444" s="10">
        <v>2400000</v>
      </c>
      <c r="Y444" s="10">
        <v>0</v>
      </c>
      <c r="Z444" s="10">
        <v>2200000</v>
      </c>
      <c r="AA444" s="10">
        <v>5000000</v>
      </c>
      <c r="AB444" s="10">
        <v>2400000</v>
      </c>
      <c r="AC444" s="10">
        <v>0</v>
      </c>
      <c r="AD444" s="9" t="s">
        <v>44</v>
      </c>
      <c r="AE444" s="10" t="s">
        <v>2236</v>
      </c>
      <c r="AF444" s="10">
        <v>2400000</v>
      </c>
      <c r="AG444" s="10">
        <v>1</v>
      </c>
      <c r="AH444" s="10">
        <v>1</v>
      </c>
      <c r="AI444" s="10">
        <v>1</v>
      </c>
      <c r="AJ444" s="12" t="s">
        <v>1715</v>
      </c>
      <c r="AK444" s="10">
        <v>0</v>
      </c>
      <c r="AL444" s="10">
        <v>0</v>
      </c>
      <c r="AM444" s="9">
        <v>2016</v>
      </c>
      <c r="AN444" s="10">
        <v>0</v>
      </c>
      <c r="AO444" s="10">
        <v>1</v>
      </c>
      <c r="AP444" s="10"/>
      <c r="AQ444" s="5"/>
      <c r="AR444" s="5"/>
      <c r="AS444" s="4">
        <f t="shared" si="18"/>
        <v>200000</v>
      </c>
      <c r="AT444" s="4">
        <f t="shared" si="19"/>
        <v>1391999.493818366</v>
      </c>
      <c r="AU444" s="4">
        <f t="shared" si="20"/>
        <v>1008000.506181634</v>
      </c>
      <c r="AV444" s="9" t="s">
        <v>1714</v>
      </c>
      <c r="AW444" s="12" t="s">
        <v>1715</v>
      </c>
      <c r="AX444" s="10">
        <v>0</v>
      </c>
      <c r="AY444">
        <f>S444*AU444/AS444</f>
        <v>504000.25309081702</v>
      </c>
      <c r="AZ444">
        <f>AU444-AY444</f>
        <v>504000.25309081702</v>
      </c>
      <c r="BA444" s="10">
        <v>2400000</v>
      </c>
      <c r="BB444" s="10">
        <v>0</v>
      </c>
      <c r="BC444" s="9" t="s">
        <v>42</v>
      </c>
      <c r="BD444" s="9">
        <v>10421</v>
      </c>
      <c r="BE444" t="s">
        <v>46</v>
      </c>
    </row>
    <row r="445" spans="1:57" ht="270.75" thickBot="1" x14ac:dyDescent="0.3">
      <c r="A445" s="9" t="s">
        <v>1716</v>
      </c>
      <c r="B445" s="9">
        <v>3001</v>
      </c>
      <c r="C445" s="10">
        <v>2</v>
      </c>
      <c r="D445" s="9" t="s">
        <v>37</v>
      </c>
      <c r="E445" s="14">
        <v>46244.975601851853</v>
      </c>
      <c r="F445" s="9" t="s">
        <v>1717</v>
      </c>
      <c r="G445" s="9" t="s">
        <v>39</v>
      </c>
      <c r="H445" s="9">
        <v>53</v>
      </c>
      <c r="I445" s="9" t="s">
        <v>40</v>
      </c>
      <c r="J445" s="9">
        <v>5309</v>
      </c>
      <c r="K445" s="9" t="s">
        <v>41</v>
      </c>
      <c r="L445" s="9">
        <v>5309062</v>
      </c>
      <c r="M445" s="9">
        <v>5309062009</v>
      </c>
      <c r="N445" s="9" t="s">
        <v>42</v>
      </c>
      <c r="O445" s="9">
        <v>10421</v>
      </c>
      <c r="P445" s="9" t="s">
        <v>1718</v>
      </c>
      <c r="Q445" s="10">
        <v>5</v>
      </c>
      <c r="R445" s="10">
        <v>350000</v>
      </c>
      <c r="S445" s="10">
        <v>200000</v>
      </c>
      <c r="T445" s="10">
        <v>0</v>
      </c>
      <c r="U445" s="10">
        <v>35000</v>
      </c>
      <c r="V445" s="10">
        <v>0</v>
      </c>
      <c r="W445" s="10">
        <v>585000</v>
      </c>
      <c r="X445" s="10">
        <v>6000000</v>
      </c>
      <c r="Y445" s="10">
        <v>0</v>
      </c>
      <c r="Z445" s="10">
        <v>5765000</v>
      </c>
      <c r="AA445" s="10">
        <v>8600000</v>
      </c>
      <c r="AB445" s="10">
        <v>6000000</v>
      </c>
      <c r="AC445" s="10">
        <v>0</v>
      </c>
      <c r="AD445" s="9" t="s">
        <v>44</v>
      </c>
      <c r="AE445" s="10" t="s">
        <v>2525</v>
      </c>
      <c r="AF445" s="10">
        <v>1200000</v>
      </c>
      <c r="AG445" s="10">
        <v>1</v>
      </c>
      <c r="AH445" s="10">
        <v>1</v>
      </c>
      <c r="AI445" s="10">
        <v>1</v>
      </c>
      <c r="AJ445" s="12" t="s">
        <v>1719</v>
      </c>
      <c r="AK445" s="10">
        <v>0</v>
      </c>
      <c r="AL445" s="10">
        <v>0</v>
      </c>
      <c r="AM445" s="9">
        <v>2025</v>
      </c>
      <c r="AN445" s="10">
        <v>4</v>
      </c>
      <c r="AO445" s="10">
        <v>1</v>
      </c>
      <c r="AP445" s="10"/>
      <c r="AQ445" s="5"/>
      <c r="AR445" s="5"/>
      <c r="AS445" s="4">
        <f t="shared" si="18"/>
        <v>235000</v>
      </c>
      <c r="AT445" s="4">
        <f t="shared" si="19"/>
        <v>3480001.2072857614</v>
      </c>
      <c r="AU445" s="4">
        <f t="shared" si="20"/>
        <v>2519998.7927142386</v>
      </c>
      <c r="AV445" s="9" t="s">
        <v>1718</v>
      </c>
      <c r="AW445" s="12" t="s">
        <v>1719</v>
      </c>
      <c r="AX445" s="10">
        <v>0</v>
      </c>
      <c r="AY445">
        <f>S445*AU445/AS445</f>
        <v>2144679.8235865859</v>
      </c>
      <c r="AZ445">
        <f>AU445-AY445</f>
        <v>375318.9691276527</v>
      </c>
      <c r="BA445" s="10">
        <v>6000000</v>
      </c>
      <c r="BB445" s="10">
        <v>0</v>
      </c>
      <c r="BC445" s="9" t="s">
        <v>42</v>
      </c>
      <c r="BD445" s="9">
        <v>10421</v>
      </c>
      <c r="BE445" t="s">
        <v>46</v>
      </c>
    </row>
    <row r="446" spans="1:57" ht="270.75" thickBot="1" x14ac:dyDescent="0.3">
      <c r="A446" s="9" t="s">
        <v>1720</v>
      </c>
      <c r="B446" s="9">
        <v>4</v>
      </c>
      <c r="C446" s="10">
        <v>2</v>
      </c>
      <c r="D446" s="9" t="s">
        <v>37</v>
      </c>
      <c r="E446" s="11">
        <v>46261.213411921293</v>
      </c>
      <c r="F446" s="9" t="s">
        <v>1721</v>
      </c>
      <c r="G446" s="9" t="s">
        <v>39</v>
      </c>
      <c r="H446" s="9">
        <v>53</v>
      </c>
      <c r="I446" s="9" t="s">
        <v>40</v>
      </c>
      <c r="J446" s="9">
        <v>5309</v>
      </c>
      <c r="K446" s="9" t="s">
        <v>41</v>
      </c>
      <c r="L446" s="9">
        <v>5309021</v>
      </c>
      <c r="M446" s="9">
        <v>5309021006</v>
      </c>
      <c r="N446" s="9" t="s">
        <v>42</v>
      </c>
      <c r="O446" s="9">
        <v>10421</v>
      </c>
      <c r="P446" s="9" t="s">
        <v>1722</v>
      </c>
      <c r="Q446" s="10">
        <v>4</v>
      </c>
      <c r="R446" s="10">
        <v>350000</v>
      </c>
      <c r="S446" s="10">
        <v>2500000</v>
      </c>
      <c r="T446" s="10">
        <v>0</v>
      </c>
      <c r="U446" s="10">
        <v>200000</v>
      </c>
      <c r="V446" s="10">
        <v>0</v>
      </c>
      <c r="W446" s="10">
        <v>3050000</v>
      </c>
      <c r="X446" s="10">
        <v>9500000</v>
      </c>
      <c r="Y446" s="10">
        <v>0</v>
      </c>
      <c r="Z446" s="10">
        <v>6800000</v>
      </c>
      <c r="AA446" s="10">
        <v>30350000</v>
      </c>
      <c r="AB446" s="10">
        <v>9500000</v>
      </c>
      <c r="AC446" s="10">
        <v>0</v>
      </c>
      <c r="AD446" s="9" t="s">
        <v>44</v>
      </c>
      <c r="AE446" s="10" t="s">
        <v>2526</v>
      </c>
      <c r="AF446" s="10">
        <v>2375000</v>
      </c>
      <c r="AG446" s="10">
        <v>0</v>
      </c>
      <c r="AH446" s="10">
        <v>1</v>
      </c>
      <c r="AI446" s="10">
        <v>1</v>
      </c>
      <c r="AJ446" s="12" t="s">
        <v>1723</v>
      </c>
      <c r="AK446" s="10">
        <v>0</v>
      </c>
      <c r="AL446" s="10">
        <v>0</v>
      </c>
      <c r="AM446" s="9">
        <v>1990</v>
      </c>
      <c r="AN446" s="10">
        <v>1</v>
      </c>
      <c r="AO446" s="10">
        <v>3</v>
      </c>
      <c r="AP446" s="10"/>
      <c r="AQ446" s="5"/>
      <c r="AR446" s="5"/>
      <c r="AS446" s="4">
        <f t="shared" si="18"/>
        <v>2700000</v>
      </c>
      <c r="AT446" s="4">
        <f t="shared" si="19"/>
        <v>5510003.6463259421</v>
      </c>
      <c r="AU446" s="4">
        <f t="shared" si="20"/>
        <v>3989996.3536740579</v>
      </c>
      <c r="AV446" s="9" t="s">
        <v>1722</v>
      </c>
      <c r="AW446" s="12" t="s">
        <v>1723</v>
      </c>
      <c r="AX446" s="10">
        <v>0</v>
      </c>
      <c r="AY446">
        <f>S446*AU446/AS446</f>
        <v>3694441.0682167201</v>
      </c>
      <c r="AZ446">
        <f>AU446-AY446</f>
        <v>295555.28545733774</v>
      </c>
      <c r="BA446" s="10">
        <v>9500000</v>
      </c>
      <c r="BB446" s="10">
        <v>0</v>
      </c>
      <c r="BC446" s="9" t="s">
        <v>42</v>
      </c>
      <c r="BD446" s="9">
        <v>10421</v>
      </c>
      <c r="BE446" t="s">
        <v>46</v>
      </c>
    </row>
    <row r="447" spans="1:57" ht="270.75" thickBot="1" x14ac:dyDescent="0.3">
      <c r="A447" s="9" t="s">
        <v>1724</v>
      </c>
      <c r="B447" s="9">
        <v>3003</v>
      </c>
      <c r="C447" s="10">
        <v>2</v>
      </c>
      <c r="D447" s="9" t="s">
        <v>37</v>
      </c>
      <c r="E447" s="14">
        <v>46243.941944444443</v>
      </c>
      <c r="F447" s="9" t="s">
        <v>1725</v>
      </c>
      <c r="G447" s="9" t="s">
        <v>39</v>
      </c>
      <c r="H447" s="9">
        <v>53</v>
      </c>
      <c r="I447" s="9" t="s">
        <v>40</v>
      </c>
      <c r="J447" s="9">
        <v>5309</v>
      </c>
      <c r="K447" s="9" t="s">
        <v>41</v>
      </c>
      <c r="L447" s="9">
        <v>5309062</v>
      </c>
      <c r="M447" s="9">
        <v>5309062003</v>
      </c>
      <c r="N447" s="9" t="s">
        <v>42</v>
      </c>
      <c r="O447" s="9">
        <v>10421</v>
      </c>
      <c r="P447" s="9" t="s">
        <v>1726</v>
      </c>
      <c r="Q447" s="10">
        <v>4</v>
      </c>
      <c r="R447" s="10">
        <v>600000</v>
      </c>
      <c r="S447" s="10">
        <v>100000</v>
      </c>
      <c r="T447" s="10">
        <v>0</v>
      </c>
      <c r="U447" s="10">
        <v>400000</v>
      </c>
      <c r="V447" s="10">
        <v>0</v>
      </c>
      <c r="W447" s="10">
        <v>1100000</v>
      </c>
      <c r="X447" s="10">
        <v>8000000</v>
      </c>
      <c r="Y447" s="10">
        <v>0</v>
      </c>
      <c r="Z447" s="10">
        <v>7500000</v>
      </c>
      <c r="AA447" s="10">
        <v>4800000</v>
      </c>
      <c r="AB447" s="10">
        <v>8000000</v>
      </c>
      <c r="AC447" s="10">
        <v>0</v>
      </c>
      <c r="AD447" s="9" t="s">
        <v>44</v>
      </c>
      <c r="AE447" s="10" t="s">
        <v>2254</v>
      </c>
      <c r="AF447" s="10">
        <v>2000000</v>
      </c>
      <c r="AG447" s="10">
        <v>1</v>
      </c>
      <c r="AH447" s="10">
        <v>1</v>
      </c>
      <c r="AI447" s="10">
        <v>1</v>
      </c>
      <c r="AJ447" s="12" t="s">
        <v>1728</v>
      </c>
      <c r="AK447" s="10">
        <v>0</v>
      </c>
      <c r="AL447" s="10">
        <v>0</v>
      </c>
      <c r="AM447" s="9">
        <v>2020</v>
      </c>
      <c r="AN447" s="10">
        <v>3</v>
      </c>
      <c r="AO447" s="10">
        <v>1</v>
      </c>
      <c r="AP447" s="10"/>
      <c r="AQ447" s="5"/>
      <c r="AR447" s="5"/>
      <c r="AS447" s="4">
        <f t="shared" si="18"/>
        <v>500000</v>
      </c>
      <c r="AT447" s="4">
        <f t="shared" si="19"/>
        <v>4640000</v>
      </c>
      <c r="AU447" s="4">
        <f t="shared" si="20"/>
        <v>3360000</v>
      </c>
      <c r="AV447" s="9" t="s">
        <v>1726</v>
      </c>
      <c r="AW447" s="12" t="s">
        <v>1728</v>
      </c>
      <c r="AX447" s="10">
        <v>0</v>
      </c>
      <c r="AY447">
        <f>S447*AU447/AS447</f>
        <v>672000</v>
      </c>
      <c r="AZ447">
        <f>AU447-AY447</f>
        <v>2688000</v>
      </c>
      <c r="BA447" s="10">
        <v>8000000</v>
      </c>
      <c r="BB447" s="10">
        <v>0</v>
      </c>
      <c r="BC447" s="9" t="s">
        <v>42</v>
      </c>
      <c r="BD447" s="9">
        <v>10421</v>
      </c>
      <c r="BE447" t="s">
        <v>46</v>
      </c>
    </row>
    <row r="448" spans="1:57" ht="270.75" thickBot="1" x14ac:dyDescent="0.3">
      <c r="A448" s="9" t="s">
        <v>1729</v>
      </c>
      <c r="B448" s="9">
        <v>3001</v>
      </c>
      <c r="C448" s="10">
        <v>2</v>
      </c>
      <c r="D448" s="9" t="s">
        <v>37</v>
      </c>
      <c r="E448" s="14">
        <v>46225.180949074071</v>
      </c>
      <c r="F448" s="9" t="s">
        <v>1730</v>
      </c>
      <c r="G448" s="9" t="s">
        <v>39</v>
      </c>
      <c r="H448" s="9">
        <v>53</v>
      </c>
      <c r="I448" s="9" t="s">
        <v>40</v>
      </c>
      <c r="J448" s="9">
        <v>5309</v>
      </c>
      <c r="K448" s="9" t="s">
        <v>41</v>
      </c>
      <c r="L448" s="9">
        <v>5309060</v>
      </c>
      <c r="M448" s="9">
        <v>5309060012</v>
      </c>
      <c r="N448" s="9" t="s">
        <v>42</v>
      </c>
      <c r="O448" s="9">
        <v>10421</v>
      </c>
      <c r="P448" s="9" t="s">
        <v>1731</v>
      </c>
      <c r="Q448" s="10">
        <v>3</v>
      </c>
      <c r="R448" s="10">
        <v>650000</v>
      </c>
      <c r="S448" s="10">
        <v>200000</v>
      </c>
      <c r="T448" s="10">
        <v>0</v>
      </c>
      <c r="U448" s="10">
        <v>150000</v>
      </c>
      <c r="V448" s="10">
        <v>0</v>
      </c>
      <c r="W448" s="10">
        <v>1000000</v>
      </c>
      <c r="X448" s="10">
        <v>8500000</v>
      </c>
      <c r="Y448" s="10">
        <v>150000</v>
      </c>
      <c r="Z448" s="10">
        <v>8150000</v>
      </c>
      <c r="AA448" s="10">
        <v>3000000</v>
      </c>
      <c r="AB448" s="10">
        <v>8500000</v>
      </c>
      <c r="AC448" s="10">
        <v>0</v>
      </c>
      <c r="AD448" s="9" t="s">
        <v>44</v>
      </c>
      <c r="AE448" s="10" t="s">
        <v>2349</v>
      </c>
      <c r="AF448" s="13">
        <v>2833333333</v>
      </c>
      <c r="AG448" s="10">
        <v>1</v>
      </c>
      <c r="AH448" s="10">
        <v>1</v>
      </c>
      <c r="AI448" s="10">
        <v>1</v>
      </c>
      <c r="AJ448" s="12" t="s">
        <v>1732</v>
      </c>
      <c r="AK448" s="10">
        <v>0</v>
      </c>
      <c r="AL448" s="10">
        <v>0</v>
      </c>
      <c r="AM448" s="9">
        <v>2017</v>
      </c>
      <c r="AN448" s="10">
        <v>1</v>
      </c>
      <c r="AO448" s="10">
        <v>2</v>
      </c>
      <c r="AP448" s="10"/>
      <c r="AQ448" s="5"/>
      <c r="AR448" s="5"/>
      <c r="AS448" s="4">
        <f t="shared" si="18"/>
        <v>350000</v>
      </c>
      <c r="AT448" s="4">
        <f t="shared" si="19"/>
        <v>4929997.5803692853</v>
      </c>
      <c r="AU448" s="4">
        <f t="shared" si="20"/>
        <v>3570002.4196307147</v>
      </c>
      <c r="AV448" s="9" t="s">
        <v>1731</v>
      </c>
      <c r="AW448" s="12" t="s">
        <v>1732</v>
      </c>
      <c r="AX448" s="10">
        <v>0</v>
      </c>
      <c r="AY448">
        <f>S448*AU448/AS448</f>
        <v>2040001.3826461227</v>
      </c>
      <c r="AZ448">
        <f>AU448-AY448</f>
        <v>1530001.036984592</v>
      </c>
      <c r="BA448" s="10">
        <v>8500000</v>
      </c>
      <c r="BB448" s="10">
        <v>150000</v>
      </c>
      <c r="BC448" s="9" t="s">
        <v>42</v>
      </c>
      <c r="BD448" s="9">
        <v>10421</v>
      </c>
      <c r="BE448" t="s">
        <v>46</v>
      </c>
    </row>
    <row r="449" spans="1:57" ht="270.75" thickBot="1" x14ac:dyDescent="0.3">
      <c r="A449" s="9" t="s">
        <v>1733</v>
      </c>
      <c r="B449" s="9">
        <v>3001</v>
      </c>
      <c r="C449" s="10">
        <v>2</v>
      </c>
      <c r="D449" s="9" t="s">
        <v>37</v>
      </c>
      <c r="E449" s="14">
        <v>46230.011712962965</v>
      </c>
      <c r="F449" s="9" t="s">
        <v>1734</v>
      </c>
      <c r="G449" s="9" t="s">
        <v>39</v>
      </c>
      <c r="H449" s="9">
        <v>53</v>
      </c>
      <c r="I449" s="9" t="s">
        <v>40</v>
      </c>
      <c r="J449" s="9">
        <v>5309</v>
      </c>
      <c r="K449" s="9" t="s">
        <v>41</v>
      </c>
      <c r="L449" s="9">
        <v>5309073</v>
      </c>
      <c r="M449" s="9">
        <v>5309073007</v>
      </c>
      <c r="N449" s="9" t="s">
        <v>42</v>
      </c>
      <c r="O449" s="9">
        <v>10421</v>
      </c>
      <c r="P449" s="9" t="s">
        <v>1735</v>
      </c>
      <c r="Q449" s="10">
        <v>2</v>
      </c>
      <c r="R449" s="10">
        <v>0</v>
      </c>
      <c r="S449" s="10">
        <v>2000000</v>
      </c>
      <c r="T449" s="10">
        <v>0</v>
      </c>
      <c r="U449" s="10">
        <v>500000</v>
      </c>
      <c r="V449" s="10">
        <v>0</v>
      </c>
      <c r="W449" s="10">
        <v>2500000</v>
      </c>
      <c r="X449" s="10">
        <v>10000000</v>
      </c>
      <c r="Y449" s="10">
        <v>0</v>
      </c>
      <c r="Z449" s="10">
        <v>7500000</v>
      </c>
      <c r="AA449" s="10">
        <v>5000000</v>
      </c>
      <c r="AB449" s="10">
        <v>10000000</v>
      </c>
      <c r="AC449" s="10">
        <v>0</v>
      </c>
      <c r="AD449" s="9" t="s">
        <v>44</v>
      </c>
      <c r="AE449" s="10" t="s">
        <v>77</v>
      </c>
      <c r="AF449" s="10">
        <v>5000000</v>
      </c>
      <c r="AG449" s="10">
        <v>1</v>
      </c>
      <c r="AH449" s="10">
        <v>1</v>
      </c>
      <c r="AI449" s="10">
        <v>1</v>
      </c>
      <c r="AJ449" s="12" t="s">
        <v>1736</v>
      </c>
      <c r="AK449" s="10">
        <v>0</v>
      </c>
      <c r="AL449" s="10">
        <v>0</v>
      </c>
      <c r="AM449" s="9">
        <v>2019</v>
      </c>
      <c r="AN449" s="10">
        <v>0</v>
      </c>
      <c r="AO449" s="10">
        <v>2</v>
      </c>
      <c r="AP449" s="10"/>
      <c r="AQ449" s="5"/>
      <c r="AR449" s="5"/>
      <c r="AS449" s="4">
        <f t="shared" si="18"/>
        <v>2500000</v>
      </c>
      <c r="AT449" s="4">
        <f t="shared" si="19"/>
        <v>5800000</v>
      </c>
      <c r="AU449" s="4">
        <f t="shared" si="20"/>
        <v>4200000</v>
      </c>
      <c r="AV449" s="9" t="s">
        <v>1735</v>
      </c>
      <c r="AW449" s="12" t="s">
        <v>1736</v>
      </c>
      <c r="AX449" s="10">
        <v>0</v>
      </c>
      <c r="AY449">
        <f>S449*AU449/AS449</f>
        <v>3360000</v>
      </c>
      <c r="AZ449">
        <f>AU449-AY449</f>
        <v>840000</v>
      </c>
      <c r="BA449" s="10">
        <v>10000000</v>
      </c>
      <c r="BB449" s="10">
        <v>0</v>
      </c>
      <c r="BC449" s="9" t="s">
        <v>42</v>
      </c>
      <c r="BD449" s="9">
        <v>10421</v>
      </c>
      <c r="BE449" t="s">
        <v>46</v>
      </c>
    </row>
    <row r="450" spans="1:57" ht="270.75" thickBot="1" x14ac:dyDescent="0.3">
      <c r="A450" s="9" t="s">
        <v>1737</v>
      </c>
      <c r="B450" s="9">
        <v>3001</v>
      </c>
      <c r="C450" s="10">
        <v>2</v>
      </c>
      <c r="D450" s="9" t="s">
        <v>37</v>
      </c>
      <c r="E450" s="11">
        <v>46260.697565439812</v>
      </c>
      <c r="F450" s="9" t="s">
        <v>1738</v>
      </c>
      <c r="G450" s="9" t="s">
        <v>39</v>
      </c>
      <c r="H450" s="9">
        <v>53</v>
      </c>
      <c r="I450" s="9" t="s">
        <v>40</v>
      </c>
      <c r="J450" s="9">
        <v>5309</v>
      </c>
      <c r="K450" s="9" t="s">
        <v>41</v>
      </c>
      <c r="L450" s="9">
        <v>5309074</v>
      </c>
      <c r="M450" s="9">
        <v>5309074002</v>
      </c>
      <c r="N450" s="9" t="s">
        <v>42</v>
      </c>
      <c r="O450" s="9">
        <v>10421</v>
      </c>
      <c r="P450" s="9" t="s">
        <v>49</v>
      </c>
      <c r="Q450" s="10">
        <v>2</v>
      </c>
      <c r="R450" s="10">
        <v>900000</v>
      </c>
      <c r="S450" s="10">
        <v>1000000</v>
      </c>
      <c r="T450" s="10">
        <v>0</v>
      </c>
      <c r="U450" s="10">
        <v>650000</v>
      </c>
      <c r="V450" s="10">
        <v>0</v>
      </c>
      <c r="W450" s="10">
        <v>2550000</v>
      </c>
      <c r="X450" s="10">
        <v>7000000</v>
      </c>
      <c r="Y450" s="10">
        <v>0</v>
      </c>
      <c r="Z450" s="10">
        <v>5350000</v>
      </c>
      <c r="AA450" s="10">
        <v>3850000</v>
      </c>
      <c r="AB450" s="10">
        <v>7000000</v>
      </c>
      <c r="AC450" s="10">
        <v>0</v>
      </c>
      <c r="AD450" s="9" t="s">
        <v>44</v>
      </c>
      <c r="AE450" s="10" t="s">
        <v>2336</v>
      </c>
      <c r="AF450" s="10">
        <v>3500000</v>
      </c>
      <c r="AG450" s="10">
        <v>1</v>
      </c>
      <c r="AH450" s="10">
        <v>1</v>
      </c>
      <c r="AI450" s="10">
        <v>1</v>
      </c>
      <c r="AJ450" s="12" t="s">
        <v>1739</v>
      </c>
      <c r="AK450" s="10">
        <v>0</v>
      </c>
      <c r="AL450" s="10">
        <v>0</v>
      </c>
      <c r="AM450" s="9">
        <v>1989</v>
      </c>
      <c r="AN450" s="10">
        <v>1</v>
      </c>
      <c r="AO450" s="10">
        <v>1</v>
      </c>
      <c r="AP450" s="10"/>
      <c r="AQ450" s="5"/>
      <c r="AR450" s="5"/>
      <c r="AS450" s="4">
        <f t="shared" si="18"/>
        <v>1650000</v>
      </c>
      <c r="AT450" s="4">
        <f t="shared" si="19"/>
        <v>4059998.4822435579</v>
      </c>
      <c r="AU450" s="4">
        <f t="shared" si="20"/>
        <v>2940001.5177564421</v>
      </c>
      <c r="AV450" s="9" t="s">
        <v>49</v>
      </c>
      <c r="AW450" s="12" t="s">
        <v>1739</v>
      </c>
      <c r="AX450" s="10">
        <v>0</v>
      </c>
      <c r="AY450">
        <f>S450*AU450/AS450</f>
        <v>1781819.1016705709</v>
      </c>
      <c r="AZ450">
        <f>AU450-AY450</f>
        <v>1158182.4160858712</v>
      </c>
      <c r="BA450" s="10">
        <v>7000000</v>
      </c>
      <c r="BB450" s="10">
        <v>0</v>
      </c>
      <c r="BC450" s="9" t="s">
        <v>42</v>
      </c>
      <c r="BD450" s="9">
        <v>10421</v>
      </c>
      <c r="BE450" t="s">
        <v>46</v>
      </c>
    </row>
    <row r="451" spans="1:57" ht="270.75" thickBot="1" x14ac:dyDescent="0.3">
      <c r="A451" s="9" t="s">
        <v>1740</v>
      </c>
      <c r="B451" s="9">
        <v>3002</v>
      </c>
      <c r="C451" s="10">
        <v>2</v>
      </c>
      <c r="D451" s="9" t="s">
        <v>37</v>
      </c>
      <c r="E451" s="11">
        <v>46263.041095474538</v>
      </c>
      <c r="F451" s="9" t="s">
        <v>1741</v>
      </c>
      <c r="G451" s="9" t="s">
        <v>39</v>
      </c>
      <c r="H451" s="9">
        <v>53</v>
      </c>
      <c r="I451" s="9" t="s">
        <v>40</v>
      </c>
      <c r="J451" s="9">
        <v>5309</v>
      </c>
      <c r="K451" s="9" t="s">
        <v>41</v>
      </c>
      <c r="L451" s="9">
        <v>5309062</v>
      </c>
      <c r="M451" s="9">
        <v>5309062003</v>
      </c>
      <c r="N451" s="9" t="s">
        <v>42</v>
      </c>
      <c r="O451" s="9">
        <v>10421</v>
      </c>
      <c r="P451" s="9" t="s">
        <v>1742</v>
      </c>
      <c r="Q451" s="10">
        <v>3</v>
      </c>
      <c r="R451" s="10">
        <v>200000</v>
      </c>
      <c r="S451" s="10">
        <v>200000</v>
      </c>
      <c r="T451" s="10">
        <v>0</v>
      </c>
      <c r="U451" s="10">
        <v>400000</v>
      </c>
      <c r="V451" s="10">
        <v>0</v>
      </c>
      <c r="W451" s="10">
        <v>800000</v>
      </c>
      <c r="X451" s="10">
        <v>5000000</v>
      </c>
      <c r="Y451" s="10">
        <v>0</v>
      </c>
      <c r="Z451" s="10">
        <v>4400000</v>
      </c>
      <c r="AA451" s="10">
        <v>4800000</v>
      </c>
      <c r="AB451" s="10">
        <v>5000000</v>
      </c>
      <c r="AC451" s="10">
        <v>0</v>
      </c>
      <c r="AD451" s="9" t="s">
        <v>44</v>
      </c>
      <c r="AE451" s="10" t="s">
        <v>1743</v>
      </c>
      <c r="AF451" s="13">
        <v>1666666667</v>
      </c>
      <c r="AG451" s="10">
        <v>1</v>
      </c>
      <c r="AH451" s="10">
        <v>1</v>
      </c>
      <c r="AI451" s="10">
        <v>1</v>
      </c>
      <c r="AJ451" s="12" t="s">
        <v>1744</v>
      </c>
      <c r="AK451" s="10">
        <v>0</v>
      </c>
      <c r="AL451" s="10">
        <v>0</v>
      </c>
      <c r="AM451" s="9">
        <v>2018</v>
      </c>
      <c r="AN451" s="10">
        <v>1</v>
      </c>
      <c r="AO451" s="10">
        <v>2</v>
      </c>
      <c r="AP451" s="10"/>
      <c r="AQ451" s="5"/>
      <c r="AR451" s="5"/>
      <c r="AS451" s="4">
        <f t="shared" ref="AS451:AS514" si="21">AB451-Z451</f>
        <v>600000</v>
      </c>
      <c r="AT451" s="4">
        <f t="shared" ref="AT451:AT514" si="22">IF(AE451&gt;0.61,(Z451*0.58/AE451),IF(AE451&lt;0.15,(Z451*0.2/AE451),Z451))</f>
        <v>2900000</v>
      </c>
      <c r="AU451" s="4">
        <f t="shared" ref="AU451:AU514" si="23">AB451-AT451</f>
        <v>2100000</v>
      </c>
      <c r="AV451" s="9" t="s">
        <v>1742</v>
      </c>
      <c r="AW451" s="12" t="s">
        <v>1744</v>
      </c>
      <c r="AX451" s="10">
        <v>0</v>
      </c>
      <c r="AY451">
        <f>S451*AU451/AS451</f>
        <v>700000</v>
      </c>
      <c r="AZ451">
        <f>AU451-AY451</f>
        <v>1400000</v>
      </c>
      <c r="BA451" s="10">
        <v>5000000</v>
      </c>
      <c r="BB451" s="10">
        <v>0</v>
      </c>
      <c r="BC451" s="9" t="s">
        <v>42</v>
      </c>
      <c r="BD451" s="9">
        <v>10421</v>
      </c>
      <c r="BE451" t="s">
        <v>46</v>
      </c>
    </row>
    <row r="452" spans="1:57" ht="270.75" thickBot="1" x14ac:dyDescent="0.3">
      <c r="A452" s="9" t="s">
        <v>1745</v>
      </c>
      <c r="B452" s="9">
        <v>1001</v>
      </c>
      <c r="C452" s="10">
        <v>2</v>
      </c>
      <c r="D452" s="9" t="s">
        <v>37</v>
      </c>
      <c r="E452" s="11">
        <v>46262.436480659722</v>
      </c>
      <c r="F452" s="9" t="s">
        <v>1746</v>
      </c>
      <c r="G452" s="9" t="s">
        <v>39</v>
      </c>
      <c r="H452" s="9">
        <v>53</v>
      </c>
      <c r="I452" s="9" t="s">
        <v>40</v>
      </c>
      <c r="J452" s="9">
        <v>5309</v>
      </c>
      <c r="K452" s="9" t="s">
        <v>41</v>
      </c>
      <c r="L452" s="9">
        <v>5309060</v>
      </c>
      <c r="M452" s="9">
        <v>5309060041</v>
      </c>
      <c r="N452" s="9" t="s">
        <v>42</v>
      </c>
      <c r="O452" s="9">
        <v>10421</v>
      </c>
      <c r="P452" s="9" t="s">
        <v>1747</v>
      </c>
      <c r="Q452" s="10">
        <v>10</v>
      </c>
      <c r="R452" s="10">
        <v>3000000</v>
      </c>
      <c r="S452" s="10">
        <v>9000000</v>
      </c>
      <c r="T452" s="10">
        <v>0</v>
      </c>
      <c r="U452" s="10">
        <v>500000</v>
      </c>
      <c r="V452" s="10">
        <v>0</v>
      </c>
      <c r="W452" s="10">
        <v>12500000</v>
      </c>
      <c r="X452" s="10">
        <v>40000000</v>
      </c>
      <c r="Y452" s="10">
        <v>0</v>
      </c>
      <c r="Z452" s="10">
        <v>30500000</v>
      </c>
      <c r="AA452" s="10">
        <v>1300000</v>
      </c>
      <c r="AB452" s="10">
        <v>40000000</v>
      </c>
      <c r="AC452" s="10">
        <v>0</v>
      </c>
      <c r="AD452" s="9" t="s">
        <v>44</v>
      </c>
      <c r="AE452" s="10" t="s">
        <v>2527</v>
      </c>
      <c r="AF452" s="10">
        <v>4000000</v>
      </c>
      <c r="AG452" s="10">
        <v>1</v>
      </c>
      <c r="AH452" s="10">
        <v>1</v>
      </c>
      <c r="AI452" s="10">
        <v>1</v>
      </c>
      <c r="AJ452" s="12" t="s">
        <v>1748</v>
      </c>
      <c r="AK452" s="10">
        <v>0</v>
      </c>
      <c r="AL452" s="10">
        <v>0</v>
      </c>
      <c r="AM452" s="9">
        <v>2011</v>
      </c>
      <c r="AN452" s="10">
        <v>7</v>
      </c>
      <c r="AO452" s="10">
        <v>3</v>
      </c>
      <c r="AP452" s="10"/>
      <c r="AQ452" s="5"/>
      <c r="AR452" s="5"/>
      <c r="AS452" s="4">
        <f t="shared" si="21"/>
        <v>9500000</v>
      </c>
      <c r="AT452" s="4">
        <f t="shared" si="22"/>
        <v>23200000</v>
      </c>
      <c r="AU452" s="4">
        <f t="shared" si="23"/>
        <v>16800000</v>
      </c>
      <c r="AV452" s="9" t="s">
        <v>1747</v>
      </c>
      <c r="AW452" s="12" t="s">
        <v>1748</v>
      </c>
      <c r="AX452" s="10">
        <v>0</v>
      </c>
      <c r="AY452">
        <f>S452*AU452/AS452</f>
        <v>15915789.47368421</v>
      </c>
      <c r="AZ452">
        <f>AU452-AY452</f>
        <v>884210.52631578967</v>
      </c>
      <c r="BA452" s="10">
        <v>40000000</v>
      </c>
      <c r="BB452" s="10">
        <v>0</v>
      </c>
      <c r="BC452" s="9" t="s">
        <v>42</v>
      </c>
      <c r="BD452" s="9">
        <v>10421</v>
      </c>
      <c r="BE452" t="s">
        <v>46</v>
      </c>
    </row>
    <row r="453" spans="1:57" ht="270.75" thickBot="1" x14ac:dyDescent="0.3">
      <c r="A453" s="9" t="s">
        <v>1749</v>
      </c>
      <c r="B453" s="9">
        <v>3001</v>
      </c>
      <c r="C453" s="10">
        <v>2</v>
      </c>
      <c r="D453" s="9" t="s">
        <v>37</v>
      </c>
      <c r="E453" s="11">
        <v>46213.980709780095</v>
      </c>
      <c r="F453" s="9" t="s">
        <v>1750</v>
      </c>
      <c r="G453" s="9" t="s">
        <v>39</v>
      </c>
      <c r="H453" s="9">
        <v>53</v>
      </c>
      <c r="I453" s="9" t="s">
        <v>40</v>
      </c>
      <c r="J453" s="9">
        <v>5309</v>
      </c>
      <c r="K453" s="9" t="s">
        <v>41</v>
      </c>
      <c r="L453" s="9">
        <v>5309073</v>
      </c>
      <c r="M453" s="9">
        <v>5309073010</v>
      </c>
      <c r="N453" s="9" t="s">
        <v>42</v>
      </c>
      <c r="O453" s="9">
        <v>10421</v>
      </c>
      <c r="P453" s="9" t="s">
        <v>1751</v>
      </c>
      <c r="Q453" s="10">
        <v>2</v>
      </c>
      <c r="R453" s="10">
        <v>1200000</v>
      </c>
      <c r="S453" s="10">
        <v>200000</v>
      </c>
      <c r="T453" s="10">
        <v>0</v>
      </c>
      <c r="U453" s="10">
        <v>200000</v>
      </c>
      <c r="V453" s="10">
        <v>0</v>
      </c>
      <c r="W453" s="10">
        <v>1600000</v>
      </c>
      <c r="X453" s="10">
        <v>6600000</v>
      </c>
      <c r="Y453" s="10">
        <v>0</v>
      </c>
      <c r="Z453" s="10">
        <v>6200000</v>
      </c>
      <c r="AA453" s="10">
        <v>7300000</v>
      </c>
      <c r="AB453" s="10">
        <v>6600000</v>
      </c>
      <c r="AC453" s="10">
        <v>0</v>
      </c>
      <c r="AD453" s="9" t="s">
        <v>44</v>
      </c>
      <c r="AE453" s="10" t="s">
        <v>2528</v>
      </c>
      <c r="AF453" s="10">
        <v>3300000</v>
      </c>
      <c r="AG453" s="10">
        <v>1</v>
      </c>
      <c r="AH453" s="10">
        <v>1</v>
      </c>
      <c r="AI453" s="10">
        <v>1</v>
      </c>
      <c r="AJ453" s="12" t="s">
        <v>1752</v>
      </c>
      <c r="AK453" s="10">
        <v>0</v>
      </c>
      <c r="AL453" s="10">
        <v>0</v>
      </c>
      <c r="AM453" s="9">
        <v>2020</v>
      </c>
      <c r="AN453" s="10">
        <v>1</v>
      </c>
      <c r="AO453" s="10">
        <v>1</v>
      </c>
      <c r="AP453" s="10"/>
      <c r="AQ453" s="5"/>
      <c r="AR453" s="5"/>
      <c r="AS453" s="4">
        <f t="shared" si="21"/>
        <v>400000</v>
      </c>
      <c r="AT453" s="4">
        <f t="shared" si="22"/>
        <v>3827999.7530322736</v>
      </c>
      <c r="AU453" s="4">
        <f t="shared" si="23"/>
        <v>2772000.2469677264</v>
      </c>
      <c r="AV453" s="9" t="s">
        <v>1751</v>
      </c>
      <c r="AW453" s="12" t="s">
        <v>1752</v>
      </c>
      <c r="AX453" s="10">
        <v>0</v>
      </c>
      <c r="AY453">
        <f>S453*AU453/AS453</f>
        <v>1386000.1234838632</v>
      </c>
      <c r="AZ453">
        <f>AU453-AY453</f>
        <v>1386000.1234838632</v>
      </c>
      <c r="BA453" s="10">
        <v>6600000</v>
      </c>
      <c r="BB453" s="10">
        <v>0</v>
      </c>
      <c r="BC453" s="9" t="s">
        <v>42</v>
      </c>
      <c r="BD453" s="9">
        <v>10421</v>
      </c>
      <c r="BE453" t="s">
        <v>46</v>
      </c>
    </row>
    <row r="454" spans="1:57" ht="270.75" thickBot="1" x14ac:dyDescent="0.3">
      <c r="A454" s="9" t="s">
        <v>1753</v>
      </c>
      <c r="B454" s="9">
        <v>3001</v>
      </c>
      <c r="C454" s="10">
        <v>2</v>
      </c>
      <c r="D454" s="9" t="s">
        <v>37</v>
      </c>
      <c r="E454" s="11">
        <v>46209.603993009259</v>
      </c>
      <c r="F454" s="9" t="s">
        <v>1754</v>
      </c>
      <c r="G454" s="9" t="s">
        <v>39</v>
      </c>
      <c r="H454" s="9">
        <v>53</v>
      </c>
      <c r="I454" s="9" t="s">
        <v>40</v>
      </c>
      <c r="J454" s="9">
        <v>5309</v>
      </c>
      <c r="K454" s="9" t="s">
        <v>41</v>
      </c>
      <c r="L454" s="9">
        <v>5309062</v>
      </c>
      <c r="M454" s="9">
        <v>5309062001</v>
      </c>
      <c r="N454" s="9" t="s">
        <v>42</v>
      </c>
      <c r="O454" s="9">
        <v>10421</v>
      </c>
      <c r="P454" s="9" t="s">
        <v>141</v>
      </c>
      <c r="Q454" s="10">
        <v>2</v>
      </c>
      <c r="R454" s="10">
        <v>250000</v>
      </c>
      <c r="S454" s="10">
        <v>150000</v>
      </c>
      <c r="T454" s="10">
        <v>0</v>
      </c>
      <c r="U454" s="10">
        <v>50000</v>
      </c>
      <c r="V454" s="10">
        <v>0</v>
      </c>
      <c r="W454" s="10">
        <v>450000</v>
      </c>
      <c r="X454" s="10">
        <v>3000000</v>
      </c>
      <c r="Y454" s="10">
        <v>100000</v>
      </c>
      <c r="Z454" s="10">
        <v>2800000</v>
      </c>
      <c r="AA454" s="10">
        <v>1500000</v>
      </c>
      <c r="AB454" s="10">
        <v>3000000</v>
      </c>
      <c r="AC454" s="10">
        <v>0</v>
      </c>
      <c r="AD454" s="9" t="s">
        <v>44</v>
      </c>
      <c r="AE454" s="10" t="s">
        <v>2228</v>
      </c>
      <c r="AF454" s="10">
        <v>1500000</v>
      </c>
      <c r="AG454" s="10">
        <v>1</v>
      </c>
      <c r="AH454" s="10">
        <v>1</v>
      </c>
      <c r="AI454" s="10">
        <v>1</v>
      </c>
      <c r="AJ454" s="12" t="s">
        <v>1756</v>
      </c>
      <c r="AK454" s="10">
        <v>0</v>
      </c>
      <c r="AL454" s="10">
        <v>0</v>
      </c>
      <c r="AM454" s="9">
        <v>2000</v>
      </c>
      <c r="AN454" s="10">
        <v>1</v>
      </c>
      <c r="AO454" s="10">
        <v>1</v>
      </c>
      <c r="AP454" s="10"/>
      <c r="AQ454" s="5"/>
      <c r="AR454" s="5"/>
      <c r="AS454" s="4">
        <f t="shared" si="21"/>
        <v>200000</v>
      </c>
      <c r="AT454" s="4">
        <f t="shared" si="22"/>
        <v>1740000.6214287935</v>
      </c>
      <c r="AU454" s="4">
        <f t="shared" si="23"/>
        <v>1259999.3785712065</v>
      </c>
      <c r="AV454" s="9" t="s">
        <v>141</v>
      </c>
      <c r="AW454" s="12" t="s">
        <v>1756</v>
      </c>
      <c r="AX454" s="10">
        <v>0</v>
      </c>
      <c r="AY454">
        <f>S454*AU454/AS454</f>
        <v>944999.5339284048</v>
      </c>
      <c r="AZ454">
        <f>AU454-AY454</f>
        <v>314999.84464280168</v>
      </c>
      <c r="BA454" s="10">
        <v>3000000</v>
      </c>
      <c r="BB454" s="10">
        <v>100000</v>
      </c>
      <c r="BC454" s="9" t="s">
        <v>42</v>
      </c>
      <c r="BD454" s="9">
        <v>10421</v>
      </c>
      <c r="BE454" t="s">
        <v>46</v>
      </c>
    </row>
    <row r="455" spans="1:57" ht="255.75" thickBot="1" x14ac:dyDescent="0.3">
      <c r="A455" s="9" t="s">
        <v>1757</v>
      </c>
      <c r="B455" s="9">
        <v>3001</v>
      </c>
      <c r="C455" s="10">
        <v>2</v>
      </c>
      <c r="D455" s="9" t="s">
        <v>37</v>
      </c>
      <c r="E455" s="14">
        <v>46214.638055555559</v>
      </c>
      <c r="F455" s="9" t="s">
        <v>1758</v>
      </c>
      <c r="G455" s="9" t="s">
        <v>39</v>
      </c>
      <c r="H455" s="9">
        <v>53</v>
      </c>
      <c r="I455" s="9" t="s">
        <v>40</v>
      </c>
      <c r="J455" s="9">
        <v>5309</v>
      </c>
      <c r="K455" s="9" t="s">
        <v>41</v>
      </c>
      <c r="L455" s="9">
        <v>5309062</v>
      </c>
      <c r="M455" s="9">
        <v>5309062008</v>
      </c>
      <c r="N455" s="9" t="s">
        <v>42</v>
      </c>
      <c r="O455" s="9">
        <v>10421</v>
      </c>
      <c r="P455" s="9" t="s">
        <v>141</v>
      </c>
      <c r="Q455" s="10">
        <v>6</v>
      </c>
      <c r="R455" s="10">
        <v>700000</v>
      </c>
      <c r="S455" s="10">
        <v>100000</v>
      </c>
      <c r="T455" s="10">
        <v>0</v>
      </c>
      <c r="U455" s="10">
        <v>100000</v>
      </c>
      <c r="V455" s="10">
        <v>0</v>
      </c>
      <c r="W455" s="10">
        <v>900000</v>
      </c>
      <c r="X455" s="10">
        <v>36000000</v>
      </c>
      <c r="Y455" s="10">
        <v>0</v>
      </c>
      <c r="Z455" s="10">
        <v>35800000</v>
      </c>
      <c r="AA455" s="10">
        <v>4800000</v>
      </c>
      <c r="AB455" s="10">
        <v>36000000</v>
      </c>
      <c r="AC455" s="10">
        <v>0</v>
      </c>
      <c r="AD455" s="9" t="s">
        <v>44</v>
      </c>
      <c r="AE455" s="10" t="s">
        <v>2529</v>
      </c>
      <c r="AF455" s="10">
        <v>6000000</v>
      </c>
      <c r="AG455" s="10">
        <v>1</v>
      </c>
      <c r="AH455" s="10">
        <v>1</v>
      </c>
      <c r="AI455" s="10">
        <v>1</v>
      </c>
      <c r="AJ455" s="12" t="s">
        <v>1759</v>
      </c>
      <c r="AK455" s="10">
        <v>0</v>
      </c>
      <c r="AL455" s="10">
        <v>0</v>
      </c>
      <c r="AM455" s="9">
        <v>1990</v>
      </c>
      <c r="AN455" s="10">
        <v>4</v>
      </c>
      <c r="AO455" s="10">
        <v>2</v>
      </c>
      <c r="AP455" s="10"/>
      <c r="AQ455" s="5"/>
      <c r="AR455" s="5"/>
      <c r="AS455" s="4">
        <f t="shared" si="21"/>
        <v>200000</v>
      </c>
      <c r="AT455" s="4">
        <f t="shared" si="22"/>
        <v>20880009.331847746</v>
      </c>
      <c r="AU455" s="4">
        <f t="shared" si="23"/>
        <v>15119990.668152254</v>
      </c>
      <c r="AV455" s="9" t="s">
        <v>141</v>
      </c>
      <c r="AW455" s="12" t="s">
        <v>1759</v>
      </c>
      <c r="AX455" s="10">
        <v>0</v>
      </c>
      <c r="AY455">
        <f>S455*AU455/AS455</f>
        <v>7559995.334076127</v>
      </c>
      <c r="AZ455">
        <f>AU455-AY455</f>
        <v>7559995.334076127</v>
      </c>
      <c r="BA455" s="10">
        <v>36000000</v>
      </c>
      <c r="BB455" s="10">
        <v>0</v>
      </c>
      <c r="BC455" s="9" t="s">
        <v>42</v>
      </c>
      <c r="BD455" s="9">
        <v>10421</v>
      </c>
      <c r="BE455" t="s">
        <v>46</v>
      </c>
    </row>
    <row r="456" spans="1:57" ht="270.75" thickBot="1" x14ac:dyDescent="0.3">
      <c r="A456" s="9" t="s">
        <v>1760</v>
      </c>
      <c r="B456" s="9">
        <v>3001</v>
      </c>
      <c r="C456" s="10">
        <v>2</v>
      </c>
      <c r="D456" s="9" t="s">
        <v>37</v>
      </c>
      <c r="E456" s="14">
        <v>46232.531701388885</v>
      </c>
      <c r="F456" s="9" t="s">
        <v>1761</v>
      </c>
      <c r="G456" s="9" t="s">
        <v>39</v>
      </c>
      <c r="H456" s="9">
        <v>53</v>
      </c>
      <c r="I456" s="9" t="s">
        <v>40</v>
      </c>
      <c r="J456" s="9">
        <v>5309</v>
      </c>
      <c r="K456" s="9" t="s">
        <v>41</v>
      </c>
      <c r="L456" s="9">
        <v>5309073</v>
      </c>
      <c r="M456" s="9">
        <v>5309073009</v>
      </c>
      <c r="N456" s="9" t="s">
        <v>42</v>
      </c>
      <c r="O456" s="9">
        <v>10421</v>
      </c>
      <c r="P456" s="9" t="s">
        <v>49</v>
      </c>
      <c r="Q456" s="10">
        <v>5</v>
      </c>
      <c r="R456" s="10">
        <v>1300000</v>
      </c>
      <c r="S456" s="10">
        <v>150000</v>
      </c>
      <c r="T456" s="10">
        <v>0</v>
      </c>
      <c r="U456" s="10">
        <v>250000</v>
      </c>
      <c r="V456" s="10">
        <v>100000</v>
      </c>
      <c r="W456" s="10">
        <v>1800000</v>
      </c>
      <c r="X456" s="10">
        <v>2000000</v>
      </c>
      <c r="Y456" s="10">
        <v>0</v>
      </c>
      <c r="Z456" s="10">
        <v>1600000</v>
      </c>
      <c r="AA456" s="10">
        <v>34000000</v>
      </c>
      <c r="AB456" s="10">
        <v>2000000</v>
      </c>
      <c r="AC456" s="10">
        <v>0</v>
      </c>
      <c r="AD456" s="9" t="s">
        <v>44</v>
      </c>
      <c r="AE456" s="10" t="s">
        <v>2296</v>
      </c>
      <c r="AF456" s="10">
        <v>400000</v>
      </c>
      <c r="AG456" s="10">
        <v>1</v>
      </c>
      <c r="AH456" s="10">
        <v>1</v>
      </c>
      <c r="AI456" s="10">
        <v>1</v>
      </c>
      <c r="AJ456" s="12" t="s">
        <v>1762</v>
      </c>
      <c r="AK456" s="10">
        <v>0</v>
      </c>
      <c r="AL456" s="10">
        <v>0</v>
      </c>
      <c r="AM456" s="9">
        <v>2022</v>
      </c>
      <c r="AN456" s="10">
        <v>4</v>
      </c>
      <c r="AO456" s="10">
        <v>1</v>
      </c>
      <c r="AP456" s="10"/>
      <c r="AQ456" s="5"/>
      <c r="AR456" s="5"/>
      <c r="AS456" s="4">
        <f t="shared" si="21"/>
        <v>400000</v>
      </c>
      <c r="AT456" s="4">
        <f t="shared" si="22"/>
        <v>1159999.9999999998</v>
      </c>
      <c r="AU456" s="4">
        <f t="shared" si="23"/>
        <v>840000.00000000023</v>
      </c>
      <c r="AV456" s="9" t="s">
        <v>49</v>
      </c>
      <c r="AW456" s="12" t="s">
        <v>1762</v>
      </c>
      <c r="AX456" s="10">
        <v>0</v>
      </c>
      <c r="AY456">
        <f>S456*AU456/AS456</f>
        <v>315000.00000000006</v>
      </c>
      <c r="AZ456">
        <f>AU456-AY456</f>
        <v>525000.00000000023</v>
      </c>
      <c r="BA456" s="10">
        <v>2000000</v>
      </c>
      <c r="BB456" s="10">
        <v>0</v>
      </c>
      <c r="BC456" s="9" t="s">
        <v>42</v>
      </c>
      <c r="BD456" s="9">
        <v>10421</v>
      </c>
      <c r="BE456" t="s">
        <v>46</v>
      </c>
    </row>
    <row r="457" spans="1:57" ht="270.75" thickBot="1" x14ac:dyDescent="0.3">
      <c r="A457" s="9" t="s">
        <v>1763</v>
      </c>
      <c r="B457" s="9">
        <v>3001</v>
      </c>
      <c r="C457" s="10">
        <v>2</v>
      </c>
      <c r="D457" s="9" t="s">
        <v>37</v>
      </c>
      <c r="E457" s="14">
        <v>46243.059398148151</v>
      </c>
      <c r="F457" s="9" t="s">
        <v>1764</v>
      </c>
      <c r="G457" s="9" t="s">
        <v>39</v>
      </c>
      <c r="H457" s="9">
        <v>53</v>
      </c>
      <c r="I457" s="9" t="s">
        <v>40</v>
      </c>
      <c r="J457" s="9">
        <v>5309</v>
      </c>
      <c r="K457" s="9" t="s">
        <v>41</v>
      </c>
      <c r="L457" s="9">
        <v>5309074</v>
      </c>
      <c r="M457" s="9">
        <v>5309074007</v>
      </c>
      <c r="N457" s="9" t="s">
        <v>42</v>
      </c>
      <c r="O457" s="9">
        <v>10421</v>
      </c>
      <c r="P457" s="9" t="s">
        <v>49</v>
      </c>
      <c r="Q457" s="10">
        <v>4</v>
      </c>
      <c r="R457" s="10">
        <v>700000</v>
      </c>
      <c r="S457" s="10">
        <v>1000000</v>
      </c>
      <c r="T457" s="10">
        <v>0</v>
      </c>
      <c r="U457" s="10">
        <v>350000</v>
      </c>
      <c r="V457" s="10">
        <v>15000</v>
      </c>
      <c r="W457" s="10">
        <v>2065000</v>
      </c>
      <c r="X457" s="10">
        <v>8800000</v>
      </c>
      <c r="Y457" s="10">
        <v>0</v>
      </c>
      <c r="Z457" s="10">
        <v>7450000</v>
      </c>
      <c r="AA457" s="10">
        <v>1950000</v>
      </c>
      <c r="AB457" s="10">
        <v>8800000</v>
      </c>
      <c r="AC457" s="10">
        <v>0</v>
      </c>
      <c r="AD457" s="9" t="s">
        <v>44</v>
      </c>
      <c r="AE457" s="10" t="s">
        <v>2530</v>
      </c>
      <c r="AF457" s="10">
        <v>2200000</v>
      </c>
      <c r="AG457" s="10">
        <v>1</v>
      </c>
      <c r="AH457" s="10">
        <v>1</v>
      </c>
      <c r="AI457" s="10">
        <v>1</v>
      </c>
      <c r="AJ457" s="12" t="s">
        <v>1766</v>
      </c>
      <c r="AK457" s="10">
        <v>0</v>
      </c>
      <c r="AL457" s="10">
        <v>0</v>
      </c>
      <c r="AM457" s="9">
        <v>2025</v>
      </c>
      <c r="AN457" s="10">
        <v>3</v>
      </c>
      <c r="AO457" s="10">
        <v>1</v>
      </c>
      <c r="AP457" s="10"/>
      <c r="AQ457" s="5"/>
      <c r="AR457" s="5"/>
      <c r="AS457" s="4">
        <f t="shared" si="21"/>
        <v>1350000</v>
      </c>
      <c r="AT457" s="4">
        <f t="shared" si="22"/>
        <v>5103999.4519195221</v>
      </c>
      <c r="AU457" s="4">
        <f t="shared" si="23"/>
        <v>3696000.5480804779</v>
      </c>
      <c r="AV457" s="9" t="s">
        <v>49</v>
      </c>
      <c r="AW457" s="12" t="s">
        <v>1766</v>
      </c>
      <c r="AX457" s="10">
        <v>0</v>
      </c>
      <c r="AY457">
        <f>S457*AU457/AS457</f>
        <v>2737778.1837633168</v>
      </c>
      <c r="AZ457">
        <f>AU457-AY457</f>
        <v>958222.36431716103</v>
      </c>
      <c r="BA457" s="10">
        <v>8800000</v>
      </c>
      <c r="BB457" s="10">
        <v>0</v>
      </c>
      <c r="BC457" s="9" t="s">
        <v>42</v>
      </c>
      <c r="BD457" s="9">
        <v>10421</v>
      </c>
      <c r="BE457" t="s">
        <v>46</v>
      </c>
    </row>
    <row r="458" spans="1:57" ht="270.75" thickBot="1" x14ac:dyDescent="0.3">
      <c r="A458" s="9" t="s">
        <v>1767</v>
      </c>
      <c r="B458" s="9">
        <v>3002</v>
      </c>
      <c r="C458" s="10">
        <v>2</v>
      </c>
      <c r="D458" s="9" t="s">
        <v>84</v>
      </c>
      <c r="E458" s="11">
        <v>46311.165033020836</v>
      </c>
      <c r="F458" s="9" t="s">
        <v>1768</v>
      </c>
      <c r="G458" s="9" t="s">
        <v>39</v>
      </c>
      <c r="H458" s="9">
        <v>53</v>
      </c>
      <c r="I458" s="9" t="s">
        <v>40</v>
      </c>
      <c r="J458" s="9">
        <v>5309</v>
      </c>
      <c r="K458" s="9" t="s">
        <v>41</v>
      </c>
      <c r="L458" s="9">
        <v>5309060</v>
      </c>
      <c r="M458" s="9">
        <v>5309060012</v>
      </c>
      <c r="N458" s="9" t="s">
        <v>42</v>
      </c>
      <c r="O458" s="9">
        <v>10421</v>
      </c>
      <c r="P458" s="9" t="s">
        <v>1769</v>
      </c>
      <c r="Q458" s="10">
        <v>3</v>
      </c>
      <c r="R458" s="10">
        <v>650000</v>
      </c>
      <c r="S458" s="10">
        <v>200000</v>
      </c>
      <c r="T458" s="10">
        <v>0</v>
      </c>
      <c r="U458" s="10">
        <v>150000</v>
      </c>
      <c r="V458" s="10">
        <v>0</v>
      </c>
      <c r="W458" s="10">
        <v>1000000</v>
      </c>
      <c r="X458" s="10">
        <v>4000000</v>
      </c>
      <c r="Y458" s="10">
        <v>250000</v>
      </c>
      <c r="Z458" s="10">
        <v>3650000</v>
      </c>
      <c r="AA458" s="10">
        <v>3500000</v>
      </c>
      <c r="AB458" s="10">
        <v>4000000</v>
      </c>
      <c r="AC458" s="10">
        <v>0</v>
      </c>
      <c r="AD458" s="9" t="s">
        <v>44</v>
      </c>
      <c r="AE458" s="10" t="s">
        <v>2413</v>
      </c>
      <c r="AF458" s="13">
        <v>1333333333</v>
      </c>
      <c r="AG458" s="10">
        <v>1</v>
      </c>
      <c r="AH458" s="10">
        <v>1</v>
      </c>
      <c r="AI458" s="10">
        <v>1</v>
      </c>
      <c r="AJ458" s="12" t="s">
        <v>1770</v>
      </c>
      <c r="AK458" s="10">
        <v>0</v>
      </c>
      <c r="AL458" s="10">
        <v>0</v>
      </c>
      <c r="AM458" s="9">
        <v>2000</v>
      </c>
      <c r="AN458" s="10">
        <v>1</v>
      </c>
      <c r="AO458" s="10">
        <v>2</v>
      </c>
      <c r="AP458" s="10"/>
      <c r="AQ458" s="5"/>
      <c r="AR458" s="5"/>
      <c r="AS458" s="4">
        <f t="shared" si="21"/>
        <v>350000</v>
      </c>
      <c r="AT458" s="4">
        <f t="shared" si="22"/>
        <v>2320000</v>
      </c>
      <c r="AU458" s="4">
        <f t="shared" si="23"/>
        <v>1680000</v>
      </c>
      <c r="AV458" s="9" t="s">
        <v>1769</v>
      </c>
      <c r="AW458" s="12" t="s">
        <v>1770</v>
      </c>
      <c r="AX458" s="10">
        <v>0</v>
      </c>
      <c r="AY458">
        <f>S458*AU458/AS458</f>
        <v>960000</v>
      </c>
      <c r="AZ458">
        <f>AU458-AY458</f>
        <v>720000</v>
      </c>
      <c r="BA458" s="10">
        <v>4000000</v>
      </c>
      <c r="BB458" s="10">
        <v>250000</v>
      </c>
      <c r="BC458" s="9" t="s">
        <v>42</v>
      </c>
      <c r="BD458" s="9">
        <v>10421</v>
      </c>
      <c r="BE458" t="s">
        <v>46</v>
      </c>
    </row>
    <row r="459" spans="1:57" ht="270.75" thickBot="1" x14ac:dyDescent="0.3">
      <c r="A459" s="9" t="s">
        <v>1771</v>
      </c>
      <c r="B459" s="9">
        <v>3001</v>
      </c>
      <c r="C459" s="10">
        <v>2</v>
      </c>
      <c r="D459" s="9" t="s">
        <v>37</v>
      </c>
      <c r="E459" s="11">
        <v>46293.15391158565</v>
      </c>
      <c r="F459" s="9" t="s">
        <v>1772</v>
      </c>
      <c r="G459" s="9" t="s">
        <v>39</v>
      </c>
      <c r="H459" s="9">
        <v>53</v>
      </c>
      <c r="I459" s="9" t="s">
        <v>40</v>
      </c>
      <c r="J459" s="9">
        <v>5309</v>
      </c>
      <c r="K459" s="9" t="s">
        <v>41</v>
      </c>
      <c r="L459" s="9">
        <v>5309062</v>
      </c>
      <c r="M459" s="9">
        <v>5309062013</v>
      </c>
      <c r="N459" s="9" t="s">
        <v>42</v>
      </c>
      <c r="O459" s="9">
        <v>10421</v>
      </c>
      <c r="P459" s="9" t="s">
        <v>1773</v>
      </c>
      <c r="Q459" s="10">
        <v>4</v>
      </c>
      <c r="R459" s="10">
        <v>0</v>
      </c>
      <c r="S459" s="10">
        <v>200000</v>
      </c>
      <c r="T459" s="10">
        <v>0</v>
      </c>
      <c r="U459" s="10">
        <v>100000</v>
      </c>
      <c r="V459" s="10">
        <v>350000</v>
      </c>
      <c r="W459" s="10">
        <v>650000</v>
      </c>
      <c r="X459" s="10">
        <v>5200000</v>
      </c>
      <c r="Y459" s="10">
        <v>0</v>
      </c>
      <c r="Z459" s="10">
        <v>4900000</v>
      </c>
      <c r="AA459" s="10">
        <v>2750000</v>
      </c>
      <c r="AB459" s="10">
        <v>5200000</v>
      </c>
      <c r="AC459" s="10">
        <v>0</v>
      </c>
      <c r="AD459" s="9" t="s">
        <v>44</v>
      </c>
      <c r="AE459" s="10" t="s">
        <v>2531</v>
      </c>
      <c r="AF459" s="10">
        <v>1300000</v>
      </c>
      <c r="AG459" s="10">
        <v>1</v>
      </c>
      <c r="AH459" s="10">
        <v>1</v>
      </c>
      <c r="AI459" s="10">
        <v>1</v>
      </c>
      <c r="AJ459" s="12" t="s">
        <v>1774</v>
      </c>
      <c r="AK459" s="10">
        <v>0</v>
      </c>
      <c r="AL459" s="10">
        <v>0</v>
      </c>
      <c r="AM459" s="9">
        <v>1992</v>
      </c>
      <c r="AN459" s="10">
        <v>0</v>
      </c>
      <c r="AO459" s="10">
        <v>4</v>
      </c>
      <c r="AP459" s="10"/>
      <c r="AQ459" s="5"/>
      <c r="AR459" s="5"/>
      <c r="AS459" s="4">
        <f t="shared" si="21"/>
        <v>300000</v>
      </c>
      <c r="AT459" s="4">
        <f t="shared" si="22"/>
        <v>3015999.015183995</v>
      </c>
      <c r="AU459" s="4">
        <f t="shared" si="23"/>
        <v>2184000.984816005</v>
      </c>
      <c r="AV459" s="9" t="s">
        <v>1773</v>
      </c>
      <c r="AW459" s="12" t="s">
        <v>1774</v>
      </c>
      <c r="AX459" s="10">
        <v>0</v>
      </c>
      <c r="AY459">
        <f>S459*AU459/AS459</f>
        <v>1456000.6565440034</v>
      </c>
      <c r="AZ459">
        <f>AU459-AY459</f>
        <v>728000.32827200158</v>
      </c>
      <c r="BA459" s="10">
        <v>5200000</v>
      </c>
      <c r="BB459" s="10">
        <v>0</v>
      </c>
      <c r="BC459" s="9" t="s">
        <v>42</v>
      </c>
      <c r="BD459" s="9">
        <v>10421</v>
      </c>
      <c r="BE459" t="s">
        <v>46</v>
      </c>
    </row>
    <row r="460" spans="1:57" ht="270.75" thickBot="1" x14ac:dyDescent="0.3">
      <c r="A460" s="9" t="s">
        <v>1775</v>
      </c>
      <c r="B460" s="9">
        <v>3002</v>
      </c>
      <c r="C460" s="10">
        <v>2</v>
      </c>
      <c r="D460" s="9" t="s">
        <v>37</v>
      </c>
      <c r="E460" s="11">
        <v>46275.046014618056</v>
      </c>
      <c r="F460" s="9" t="s">
        <v>1776</v>
      </c>
      <c r="G460" s="9" t="s">
        <v>39</v>
      </c>
      <c r="H460" s="9">
        <v>53</v>
      </c>
      <c r="I460" s="9" t="s">
        <v>40</v>
      </c>
      <c r="J460" s="9">
        <v>5309</v>
      </c>
      <c r="K460" s="9" t="s">
        <v>41</v>
      </c>
      <c r="L460" s="9">
        <v>5309074</v>
      </c>
      <c r="M460" s="9">
        <v>5309074007</v>
      </c>
      <c r="N460" s="9" t="s">
        <v>42</v>
      </c>
      <c r="O460" s="9">
        <v>10421</v>
      </c>
      <c r="P460" s="9" t="s">
        <v>152</v>
      </c>
      <c r="Q460" s="10">
        <v>4</v>
      </c>
      <c r="R460" s="10">
        <v>1800000</v>
      </c>
      <c r="S460" s="10">
        <v>4000000</v>
      </c>
      <c r="T460" s="10">
        <v>0</v>
      </c>
      <c r="U460" s="10">
        <v>200000</v>
      </c>
      <c r="V460" s="10">
        <v>0</v>
      </c>
      <c r="W460" s="10">
        <v>6000000</v>
      </c>
      <c r="X460" s="10">
        <v>17500000</v>
      </c>
      <c r="Y460" s="10">
        <v>0</v>
      </c>
      <c r="Z460" s="10">
        <v>13300000</v>
      </c>
      <c r="AA460" s="10">
        <v>1300000</v>
      </c>
      <c r="AB460" s="10">
        <v>17500000</v>
      </c>
      <c r="AC460" s="10">
        <v>0</v>
      </c>
      <c r="AD460" s="9" t="s">
        <v>44</v>
      </c>
      <c r="AE460" s="10" t="s">
        <v>116</v>
      </c>
      <c r="AF460" s="10">
        <v>4375000</v>
      </c>
      <c r="AG460" s="10">
        <v>1</v>
      </c>
      <c r="AH460" s="10">
        <v>1</v>
      </c>
      <c r="AI460" s="10">
        <v>1</v>
      </c>
      <c r="AJ460" s="12" t="s">
        <v>1777</v>
      </c>
      <c r="AK460" s="10">
        <v>0</v>
      </c>
      <c r="AL460" s="10">
        <v>0</v>
      </c>
      <c r="AM460" s="9">
        <v>1999</v>
      </c>
      <c r="AN460" s="10">
        <v>2</v>
      </c>
      <c r="AO460" s="10">
        <v>2</v>
      </c>
      <c r="AP460" s="10"/>
      <c r="AQ460" s="5"/>
      <c r="AR460" s="5"/>
      <c r="AS460" s="4">
        <f t="shared" si="21"/>
        <v>4200000</v>
      </c>
      <c r="AT460" s="4">
        <f t="shared" si="22"/>
        <v>10149999.999999998</v>
      </c>
      <c r="AU460" s="4">
        <f t="shared" si="23"/>
        <v>7350000.0000000019</v>
      </c>
      <c r="AV460" s="9" t="s">
        <v>152</v>
      </c>
      <c r="AW460" s="12" t="s">
        <v>1777</v>
      </c>
      <c r="AX460" s="10">
        <v>0</v>
      </c>
      <c r="AY460">
        <f>S460*AU460/AS460</f>
        <v>7000000.0000000019</v>
      </c>
      <c r="AZ460">
        <f>AU460-AY460</f>
        <v>350000</v>
      </c>
      <c r="BA460" s="10">
        <v>17500000</v>
      </c>
      <c r="BB460" s="10">
        <v>0</v>
      </c>
      <c r="BC460" s="9" t="s">
        <v>42</v>
      </c>
      <c r="BD460" s="9">
        <v>10421</v>
      </c>
      <c r="BE460" t="s">
        <v>46</v>
      </c>
    </row>
    <row r="461" spans="1:57" ht="270.75" thickBot="1" x14ac:dyDescent="0.3">
      <c r="A461" s="9" t="s">
        <v>1778</v>
      </c>
      <c r="B461" s="9">
        <v>3001</v>
      </c>
      <c r="C461" s="10">
        <v>2</v>
      </c>
      <c r="D461" s="9" t="s">
        <v>37</v>
      </c>
      <c r="E461" s="14">
        <v>46243.054201388892</v>
      </c>
      <c r="F461" s="9" t="s">
        <v>1779</v>
      </c>
      <c r="G461" s="9" t="s">
        <v>39</v>
      </c>
      <c r="H461" s="9">
        <v>53</v>
      </c>
      <c r="I461" s="9" t="s">
        <v>40</v>
      </c>
      <c r="J461" s="9">
        <v>5309</v>
      </c>
      <c r="K461" s="9" t="s">
        <v>41</v>
      </c>
      <c r="L461" s="9">
        <v>5309074</v>
      </c>
      <c r="M461" s="9">
        <v>5309074007</v>
      </c>
      <c r="N461" s="9" t="s">
        <v>42</v>
      </c>
      <c r="O461" s="9">
        <v>10421</v>
      </c>
      <c r="P461" s="9" t="s">
        <v>49</v>
      </c>
      <c r="Q461" s="10">
        <v>4</v>
      </c>
      <c r="R461" s="10">
        <v>1500000</v>
      </c>
      <c r="S461" s="10">
        <v>3000000</v>
      </c>
      <c r="T461" s="10">
        <v>0</v>
      </c>
      <c r="U461" s="10">
        <v>300000</v>
      </c>
      <c r="V461" s="10">
        <v>15000</v>
      </c>
      <c r="W461" s="10">
        <v>4815000</v>
      </c>
      <c r="X461" s="10">
        <v>9000000</v>
      </c>
      <c r="Y461" s="10">
        <v>0</v>
      </c>
      <c r="Z461" s="10">
        <v>5700000</v>
      </c>
      <c r="AA461" s="10">
        <v>1950000</v>
      </c>
      <c r="AB461" s="10">
        <v>9000000</v>
      </c>
      <c r="AC461" s="10">
        <v>0</v>
      </c>
      <c r="AD461" s="9" t="s">
        <v>44</v>
      </c>
      <c r="AE461" s="10" t="s">
        <v>2532</v>
      </c>
      <c r="AF461" s="10">
        <v>2250000</v>
      </c>
      <c r="AG461" s="10">
        <v>1</v>
      </c>
      <c r="AH461" s="10">
        <v>1</v>
      </c>
      <c r="AI461" s="10">
        <v>1</v>
      </c>
      <c r="AJ461" s="12" t="s">
        <v>1780</v>
      </c>
      <c r="AK461" s="10">
        <v>0</v>
      </c>
      <c r="AL461" s="10">
        <v>0</v>
      </c>
      <c r="AM461" s="9">
        <v>2019</v>
      </c>
      <c r="AN461" s="10">
        <v>3</v>
      </c>
      <c r="AO461" s="10">
        <v>1</v>
      </c>
      <c r="AP461" s="10"/>
      <c r="AQ461" s="5"/>
      <c r="AR461" s="5"/>
      <c r="AS461" s="4">
        <f t="shared" si="21"/>
        <v>3300000</v>
      </c>
      <c r="AT461" s="4">
        <f t="shared" si="22"/>
        <v>5220002.7473698668</v>
      </c>
      <c r="AU461" s="4">
        <f t="shared" si="23"/>
        <v>3779997.2526301332</v>
      </c>
      <c r="AV461" s="9" t="s">
        <v>49</v>
      </c>
      <c r="AW461" s="12" t="s">
        <v>1780</v>
      </c>
      <c r="AX461" s="10">
        <v>0</v>
      </c>
      <c r="AY461">
        <f>S461*AU461/AS461</f>
        <v>3436361.1387546668</v>
      </c>
      <c r="AZ461">
        <f>AU461-AY461</f>
        <v>343636.1138754664</v>
      </c>
      <c r="BA461" s="10">
        <v>9000000</v>
      </c>
      <c r="BB461" s="10">
        <v>0</v>
      </c>
      <c r="BC461" s="9" t="s">
        <v>42</v>
      </c>
      <c r="BD461" s="9">
        <v>10421</v>
      </c>
      <c r="BE461" t="s">
        <v>46</v>
      </c>
    </row>
    <row r="462" spans="1:57" ht="255.75" thickBot="1" x14ac:dyDescent="0.3">
      <c r="A462" s="9" t="s">
        <v>1781</v>
      </c>
      <c r="B462" s="9">
        <v>3001</v>
      </c>
      <c r="C462" s="10">
        <v>2</v>
      </c>
      <c r="D462" s="9" t="s">
        <v>37</v>
      </c>
      <c r="E462" s="11">
        <v>46248.898767152779</v>
      </c>
      <c r="F462" s="9" t="s">
        <v>1782</v>
      </c>
      <c r="G462" s="9" t="s">
        <v>39</v>
      </c>
      <c r="H462" s="9">
        <v>53</v>
      </c>
      <c r="I462" s="9" t="s">
        <v>40</v>
      </c>
      <c r="J462" s="9">
        <v>5309</v>
      </c>
      <c r="K462" s="9" t="s">
        <v>41</v>
      </c>
      <c r="L462" s="9">
        <v>5309062</v>
      </c>
      <c r="M462" s="9">
        <v>5309062013</v>
      </c>
      <c r="N462" s="9" t="s">
        <v>42</v>
      </c>
      <c r="O462" s="9">
        <v>10421</v>
      </c>
      <c r="P462" s="9" t="s">
        <v>1783</v>
      </c>
      <c r="Q462" s="10">
        <v>5</v>
      </c>
      <c r="R462" s="10">
        <v>1000000</v>
      </c>
      <c r="S462" s="10">
        <v>300000</v>
      </c>
      <c r="T462" s="10">
        <v>0</v>
      </c>
      <c r="U462" s="10">
        <v>250000</v>
      </c>
      <c r="V462" s="10">
        <v>350000</v>
      </c>
      <c r="W462" s="10">
        <v>1900000</v>
      </c>
      <c r="X462" s="10">
        <v>5450000</v>
      </c>
      <c r="Y462" s="10">
        <v>0</v>
      </c>
      <c r="Z462" s="10">
        <v>4900000</v>
      </c>
      <c r="AA462" s="10">
        <v>2400000</v>
      </c>
      <c r="AB462" s="10">
        <v>5450000</v>
      </c>
      <c r="AC462" s="10">
        <v>0</v>
      </c>
      <c r="AD462" s="9" t="s">
        <v>44</v>
      </c>
      <c r="AE462" s="10" t="s">
        <v>2533</v>
      </c>
      <c r="AF462" s="10">
        <v>1090000</v>
      </c>
      <c r="AG462" s="10">
        <v>1</v>
      </c>
      <c r="AH462" s="10">
        <v>1</v>
      </c>
      <c r="AI462" s="10">
        <v>1</v>
      </c>
      <c r="AJ462" s="12" t="s">
        <v>1784</v>
      </c>
      <c r="AK462" s="10">
        <v>0</v>
      </c>
      <c r="AL462" s="10">
        <v>0</v>
      </c>
      <c r="AM462" s="9">
        <v>2015</v>
      </c>
      <c r="AN462" s="10">
        <v>3</v>
      </c>
      <c r="AO462" s="10">
        <v>2</v>
      </c>
      <c r="AP462" s="10"/>
      <c r="AQ462" s="5"/>
      <c r="AR462" s="5"/>
      <c r="AS462" s="4">
        <f t="shared" si="21"/>
        <v>550000</v>
      </c>
      <c r="AT462" s="4">
        <f t="shared" si="22"/>
        <v>3160998.4840109311</v>
      </c>
      <c r="AU462" s="4">
        <f t="shared" si="23"/>
        <v>2289001.5159890689</v>
      </c>
      <c r="AV462" s="9" t="s">
        <v>1783</v>
      </c>
      <c r="AW462" s="12" t="s">
        <v>1784</v>
      </c>
      <c r="AX462" s="10">
        <v>0</v>
      </c>
      <c r="AY462">
        <f>S462*AU462/AS462</f>
        <v>1248546.2814485831</v>
      </c>
      <c r="AZ462">
        <f>AU462-AY462</f>
        <v>1040455.2345404858</v>
      </c>
      <c r="BA462" s="10">
        <v>5450000</v>
      </c>
      <c r="BB462" s="10">
        <v>0</v>
      </c>
      <c r="BC462" s="9" t="s">
        <v>42</v>
      </c>
      <c r="BD462" s="9">
        <v>10421</v>
      </c>
      <c r="BE462" t="s">
        <v>46</v>
      </c>
    </row>
    <row r="463" spans="1:57" ht="270.75" thickBot="1" x14ac:dyDescent="0.3">
      <c r="A463" s="9" t="s">
        <v>1785</v>
      </c>
      <c r="B463" s="9">
        <v>3001</v>
      </c>
      <c r="C463" s="10">
        <v>2</v>
      </c>
      <c r="D463" s="9" t="s">
        <v>37</v>
      </c>
      <c r="E463" s="14">
        <v>46226.952303240738</v>
      </c>
      <c r="F463" s="9" t="s">
        <v>1786</v>
      </c>
      <c r="G463" s="9" t="s">
        <v>39</v>
      </c>
      <c r="H463" s="9">
        <v>53</v>
      </c>
      <c r="I463" s="9" t="s">
        <v>40</v>
      </c>
      <c r="J463" s="9">
        <v>5309</v>
      </c>
      <c r="K463" s="9" t="s">
        <v>41</v>
      </c>
      <c r="L463" s="9">
        <v>5309062</v>
      </c>
      <c r="M463" s="9">
        <v>5309062003</v>
      </c>
      <c r="N463" s="9" t="s">
        <v>42</v>
      </c>
      <c r="O463" s="9">
        <v>10421</v>
      </c>
      <c r="P463" s="9" t="s">
        <v>1787</v>
      </c>
      <c r="Q463" s="10">
        <v>3</v>
      </c>
      <c r="R463" s="10">
        <v>300000</v>
      </c>
      <c r="S463" s="10">
        <v>100000</v>
      </c>
      <c r="T463" s="10">
        <v>0</v>
      </c>
      <c r="U463" s="10">
        <v>500000</v>
      </c>
      <c r="V463" s="10">
        <v>0</v>
      </c>
      <c r="W463" s="10">
        <v>900000</v>
      </c>
      <c r="X463" s="10">
        <v>7000000</v>
      </c>
      <c r="Y463" s="10">
        <v>0</v>
      </c>
      <c r="Z463" s="10">
        <v>6400000</v>
      </c>
      <c r="AA463" s="10">
        <v>4800000</v>
      </c>
      <c r="AB463" s="10">
        <v>7000000</v>
      </c>
      <c r="AC463" s="10">
        <v>0</v>
      </c>
      <c r="AD463" s="9" t="s">
        <v>44</v>
      </c>
      <c r="AE463" s="10" t="s">
        <v>2494</v>
      </c>
      <c r="AF463" s="13">
        <v>2333333333</v>
      </c>
      <c r="AG463" s="10">
        <v>1</v>
      </c>
      <c r="AH463" s="10">
        <v>1</v>
      </c>
      <c r="AI463" s="10">
        <v>1</v>
      </c>
      <c r="AJ463" s="12" t="s">
        <v>1788</v>
      </c>
      <c r="AK463" s="10">
        <v>0</v>
      </c>
      <c r="AL463" s="10">
        <v>0</v>
      </c>
      <c r="AM463" s="9">
        <v>1999</v>
      </c>
      <c r="AN463" s="10">
        <v>1</v>
      </c>
      <c r="AO463" s="10">
        <v>2</v>
      </c>
      <c r="AP463" s="10"/>
      <c r="AQ463" s="5"/>
      <c r="AR463" s="5"/>
      <c r="AS463" s="4">
        <f t="shared" si="21"/>
        <v>600000</v>
      </c>
      <c r="AT463" s="4">
        <f t="shared" si="22"/>
        <v>4059998.731250396</v>
      </c>
      <c r="AU463" s="4">
        <f t="shared" si="23"/>
        <v>2940001.268749604</v>
      </c>
      <c r="AV463" s="9" t="s">
        <v>1787</v>
      </c>
      <c r="AW463" s="12" t="s">
        <v>1788</v>
      </c>
      <c r="AX463" s="10">
        <v>0</v>
      </c>
      <c r="AY463">
        <f>S463*AU463/AS463</f>
        <v>490000.21145826729</v>
      </c>
      <c r="AZ463">
        <f>AU463-AY463</f>
        <v>2450001.0572913368</v>
      </c>
      <c r="BA463" s="10">
        <v>7000000</v>
      </c>
      <c r="BB463" s="10">
        <v>0</v>
      </c>
      <c r="BC463" s="9" t="s">
        <v>42</v>
      </c>
      <c r="BD463" s="9">
        <v>10421</v>
      </c>
      <c r="BE463" t="s">
        <v>46</v>
      </c>
    </row>
    <row r="464" spans="1:57" ht="270.75" thickBot="1" x14ac:dyDescent="0.3">
      <c r="A464" s="9" t="s">
        <v>1789</v>
      </c>
      <c r="B464" s="9">
        <v>3002</v>
      </c>
      <c r="C464" s="10">
        <v>2</v>
      </c>
      <c r="D464" s="9" t="s">
        <v>37</v>
      </c>
      <c r="E464" s="11">
        <v>46248.103374050923</v>
      </c>
      <c r="F464" s="9" t="s">
        <v>1790</v>
      </c>
      <c r="G464" s="9" t="s">
        <v>39</v>
      </c>
      <c r="H464" s="9">
        <v>53</v>
      </c>
      <c r="I464" s="9" t="s">
        <v>40</v>
      </c>
      <c r="J464" s="9">
        <v>5309</v>
      </c>
      <c r="K464" s="9" t="s">
        <v>41</v>
      </c>
      <c r="L464" s="9">
        <v>5309074</v>
      </c>
      <c r="M464" s="9">
        <v>5309074007</v>
      </c>
      <c r="N464" s="9" t="s">
        <v>42</v>
      </c>
      <c r="O464" s="9">
        <v>10421</v>
      </c>
      <c r="P464" s="9" t="s">
        <v>49</v>
      </c>
      <c r="Q464" s="10">
        <v>3</v>
      </c>
      <c r="R464" s="10">
        <v>1300000</v>
      </c>
      <c r="S464" s="10">
        <v>1500000</v>
      </c>
      <c r="T464" s="10">
        <v>0</v>
      </c>
      <c r="U464" s="10">
        <v>350000</v>
      </c>
      <c r="V464" s="10">
        <v>15000</v>
      </c>
      <c r="W464" s="10">
        <v>3165000</v>
      </c>
      <c r="X464" s="10">
        <v>10000000</v>
      </c>
      <c r="Y464" s="10">
        <v>0</v>
      </c>
      <c r="Z464" s="10">
        <v>8150000</v>
      </c>
      <c r="AA464" s="10">
        <v>1950000</v>
      </c>
      <c r="AB464" s="10">
        <v>10000000</v>
      </c>
      <c r="AC464" s="10">
        <v>0</v>
      </c>
      <c r="AD464" s="9" t="s">
        <v>44</v>
      </c>
      <c r="AE464" s="10" t="s">
        <v>2534</v>
      </c>
      <c r="AF464" s="13">
        <v>3333333333</v>
      </c>
      <c r="AG464" s="10">
        <v>1</v>
      </c>
      <c r="AH464" s="10">
        <v>1</v>
      </c>
      <c r="AI464" s="10">
        <v>1</v>
      </c>
      <c r="AJ464" s="12" t="s">
        <v>1791</v>
      </c>
      <c r="AK464" s="10">
        <v>0</v>
      </c>
      <c r="AL464" s="10">
        <v>0</v>
      </c>
      <c r="AM464" s="9">
        <v>1995</v>
      </c>
      <c r="AN464" s="10">
        <v>2</v>
      </c>
      <c r="AO464" s="10">
        <v>1</v>
      </c>
      <c r="AP464" s="10"/>
      <c r="AQ464" s="5"/>
      <c r="AR464" s="5"/>
      <c r="AS464" s="4">
        <f t="shared" si="21"/>
        <v>1850000</v>
      </c>
      <c r="AT464" s="4">
        <f t="shared" si="22"/>
        <v>5800000</v>
      </c>
      <c r="AU464" s="4">
        <f t="shared" si="23"/>
        <v>4200000</v>
      </c>
      <c r="AV464" s="9" t="s">
        <v>49</v>
      </c>
      <c r="AW464" s="12" t="s">
        <v>1791</v>
      </c>
      <c r="AX464" s="10">
        <v>0</v>
      </c>
      <c r="AY464">
        <f>S464*AU464/AS464</f>
        <v>3405405.4054054054</v>
      </c>
      <c r="AZ464">
        <f>AU464-AY464</f>
        <v>794594.59459459456</v>
      </c>
      <c r="BA464" s="10">
        <v>10000000</v>
      </c>
      <c r="BB464" s="10">
        <v>0</v>
      </c>
      <c r="BC464" s="9" t="s">
        <v>42</v>
      </c>
      <c r="BD464" s="9">
        <v>10421</v>
      </c>
      <c r="BE464" t="s">
        <v>46</v>
      </c>
    </row>
    <row r="465" spans="1:57" ht="270.75" thickBot="1" x14ac:dyDescent="0.3">
      <c r="A465" s="9" t="s">
        <v>1792</v>
      </c>
      <c r="B465" s="9">
        <v>3001</v>
      </c>
      <c r="C465" s="10">
        <v>2</v>
      </c>
      <c r="D465" s="9" t="s">
        <v>84</v>
      </c>
      <c r="E465" s="11">
        <v>46312.322443703706</v>
      </c>
      <c r="F465" s="9" t="s">
        <v>1793</v>
      </c>
      <c r="G465" s="9" t="s">
        <v>39</v>
      </c>
      <c r="H465" s="9">
        <v>53</v>
      </c>
      <c r="I465" s="9" t="s">
        <v>40</v>
      </c>
      <c r="J465" s="9">
        <v>5309</v>
      </c>
      <c r="K465" s="9" t="s">
        <v>41</v>
      </c>
      <c r="L465" s="9">
        <v>5309073</v>
      </c>
      <c r="M465" s="9">
        <v>5309073011</v>
      </c>
      <c r="N465" s="9" t="s">
        <v>42</v>
      </c>
      <c r="O465" s="9">
        <v>10421</v>
      </c>
      <c r="P465" s="9" t="s">
        <v>1794</v>
      </c>
      <c r="Q465" s="10">
        <v>2</v>
      </c>
      <c r="R465" s="10">
        <v>840000</v>
      </c>
      <c r="S465" s="10">
        <v>200000</v>
      </c>
      <c r="T465" s="10">
        <v>0</v>
      </c>
      <c r="U465" s="10">
        <v>400000</v>
      </c>
      <c r="V465" s="10">
        <v>0</v>
      </c>
      <c r="W465" s="10">
        <v>1440000</v>
      </c>
      <c r="X465" s="10">
        <v>4800000</v>
      </c>
      <c r="Y465" s="10">
        <v>0</v>
      </c>
      <c r="Z465" s="10">
        <v>4200000</v>
      </c>
      <c r="AA465" s="10">
        <v>6000000</v>
      </c>
      <c r="AB465" s="10">
        <v>4800000</v>
      </c>
      <c r="AC465" s="10">
        <v>0</v>
      </c>
      <c r="AD465" s="9" t="s">
        <v>44</v>
      </c>
      <c r="AE465" s="10" t="s">
        <v>2226</v>
      </c>
      <c r="AF465" s="10">
        <v>2400000</v>
      </c>
      <c r="AG465" s="10">
        <v>1</v>
      </c>
      <c r="AH465" s="10">
        <v>1</v>
      </c>
      <c r="AI465" s="10">
        <v>1</v>
      </c>
      <c r="AJ465" s="12" t="s">
        <v>1795</v>
      </c>
      <c r="AK465" s="10">
        <v>0</v>
      </c>
      <c r="AL465" s="10">
        <v>0</v>
      </c>
      <c r="AM465" s="9">
        <v>2008</v>
      </c>
      <c r="AN465" s="10">
        <v>1</v>
      </c>
      <c r="AO465" s="10">
        <v>1</v>
      </c>
      <c r="AP465" s="10"/>
      <c r="AQ465" s="5"/>
      <c r="AR465" s="5"/>
      <c r="AS465" s="4">
        <f t="shared" si="21"/>
        <v>600000</v>
      </c>
      <c r="AT465" s="4">
        <f t="shared" si="22"/>
        <v>2784000</v>
      </c>
      <c r="AU465" s="4">
        <f t="shared" si="23"/>
        <v>2016000</v>
      </c>
      <c r="AV465" s="9" t="s">
        <v>1794</v>
      </c>
      <c r="AW465" s="12" t="s">
        <v>1795</v>
      </c>
      <c r="AX465" s="10">
        <v>0</v>
      </c>
      <c r="AY465">
        <f>S465*AU465/AS465</f>
        <v>672000</v>
      </c>
      <c r="AZ465">
        <f>AU465-AY465</f>
        <v>1344000</v>
      </c>
      <c r="BA465" s="10">
        <v>4800000</v>
      </c>
      <c r="BB465" s="10">
        <v>0</v>
      </c>
      <c r="BC465" s="9" t="s">
        <v>42</v>
      </c>
      <c r="BD465" s="9">
        <v>10421</v>
      </c>
      <c r="BE465" t="s">
        <v>46</v>
      </c>
    </row>
    <row r="466" spans="1:57" ht="270.75" thickBot="1" x14ac:dyDescent="0.3">
      <c r="A466" s="9" t="s">
        <v>1796</v>
      </c>
      <c r="B466" s="9">
        <v>3001</v>
      </c>
      <c r="C466" s="10">
        <v>2</v>
      </c>
      <c r="D466" s="9" t="s">
        <v>37</v>
      </c>
      <c r="E466" s="11">
        <v>46224.483818506946</v>
      </c>
      <c r="F466" s="9" t="s">
        <v>1797</v>
      </c>
      <c r="G466" s="9" t="s">
        <v>39</v>
      </c>
      <c r="H466" s="9">
        <v>53</v>
      </c>
      <c r="I466" s="9" t="s">
        <v>40</v>
      </c>
      <c r="J466" s="9">
        <v>5309</v>
      </c>
      <c r="K466" s="9" t="s">
        <v>41</v>
      </c>
      <c r="L466" s="9">
        <v>5309062</v>
      </c>
      <c r="M466" s="9">
        <v>5309062009</v>
      </c>
      <c r="N466" s="9" t="s">
        <v>42</v>
      </c>
      <c r="O466" s="9">
        <v>10421</v>
      </c>
      <c r="P466" s="9" t="s">
        <v>1798</v>
      </c>
      <c r="Q466" s="10">
        <v>7</v>
      </c>
      <c r="R466" s="10">
        <v>840000</v>
      </c>
      <c r="S466" s="10">
        <v>350000</v>
      </c>
      <c r="T466" s="10">
        <v>0</v>
      </c>
      <c r="U466" s="10">
        <v>400000</v>
      </c>
      <c r="V466" s="10">
        <v>0</v>
      </c>
      <c r="W466" s="10">
        <v>1590000</v>
      </c>
      <c r="X466" s="10">
        <v>6000000</v>
      </c>
      <c r="Y466" s="10">
        <v>0</v>
      </c>
      <c r="Z466" s="10">
        <v>5250000</v>
      </c>
      <c r="AA466" s="10">
        <v>3500000</v>
      </c>
      <c r="AB466" s="10">
        <v>6000000</v>
      </c>
      <c r="AC466" s="10">
        <v>0</v>
      </c>
      <c r="AD466" s="9" t="s">
        <v>44</v>
      </c>
      <c r="AE466" s="10" t="s">
        <v>2226</v>
      </c>
      <c r="AF466" s="13">
        <v>8571428571</v>
      </c>
      <c r="AG466" s="10">
        <v>1</v>
      </c>
      <c r="AH466" s="10">
        <v>1</v>
      </c>
      <c r="AI466" s="10">
        <v>1</v>
      </c>
      <c r="AJ466" s="12" t="s">
        <v>1799</v>
      </c>
      <c r="AK466" s="10">
        <v>0</v>
      </c>
      <c r="AL466" s="10">
        <v>0</v>
      </c>
      <c r="AM466" s="9">
        <v>2010</v>
      </c>
      <c r="AN466" s="10">
        <v>5</v>
      </c>
      <c r="AO466" s="10">
        <v>2</v>
      </c>
      <c r="AP466" s="10"/>
      <c r="AQ466" s="5"/>
      <c r="AR466" s="5"/>
      <c r="AS466" s="4">
        <f t="shared" si="21"/>
        <v>750000</v>
      </c>
      <c r="AT466" s="4">
        <f t="shared" si="22"/>
        <v>3480000</v>
      </c>
      <c r="AU466" s="4">
        <f t="shared" si="23"/>
        <v>2520000</v>
      </c>
      <c r="AV466" s="9" t="s">
        <v>1798</v>
      </c>
      <c r="AW466" s="12" t="s">
        <v>1799</v>
      </c>
      <c r="AX466" s="10">
        <v>0</v>
      </c>
      <c r="AY466">
        <f>S466*AU466/AS466</f>
        <v>1176000</v>
      </c>
      <c r="AZ466">
        <f>AU466-AY466</f>
        <v>1344000</v>
      </c>
      <c r="BA466" s="10">
        <v>6000000</v>
      </c>
      <c r="BB466" s="10">
        <v>0</v>
      </c>
      <c r="BC466" s="9" t="s">
        <v>42</v>
      </c>
      <c r="BD466" s="9">
        <v>10421</v>
      </c>
      <c r="BE466" t="s">
        <v>46</v>
      </c>
    </row>
    <row r="467" spans="1:57" ht="270.75" thickBot="1" x14ac:dyDescent="0.3">
      <c r="A467" s="9" t="s">
        <v>1800</v>
      </c>
      <c r="B467" s="9">
        <v>3001</v>
      </c>
      <c r="C467" s="10">
        <v>2</v>
      </c>
      <c r="D467" s="9" t="s">
        <v>37</v>
      </c>
      <c r="E467" s="14">
        <v>46244.509884259256</v>
      </c>
      <c r="F467" s="9" t="s">
        <v>1801</v>
      </c>
      <c r="G467" s="9" t="s">
        <v>39</v>
      </c>
      <c r="H467" s="9">
        <v>53</v>
      </c>
      <c r="I467" s="9" t="s">
        <v>40</v>
      </c>
      <c r="J467" s="9">
        <v>5309</v>
      </c>
      <c r="K467" s="9" t="s">
        <v>41</v>
      </c>
      <c r="L467" s="9">
        <v>5309062</v>
      </c>
      <c r="M467" s="9">
        <v>5309062004</v>
      </c>
      <c r="N467" s="9" t="s">
        <v>42</v>
      </c>
      <c r="O467" s="9">
        <v>10421</v>
      </c>
      <c r="P467" s="9" t="s">
        <v>1802</v>
      </c>
      <c r="Q467" s="10">
        <v>4</v>
      </c>
      <c r="R467" s="10">
        <v>200000</v>
      </c>
      <c r="S467" s="10">
        <v>250000</v>
      </c>
      <c r="T467" s="10">
        <v>0</v>
      </c>
      <c r="U467" s="10">
        <v>100000</v>
      </c>
      <c r="V467" s="10">
        <v>0</v>
      </c>
      <c r="W467" s="10">
        <v>550000</v>
      </c>
      <c r="X467" s="10">
        <v>7500000</v>
      </c>
      <c r="Y467" s="10">
        <v>0</v>
      </c>
      <c r="Z467" s="10">
        <v>7150000</v>
      </c>
      <c r="AA467" s="10">
        <v>5150000</v>
      </c>
      <c r="AB467" s="10">
        <v>7500000</v>
      </c>
      <c r="AC467" s="10">
        <v>0</v>
      </c>
      <c r="AD467" s="9" t="s">
        <v>44</v>
      </c>
      <c r="AE467" s="10" t="s">
        <v>2423</v>
      </c>
      <c r="AF467" s="10">
        <v>1875000</v>
      </c>
      <c r="AG467" s="10">
        <v>1</v>
      </c>
      <c r="AH467" s="10">
        <v>1</v>
      </c>
      <c r="AI467" s="10">
        <v>1</v>
      </c>
      <c r="AJ467" s="12" t="s">
        <v>1804</v>
      </c>
      <c r="AK467" s="10">
        <v>0</v>
      </c>
      <c r="AL467" s="10">
        <v>0</v>
      </c>
      <c r="AM467" s="9">
        <v>1990</v>
      </c>
      <c r="AN467" s="10">
        <v>2</v>
      </c>
      <c r="AO467" s="10">
        <v>2</v>
      </c>
      <c r="AP467" s="10"/>
      <c r="AQ467" s="5"/>
      <c r="AR467" s="5"/>
      <c r="AS467" s="4">
        <f t="shared" si="21"/>
        <v>350000</v>
      </c>
      <c r="AT467" s="4">
        <f t="shared" si="22"/>
        <v>4350001.5209795525</v>
      </c>
      <c r="AU467" s="4">
        <f t="shared" si="23"/>
        <v>3149998.4790204475</v>
      </c>
      <c r="AV467" s="9" t="s">
        <v>1802</v>
      </c>
      <c r="AW467" s="12" t="s">
        <v>1804</v>
      </c>
      <c r="AX467" s="10">
        <v>0</v>
      </c>
      <c r="AY467">
        <f>S467*AU467/AS467</f>
        <v>2249998.913586034</v>
      </c>
      <c r="AZ467">
        <f>AU467-AY467</f>
        <v>899999.5654344135</v>
      </c>
      <c r="BA467" s="10">
        <v>7500000</v>
      </c>
      <c r="BB467" s="10">
        <v>0</v>
      </c>
      <c r="BC467" s="9" t="s">
        <v>42</v>
      </c>
      <c r="BD467" s="9">
        <v>10421</v>
      </c>
      <c r="BE467" t="s">
        <v>46</v>
      </c>
    </row>
    <row r="468" spans="1:57" ht="270.75" thickBot="1" x14ac:dyDescent="0.3">
      <c r="A468" s="9" t="s">
        <v>1805</v>
      </c>
      <c r="B468" s="9">
        <v>1003</v>
      </c>
      <c r="C468" s="10">
        <v>2</v>
      </c>
      <c r="D468" s="9" t="s">
        <v>37</v>
      </c>
      <c r="E468" s="11">
        <v>46231.373274652775</v>
      </c>
      <c r="F468" s="9" t="s">
        <v>1806</v>
      </c>
      <c r="G468" s="9" t="s">
        <v>39</v>
      </c>
      <c r="H468" s="9">
        <v>53</v>
      </c>
      <c r="I468" s="9" t="s">
        <v>40</v>
      </c>
      <c r="J468" s="9">
        <v>5309</v>
      </c>
      <c r="K468" s="9" t="s">
        <v>41</v>
      </c>
      <c r="L468" s="9">
        <v>5309062</v>
      </c>
      <c r="M468" s="9">
        <v>5309062004</v>
      </c>
      <c r="N468" s="9" t="s">
        <v>42</v>
      </c>
      <c r="O468" s="9">
        <v>10421</v>
      </c>
      <c r="P468" s="9" t="s">
        <v>1807</v>
      </c>
      <c r="Q468" s="10">
        <v>3</v>
      </c>
      <c r="R468" s="10">
        <v>0</v>
      </c>
      <c r="S468" s="10">
        <v>100000</v>
      </c>
      <c r="T468" s="10">
        <v>0</v>
      </c>
      <c r="U468" s="10">
        <v>100000</v>
      </c>
      <c r="V468" s="10">
        <v>0</v>
      </c>
      <c r="W468" s="10">
        <v>200000</v>
      </c>
      <c r="X468" s="10">
        <v>8000000</v>
      </c>
      <c r="Y468" s="10">
        <v>0</v>
      </c>
      <c r="Z468" s="10">
        <v>7800000</v>
      </c>
      <c r="AA468" s="10">
        <v>5150000</v>
      </c>
      <c r="AB468" s="10">
        <v>8000000</v>
      </c>
      <c r="AC468" s="10">
        <v>0</v>
      </c>
      <c r="AD468" s="9" t="s">
        <v>44</v>
      </c>
      <c r="AE468" s="10" t="s">
        <v>2282</v>
      </c>
      <c r="AF468" s="13">
        <v>2666666667</v>
      </c>
      <c r="AG468" s="10">
        <v>1</v>
      </c>
      <c r="AH468" s="10">
        <v>1</v>
      </c>
      <c r="AI468" s="10">
        <v>1</v>
      </c>
      <c r="AJ468" s="12" t="s">
        <v>1808</v>
      </c>
      <c r="AK468" s="10">
        <v>0</v>
      </c>
      <c r="AL468" s="10">
        <v>0</v>
      </c>
      <c r="AM468" s="9">
        <v>2023</v>
      </c>
      <c r="AN468" s="10">
        <v>0</v>
      </c>
      <c r="AO468" s="10">
        <v>3</v>
      </c>
      <c r="AP468" s="10"/>
      <c r="AQ468" s="5"/>
      <c r="AR468" s="5"/>
      <c r="AS468" s="4">
        <f t="shared" si="21"/>
        <v>200000</v>
      </c>
      <c r="AT468" s="4">
        <f t="shared" si="22"/>
        <v>4640000</v>
      </c>
      <c r="AU468" s="4">
        <f t="shared" si="23"/>
        <v>3360000</v>
      </c>
      <c r="AV468" s="9" t="s">
        <v>1807</v>
      </c>
      <c r="AW468" s="12" t="s">
        <v>1808</v>
      </c>
      <c r="AX468" s="10">
        <v>0</v>
      </c>
      <c r="AY468">
        <f>S468*AU468/AS468</f>
        <v>1680000</v>
      </c>
      <c r="AZ468">
        <f>AU468-AY468</f>
        <v>1680000</v>
      </c>
      <c r="BA468" s="10">
        <v>8000000</v>
      </c>
      <c r="BB468" s="10">
        <v>0</v>
      </c>
      <c r="BC468" s="9" t="s">
        <v>42</v>
      </c>
      <c r="BD468" s="9">
        <v>10421</v>
      </c>
      <c r="BE468" t="s">
        <v>46</v>
      </c>
    </row>
    <row r="469" spans="1:57" ht="270.75" thickBot="1" x14ac:dyDescent="0.3">
      <c r="A469" s="9" t="s">
        <v>1809</v>
      </c>
      <c r="B469" s="9">
        <v>3001</v>
      </c>
      <c r="C469" s="10">
        <v>2</v>
      </c>
      <c r="D469" s="9" t="s">
        <v>37</v>
      </c>
      <c r="E469" s="14">
        <v>46244.956712962965</v>
      </c>
      <c r="F469" s="9" t="s">
        <v>1810</v>
      </c>
      <c r="G469" s="9" t="s">
        <v>39</v>
      </c>
      <c r="H469" s="9">
        <v>53</v>
      </c>
      <c r="I469" s="9" t="s">
        <v>40</v>
      </c>
      <c r="J469" s="9">
        <v>5309</v>
      </c>
      <c r="K469" s="9" t="s">
        <v>41</v>
      </c>
      <c r="L469" s="9">
        <v>5309062</v>
      </c>
      <c r="M469" s="9">
        <v>5309062007</v>
      </c>
      <c r="N469" s="9" t="s">
        <v>42</v>
      </c>
      <c r="O469" s="9">
        <v>10421</v>
      </c>
      <c r="P469" s="9" t="s">
        <v>1811</v>
      </c>
      <c r="Q469" s="10">
        <v>3</v>
      </c>
      <c r="R469" s="10">
        <v>920000</v>
      </c>
      <c r="S469" s="10">
        <v>150000</v>
      </c>
      <c r="T469" s="10">
        <v>0</v>
      </c>
      <c r="U469" s="10">
        <v>200000</v>
      </c>
      <c r="V469" s="10">
        <v>0</v>
      </c>
      <c r="W469" s="10">
        <v>1270000</v>
      </c>
      <c r="X469" s="10">
        <v>12700000</v>
      </c>
      <c r="Y469" s="10">
        <v>0</v>
      </c>
      <c r="Z469" s="10">
        <v>12350000</v>
      </c>
      <c r="AA469" s="10">
        <v>8700000</v>
      </c>
      <c r="AB469" s="10">
        <v>12700000</v>
      </c>
      <c r="AC469" s="10">
        <v>0</v>
      </c>
      <c r="AD469" s="9" t="s">
        <v>44</v>
      </c>
      <c r="AE469" s="10" t="s">
        <v>2535</v>
      </c>
      <c r="AF469" s="13">
        <v>4233333333</v>
      </c>
      <c r="AG469" s="10">
        <v>1</v>
      </c>
      <c r="AH469" s="10">
        <v>1</v>
      </c>
      <c r="AI469" s="10">
        <v>1</v>
      </c>
      <c r="AJ469" s="12" t="s">
        <v>1813</v>
      </c>
      <c r="AK469" s="10">
        <v>0</v>
      </c>
      <c r="AL469" s="10">
        <v>0</v>
      </c>
      <c r="AM469" s="9">
        <v>2001</v>
      </c>
      <c r="AN469" s="10">
        <v>1</v>
      </c>
      <c r="AO469" s="10">
        <v>2</v>
      </c>
      <c r="AP469" s="10"/>
      <c r="AQ469" s="5"/>
      <c r="AR469" s="5"/>
      <c r="AS469" s="4">
        <f t="shared" si="21"/>
        <v>350000</v>
      </c>
      <c r="AT469" s="4">
        <f t="shared" si="22"/>
        <v>7365999.5824939497</v>
      </c>
      <c r="AU469" s="4">
        <f t="shared" si="23"/>
        <v>5334000.4175060503</v>
      </c>
      <c r="AV469" s="9" t="s">
        <v>1811</v>
      </c>
      <c r="AW469" s="12" t="s">
        <v>1813</v>
      </c>
      <c r="AX469" s="10">
        <v>0</v>
      </c>
      <c r="AY469">
        <f>S469*AU469/AS469</f>
        <v>2286000.1789311646</v>
      </c>
      <c r="AZ469">
        <f>AU469-AY469</f>
        <v>3048000.2385748858</v>
      </c>
      <c r="BA469" s="10">
        <v>12700000</v>
      </c>
      <c r="BB469" s="10">
        <v>0</v>
      </c>
      <c r="BC469" s="9" t="s">
        <v>42</v>
      </c>
      <c r="BD469" s="9">
        <v>10421</v>
      </c>
      <c r="BE469" t="s">
        <v>46</v>
      </c>
    </row>
    <row r="470" spans="1:57" ht="270.75" thickBot="1" x14ac:dyDescent="0.3">
      <c r="A470" s="9" t="s">
        <v>1814</v>
      </c>
      <c r="B470" s="9">
        <v>3002</v>
      </c>
      <c r="C470" s="10">
        <v>2</v>
      </c>
      <c r="D470" s="9" t="s">
        <v>37</v>
      </c>
      <c r="E470" s="11">
        <v>46215.545007824076</v>
      </c>
      <c r="F470" s="9" t="s">
        <v>1815</v>
      </c>
      <c r="G470" s="9" t="s">
        <v>39</v>
      </c>
      <c r="H470" s="9">
        <v>53</v>
      </c>
      <c r="I470" s="9" t="s">
        <v>40</v>
      </c>
      <c r="J470" s="9">
        <v>5309</v>
      </c>
      <c r="K470" s="9" t="s">
        <v>41</v>
      </c>
      <c r="L470" s="9">
        <v>5309062</v>
      </c>
      <c r="M470" s="9">
        <v>5309062009</v>
      </c>
      <c r="N470" s="9" t="s">
        <v>42</v>
      </c>
      <c r="O470" s="9">
        <v>10421</v>
      </c>
      <c r="P470" s="9" t="s">
        <v>1816</v>
      </c>
      <c r="Q470" s="10">
        <v>9</v>
      </c>
      <c r="R470" s="10">
        <v>1750000</v>
      </c>
      <c r="S470" s="10">
        <v>200000</v>
      </c>
      <c r="T470" s="10">
        <v>0</v>
      </c>
      <c r="U470" s="10">
        <v>350000</v>
      </c>
      <c r="V470" s="10">
        <v>0</v>
      </c>
      <c r="W470" s="10">
        <v>2300000</v>
      </c>
      <c r="X470" s="10">
        <v>12000000</v>
      </c>
      <c r="Y470" s="10">
        <v>0</v>
      </c>
      <c r="Z470" s="10">
        <v>11450000</v>
      </c>
      <c r="AA470" s="10">
        <v>4800000</v>
      </c>
      <c r="AB470" s="10">
        <v>12000000</v>
      </c>
      <c r="AC470" s="10">
        <v>0</v>
      </c>
      <c r="AD470" s="9" t="s">
        <v>44</v>
      </c>
      <c r="AE470" s="10" t="s">
        <v>2536</v>
      </c>
      <c r="AF470" s="13">
        <v>1333333333</v>
      </c>
      <c r="AG470" s="10">
        <v>1</v>
      </c>
      <c r="AH470" s="10">
        <v>1</v>
      </c>
      <c r="AI470" s="10">
        <v>1</v>
      </c>
      <c r="AJ470" s="12" t="s">
        <v>1817</v>
      </c>
      <c r="AK470" s="10">
        <v>0</v>
      </c>
      <c r="AL470" s="10">
        <v>0</v>
      </c>
      <c r="AM470" s="9">
        <v>2017</v>
      </c>
      <c r="AN470" s="10">
        <v>5</v>
      </c>
      <c r="AO470" s="10">
        <v>4</v>
      </c>
      <c r="AP470" s="10"/>
      <c r="AQ470" s="5"/>
      <c r="AR470" s="5"/>
      <c r="AS470" s="4">
        <f t="shared" si="21"/>
        <v>550000</v>
      </c>
      <c r="AT470" s="4">
        <f t="shared" si="22"/>
        <v>6959997.5685598012</v>
      </c>
      <c r="AU470" s="4">
        <f t="shared" si="23"/>
        <v>5040002.4314401988</v>
      </c>
      <c r="AV470" s="9" t="s">
        <v>1816</v>
      </c>
      <c r="AW470" s="12" t="s">
        <v>1817</v>
      </c>
      <c r="AX470" s="10">
        <v>0</v>
      </c>
      <c r="AY470">
        <f>S470*AU470/AS470</f>
        <v>1832728.156887345</v>
      </c>
      <c r="AZ470">
        <f>AU470-AY470</f>
        <v>3207274.2745528538</v>
      </c>
      <c r="BA470" s="10">
        <v>12000000</v>
      </c>
      <c r="BB470" s="10">
        <v>0</v>
      </c>
      <c r="BC470" s="9" t="s">
        <v>42</v>
      </c>
      <c r="BD470" s="9">
        <v>10421</v>
      </c>
      <c r="BE470" t="s">
        <v>46</v>
      </c>
    </row>
    <row r="471" spans="1:57" ht="270.75" thickBot="1" x14ac:dyDescent="0.3">
      <c r="A471" s="9" t="s">
        <v>1818</v>
      </c>
      <c r="B471" s="9">
        <v>3004</v>
      </c>
      <c r="C471" s="10">
        <v>2</v>
      </c>
      <c r="D471" s="9" t="s">
        <v>37</v>
      </c>
      <c r="E471" s="11">
        <v>46209.903626099534</v>
      </c>
      <c r="F471" s="9" t="s">
        <v>1819</v>
      </c>
      <c r="G471" s="9" t="s">
        <v>39</v>
      </c>
      <c r="H471" s="9">
        <v>53</v>
      </c>
      <c r="I471" s="9" t="s">
        <v>40</v>
      </c>
      <c r="J471" s="9">
        <v>5309</v>
      </c>
      <c r="K471" s="9" t="s">
        <v>41</v>
      </c>
      <c r="L471" s="9">
        <v>5309062</v>
      </c>
      <c r="M471" s="9">
        <v>5309062001</v>
      </c>
      <c r="N471" s="9" t="s">
        <v>42</v>
      </c>
      <c r="O471" s="9">
        <v>10422</v>
      </c>
      <c r="P471" s="9" t="s">
        <v>1820</v>
      </c>
      <c r="Q471" s="10">
        <v>2</v>
      </c>
      <c r="R471" s="10">
        <v>100000</v>
      </c>
      <c r="S471" s="10">
        <v>100000</v>
      </c>
      <c r="T471" s="10">
        <v>0</v>
      </c>
      <c r="U471" s="10">
        <v>100000</v>
      </c>
      <c r="V471" s="10">
        <v>0</v>
      </c>
      <c r="W471" s="10">
        <v>300000</v>
      </c>
      <c r="X471" s="10">
        <v>5000000</v>
      </c>
      <c r="Y471" s="10">
        <v>100000</v>
      </c>
      <c r="Z471" s="10">
        <v>4800000</v>
      </c>
      <c r="AA471" s="10">
        <v>3000000</v>
      </c>
      <c r="AB471" s="10">
        <v>5000000</v>
      </c>
      <c r="AC471" s="10">
        <v>0</v>
      </c>
      <c r="AD471" s="9" t="s">
        <v>44</v>
      </c>
      <c r="AE471" s="10" t="s">
        <v>809</v>
      </c>
      <c r="AF471" s="10">
        <v>2500000</v>
      </c>
      <c r="AG471" s="10">
        <v>1</v>
      </c>
      <c r="AH471" s="10">
        <v>1</v>
      </c>
      <c r="AI471" s="10">
        <v>1</v>
      </c>
      <c r="AJ471" s="12" t="s">
        <v>1821</v>
      </c>
      <c r="AK471" s="10">
        <v>0</v>
      </c>
      <c r="AL471" s="10">
        <v>0</v>
      </c>
      <c r="AM471" s="9">
        <v>2023</v>
      </c>
      <c r="AN471" s="10">
        <v>1</v>
      </c>
      <c r="AO471" s="10">
        <v>1</v>
      </c>
      <c r="AP471" s="10"/>
      <c r="AQ471" s="5"/>
      <c r="AR471" s="5"/>
      <c r="AS471" s="4">
        <f t="shared" si="21"/>
        <v>200000</v>
      </c>
      <c r="AT471" s="4">
        <f t="shared" si="22"/>
        <v>2900000</v>
      </c>
      <c r="AU471" s="4">
        <f t="shared" si="23"/>
        <v>2100000</v>
      </c>
      <c r="AV471" s="9" t="s">
        <v>1820</v>
      </c>
      <c r="AW471" s="12" t="s">
        <v>1821</v>
      </c>
      <c r="AX471" s="10">
        <v>0</v>
      </c>
      <c r="AY471">
        <f>S471*AU471/AS471</f>
        <v>1050000</v>
      </c>
      <c r="AZ471">
        <f>AU471-AY471</f>
        <v>1050000</v>
      </c>
      <c r="BA471" s="10">
        <v>5000000</v>
      </c>
      <c r="BB471" s="10">
        <v>100000</v>
      </c>
      <c r="BC471" s="9" t="s">
        <v>42</v>
      </c>
      <c r="BD471" s="9">
        <v>10422</v>
      </c>
      <c r="BE471" t="s">
        <v>46</v>
      </c>
    </row>
    <row r="472" spans="1:57" ht="270.75" thickBot="1" x14ac:dyDescent="0.3">
      <c r="A472" s="9" t="s">
        <v>1822</v>
      </c>
      <c r="B472" s="9">
        <v>1002</v>
      </c>
      <c r="C472" s="10">
        <v>2</v>
      </c>
      <c r="D472" s="9" t="s">
        <v>37</v>
      </c>
      <c r="E472" s="11">
        <v>46246.26039127315</v>
      </c>
      <c r="F472" s="9" t="s">
        <v>1823</v>
      </c>
      <c r="G472" s="9" t="s">
        <v>39</v>
      </c>
      <c r="H472" s="9">
        <v>53</v>
      </c>
      <c r="I472" s="9" t="s">
        <v>40</v>
      </c>
      <c r="J472" s="9">
        <v>5309</v>
      </c>
      <c r="K472" s="9" t="s">
        <v>41</v>
      </c>
      <c r="L472" s="9">
        <v>5309040</v>
      </c>
      <c r="M472" s="9">
        <v>5309040001</v>
      </c>
      <c r="N472" s="9" t="s">
        <v>42</v>
      </c>
      <c r="O472" s="9">
        <v>10422</v>
      </c>
      <c r="P472" s="9" t="s">
        <v>1824</v>
      </c>
      <c r="Q472" s="10">
        <v>2</v>
      </c>
      <c r="R472" s="10">
        <v>0</v>
      </c>
      <c r="S472" s="10">
        <v>500000</v>
      </c>
      <c r="T472" s="10">
        <v>0</v>
      </c>
      <c r="U472" s="10">
        <v>200000</v>
      </c>
      <c r="V472" s="10">
        <v>0</v>
      </c>
      <c r="W472" s="10">
        <v>700000</v>
      </c>
      <c r="X472" s="10">
        <v>4500000</v>
      </c>
      <c r="Y472" s="10">
        <v>0</v>
      </c>
      <c r="Z472" s="10">
        <v>3800000</v>
      </c>
      <c r="AA472" s="10">
        <v>1800000</v>
      </c>
      <c r="AB472" s="10">
        <v>4500000</v>
      </c>
      <c r="AC472" s="10">
        <v>0</v>
      </c>
      <c r="AD472" s="9" t="s">
        <v>44</v>
      </c>
      <c r="AE472" s="10" t="s">
        <v>2537</v>
      </c>
      <c r="AF472" s="10">
        <v>2250000</v>
      </c>
      <c r="AG472" s="10">
        <v>1</v>
      </c>
      <c r="AH472" s="10">
        <v>1</v>
      </c>
      <c r="AI472" s="10">
        <v>1</v>
      </c>
      <c r="AJ472" s="12" t="s">
        <v>1825</v>
      </c>
      <c r="AK472" s="10">
        <v>0</v>
      </c>
      <c r="AL472" s="10">
        <v>0</v>
      </c>
      <c r="AM472" s="9">
        <v>2024</v>
      </c>
      <c r="AN472" s="10">
        <v>0</v>
      </c>
      <c r="AO472" s="10">
        <v>2</v>
      </c>
      <c r="AP472" s="10"/>
      <c r="AQ472" s="5"/>
      <c r="AR472" s="5"/>
      <c r="AS472" s="4">
        <f t="shared" si="21"/>
        <v>700000</v>
      </c>
      <c r="AT472" s="4">
        <f t="shared" si="22"/>
        <v>2610001.3736849334</v>
      </c>
      <c r="AU472" s="4">
        <f t="shared" si="23"/>
        <v>1889998.6263150666</v>
      </c>
      <c r="AV472" s="9" t="s">
        <v>1824</v>
      </c>
      <c r="AW472" s="12" t="s">
        <v>1825</v>
      </c>
      <c r="AX472" s="10">
        <v>0</v>
      </c>
      <c r="AY472">
        <f>S472*AU472/AS472</f>
        <v>1349999.0187964761</v>
      </c>
      <c r="AZ472">
        <f>AU472-AY472</f>
        <v>539999.60751859052</v>
      </c>
      <c r="BA472" s="10">
        <v>4500000</v>
      </c>
      <c r="BB472" s="10">
        <v>0</v>
      </c>
      <c r="BC472" s="9" t="s">
        <v>42</v>
      </c>
      <c r="BD472" s="9">
        <v>10422</v>
      </c>
      <c r="BE472" t="s">
        <v>46</v>
      </c>
    </row>
    <row r="473" spans="1:57" ht="270.75" thickBot="1" x14ac:dyDescent="0.3">
      <c r="A473" s="9" t="s">
        <v>1826</v>
      </c>
      <c r="B473" s="9">
        <v>1002</v>
      </c>
      <c r="C473" s="10">
        <v>2</v>
      </c>
      <c r="D473" s="9" t="s">
        <v>37</v>
      </c>
      <c r="E473" s="11">
        <v>46267.273737465279</v>
      </c>
      <c r="F473" s="9" t="s">
        <v>1827</v>
      </c>
      <c r="G473" s="9" t="s">
        <v>39</v>
      </c>
      <c r="H473" s="9">
        <v>53</v>
      </c>
      <c r="I473" s="9" t="s">
        <v>40</v>
      </c>
      <c r="J473" s="9">
        <v>5309</v>
      </c>
      <c r="K473" s="9" t="s">
        <v>41</v>
      </c>
      <c r="L473" s="9">
        <v>5309073</v>
      </c>
      <c r="M473" s="9">
        <v>5309073005</v>
      </c>
      <c r="N473" s="9" t="s">
        <v>42</v>
      </c>
      <c r="O473" s="9">
        <v>10422</v>
      </c>
      <c r="P473" s="9" t="s">
        <v>1828</v>
      </c>
      <c r="Q473" s="10">
        <v>3</v>
      </c>
      <c r="R473" s="10">
        <v>0</v>
      </c>
      <c r="S473" s="10">
        <v>400000</v>
      </c>
      <c r="T473" s="10">
        <v>0</v>
      </c>
      <c r="U473" s="10">
        <v>0</v>
      </c>
      <c r="V473" s="10">
        <v>0</v>
      </c>
      <c r="W473" s="10">
        <v>400000</v>
      </c>
      <c r="X473" s="10">
        <v>2000000</v>
      </c>
      <c r="Y473" s="10">
        <v>0</v>
      </c>
      <c r="Z473" s="10">
        <v>1600000</v>
      </c>
      <c r="AA473" s="10">
        <v>300000</v>
      </c>
      <c r="AB473" s="10">
        <v>2000000</v>
      </c>
      <c r="AC473" s="10">
        <v>0</v>
      </c>
      <c r="AD473" s="9" t="s">
        <v>44</v>
      </c>
      <c r="AE473" s="10" t="s">
        <v>2296</v>
      </c>
      <c r="AF473" s="13">
        <v>6666666667</v>
      </c>
      <c r="AG473" s="10">
        <v>1</v>
      </c>
      <c r="AH473" s="10">
        <v>1</v>
      </c>
      <c r="AI473" s="10">
        <v>1</v>
      </c>
      <c r="AJ473" s="12" t="s">
        <v>1829</v>
      </c>
      <c r="AK473" s="10">
        <v>0</v>
      </c>
      <c r="AL473" s="10">
        <v>0</v>
      </c>
      <c r="AM473" s="9">
        <v>2020</v>
      </c>
      <c r="AN473" s="10">
        <v>0</v>
      </c>
      <c r="AO473" s="10">
        <v>3</v>
      </c>
      <c r="AP473" s="10"/>
      <c r="AQ473" s="5"/>
      <c r="AR473" s="5"/>
      <c r="AS473" s="4">
        <f t="shared" si="21"/>
        <v>400000</v>
      </c>
      <c r="AT473" s="4">
        <f t="shared" si="22"/>
        <v>1159999.9999999998</v>
      </c>
      <c r="AU473" s="4">
        <f t="shared" si="23"/>
        <v>840000.00000000023</v>
      </c>
      <c r="AV473" s="9" t="s">
        <v>1828</v>
      </c>
      <c r="AW473" s="12" t="s">
        <v>1829</v>
      </c>
      <c r="AX473" s="10">
        <v>0</v>
      </c>
      <c r="AY473">
        <f>S473*AU473/AS473</f>
        <v>840000.00000000035</v>
      </c>
      <c r="AZ473">
        <f>AU473-AY473</f>
        <v>0</v>
      </c>
      <c r="BA473" s="10">
        <v>2000000</v>
      </c>
      <c r="BB473" s="10">
        <v>0</v>
      </c>
      <c r="BC473" s="9" t="s">
        <v>42</v>
      </c>
      <c r="BD473" s="9">
        <v>10422</v>
      </c>
      <c r="BE473" t="s">
        <v>46</v>
      </c>
    </row>
    <row r="474" spans="1:57" ht="270.75" thickBot="1" x14ac:dyDescent="0.3">
      <c r="A474" s="9" t="s">
        <v>1830</v>
      </c>
      <c r="B474" s="9">
        <v>1002</v>
      </c>
      <c r="C474" s="10">
        <v>2</v>
      </c>
      <c r="D474" s="9" t="s">
        <v>37</v>
      </c>
      <c r="E474" s="11">
        <v>46219.272714583334</v>
      </c>
      <c r="F474" s="9" t="s">
        <v>1831</v>
      </c>
      <c r="G474" s="9" t="s">
        <v>39</v>
      </c>
      <c r="H474" s="9">
        <v>53</v>
      </c>
      <c r="I474" s="9" t="s">
        <v>40</v>
      </c>
      <c r="J474" s="9">
        <v>5309</v>
      </c>
      <c r="K474" s="9" t="s">
        <v>41</v>
      </c>
      <c r="L474" s="9">
        <v>5309031</v>
      </c>
      <c r="M474" s="9">
        <v>5309031004</v>
      </c>
      <c r="N474" s="9" t="s">
        <v>42</v>
      </c>
      <c r="O474" s="9">
        <v>10422</v>
      </c>
      <c r="P474" s="9" t="s">
        <v>1832</v>
      </c>
      <c r="Q474" s="10">
        <v>1</v>
      </c>
      <c r="R474" s="10">
        <v>0</v>
      </c>
      <c r="S474" s="10">
        <v>600000</v>
      </c>
      <c r="T474" s="10">
        <v>0</v>
      </c>
      <c r="U474" s="10">
        <v>0</v>
      </c>
      <c r="V474" s="10">
        <v>0</v>
      </c>
      <c r="W474" s="10">
        <v>600000</v>
      </c>
      <c r="X474" s="10">
        <v>1680000</v>
      </c>
      <c r="Y474" s="10">
        <v>0</v>
      </c>
      <c r="Z474" s="10">
        <v>1080000</v>
      </c>
      <c r="AA474" s="10">
        <v>10000000</v>
      </c>
      <c r="AB474" s="10">
        <v>1680000</v>
      </c>
      <c r="AC474" s="10">
        <v>0</v>
      </c>
      <c r="AD474" s="9" t="s">
        <v>44</v>
      </c>
      <c r="AE474" s="10" t="s">
        <v>2374</v>
      </c>
      <c r="AF474" s="10">
        <v>1680000</v>
      </c>
      <c r="AG474" s="10">
        <v>1</v>
      </c>
      <c r="AH474" s="10">
        <v>1</v>
      </c>
      <c r="AI474" s="10">
        <v>1</v>
      </c>
      <c r="AJ474" s="12" t="s">
        <v>1833</v>
      </c>
      <c r="AK474" s="10">
        <v>0</v>
      </c>
      <c r="AL474" s="10">
        <v>0</v>
      </c>
      <c r="AM474" s="9">
        <v>2024</v>
      </c>
      <c r="AN474" s="10">
        <v>0</v>
      </c>
      <c r="AO474" s="10">
        <v>1</v>
      </c>
      <c r="AP474" s="10"/>
      <c r="AQ474" s="5"/>
      <c r="AR474" s="5"/>
      <c r="AS474" s="4">
        <f t="shared" si="21"/>
        <v>600000</v>
      </c>
      <c r="AT474" s="4">
        <f t="shared" si="22"/>
        <v>974400.21653338149</v>
      </c>
      <c r="AU474" s="4">
        <f t="shared" si="23"/>
        <v>705599.78346661851</v>
      </c>
      <c r="AV474" s="9" t="s">
        <v>1832</v>
      </c>
      <c r="AW474" s="12" t="s">
        <v>1833</v>
      </c>
      <c r="AX474" s="10">
        <v>0</v>
      </c>
      <c r="AY474">
        <f>S474*AU474/AS474</f>
        <v>705599.78346661851</v>
      </c>
      <c r="AZ474">
        <f>AU474-AY474</f>
        <v>0</v>
      </c>
      <c r="BA474" s="10">
        <v>1680000</v>
      </c>
      <c r="BB474" s="10">
        <v>0</v>
      </c>
      <c r="BC474" s="9" t="s">
        <v>42</v>
      </c>
      <c r="BD474" s="9">
        <v>10422</v>
      </c>
      <c r="BE474" t="s">
        <v>46</v>
      </c>
    </row>
    <row r="475" spans="1:57" ht="255.75" thickBot="1" x14ac:dyDescent="0.3">
      <c r="A475" s="9" t="s">
        <v>1834</v>
      </c>
      <c r="B475" s="9">
        <v>3001</v>
      </c>
      <c r="C475" s="10">
        <v>2</v>
      </c>
      <c r="D475" s="9" t="s">
        <v>37</v>
      </c>
      <c r="E475" s="11">
        <v>46293.103506215281</v>
      </c>
      <c r="F475" s="9" t="s">
        <v>1835</v>
      </c>
      <c r="G475" s="9" t="s">
        <v>39</v>
      </c>
      <c r="H475" s="9">
        <v>53</v>
      </c>
      <c r="I475" s="9" t="s">
        <v>40</v>
      </c>
      <c r="J475" s="9">
        <v>5309</v>
      </c>
      <c r="K475" s="9" t="s">
        <v>41</v>
      </c>
      <c r="L475" s="9">
        <v>5309072</v>
      </c>
      <c r="M475" s="9">
        <v>5309072013</v>
      </c>
      <c r="N475" s="9" t="s">
        <v>42</v>
      </c>
      <c r="O475" s="9">
        <v>10422</v>
      </c>
      <c r="P475" s="9" t="s">
        <v>1836</v>
      </c>
      <c r="Q475" s="10">
        <v>6</v>
      </c>
      <c r="R475" s="10">
        <v>6000000</v>
      </c>
      <c r="S475" s="10">
        <v>2000000</v>
      </c>
      <c r="T475" s="10">
        <v>0</v>
      </c>
      <c r="U475" s="10">
        <v>300000</v>
      </c>
      <c r="V475" s="10">
        <v>0</v>
      </c>
      <c r="W475" s="10">
        <v>8300000</v>
      </c>
      <c r="X475" s="10">
        <v>12000000</v>
      </c>
      <c r="Y475" s="10">
        <v>0</v>
      </c>
      <c r="Z475" s="10">
        <v>9700000</v>
      </c>
      <c r="AA475" s="10">
        <v>13000000</v>
      </c>
      <c r="AB475" s="10">
        <v>12000000</v>
      </c>
      <c r="AC475" s="10">
        <v>0</v>
      </c>
      <c r="AD475" s="9" t="s">
        <v>44</v>
      </c>
      <c r="AE475" s="10" t="s">
        <v>2538</v>
      </c>
      <c r="AF475" s="10">
        <v>2000000</v>
      </c>
      <c r="AG475" s="10">
        <v>1</v>
      </c>
      <c r="AH475" s="10">
        <v>1</v>
      </c>
      <c r="AI475" s="10">
        <v>1</v>
      </c>
      <c r="AJ475" s="12" t="s">
        <v>1837</v>
      </c>
      <c r="AK475" s="10">
        <v>0</v>
      </c>
      <c r="AL475" s="10">
        <v>0</v>
      </c>
      <c r="AM475" s="9">
        <v>2009</v>
      </c>
      <c r="AN475" s="10">
        <v>6</v>
      </c>
      <c r="AO475" s="10">
        <v>0</v>
      </c>
      <c r="AP475" s="10"/>
      <c r="AQ475" s="5"/>
      <c r="AR475" s="5"/>
      <c r="AS475" s="4">
        <f t="shared" si="21"/>
        <v>2300000</v>
      </c>
      <c r="AT475" s="4">
        <f t="shared" si="22"/>
        <v>6960002.8701042766</v>
      </c>
      <c r="AU475" s="4">
        <f t="shared" si="23"/>
        <v>5039997.1298957234</v>
      </c>
      <c r="AV475" s="9" t="s">
        <v>1836</v>
      </c>
      <c r="AW475" s="12" t="s">
        <v>1837</v>
      </c>
      <c r="AX475" s="10">
        <v>0</v>
      </c>
      <c r="AY475">
        <f>S475*AU475/AS475</f>
        <v>4382606.1999093248</v>
      </c>
      <c r="AZ475">
        <f>AU475-AY475</f>
        <v>657390.92998639867</v>
      </c>
      <c r="BA475" s="10">
        <v>12000000</v>
      </c>
      <c r="BB475" s="10">
        <v>0</v>
      </c>
      <c r="BC475" s="9" t="s">
        <v>42</v>
      </c>
      <c r="BD475" s="9">
        <v>10422</v>
      </c>
      <c r="BE475" t="s">
        <v>46</v>
      </c>
    </row>
    <row r="476" spans="1:57" ht="270.75" thickBot="1" x14ac:dyDescent="0.3">
      <c r="A476" s="9" t="s">
        <v>1838</v>
      </c>
      <c r="B476" s="9">
        <v>1</v>
      </c>
      <c r="C476" s="10">
        <v>2</v>
      </c>
      <c r="D476" s="9" t="s">
        <v>37</v>
      </c>
      <c r="E476" s="11">
        <v>46212.529371863428</v>
      </c>
      <c r="F476" s="9" t="s">
        <v>1839</v>
      </c>
      <c r="G476" s="9" t="s">
        <v>39</v>
      </c>
      <c r="H476" s="9">
        <v>53</v>
      </c>
      <c r="I476" s="9" t="s">
        <v>40</v>
      </c>
      <c r="J476" s="9">
        <v>5309</v>
      </c>
      <c r="K476" s="9" t="s">
        <v>41</v>
      </c>
      <c r="L476" s="9">
        <v>5309062</v>
      </c>
      <c r="M476" s="9">
        <v>5309062008</v>
      </c>
      <c r="N476" s="9" t="s">
        <v>42</v>
      </c>
      <c r="O476" s="9">
        <v>10422</v>
      </c>
      <c r="P476" s="9" t="s">
        <v>1840</v>
      </c>
      <c r="Q476" s="10">
        <v>1</v>
      </c>
      <c r="R476" s="10">
        <v>0</v>
      </c>
      <c r="S476" s="10">
        <v>100000</v>
      </c>
      <c r="T476" s="10">
        <v>0</v>
      </c>
      <c r="U476" s="10">
        <v>250000</v>
      </c>
      <c r="V476" s="10">
        <v>0</v>
      </c>
      <c r="W476" s="10">
        <v>350000</v>
      </c>
      <c r="X476" s="10">
        <v>2000000</v>
      </c>
      <c r="Y476" s="10">
        <v>0</v>
      </c>
      <c r="Z476" s="10">
        <v>1650000</v>
      </c>
      <c r="AA476" s="10">
        <v>2400000</v>
      </c>
      <c r="AB476" s="10">
        <v>2000000</v>
      </c>
      <c r="AC476" s="10">
        <v>0</v>
      </c>
      <c r="AD476" s="9" t="s">
        <v>44</v>
      </c>
      <c r="AE476" s="10" t="s">
        <v>2539</v>
      </c>
      <c r="AF476" s="10">
        <v>2000000</v>
      </c>
      <c r="AG476" s="10">
        <v>1</v>
      </c>
      <c r="AH476" s="10">
        <v>1</v>
      </c>
      <c r="AI476" s="10">
        <v>1</v>
      </c>
      <c r="AJ476" s="12" t="s">
        <v>1841</v>
      </c>
      <c r="AK476" s="10">
        <v>0</v>
      </c>
      <c r="AL476" s="10">
        <v>0</v>
      </c>
      <c r="AM476" s="9">
        <v>2015</v>
      </c>
      <c r="AN476" s="10">
        <v>0</v>
      </c>
      <c r="AO476" s="10">
        <v>1</v>
      </c>
      <c r="AP476" s="10"/>
      <c r="AQ476" s="5"/>
      <c r="AR476" s="5"/>
      <c r="AS476" s="4">
        <f t="shared" si="21"/>
        <v>350000</v>
      </c>
      <c r="AT476" s="4">
        <f t="shared" si="22"/>
        <v>1160000</v>
      </c>
      <c r="AU476" s="4">
        <f t="shared" si="23"/>
        <v>840000</v>
      </c>
      <c r="AV476" s="9" t="s">
        <v>1840</v>
      </c>
      <c r="AW476" s="12" t="s">
        <v>1841</v>
      </c>
      <c r="AX476" s="10">
        <v>0</v>
      </c>
      <c r="AY476">
        <f>S476*AU476/AS476</f>
        <v>240000</v>
      </c>
      <c r="AZ476">
        <f>AU476-AY476</f>
        <v>600000</v>
      </c>
      <c r="BA476" s="10">
        <v>2000000</v>
      </c>
      <c r="BB476" s="10">
        <v>0</v>
      </c>
      <c r="BC476" s="9" t="s">
        <v>42</v>
      </c>
      <c r="BD476" s="9">
        <v>10422</v>
      </c>
      <c r="BE476" t="s">
        <v>46</v>
      </c>
    </row>
    <row r="477" spans="1:57" ht="270.75" thickBot="1" x14ac:dyDescent="0.3">
      <c r="A477" s="9" t="s">
        <v>1842</v>
      </c>
      <c r="B477" s="9">
        <v>1001</v>
      </c>
      <c r="C477" s="10">
        <v>2</v>
      </c>
      <c r="D477" s="9" t="s">
        <v>37</v>
      </c>
      <c r="E477" s="11">
        <v>46265.026414351851</v>
      </c>
      <c r="F477" s="9" t="s">
        <v>1843</v>
      </c>
      <c r="G477" s="9" t="s">
        <v>39</v>
      </c>
      <c r="H477" s="9">
        <v>53</v>
      </c>
      <c r="I477" s="9" t="s">
        <v>40</v>
      </c>
      <c r="J477" s="9">
        <v>5309</v>
      </c>
      <c r="K477" s="9" t="s">
        <v>41</v>
      </c>
      <c r="L477" s="9">
        <v>5309030</v>
      </c>
      <c r="M477" s="9">
        <v>5309030011</v>
      </c>
      <c r="N477" s="9" t="s">
        <v>42</v>
      </c>
      <c r="O477" s="9">
        <v>10422</v>
      </c>
      <c r="P477" s="9" t="s">
        <v>1844</v>
      </c>
      <c r="Q477" s="10">
        <v>1</v>
      </c>
      <c r="R477" s="10">
        <v>0</v>
      </c>
      <c r="S477" s="10">
        <v>2500000</v>
      </c>
      <c r="T477" s="10">
        <v>0</v>
      </c>
      <c r="U477" s="10">
        <v>200000</v>
      </c>
      <c r="V477" s="10">
        <v>0</v>
      </c>
      <c r="W477" s="10">
        <v>2700000</v>
      </c>
      <c r="X477" s="10">
        <v>8500000</v>
      </c>
      <c r="Y477" s="10">
        <v>0</v>
      </c>
      <c r="Z477" s="10">
        <v>5800000</v>
      </c>
      <c r="AA477" s="10">
        <v>95500000</v>
      </c>
      <c r="AB477" s="10">
        <v>8500000</v>
      </c>
      <c r="AC477" s="10">
        <v>0</v>
      </c>
      <c r="AD477" s="9" t="s">
        <v>44</v>
      </c>
      <c r="AE477" s="10" t="s">
        <v>2540</v>
      </c>
      <c r="AF477" s="10">
        <v>8500000</v>
      </c>
      <c r="AG477" s="10">
        <v>1</v>
      </c>
      <c r="AH477" s="10">
        <v>1</v>
      </c>
      <c r="AI477" s="10">
        <v>1</v>
      </c>
      <c r="AJ477" s="12" t="s">
        <v>1845</v>
      </c>
      <c r="AK477" s="10">
        <v>0</v>
      </c>
      <c r="AL477" s="10">
        <v>0</v>
      </c>
      <c r="AM477" s="9">
        <v>2017</v>
      </c>
      <c r="AN477" s="10">
        <v>0</v>
      </c>
      <c r="AO477" s="10">
        <v>1</v>
      </c>
      <c r="AP477" s="10"/>
      <c r="AQ477" s="5"/>
      <c r="AR477" s="5"/>
      <c r="AS477" s="4">
        <f t="shared" si="21"/>
        <v>2700000</v>
      </c>
      <c r="AT477" s="4">
        <f t="shared" si="22"/>
        <v>4929999.5750000365</v>
      </c>
      <c r="AU477" s="4">
        <f t="shared" si="23"/>
        <v>3570000.4249999635</v>
      </c>
      <c r="AV477" s="9" t="s">
        <v>1844</v>
      </c>
      <c r="AW477" s="12" t="s">
        <v>1845</v>
      </c>
      <c r="AX477" s="10">
        <v>0</v>
      </c>
      <c r="AY477">
        <f>S477*AU477/AS477</f>
        <v>3305555.9490740402</v>
      </c>
      <c r="AZ477">
        <f>AU477-AY477</f>
        <v>264444.47592592333</v>
      </c>
      <c r="BA477" s="10">
        <v>8500000</v>
      </c>
      <c r="BB477" s="10">
        <v>0</v>
      </c>
      <c r="BC477" s="9" t="s">
        <v>42</v>
      </c>
      <c r="BD477" s="9">
        <v>10422</v>
      </c>
      <c r="BE477" t="s">
        <v>46</v>
      </c>
    </row>
    <row r="478" spans="1:57" ht="270.75" thickBot="1" x14ac:dyDescent="0.3">
      <c r="A478" s="9" t="s">
        <v>1846</v>
      </c>
      <c r="B478" s="9">
        <v>1002</v>
      </c>
      <c r="C478" s="10">
        <v>2</v>
      </c>
      <c r="D478" s="9" t="s">
        <v>37</v>
      </c>
      <c r="E478" s="11">
        <v>46230.881396655095</v>
      </c>
      <c r="F478" s="9" t="s">
        <v>1847</v>
      </c>
      <c r="G478" s="9" t="s">
        <v>39</v>
      </c>
      <c r="H478" s="9">
        <v>53</v>
      </c>
      <c r="I478" s="9" t="s">
        <v>40</v>
      </c>
      <c r="J478" s="9">
        <v>5309</v>
      </c>
      <c r="K478" s="9" t="s">
        <v>41</v>
      </c>
      <c r="L478" s="9">
        <v>5309010</v>
      </c>
      <c r="M478" s="9">
        <v>5309010011</v>
      </c>
      <c r="N478" s="9" t="s">
        <v>42</v>
      </c>
      <c r="O478" s="9">
        <v>10422</v>
      </c>
      <c r="P478" s="9" t="s">
        <v>1848</v>
      </c>
      <c r="Q478" s="10">
        <v>2</v>
      </c>
      <c r="R478" s="10">
        <v>0</v>
      </c>
      <c r="S478" s="10">
        <v>2400000</v>
      </c>
      <c r="T478" s="10">
        <v>0</v>
      </c>
      <c r="U478" s="10">
        <v>560000</v>
      </c>
      <c r="V478" s="10">
        <v>0</v>
      </c>
      <c r="W478" s="10">
        <v>2960000</v>
      </c>
      <c r="X478" s="10">
        <v>16000000</v>
      </c>
      <c r="Y478" s="10">
        <v>0</v>
      </c>
      <c r="Z478" s="10">
        <v>13040000</v>
      </c>
      <c r="AA478" s="10">
        <v>900000</v>
      </c>
      <c r="AB478" s="10">
        <v>16000000</v>
      </c>
      <c r="AC478" s="10">
        <v>0</v>
      </c>
      <c r="AD478" s="9" t="s">
        <v>44</v>
      </c>
      <c r="AE478" s="10" t="s">
        <v>2534</v>
      </c>
      <c r="AF478" s="10">
        <v>8000000</v>
      </c>
      <c r="AG478" s="10">
        <v>1</v>
      </c>
      <c r="AH478" s="10">
        <v>1</v>
      </c>
      <c r="AI478" s="10">
        <v>1</v>
      </c>
      <c r="AJ478" s="12" t="s">
        <v>1849</v>
      </c>
      <c r="AK478" s="10">
        <v>0</v>
      </c>
      <c r="AL478" s="10">
        <v>0</v>
      </c>
      <c r="AM478" s="9">
        <v>2010</v>
      </c>
      <c r="AN478" s="10">
        <v>0</v>
      </c>
      <c r="AO478" s="10">
        <v>2</v>
      </c>
      <c r="AP478" s="10"/>
      <c r="AQ478" s="5"/>
      <c r="AR478" s="5"/>
      <c r="AS478" s="4">
        <f t="shared" si="21"/>
        <v>2960000</v>
      </c>
      <c r="AT478" s="4">
        <f t="shared" si="22"/>
        <v>9280000</v>
      </c>
      <c r="AU478" s="4">
        <f t="shared" si="23"/>
        <v>6720000</v>
      </c>
      <c r="AV478" s="9" t="s">
        <v>1848</v>
      </c>
      <c r="AW478" s="12" t="s">
        <v>1849</v>
      </c>
      <c r="AX478" s="10">
        <v>0</v>
      </c>
      <c r="AY478">
        <f>S478*AU478/AS478</f>
        <v>5448648.6486486485</v>
      </c>
      <c r="AZ478">
        <f>AU478-AY478</f>
        <v>1271351.3513513515</v>
      </c>
      <c r="BA478" s="10">
        <v>16000000</v>
      </c>
      <c r="BB478" s="10">
        <v>0</v>
      </c>
      <c r="BC478" s="9" t="s">
        <v>42</v>
      </c>
      <c r="BD478" s="9">
        <v>10422</v>
      </c>
      <c r="BE478" t="s">
        <v>46</v>
      </c>
    </row>
    <row r="479" spans="1:57" ht="270.75" thickBot="1" x14ac:dyDescent="0.3">
      <c r="A479" s="9" t="s">
        <v>1850</v>
      </c>
      <c r="B479" s="9">
        <v>1001</v>
      </c>
      <c r="C479" s="10">
        <v>2</v>
      </c>
      <c r="D479" s="9" t="s">
        <v>37</v>
      </c>
      <c r="E479" s="11">
        <v>46278.274355752314</v>
      </c>
      <c r="F479" s="9" t="s">
        <v>1851</v>
      </c>
      <c r="G479" s="9" t="s">
        <v>39</v>
      </c>
      <c r="H479" s="9">
        <v>53</v>
      </c>
      <c r="I479" s="9" t="s">
        <v>40</v>
      </c>
      <c r="J479" s="9">
        <v>5309</v>
      </c>
      <c r="K479" s="9" t="s">
        <v>41</v>
      </c>
      <c r="L479" s="9">
        <v>5309070</v>
      </c>
      <c r="M479" s="9">
        <v>5309070015</v>
      </c>
      <c r="N479" s="9" t="s">
        <v>42</v>
      </c>
      <c r="O479" s="9">
        <v>10422</v>
      </c>
      <c r="P479" s="9" t="s">
        <v>1852</v>
      </c>
      <c r="Q479" s="10">
        <v>2</v>
      </c>
      <c r="R479" s="10">
        <v>0</v>
      </c>
      <c r="S479" s="10">
        <v>1000000</v>
      </c>
      <c r="T479" s="10">
        <v>0</v>
      </c>
      <c r="U479" s="10">
        <v>300000</v>
      </c>
      <c r="V479" s="10">
        <v>0</v>
      </c>
      <c r="W479" s="10">
        <v>1300000</v>
      </c>
      <c r="X479" s="10">
        <v>6000000</v>
      </c>
      <c r="Y479" s="10">
        <v>0</v>
      </c>
      <c r="Z479" s="10">
        <v>4700000</v>
      </c>
      <c r="AA479" s="10">
        <v>1700000</v>
      </c>
      <c r="AB479" s="10">
        <v>6000000</v>
      </c>
      <c r="AC479" s="10">
        <v>0</v>
      </c>
      <c r="AD479" s="9" t="s">
        <v>44</v>
      </c>
      <c r="AE479" s="10" t="s">
        <v>2541</v>
      </c>
      <c r="AF479" s="10">
        <v>3000000</v>
      </c>
      <c r="AG479" s="10">
        <v>1</v>
      </c>
      <c r="AH479" s="10">
        <v>1</v>
      </c>
      <c r="AI479" s="10">
        <v>1</v>
      </c>
      <c r="AJ479" s="12" t="s">
        <v>1853</v>
      </c>
      <c r="AK479" s="10">
        <v>0</v>
      </c>
      <c r="AL479" s="10">
        <v>0</v>
      </c>
      <c r="AM479" s="9">
        <v>2005</v>
      </c>
      <c r="AN479" s="10">
        <v>0</v>
      </c>
      <c r="AO479" s="10">
        <v>2</v>
      </c>
      <c r="AP479" s="10"/>
      <c r="AQ479" s="5"/>
      <c r="AR479" s="5"/>
      <c r="AS479" s="4">
        <f t="shared" si="21"/>
        <v>1300000</v>
      </c>
      <c r="AT479" s="4">
        <f t="shared" si="22"/>
        <v>3480001.480851694</v>
      </c>
      <c r="AU479" s="4">
        <f t="shared" si="23"/>
        <v>2519998.519148306</v>
      </c>
      <c r="AV479" s="9" t="s">
        <v>1852</v>
      </c>
      <c r="AW479" s="12" t="s">
        <v>1853</v>
      </c>
      <c r="AX479" s="10">
        <v>0</v>
      </c>
      <c r="AY479">
        <f>S479*AU479/AS479</f>
        <v>1938460.3993448508</v>
      </c>
      <c r="AZ479">
        <f>AU479-AY479</f>
        <v>581538.11980345519</v>
      </c>
      <c r="BA479" s="10">
        <v>6000000</v>
      </c>
      <c r="BB479" s="10">
        <v>0</v>
      </c>
      <c r="BC479" s="9" t="s">
        <v>42</v>
      </c>
      <c r="BD479" s="9">
        <v>10422</v>
      </c>
      <c r="BE479" t="s">
        <v>46</v>
      </c>
    </row>
    <row r="480" spans="1:57" ht="270.75" thickBot="1" x14ac:dyDescent="0.3">
      <c r="A480" s="9" t="s">
        <v>1854</v>
      </c>
      <c r="B480" s="9">
        <v>1002</v>
      </c>
      <c r="C480" s="10">
        <v>2</v>
      </c>
      <c r="D480" s="9" t="s">
        <v>37</v>
      </c>
      <c r="E480" s="11">
        <v>46279.680220960647</v>
      </c>
      <c r="F480" s="9" t="s">
        <v>1855</v>
      </c>
      <c r="G480" s="9" t="s">
        <v>39</v>
      </c>
      <c r="H480" s="9">
        <v>53</v>
      </c>
      <c r="I480" s="9" t="s">
        <v>40</v>
      </c>
      <c r="J480" s="9">
        <v>5309</v>
      </c>
      <c r="K480" s="9" t="s">
        <v>41</v>
      </c>
      <c r="L480" s="9">
        <v>5309070</v>
      </c>
      <c r="M480" s="9">
        <v>5309070010</v>
      </c>
      <c r="N480" s="9" t="s">
        <v>42</v>
      </c>
      <c r="O480" s="9">
        <v>10432</v>
      </c>
      <c r="P480" s="9" t="s">
        <v>1856</v>
      </c>
      <c r="Q480" s="10">
        <v>2</v>
      </c>
      <c r="R480" s="10">
        <v>0</v>
      </c>
      <c r="S480" s="10">
        <v>3340000</v>
      </c>
      <c r="T480" s="10">
        <v>0</v>
      </c>
      <c r="U480" s="10">
        <v>520000</v>
      </c>
      <c r="V480" s="10">
        <v>0</v>
      </c>
      <c r="W480" s="10">
        <v>3860000</v>
      </c>
      <c r="X480" s="10">
        <v>10500000</v>
      </c>
      <c r="Y480" s="10">
        <v>0</v>
      </c>
      <c r="Z480" s="10">
        <v>6640000</v>
      </c>
      <c r="AA480" s="10">
        <v>470000</v>
      </c>
      <c r="AB480" s="10">
        <v>10500000</v>
      </c>
      <c r="AC480" s="10">
        <v>0</v>
      </c>
      <c r="AD480" s="9" t="s">
        <v>44</v>
      </c>
      <c r="AE480" s="10" t="s">
        <v>2542</v>
      </c>
      <c r="AF480" s="10">
        <v>5250000</v>
      </c>
      <c r="AG480" s="10">
        <v>1</v>
      </c>
      <c r="AH480" s="10">
        <v>1</v>
      </c>
      <c r="AI480" s="10">
        <v>1</v>
      </c>
      <c r="AJ480" s="12" t="s">
        <v>1857</v>
      </c>
      <c r="AK480" s="10">
        <v>0</v>
      </c>
      <c r="AL480" s="10">
        <v>0</v>
      </c>
      <c r="AM480" s="9">
        <v>2023</v>
      </c>
      <c r="AN480" s="10">
        <v>0</v>
      </c>
      <c r="AO480" s="10">
        <v>2</v>
      </c>
      <c r="AP480" s="10"/>
      <c r="AQ480" s="5"/>
      <c r="AR480" s="5"/>
      <c r="AS480" s="4">
        <f t="shared" si="21"/>
        <v>3860000</v>
      </c>
      <c r="AT480" s="4">
        <f t="shared" si="22"/>
        <v>6089999.541415697</v>
      </c>
      <c r="AU480" s="4">
        <f t="shared" si="23"/>
        <v>4410000.458584303</v>
      </c>
      <c r="AV480" s="9" t="s">
        <v>1856</v>
      </c>
      <c r="AW480" s="12" t="s">
        <v>1857</v>
      </c>
      <c r="AX480" s="10">
        <v>0</v>
      </c>
      <c r="AY480">
        <f>S480*AU480/AS480</f>
        <v>3815907.1325574024</v>
      </c>
      <c r="AZ480">
        <f>AU480-AY480</f>
        <v>594093.32602690067</v>
      </c>
      <c r="BA480" s="10">
        <v>10500000</v>
      </c>
      <c r="BB480" s="10">
        <v>0</v>
      </c>
      <c r="BC480" s="9" t="s">
        <v>42</v>
      </c>
      <c r="BD480" s="9">
        <v>10432</v>
      </c>
      <c r="BE480" t="s">
        <v>46</v>
      </c>
    </row>
    <row r="481" spans="1:57" ht="270.75" thickBot="1" x14ac:dyDescent="0.3">
      <c r="A481" s="9" t="s">
        <v>1858</v>
      </c>
      <c r="B481" s="9">
        <v>1001</v>
      </c>
      <c r="C481" s="10">
        <v>2</v>
      </c>
      <c r="D481" s="9" t="s">
        <v>37</v>
      </c>
      <c r="E481" s="11">
        <v>46293.103491666669</v>
      </c>
      <c r="F481" s="9" t="s">
        <v>1859</v>
      </c>
      <c r="G481" s="9" t="s">
        <v>39</v>
      </c>
      <c r="H481" s="9">
        <v>53</v>
      </c>
      <c r="I481" s="9" t="s">
        <v>40</v>
      </c>
      <c r="J481" s="9">
        <v>5309</v>
      </c>
      <c r="K481" s="9" t="s">
        <v>41</v>
      </c>
      <c r="L481" s="9">
        <v>5309074</v>
      </c>
      <c r="M481" s="9">
        <v>5309074005</v>
      </c>
      <c r="N481" s="9" t="s">
        <v>42</v>
      </c>
      <c r="O481" s="9">
        <v>10629</v>
      </c>
      <c r="P481" s="9" t="s">
        <v>1860</v>
      </c>
      <c r="Q481" s="10">
        <v>1</v>
      </c>
      <c r="R481" s="10">
        <v>0</v>
      </c>
      <c r="S481" s="10">
        <v>100000</v>
      </c>
      <c r="T481" s="10">
        <v>0</v>
      </c>
      <c r="U481" s="10">
        <v>300000</v>
      </c>
      <c r="V481" s="10">
        <v>0</v>
      </c>
      <c r="W481" s="10">
        <v>400000</v>
      </c>
      <c r="X481" s="10">
        <v>12400000</v>
      </c>
      <c r="Y481" s="10">
        <v>0</v>
      </c>
      <c r="Z481" s="10">
        <v>12000000</v>
      </c>
      <c r="AA481" s="10">
        <v>300000</v>
      </c>
      <c r="AB481" s="10">
        <v>12400000</v>
      </c>
      <c r="AC481" s="10">
        <v>0</v>
      </c>
      <c r="AD481" s="9" t="s">
        <v>44</v>
      </c>
      <c r="AE481" s="10" t="s">
        <v>2543</v>
      </c>
      <c r="AF481" s="10">
        <v>12400000</v>
      </c>
      <c r="AG481" s="10">
        <v>1</v>
      </c>
      <c r="AH481" s="10">
        <v>1</v>
      </c>
      <c r="AI481" s="10">
        <v>1</v>
      </c>
      <c r="AJ481" s="12" t="s">
        <v>1861</v>
      </c>
      <c r="AK481" s="10">
        <v>0</v>
      </c>
      <c r="AL481" s="10">
        <v>0</v>
      </c>
      <c r="AM481" s="9">
        <v>2023</v>
      </c>
      <c r="AN481" s="10">
        <v>0</v>
      </c>
      <c r="AO481" s="10">
        <v>1</v>
      </c>
      <c r="AP481" s="10"/>
      <c r="AQ481" s="5"/>
      <c r="AR481" s="5"/>
      <c r="AS481" s="4">
        <f t="shared" si="21"/>
        <v>400000</v>
      </c>
      <c r="AT481" s="4">
        <f t="shared" si="22"/>
        <v>7191999.5205333643</v>
      </c>
      <c r="AU481" s="4">
        <f t="shared" si="23"/>
        <v>5208000.4794666357</v>
      </c>
      <c r="AV481" s="9" t="s">
        <v>1860</v>
      </c>
      <c r="AW481" s="12" t="s">
        <v>1861</v>
      </c>
      <c r="AX481" s="10">
        <v>0</v>
      </c>
      <c r="AY481">
        <f>S481*AU481/AS481</f>
        <v>1302000.1198666589</v>
      </c>
      <c r="AZ481">
        <f>AU481-AY481</f>
        <v>3906000.3595999768</v>
      </c>
      <c r="BA481" s="10">
        <v>12400000</v>
      </c>
      <c r="BB481" s="10">
        <v>0</v>
      </c>
      <c r="BC481" s="9" t="s">
        <v>42</v>
      </c>
      <c r="BD481" s="9">
        <v>10629</v>
      </c>
      <c r="BE481" t="s">
        <v>46</v>
      </c>
    </row>
    <row r="482" spans="1:57" ht="270.75" thickBot="1" x14ac:dyDescent="0.3">
      <c r="A482" s="9" t="s">
        <v>1862</v>
      </c>
      <c r="B482" s="9">
        <v>1002</v>
      </c>
      <c r="C482" s="10">
        <v>2</v>
      </c>
      <c r="D482" s="9" t="s">
        <v>84</v>
      </c>
      <c r="E482" s="11">
        <v>46226.779036747685</v>
      </c>
      <c r="F482" s="9" t="s">
        <v>1863</v>
      </c>
      <c r="G482" s="9" t="s">
        <v>39</v>
      </c>
      <c r="H482" s="9">
        <v>53</v>
      </c>
      <c r="I482" s="9" t="s">
        <v>40</v>
      </c>
      <c r="J482" s="9">
        <v>5309</v>
      </c>
      <c r="K482" s="9" t="s">
        <v>41</v>
      </c>
      <c r="L482" s="9">
        <v>5309041</v>
      </c>
      <c r="M482" s="9">
        <v>5309041004</v>
      </c>
      <c r="N482" s="9" t="s">
        <v>42</v>
      </c>
      <c r="O482" s="9">
        <v>10631</v>
      </c>
      <c r="P482" s="9" t="s">
        <v>1864</v>
      </c>
      <c r="Q482" s="10">
        <v>2</v>
      </c>
      <c r="R482" s="10">
        <v>0</v>
      </c>
      <c r="S482" s="10">
        <v>50000</v>
      </c>
      <c r="T482" s="10">
        <v>0</v>
      </c>
      <c r="U482" s="10">
        <v>100000</v>
      </c>
      <c r="V482" s="10">
        <v>0</v>
      </c>
      <c r="W482" s="10">
        <v>150000</v>
      </c>
      <c r="X482" s="10">
        <v>1950000</v>
      </c>
      <c r="Y482" s="10">
        <v>0</v>
      </c>
      <c r="Z482" s="10">
        <v>1800000</v>
      </c>
      <c r="AA482" s="10">
        <v>7000000</v>
      </c>
      <c r="AB482" s="10">
        <v>1950000</v>
      </c>
      <c r="AC482" s="10">
        <v>0</v>
      </c>
      <c r="AD482" s="9" t="s">
        <v>44</v>
      </c>
      <c r="AE482" s="10" t="s">
        <v>2307</v>
      </c>
      <c r="AF482" s="10">
        <v>975000</v>
      </c>
      <c r="AG482" s="10">
        <v>0</v>
      </c>
      <c r="AH482" s="10">
        <v>1</v>
      </c>
      <c r="AI482" s="10">
        <v>1</v>
      </c>
      <c r="AJ482" s="12" t="s">
        <v>1865</v>
      </c>
      <c r="AK482" s="10">
        <v>0</v>
      </c>
      <c r="AL482" s="10">
        <v>0</v>
      </c>
      <c r="AM482" s="9">
        <v>2025</v>
      </c>
      <c r="AN482" s="10">
        <v>0</v>
      </c>
      <c r="AO482" s="10">
        <v>2</v>
      </c>
      <c r="AP482" s="10"/>
      <c r="AQ482" s="5"/>
      <c r="AR482" s="5"/>
      <c r="AS482" s="4">
        <f t="shared" si="21"/>
        <v>150000</v>
      </c>
      <c r="AT482" s="4">
        <f t="shared" si="22"/>
        <v>1130999.9057500076</v>
      </c>
      <c r="AU482" s="4">
        <f t="shared" si="23"/>
        <v>819000.0942499924</v>
      </c>
      <c r="AV482" s="9" t="s">
        <v>1864</v>
      </c>
      <c r="AW482" s="12" t="s">
        <v>1865</v>
      </c>
      <c r="AX482" s="10">
        <v>0</v>
      </c>
      <c r="AY482">
        <f>S482*AU482/AS482</f>
        <v>273000.03141666413</v>
      </c>
      <c r="AZ482">
        <f>AU482-AY482</f>
        <v>546000.06283332827</v>
      </c>
      <c r="BA482" s="10">
        <v>1950000</v>
      </c>
      <c r="BB482" s="10">
        <v>0</v>
      </c>
      <c r="BC482" s="9" t="s">
        <v>42</v>
      </c>
      <c r="BD482" s="9">
        <v>10631</v>
      </c>
      <c r="BE482" t="s">
        <v>46</v>
      </c>
    </row>
    <row r="483" spans="1:57" ht="270.75" thickBot="1" x14ac:dyDescent="0.3">
      <c r="A483" s="9" t="s">
        <v>1866</v>
      </c>
      <c r="B483" s="9">
        <v>1</v>
      </c>
      <c r="C483" s="10">
        <v>2</v>
      </c>
      <c r="D483" s="9" t="s">
        <v>113</v>
      </c>
      <c r="E483" s="11">
        <v>46283.351444131942</v>
      </c>
      <c r="F483" s="9" t="s">
        <v>1867</v>
      </c>
      <c r="G483" s="9" t="s">
        <v>39</v>
      </c>
      <c r="H483" s="9">
        <v>53</v>
      </c>
      <c r="I483" s="9" t="s">
        <v>40</v>
      </c>
      <c r="J483" s="9">
        <v>5309</v>
      </c>
      <c r="K483" s="9" t="s">
        <v>41</v>
      </c>
      <c r="L483" s="9">
        <v>5309012</v>
      </c>
      <c r="M483" s="9">
        <v>5309012001</v>
      </c>
      <c r="N483" s="9" t="s">
        <v>42</v>
      </c>
      <c r="O483" s="9">
        <v>10631</v>
      </c>
      <c r="P483" s="9" t="s">
        <v>1868</v>
      </c>
      <c r="Q483" s="10">
        <v>1</v>
      </c>
      <c r="R483" s="10">
        <v>0</v>
      </c>
      <c r="S483" s="10">
        <v>5000000</v>
      </c>
      <c r="T483" s="10">
        <v>0</v>
      </c>
      <c r="U483" s="10">
        <v>2000000</v>
      </c>
      <c r="V483" s="10">
        <v>0</v>
      </c>
      <c r="W483" s="10">
        <v>7000000</v>
      </c>
      <c r="X483" s="10">
        <v>30000000</v>
      </c>
      <c r="Y483" s="10">
        <v>1000000</v>
      </c>
      <c r="Z483" s="10">
        <v>23000000</v>
      </c>
      <c r="AA483" s="10">
        <v>7000000</v>
      </c>
      <c r="AB483" s="10">
        <v>30000000</v>
      </c>
      <c r="AC483" s="10">
        <v>0</v>
      </c>
      <c r="AD483" s="9" t="s">
        <v>44</v>
      </c>
      <c r="AE483" s="10" t="s">
        <v>2340</v>
      </c>
      <c r="AF483" s="10">
        <v>30000000</v>
      </c>
      <c r="AG483" s="10">
        <v>1</v>
      </c>
      <c r="AH483" s="10">
        <v>1</v>
      </c>
      <c r="AI483" s="10">
        <v>1</v>
      </c>
      <c r="AJ483" s="12" t="s">
        <v>1869</v>
      </c>
      <c r="AK483" s="10">
        <v>0</v>
      </c>
      <c r="AL483" s="10">
        <v>0</v>
      </c>
      <c r="AM483" s="9">
        <v>2023</v>
      </c>
      <c r="AN483" s="10">
        <v>0</v>
      </c>
      <c r="AO483" s="10">
        <v>1</v>
      </c>
      <c r="AP483" s="10"/>
      <c r="AQ483" s="5"/>
      <c r="AR483" s="5"/>
      <c r="AS483" s="4">
        <f t="shared" si="21"/>
        <v>7000000</v>
      </c>
      <c r="AT483" s="4">
        <f t="shared" si="22"/>
        <v>17399992.434785899</v>
      </c>
      <c r="AU483" s="4">
        <f t="shared" si="23"/>
        <v>12600007.565214101</v>
      </c>
      <c r="AV483" s="9" t="s">
        <v>1868</v>
      </c>
      <c r="AW483" s="12" t="s">
        <v>1869</v>
      </c>
      <c r="AX483" s="10">
        <v>0</v>
      </c>
      <c r="AY483">
        <f>S483*AU483/AS483</f>
        <v>9000005.4037243575</v>
      </c>
      <c r="AZ483">
        <f>AU483-AY483</f>
        <v>3600002.1614897437</v>
      </c>
      <c r="BA483" s="10">
        <v>30000000</v>
      </c>
      <c r="BB483" s="10">
        <v>1000000</v>
      </c>
      <c r="BC483" s="9" t="s">
        <v>42</v>
      </c>
      <c r="BD483" s="9">
        <v>10631</v>
      </c>
      <c r="BE483" t="s">
        <v>46</v>
      </c>
    </row>
    <row r="484" spans="1:57" ht="270.75" thickBot="1" x14ac:dyDescent="0.3">
      <c r="A484" s="9" t="s">
        <v>1870</v>
      </c>
      <c r="B484" s="9">
        <v>3007</v>
      </c>
      <c r="C484" s="10">
        <v>2</v>
      </c>
      <c r="D484" s="9" t="s">
        <v>113</v>
      </c>
      <c r="E484" s="11">
        <v>46313.576322777779</v>
      </c>
      <c r="F484" s="9" t="s">
        <v>1871</v>
      </c>
      <c r="G484" s="9" t="s">
        <v>39</v>
      </c>
      <c r="H484" s="9">
        <v>53</v>
      </c>
      <c r="I484" s="9" t="s">
        <v>40</v>
      </c>
      <c r="J484" s="9">
        <v>5309</v>
      </c>
      <c r="K484" s="9" t="s">
        <v>41</v>
      </c>
      <c r="L484" s="9">
        <v>5309020</v>
      </c>
      <c r="M484" s="9">
        <v>5309020022</v>
      </c>
      <c r="N484" s="9" t="s">
        <v>42</v>
      </c>
      <c r="O484" s="9">
        <v>10631</v>
      </c>
      <c r="P484" s="9" t="s">
        <v>1872</v>
      </c>
      <c r="Q484" s="10">
        <v>3</v>
      </c>
      <c r="R484" s="10">
        <v>0</v>
      </c>
      <c r="S484" s="10">
        <v>5000000</v>
      </c>
      <c r="T484" s="10">
        <v>0</v>
      </c>
      <c r="U484" s="10">
        <v>500000</v>
      </c>
      <c r="V484" s="10">
        <v>5000</v>
      </c>
      <c r="W484" s="10">
        <v>5505000</v>
      </c>
      <c r="X484" s="10">
        <v>15000000</v>
      </c>
      <c r="Y484" s="10">
        <v>5980000</v>
      </c>
      <c r="Z484" s="10">
        <v>9500000</v>
      </c>
      <c r="AA484" s="10">
        <v>18950000</v>
      </c>
      <c r="AB484" s="10">
        <v>15000000</v>
      </c>
      <c r="AC484" s="10">
        <v>0</v>
      </c>
      <c r="AD484" s="9" t="s">
        <v>44</v>
      </c>
      <c r="AE484" s="10" t="s">
        <v>2532</v>
      </c>
      <c r="AF484" s="10">
        <v>5000000</v>
      </c>
      <c r="AG484" s="10">
        <v>1</v>
      </c>
      <c r="AH484" s="10">
        <v>1</v>
      </c>
      <c r="AI484" s="10">
        <v>1</v>
      </c>
      <c r="AJ484" s="12" t="s">
        <v>1873</v>
      </c>
      <c r="AK484" s="10">
        <v>0</v>
      </c>
      <c r="AL484" s="10">
        <v>0</v>
      </c>
      <c r="AM484" s="9">
        <v>2022</v>
      </c>
      <c r="AN484" s="10">
        <v>0</v>
      </c>
      <c r="AO484" s="10">
        <v>3</v>
      </c>
      <c r="AP484" s="10"/>
      <c r="AQ484" s="5"/>
      <c r="AR484" s="5"/>
      <c r="AS484" s="4">
        <f t="shared" si="21"/>
        <v>5500000</v>
      </c>
      <c r="AT484" s="4">
        <f t="shared" si="22"/>
        <v>8700004.5789497774</v>
      </c>
      <c r="AU484" s="4">
        <f t="shared" si="23"/>
        <v>6299995.4210502226</v>
      </c>
      <c r="AV484" s="9" t="s">
        <v>1872</v>
      </c>
      <c r="AW484" s="12" t="s">
        <v>1873</v>
      </c>
      <c r="AX484" s="10">
        <v>0</v>
      </c>
      <c r="AY484">
        <f>S484*AU484/AS484</f>
        <v>5727268.5645911116</v>
      </c>
      <c r="AZ484">
        <f>AU484-AY484</f>
        <v>572726.85645911098</v>
      </c>
      <c r="BA484" s="10">
        <v>15000000</v>
      </c>
      <c r="BB484" s="10">
        <v>5980000</v>
      </c>
      <c r="BC484" s="9" t="s">
        <v>42</v>
      </c>
      <c r="BD484" s="9">
        <v>10631</v>
      </c>
      <c r="BE484" t="s">
        <v>46</v>
      </c>
    </row>
    <row r="485" spans="1:57" ht="270.75" thickBot="1" x14ac:dyDescent="0.3">
      <c r="A485" s="9" t="s">
        <v>1874</v>
      </c>
      <c r="B485" s="9">
        <v>2001</v>
      </c>
      <c r="C485" s="10">
        <v>2</v>
      </c>
      <c r="D485" s="9" t="s">
        <v>37</v>
      </c>
      <c r="E485" s="11">
        <v>46238.45312421296</v>
      </c>
      <c r="F485" s="9" t="s">
        <v>1875</v>
      </c>
      <c r="G485" s="9" t="s">
        <v>39</v>
      </c>
      <c r="H485" s="9">
        <v>53</v>
      </c>
      <c r="I485" s="9" t="s">
        <v>40</v>
      </c>
      <c r="J485" s="9">
        <v>5309</v>
      </c>
      <c r="K485" s="9" t="s">
        <v>41</v>
      </c>
      <c r="L485" s="9">
        <v>5309010</v>
      </c>
      <c r="M485" s="9">
        <v>5309010002</v>
      </c>
      <c r="N485" s="9" t="s">
        <v>42</v>
      </c>
      <c r="O485" s="9">
        <v>10631</v>
      </c>
      <c r="P485" s="9" t="s">
        <v>1876</v>
      </c>
      <c r="Q485" s="10">
        <v>1</v>
      </c>
      <c r="R485" s="10">
        <v>0</v>
      </c>
      <c r="S485" s="10">
        <v>7500000</v>
      </c>
      <c r="T485" s="10">
        <v>0</v>
      </c>
      <c r="U485" s="10">
        <v>550000</v>
      </c>
      <c r="V485" s="10">
        <v>0</v>
      </c>
      <c r="W485" s="10">
        <v>8050000</v>
      </c>
      <c r="X485" s="10">
        <v>8500000</v>
      </c>
      <c r="Y485" s="10">
        <v>0</v>
      </c>
      <c r="Z485" s="10">
        <v>450000</v>
      </c>
      <c r="AA485" s="10">
        <v>15000000</v>
      </c>
      <c r="AB485" s="10">
        <v>8500000</v>
      </c>
      <c r="AC485" s="10">
        <v>0</v>
      </c>
      <c r="AD485" s="9" t="s">
        <v>44</v>
      </c>
      <c r="AE485" s="10" t="s">
        <v>2544</v>
      </c>
      <c r="AF485" s="10">
        <v>8500000</v>
      </c>
      <c r="AG485" s="10">
        <v>1</v>
      </c>
      <c r="AH485" s="10">
        <v>1</v>
      </c>
      <c r="AI485" s="10">
        <v>1</v>
      </c>
      <c r="AJ485" s="12" t="s">
        <v>1877</v>
      </c>
      <c r="AK485" s="10">
        <v>0</v>
      </c>
      <c r="AL485" s="10">
        <v>0</v>
      </c>
      <c r="AM485" s="9">
        <v>2024</v>
      </c>
      <c r="AN485" s="10">
        <v>0</v>
      </c>
      <c r="AO485" s="10">
        <v>1</v>
      </c>
      <c r="AP485" s="10"/>
      <c r="AQ485" s="5"/>
      <c r="AR485" s="5"/>
      <c r="AS485" s="4">
        <f t="shared" si="21"/>
        <v>8050000</v>
      </c>
      <c r="AT485" s="4">
        <f t="shared" si="22"/>
        <v>4930016.4333881103</v>
      </c>
      <c r="AU485" s="4">
        <f t="shared" si="23"/>
        <v>3569983.5666118897</v>
      </c>
      <c r="AV485" s="9" t="s">
        <v>1876</v>
      </c>
      <c r="AW485" s="12" t="s">
        <v>1877</v>
      </c>
      <c r="AX485" s="10">
        <v>0</v>
      </c>
      <c r="AY485">
        <f>S485*AU485/AS485</f>
        <v>3326071.6459116982</v>
      </c>
      <c r="AZ485">
        <f>AU485-AY485</f>
        <v>243911.92070019152</v>
      </c>
      <c r="BA485" s="10">
        <v>8500000</v>
      </c>
      <c r="BB485" s="10">
        <v>0</v>
      </c>
      <c r="BC485" s="9" t="s">
        <v>42</v>
      </c>
      <c r="BD485" s="9">
        <v>10631</v>
      </c>
      <c r="BE485" t="s">
        <v>46</v>
      </c>
    </row>
    <row r="486" spans="1:57" ht="255.75" thickBot="1" x14ac:dyDescent="0.3">
      <c r="A486" s="9" t="s">
        <v>1878</v>
      </c>
      <c r="B486" s="9">
        <v>3002</v>
      </c>
      <c r="C486" s="10">
        <v>2</v>
      </c>
      <c r="D486" s="9" t="s">
        <v>37</v>
      </c>
      <c r="E486" s="11">
        <v>46247.795560995371</v>
      </c>
      <c r="F486" s="9" t="s">
        <v>1879</v>
      </c>
      <c r="G486" s="9" t="s">
        <v>39</v>
      </c>
      <c r="H486" s="9">
        <v>53</v>
      </c>
      <c r="I486" s="9" t="s">
        <v>40</v>
      </c>
      <c r="J486" s="9">
        <v>5309</v>
      </c>
      <c r="K486" s="9" t="s">
        <v>41</v>
      </c>
      <c r="L486" s="9">
        <v>5309011</v>
      </c>
      <c r="M486" s="9">
        <v>5309011003</v>
      </c>
      <c r="N486" s="9" t="s">
        <v>42</v>
      </c>
      <c r="O486" s="9">
        <v>10631</v>
      </c>
      <c r="P486" s="9" t="s">
        <v>1880</v>
      </c>
      <c r="Q486" s="10">
        <v>1</v>
      </c>
      <c r="R486" s="10">
        <v>0</v>
      </c>
      <c r="S486" s="10">
        <v>25000000</v>
      </c>
      <c r="T486" s="10">
        <v>0</v>
      </c>
      <c r="U486" s="10">
        <v>500000</v>
      </c>
      <c r="V486" s="10">
        <v>10000</v>
      </c>
      <c r="W486" s="10">
        <v>25510000</v>
      </c>
      <c r="X486" s="10">
        <v>28800000</v>
      </c>
      <c r="Y486" s="10">
        <v>0</v>
      </c>
      <c r="Z486" s="10">
        <v>3300000</v>
      </c>
      <c r="AA486" s="10">
        <v>5000000</v>
      </c>
      <c r="AB486" s="10">
        <v>28800000</v>
      </c>
      <c r="AC486" s="10">
        <v>0</v>
      </c>
      <c r="AD486" s="9" t="s">
        <v>44</v>
      </c>
      <c r="AE486" s="10" t="s">
        <v>2545</v>
      </c>
      <c r="AF486" s="10">
        <v>28800000</v>
      </c>
      <c r="AG486" s="10">
        <v>1</v>
      </c>
      <c r="AH486" s="10">
        <v>1</v>
      </c>
      <c r="AI486" s="10">
        <v>1</v>
      </c>
      <c r="AJ486" s="12" t="s">
        <v>1881</v>
      </c>
      <c r="AK486" s="10">
        <v>0</v>
      </c>
      <c r="AL486" s="10">
        <v>0</v>
      </c>
      <c r="AM486" s="9">
        <v>2013</v>
      </c>
      <c r="AN486" s="10">
        <v>0</v>
      </c>
      <c r="AO486" s="10">
        <v>1</v>
      </c>
      <c r="AP486" s="10"/>
      <c r="AQ486" s="5"/>
      <c r="AR486" s="5"/>
      <c r="AS486" s="4">
        <f t="shared" si="21"/>
        <v>25500000</v>
      </c>
      <c r="AT486" s="4">
        <f t="shared" si="22"/>
        <v>16704048.593595905</v>
      </c>
      <c r="AU486" s="4">
        <f t="shared" si="23"/>
        <v>12095951.406404095</v>
      </c>
      <c r="AV486" s="9" t="s">
        <v>1880</v>
      </c>
      <c r="AW486" s="12" t="s">
        <v>1881</v>
      </c>
      <c r="AX486" s="10">
        <v>0</v>
      </c>
      <c r="AY486">
        <f>S486*AU486/AS486</f>
        <v>11858775.888631465</v>
      </c>
      <c r="AZ486">
        <f>AU486-AY486</f>
        <v>237175.51777262986</v>
      </c>
      <c r="BA486" s="10">
        <v>28800000</v>
      </c>
      <c r="BB486" s="10">
        <v>0</v>
      </c>
      <c r="BC486" s="9" t="s">
        <v>42</v>
      </c>
      <c r="BD486" s="9">
        <v>10631</v>
      </c>
      <c r="BE486" t="s">
        <v>46</v>
      </c>
    </row>
    <row r="487" spans="1:57" ht="270.75" thickBot="1" x14ac:dyDescent="0.3">
      <c r="A487" s="15" t="s">
        <v>1882</v>
      </c>
      <c r="B487" s="9">
        <v>3002</v>
      </c>
      <c r="C487" s="10">
        <v>2</v>
      </c>
      <c r="D487" s="9" t="s">
        <v>37</v>
      </c>
      <c r="E487" s="11">
        <v>46231.530739351852</v>
      </c>
      <c r="F487" s="15" t="s">
        <v>1883</v>
      </c>
      <c r="G487" s="9" t="s">
        <v>39</v>
      </c>
      <c r="H487" s="9">
        <v>53</v>
      </c>
      <c r="I487" s="9" t="s">
        <v>40</v>
      </c>
      <c r="J487" s="9">
        <v>5309</v>
      </c>
      <c r="K487" s="9" t="s">
        <v>41</v>
      </c>
      <c r="L487" s="9">
        <v>5309031</v>
      </c>
      <c r="M487" s="9">
        <v>5309031001</v>
      </c>
      <c r="N487" s="9" t="s">
        <v>42</v>
      </c>
      <c r="O487" s="9">
        <v>10631</v>
      </c>
      <c r="P487" s="9" t="s">
        <v>1884</v>
      </c>
      <c r="Q487" s="10">
        <v>1</v>
      </c>
      <c r="R487" s="10">
        <v>0</v>
      </c>
      <c r="S487" s="10">
        <v>300000</v>
      </c>
      <c r="T487" s="10">
        <v>0</v>
      </c>
      <c r="U487" s="10">
        <v>300000</v>
      </c>
      <c r="V487" s="10">
        <v>5000</v>
      </c>
      <c r="W487" s="10">
        <v>605000</v>
      </c>
      <c r="X487" s="10">
        <v>2000000</v>
      </c>
      <c r="Y487" s="10">
        <v>0</v>
      </c>
      <c r="Z487" s="10">
        <v>1400000</v>
      </c>
      <c r="AA487" s="10">
        <v>20000000</v>
      </c>
      <c r="AB487" s="10">
        <v>2000000</v>
      </c>
      <c r="AC487" s="10">
        <v>0</v>
      </c>
      <c r="AD487" s="9" t="s">
        <v>44</v>
      </c>
      <c r="AE487" s="10" t="s">
        <v>2546</v>
      </c>
      <c r="AF487" s="10">
        <v>2000000</v>
      </c>
      <c r="AG487" s="10">
        <v>1</v>
      </c>
      <c r="AH487" s="10">
        <v>1</v>
      </c>
      <c r="AI487" s="10">
        <v>1</v>
      </c>
      <c r="AJ487" s="12" t="s">
        <v>1885</v>
      </c>
      <c r="AK487" s="10">
        <v>0</v>
      </c>
      <c r="AL487" s="10">
        <v>0</v>
      </c>
      <c r="AM487" s="9">
        <v>2023</v>
      </c>
      <c r="AN487" s="10">
        <v>0</v>
      </c>
      <c r="AO487" s="10">
        <v>1</v>
      </c>
      <c r="AP487" s="10"/>
      <c r="AQ487" s="5"/>
      <c r="AR487" s="5"/>
      <c r="AS487" s="4">
        <f t="shared" si="21"/>
        <v>600000</v>
      </c>
      <c r="AT487" s="4">
        <f t="shared" si="22"/>
        <v>1160000</v>
      </c>
      <c r="AU487" s="4">
        <f t="shared" si="23"/>
        <v>840000</v>
      </c>
      <c r="AV487" s="9" t="s">
        <v>1884</v>
      </c>
      <c r="AW487" s="12" t="s">
        <v>1885</v>
      </c>
      <c r="AX487" s="10">
        <v>0</v>
      </c>
      <c r="AY487">
        <f>S487*AU487/AS487</f>
        <v>420000</v>
      </c>
      <c r="AZ487">
        <f>AU487-AY487</f>
        <v>420000</v>
      </c>
      <c r="BA487" s="10">
        <v>2000000</v>
      </c>
      <c r="BB487" s="10">
        <v>0</v>
      </c>
      <c r="BC487" s="9" t="s">
        <v>42</v>
      </c>
      <c r="BD487" s="9">
        <v>10631</v>
      </c>
      <c r="BE487" t="s">
        <v>46</v>
      </c>
    </row>
    <row r="488" spans="1:57" ht="270.75" thickBot="1" x14ac:dyDescent="0.3">
      <c r="A488" s="9" t="s">
        <v>1886</v>
      </c>
      <c r="B488" s="9">
        <v>3003</v>
      </c>
      <c r="C488" s="10">
        <v>2</v>
      </c>
      <c r="D488" s="9" t="s">
        <v>37</v>
      </c>
      <c r="E488" s="11">
        <v>46247.582518796298</v>
      </c>
      <c r="F488" s="9" t="s">
        <v>1887</v>
      </c>
      <c r="G488" s="9" t="s">
        <v>39</v>
      </c>
      <c r="H488" s="9">
        <v>53</v>
      </c>
      <c r="I488" s="9" t="s">
        <v>40</v>
      </c>
      <c r="J488" s="9">
        <v>5309</v>
      </c>
      <c r="K488" s="9" t="s">
        <v>41</v>
      </c>
      <c r="L488" s="9">
        <v>5309012</v>
      </c>
      <c r="M488" s="9">
        <v>5309012006</v>
      </c>
      <c r="N488" s="9" t="s">
        <v>42</v>
      </c>
      <c r="O488" s="9">
        <v>10631</v>
      </c>
      <c r="P488" s="9" t="s">
        <v>1888</v>
      </c>
      <c r="Q488" s="10">
        <v>1</v>
      </c>
      <c r="R488" s="10">
        <v>0</v>
      </c>
      <c r="S488" s="10">
        <v>1530000</v>
      </c>
      <c r="T488" s="10">
        <v>0</v>
      </c>
      <c r="U488" s="10">
        <v>0</v>
      </c>
      <c r="V488" s="10">
        <v>0</v>
      </c>
      <c r="W488" s="10">
        <v>1530000</v>
      </c>
      <c r="X488" s="10">
        <v>5000000</v>
      </c>
      <c r="Y488" s="10">
        <v>0</v>
      </c>
      <c r="Z488" s="10">
        <v>3470000</v>
      </c>
      <c r="AA488" s="10">
        <v>25000000</v>
      </c>
      <c r="AB488" s="10">
        <v>5000000</v>
      </c>
      <c r="AC488" s="10">
        <v>0</v>
      </c>
      <c r="AD488" s="9" t="s">
        <v>44</v>
      </c>
      <c r="AE488" s="10" t="s">
        <v>2547</v>
      </c>
      <c r="AF488" s="10">
        <v>5000000</v>
      </c>
      <c r="AG488" s="10">
        <v>0</v>
      </c>
      <c r="AH488" s="10">
        <v>1</v>
      </c>
      <c r="AI488" s="10">
        <v>1</v>
      </c>
      <c r="AJ488" s="12" t="s">
        <v>1889</v>
      </c>
      <c r="AK488" s="10">
        <v>0</v>
      </c>
      <c r="AL488" s="10">
        <v>0</v>
      </c>
      <c r="AM488" s="9">
        <v>2021</v>
      </c>
      <c r="AN488" s="10">
        <v>0</v>
      </c>
      <c r="AO488" s="10">
        <v>1</v>
      </c>
      <c r="AP488" s="10"/>
      <c r="AQ488" s="5"/>
      <c r="AR488" s="5"/>
      <c r="AS488" s="4">
        <f t="shared" si="21"/>
        <v>1530000</v>
      </c>
      <c r="AT488" s="4">
        <f t="shared" si="22"/>
        <v>2900000</v>
      </c>
      <c r="AU488" s="4">
        <f t="shared" si="23"/>
        <v>2100000</v>
      </c>
      <c r="AV488" s="9" t="s">
        <v>1888</v>
      </c>
      <c r="AW488" s="12" t="s">
        <v>1889</v>
      </c>
      <c r="AX488" s="10">
        <v>0</v>
      </c>
      <c r="AY488">
        <f>S488*AU488/AS488</f>
        <v>2100000</v>
      </c>
      <c r="AZ488">
        <f>AU488-AY488</f>
        <v>0</v>
      </c>
      <c r="BA488" s="10">
        <v>5000000</v>
      </c>
      <c r="BB488" s="10">
        <v>0</v>
      </c>
      <c r="BC488" s="9" t="s">
        <v>42</v>
      </c>
      <c r="BD488" s="9">
        <v>10631</v>
      </c>
      <c r="BE488" t="s">
        <v>46</v>
      </c>
    </row>
    <row r="489" spans="1:57" ht="270.75" thickBot="1" x14ac:dyDescent="0.3">
      <c r="A489" s="9" t="s">
        <v>1890</v>
      </c>
      <c r="B489" s="9">
        <v>3001</v>
      </c>
      <c r="C489" s="10">
        <v>2</v>
      </c>
      <c r="D489" s="9" t="s">
        <v>37</v>
      </c>
      <c r="E489" s="11">
        <v>46263.387667905095</v>
      </c>
      <c r="F489" s="9" t="s">
        <v>1891</v>
      </c>
      <c r="G489" s="9" t="s">
        <v>39</v>
      </c>
      <c r="H489" s="9">
        <v>53</v>
      </c>
      <c r="I489" s="9" t="s">
        <v>40</v>
      </c>
      <c r="J489" s="9">
        <v>5309</v>
      </c>
      <c r="K489" s="9" t="s">
        <v>41</v>
      </c>
      <c r="L489" s="9">
        <v>5309031</v>
      </c>
      <c r="M489" s="9">
        <v>5309031003</v>
      </c>
      <c r="N489" s="9" t="s">
        <v>42</v>
      </c>
      <c r="O489" s="9">
        <v>10631</v>
      </c>
      <c r="P489" s="9" t="s">
        <v>1892</v>
      </c>
      <c r="Q489" s="10">
        <v>1</v>
      </c>
      <c r="R489" s="10">
        <v>0</v>
      </c>
      <c r="S489" s="10">
        <v>500000</v>
      </c>
      <c r="T489" s="10">
        <v>0</v>
      </c>
      <c r="U489" s="10">
        <v>1000000</v>
      </c>
      <c r="V489" s="10">
        <v>500000</v>
      </c>
      <c r="W489" s="10">
        <v>2000000</v>
      </c>
      <c r="X489" s="10">
        <v>7500000</v>
      </c>
      <c r="Y489" s="10">
        <v>0</v>
      </c>
      <c r="Z489" s="10">
        <v>6000000</v>
      </c>
      <c r="AA489" s="10">
        <v>25000000</v>
      </c>
      <c r="AB489" s="10">
        <v>7500000</v>
      </c>
      <c r="AC489" s="10">
        <v>0</v>
      </c>
      <c r="AD489" s="9" t="s">
        <v>44</v>
      </c>
      <c r="AE489" s="10" t="s">
        <v>2296</v>
      </c>
      <c r="AF489" s="10">
        <v>7500000</v>
      </c>
      <c r="AG489" s="10">
        <v>0</v>
      </c>
      <c r="AH489" s="10">
        <v>1</v>
      </c>
      <c r="AI489" s="10">
        <v>1</v>
      </c>
      <c r="AJ489" s="12" t="s">
        <v>1893</v>
      </c>
      <c r="AK489" s="10">
        <v>0</v>
      </c>
      <c r="AL489" s="10">
        <v>0</v>
      </c>
      <c r="AM489" s="9">
        <v>1997</v>
      </c>
      <c r="AN489" s="10">
        <v>0</v>
      </c>
      <c r="AO489" s="10">
        <v>1</v>
      </c>
      <c r="AP489" s="10"/>
      <c r="AQ489" s="5"/>
      <c r="AR489" s="5"/>
      <c r="AS489" s="4">
        <f t="shared" si="21"/>
        <v>1500000</v>
      </c>
      <c r="AT489" s="4">
        <f t="shared" si="22"/>
        <v>4349999.9999999991</v>
      </c>
      <c r="AU489" s="4">
        <f t="shared" si="23"/>
        <v>3150000.0000000009</v>
      </c>
      <c r="AV489" s="9" t="s">
        <v>1892</v>
      </c>
      <c r="AW489" s="12" t="s">
        <v>1893</v>
      </c>
      <c r="AX489" s="10">
        <v>0</v>
      </c>
      <c r="AY489">
        <f>S489*AU489/AS489</f>
        <v>1050000.0000000002</v>
      </c>
      <c r="AZ489">
        <f>AU489-AY489</f>
        <v>2100000.0000000009</v>
      </c>
      <c r="BA489" s="10">
        <v>7500000</v>
      </c>
      <c r="BB489" s="10">
        <v>0</v>
      </c>
      <c r="BC489" s="9" t="s">
        <v>42</v>
      </c>
      <c r="BD489" s="9">
        <v>10631</v>
      </c>
      <c r="BE489" t="s">
        <v>46</v>
      </c>
    </row>
    <row r="490" spans="1:57" ht="270.75" thickBot="1" x14ac:dyDescent="0.3">
      <c r="A490" s="9" t="s">
        <v>1894</v>
      </c>
      <c r="B490" s="9">
        <v>3001</v>
      </c>
      <c r="C490" s="10">
        <v>2</v>
      </c>
      <c r="D490" s="9" t="s">
        <v>37</v>
      </c>
      <c r="E490" s="11">
        <v>46232.889816319446</v>
      </c>
      <c r="F490" s="9" t="s">
        <v>1895</v>
      </c>
      <c r="G490" s="9" t="s">
        <v>39</v>
      </c>
      <c r="H490" s="9">
        <v>53</v>
      </c>
      <c r="I490" s="9" t="s">
        <v>40</v>
      </c>
      <c r="J490" s="9">
        <v>5309</v>
      </c>
      <c r="K490" s="9" t="s">
        <v>41</v>
      </c>
      <c r="L490" s="9">
        <v>5309061</v>
      </c>
      <c r="M490" s="9">
        <v>5309061007</v>
      </c>
      <c r="N490" s="9" t="s">
        <v>42</v>
      </c>
      <c r="O490" s="9">
        <v>10631</v>
      </c>
      <c r="P490" s="9" t="s">
        <v>1896</v>
      </c>
      <c r="Q490" s="10">
        <v>1</v>
      </c>
      <c r="R490" s="10">
        <v>0</v>
      </c>
      <c r="S490" s="10">
        <v>2000</v>
      </c>
      <c r="T490" s="10">
        <v>0</v>
      </c>
      <c r="U490" s="10">
        <v>1000000</v>
      </c>
      <c r="V490" s="10">
        <v>0</v>
      </c>
      <c r="W490" s="10">
        <v>1002000</v>
      </c>
      <c r="X490" s="10">
        <v>12000000</v>
      </c>
      <c r="Y490" s="10">
        <v>0</v>
      </c>
      <c r="Z490" s="10">
        <v>10998000</v>
      </c>
      <c r="AA490" s="10">
        <v>12000000</v>
      </c>
      <c r="AB490" s="10">
        <v>12000000</v>
      </c>
      <c r="AC490" s="10">
        <v>0</v>
      </c>
      <c r="AD490" s="9" t="s">
        <v>44</v>
      </c>
      <c r="AE490" s="10" t="s">
        <v>2548</v>
      </c>
      <c r="AF490" s="10">
        <v>12000000</v>
      </c>
      <c r="AG490" s="10">
        <v>1</v>
      </c>
      <c r="AH490" s="10">
        <v>1</v>
      </c>
      <c r="AI490" s="10">
        <v>1</v>
      </c>
      <c r="AJ490" s="12" t="s">
        <v>1897</v>
      </c>
      <c r="AK490" s="10">
        <v>0</v>
      </c>
      <c r="AL490" s="10">
        <v>0</v>
      </c>
      <c r="AM490" s="9">
        <v>2023</v>
      </c>
      <c r="AN490" s="10">
        <v>0</v>
      </c>
      <c r="AO490" s="10">
        <v>1</v>
      </c>
      <c r="AP490" s="10"/>
      <c r="AQ490" s="5"/>
      <c r="AR490" s="5"/>
      <c r="AS490" s="4">
        <f t="shared" si="21"/>
        <v>1002000</v>
      </c>
      <c r="AT490" s="4">
        <f t="shared" si="22"/>
        <v>6960000</v>
      </c>
      <c r="AU490" s="4">
        <f t="shared" si="23"/>
        <v>5040000</v>
      </c>
      <c r="AV490" s="9" t="s">
        <v>1896</v>
      </c>
      <c r="AW490" s="12" t="s">
        <v>1897</v>
      </c>
      <c r="AX490" s="10">
        <v>0</v>
      </c>
      <c r="AY490">
        <f>S490*AU490/AS490</f>
        <v>10059.880239520959</v>
      </c>
      <c r="AZ490">
        <f>AU490-AY490</f>
        <v>5029940.1197604788</v>
      </c>
      <c r="BA490" s="10">
        <v>12000000</v>
      </c>
      <c r="BB490" s="10">
        <v>0</v>
      </c>
      <c r="BC490" s="9" t="s">
        <v>42</v>
      </c>
      <c r="BD490" s="9">
        <v>10631</v>
      </c>
      <c r="BE490" t="s">
        <v>46</v>
      </c>
    </row>
    <row r="491" spans="1:57" ht="270.75" thickBot="1" x14ac:dyDescent="0.3">
      <c r="A491" s="9" t="s">
        <v>1898</v>
      </c>
      <c r="B491" s="9">
        <v>2001</v>
      </c>
      <c r="C491" s="10">
        <v>2</v>
      </c>
      <c r="D491" s="9" t="s">
        <v>37</v>
      </c>
      <c r="E491" s="11">
        <v>46207.321678020831</v>
      </c>
      <c r="F491" s="9" t="s">
        <v>1899</v>
      </c>
      <c r="G491" s="9" t="s">
        <v>39</v>
      </c>
      <c r="H491" s="9">
        <v>53</v>
      </c>
      <c r="I491" s="9" t="s">
        <v>40</v>
      </c>
      <c r="J491" s="9">
        <v>5309</v>
      </c>
      <c r="K491" s="9" t="s">
        <v>41</v>
      </c>
      <c r="L491" s="9">
        <v>5309020</v>
      </c>
      <c r="M491" s="9">
        <v>5309020016</v>
      </c>
      <c r="N491" s="9" t="s">
        <v>42</v>
      </c>
      <c r="O491" s="9">
        <v>10631</v>
      </c>
      <c r="P491" s="9" t="s">
        <v>1900</v>
      </c>
      <c r="Q491" s="10">
        <v>1</v>
      </c>
      <c r="R491" s="10">
        <v>0</v>
      </c>
      <c r="S491" s="10">
        <v>3600000</v>
      </c>
      <c r="T491" s="10">
        <v>0</v>
      </c>
      <c r="U491" s="10">
        <v>3600000</v>
      </c>
      <c r="V491" s="10">
        <v>0</v>
      </c>
      <c r="W491" s="10">
        <v>7200000</v>
      </c>
      <c r="X491" s="10">
        <v>6000000</v>
      </c>
      <c r="Y491" s="10">
        <v>12000000</v>
      </c>
      <c r="Z491" s="10">
        <v>-1200000</v>
      </c>
      <c r="AA491" s="10">
        <v>0</v>
      </c>
      <c r="AB491" s="10">
        <v>6000000</v>
      </c>
      <c r="AC491" s="10">
        <v>0</v>
      </c>
      <c r="AD491" s="9" t="s">
        <v>44</v>
      </c>
      <c r="AE491" s="10" t="s">
        <v>2549</v>
      </c>
      <c r="AF491" s="10">
        <v>6000000</v>
      </c>
      <c r="AG491" s="9"/>
      <c r="AH491" s="10">
        <v>1</v>
      </c>
      <c r="AI491" s="10">
        <v>1</v>
      </c>
      <c r="AJ491" s="12" t="s">
        <v>1901</v>
      </c>
      <c r="AK491" s="10">
        <v>0</v>
      </c>
      <c r="AL491" s="10">
        <v>0</v>
      </c>
      <c r="AM491" s="9">
        <v>2026</v>
      </c>
      <c r="AN491" s="10">
        <v>0</v>
      </c>
      <c r="AO491" s="10">
        <v>1</v>
      </c>
      <c r="AP491" s="10"/>
      <c r="AQ491" s="5"/>
      <c r="AR491" s="5"/>
      <c r="AS491" s="4">
        <f t="shared" si="21"/>
        <v>7200000</v>
      </c>
      <c r="AT491" s="4">
        <f t="shared" si="22"/>
        <v>3480000</v>
      </c>
      <c r="AU491" s="4">
        <f t="shared" si="23"/>
        <v>2520000</v>
      </c>
      <c r="AV491" s="9" t="s">
        <v>1900</v>
      </c>
      <c r="AW491" s="12" t="s">
        <v>1901</v>
      </c>
      <c r="AX491" s="10">
        <v>0</v>
      </c>
      <c r="AY491">
        <f>S491*AU491/AS491</f>
        <v>1260000</v>
      </c>
      <c r="AZ491">
        <f>AU491-AY491</f>
        <v>1260000</v>
      </c>
      <c r="BA491" s="10">
        <v>6000000</v>
      </c>
      <c r="BB491" s="10">
        <v>12000000</v>
      </c>
      <c r="BC491" s="9" t="s">
        <v>42</v>
      </c>
      <c r="BD491" s="9">
        <v>10631</v>
      </c>
      <c r="BE491" t="s">
        <v>46</v>
      </c>
    </row>
    <row r="492" spans="1:57" ht="270.75" thickBot="1" x14ac:dyDescent="0.3">
      <c r="A492" s="9" t="s">
        <v>1902</v>
      </c>
      <c r="B492" s="9">
        <v>1001</v>
      </c>
      <c r="C492" s="10">
        <v>2</v>
      </c>
      <c r="D492" s="9" t="s">
        <v>84</v>
      </c>
      <c r="E492" s="11">
        <v>46315.203204537036</v>
      </c>
      <c r="F492" s="9" t="s">
        <v>1903</v>
      </c>
      <c r="G492" s="9" t="s">
        <v>39</v>
      </c>
      <c r="H492" s="9">
        <v>53</v>
      </c>
      <c r="I492" s="9" t="s">
        <v>40</v>
      </c>
      <c r="J492" s="9">
        <v>5309</v>
      </c>
      <c r="K492" s="9" t="s">
        <v>41</v>
      </c>
      <c r="L492" s="9">
        <v>5309010</v>
      </c>
      <c r="M492" s="9">
        <v>5309010015</v>
      </c>
      <c r="N492" s="9" t="s">
        <v>42</v>
      </c>
      <c r="O492" s="9">
        <v>10631</v>
      </c>
      <c r="P492" s="9" t="s">
        <v>1904</v>
      </c>
      <c r="Q492" s="10">
        <v>21</v>
      </c>
      <c r="R492" s="10">
        <v>0</v>
      </c>
      <c r="S492" s="10">
        <v>200000</v>
      </c>
      <c r="T492" s="10">
        <v>0</v>
      </c>
      <c r="U492" s="10">
        <v>200000</v>
      </c>
      <c r="V492" s="10">
        <v>100000</v>
      </c>
      <c r="W492" s="10">
        <v>500000</v>
      </c>
      <c r="X492" s="10">
        <v>4560000</v>
      </c>
      <c r="Y492" s="10">
        <v>0</v>
      </c>
      <c r="Z492" s="10">
        <v>4160000</v>
      </c>
      <c r="AA492" s="10">
        <v>10000000</v>
      </c>
      <c r="AB492" s="10">
        <v>4560000</v>
      </c>
      <c r="AC492" s="10">
        <v>0</v>
      </c>
      <c r="AD492" s="9" t="s">
        <v>44</v>
      </c>
      <c r="AE492" s="10" t="s">
        <v>2550</v>
      </c>
      <c r="AF492" s="13">
        <v>2171428571</v>
      </c>
      <c r="AG492" s="10">
        <v>1</v>
      </c>
      <c r="AH492" s="10">
        <v>1</v>
      </c>
      <c r="AI492" s="10">
        <v>1</v>
      </c>
      <c r="AJ492" s="12" t="s">
        <v>1905</v>
      </c>
      <c r="AK492" s="10">
        <v>0</v>
      </c>
      <c r="AL492" s="10">
        <v>0</v>
      </c>
      <c r="AM492" s="9">
        <v>2022</v>
      </c>
      <c r="AN492" s="10">
        <v>0</v>
      </c>
      <c r="AO492" s="10">
        <v>21</v>
      </c>
      <c r="AP492" s="10"/>
      <c r="AQ492" s="5"/>
      <c r="AR492" s="5"/>
      <c r="AS492" s="4">
        <f t="shared" si="21"/>
        <v>400000</v>
      </c>
      <c r="AT492" s="4">
        <f t="shared" si="22"/>
        <v>2644799.1353541287</v>
      </c>
      <c r="AU492" s="4">
        <f t="shared" si="23"/>
        <v>1915200.8646458713</v>
      </c>
      <c r="AV492" s="9" t="s">
        <v>1904</v>
      </c>
      <c r="AW492" s="12" t="s">
        <v>1905</v>
      </c>
      <c r="AX492" s="10">
        <v>0</v>
      </c>
      <c r="AY492">
        <f>S492*AU492/AS492</f>
        <v>957600.43232293567</v>
      </c>
      <c r="AZ492">
        <f>AU492-AY492</f>
        <v>957600.43232293567</v>
      </c>
      <c r="BA492" s="10">
        <v>4560000</v>
      </c>
      <c r="BB492" s="10">
        <v>0</v>
      </c>
      <c r="BC492" s="9" t="s">
        <v>42</v>
      </c>
      <c r="BD492" s="9">
        <v>10631</v>
      </c>
      <c r="BE492" t="s">
        <v>46</v>
      </c>
    </row>
    <row r="493" spans="1:57" ht="270.75" thickBot="1" x14ac:dyDescent="0.3">
      <c r="A493" s="9" t="s">
        <v>1906</v>
      </c>
      <c r="B493" s="9">
        <v>1</v>
      </c>
      <c r="C493" s="10">
        <v>2</v>
      </c>
      <c r="D493" s="9" t="s">
        <v>84</v>
      </c>
      <c r="E493" s="11">
        <v>46223.89025236111</v>
      </c>
      <c r="F493" s="9" t="s">
        <v>1907</v>
      </c>
      <c r="G493" s="9" t="s">
        <v>39</v>
      </c>
      <c r="H493" s="9">
        <v>53</v>
      </c>
      <c r="I493" s="9" t="s">
        <v>40</v>
      </c>
      <c r="J493" s="9">
        <v>5309</v>
      </c>
      <c r="K493" s="9" t="s">
        <v>41</v>
      </c>
      <c r="L493" s="9">
        <v>5309040</v>
      </c>
      <c r="M493" s="9">
        <v>5309040017</v>
      </c>
      <c r="N493" s="9" t="s">
        <v>42</v>
      </c>
      <c r="O493" s="9">
        <v>10631</v>
      </c>
      <c r="P493" s="9" t="s">
        <v>1908</v>
      </c>
      <c r="Q493" s="10">
        <v>1</v>
      </c>
      <c r="R493" s="10">
        <v>0</v>
      </c>
      <c r="S493" s="10">
        <v>300000</v>
      </c>
      <c r="T493" s="10">
        <v>0</v>
      </c>
      <c r="U493" s="10">
        <v>150000</v>
      </c>
      <c r="V493" s="10">
        <v>40000</v>
      </c>
      <c r="W493" s="10">
        <v>490000</v>
      </c>
      <c r="X493" s="10">
        <v>1500000</v>
      </c>
      <c r="Y493" s="10">
        <v>0</v>
      </c>
      <c r="Z493" s="10">
        <v>1050000</v>
      </c>
      <c r="AA493" s="10">
        <v>150000</v>
      </c>
      <c r="AB493" s="10">
        <v>1500000</v>
      </c>
      <c r="AC493" s="10">
        <v>0</v>
      </c>
      <c r="AD493" s="9" t="s">
        <v>44</v>
      </c>
      <c r="AE493" s="10" t="s">
        <v>2546</v>
      </c>
      <c r="AF493" s="10">
        <v>1500000</v>
      </c>
      <c r="AG493" s="10">
        <v>1</v>
      </c>
      <c r="AH493" s="10">
        <v>1</v>
      </c>
      <c r="AI493" s="10">
        <v>1</v>
      </c>
      <c r="AJ493" s="12" t="s">
        <v>1909</v>
      </c>
      <c r="AK493" s="10">
        <v>0</v>
      </c>
      <c r="AL493" s="10">
        <v>0</v>
      </c>
      <c r="AM493" s="9">
        <v>2021</v>
      </c>
      <c r="AN493" s="10">
        <v>0</v>
      </c>
      <c r="AO493" s="10">
        <v>1</v>
      </c>
      <c r="AP493" s="10"/>
      <c r="AQ493" s="5"/>
      <c r="AR493" s="5"/>
      <c r="AS493" s="4">
        <f t="shared" si="21"/>
        <v>450000</v>
      </c>
      <c r="AT493" s="4">
        <f t="shared" si="22"/>
        <v>870000</v>
      </c>
      <c r="AU493" s="4">
        <f t="shared" si="23"/>
        <v>630000</v>
      </c>
      <c r="AV493" s="9" t="s">
        <v>1908</v>
      </c>
      <c r="AW493" s="12" t="s">
        <v>1909</v>
      </c>
      <c r="AX493" s="10">
        <v>0</v>
      </c>
      <c r="AY493">
        <f>S493*AU493/AS493</f>
        <v>420000</v>
      </c>
      <c r="AZ493">
        <f>AU493-AY493</f>
        <v>210000</v>
      </c>
      <c r="BA493" s="10">
        <v>1500000</v>
      </c>
      <c r="BB493" s="10">
        <v>0</v>
      </c>
      <c r="BC493" s="9" t="s">
        <v>42</v>
      </c>
      <c r="BD493" s="9">
        <v>10631</v>
      </c>
      <c r="BE493" t="s">
        <v>46</v>
      </c>
    </row>
    <row r="494" spans="1:57" ht="270.75" thickBot="1" x14ac:dyDescent="0.3">
      <c r="A494" s="9" t="s">
        <v>1910</v>
      </c>
      <c r="B494" s="9">
        <v>3002</v>
      </c>
      <c r="C494" s="10">
        <v>2</v>
      </c>
      <c r="D494" s="9" t="s">
        <v>37</v>
      </c>
      <c r="E494" s="11">
        <v>46251.950819699072</v>
      </c>
      <c r="F494" s="9" t="s">
        <v>1911</v>
      </c>
      <c r="G494" s="9" t="s">
        <v>39</v>
      </c>
      <c r="H494" s="9">
        <v>53</v>
      </c>
      <c r="I494" s="9" t="s">
        <v>40</v>
      </c>
      <c r="J494" s="9">
        <v>5309</v>
      </c>
      <c r="K494" s="9" t="s">
        <v>41</v>
      </c>
      <c r="L494" s="9">
        <v>5309041</v>
      </c>
      <c r="M494" s="9">
        <v>5309041003</v>
      </c>
      <c r="N494" s="9" t="s">
        <v>42</v>
      </c>
      <c r="O494" s="9">
        <v>10631</v>
      </c>
      <c r="P494" s="9" t="s">
        <v>1912</v>
      </c>
      <c r="Q494" s="10">
        <v>2</v>
      </c>
      <c r="R494" s="10">
        <v>0</v>
      </c>
      <c r="S494" s="10">
        <v>120000</v>
      </c>
      <c r="T494" s="10">
        <v>0</v>
      </c>
      <c r="U494" s="10">
        <v>2400000</v>
      </c>
      <c r="V494" s="10">
        <v>0</v>
      </c>
      <c r="W494" s="10">
        <v>2520000</v>
      </c>
      <c r="X494" s="10">
        <v>24000000</v>
      </c>
      <c r="Y494" s="10">
        <v>0</v>
      </c>
      <c r="Z494" s="10">
        <v>21480000</v>
      </c>
      <c r="AA494" s="10">
        <v>0</v>
      </c>
      <c r="AB494" s="10">
        <v>24000000</v>
      </c>
      <c r="AC494" s="10">
        <v>0</v>
      </c>
      <c r="AD494" s="9" t="s">
        <v>44</v>
      </c>
      <c r="AE494" s="10" t="s">
        <v>2551</v>
      </c>
      <c r="AF494" s="10">
        <v>12000000</v>
      </c>
      <c r="AG494" s="9"/>
      <c r="AH494" s="10">
        <v>1</v>
      </c>
      <c r="AI494" s="10">
        <v>1</v>
      </c>
      <c r="AJ494" s="12" t="s">
        <v>1913</v>
      </c>
      <c r="AK494" s="10">
        <v>0</v>
      </c>
      <c r="AL494" s="10">
        <v>0</v>
      </c>
      <c r="AM494" s="9">
        <v>2026</v>
      </c>
      <c r="AN494" s="10">
        <v>0</v>
      </c>
      <c r="AO494" s="10">
        <v>2</v>
      </c>
      <c r="AP494" s="10"/>
      <c r="AQ494" s="5"/>
      <c r="AR494" s="5"/>
      <c r="AS494" s="4">
        <f t="shared" si="21"/>
        <v>2520000</v>
      </c>
      <c r="AT494" s="4">
        <f t="shared" si="22"/>
        <v>13920000</v>
      </c>
      <c r="AU494" s="4">
        <f t="shared" si="23"/>
        <v>10080000</v>
      </c>
      <c r="AV494" s="9" t="s">
        <v>1912</v>
      </c>
      <c r="AW494" s="12" t="s">
        <v>1913</v>
      </c>
      <c r="AX494" s="10">
        <v>0</v>
      </c>
      <c r="AY494">
        <f>S494*AU494/AS494</f>
        <v>480000</v>
      </c>
      <c r="AZ494">
        <f>AU494-AY494</f>
        <v>9600000</v>
      </c>
      <c r="BA494" s="10">
        <v>24000000</v>
      </c>
      <c r="BB494" s="10">
        <v>0</v>
      </c>
      <c r="BC494" s="9" t="s">
        <v>42</v>
      </c>
      <c r="BD494" s="9">
        <v>10631</v>
      </c>
      <c r="BE494" t="s">
        <v>46</v>
      </c>
    </row>
    <row r="495" spans="1:57" ht="270.75" thickBot="1" x14ac:dyDescent="0.3">
      <c r="A495" s="9" t="s">
        <v>1914</v>
      </c>
      <c r="B495" s="9">
        <v>1002</v>
      </c>
      <c r="C495" s="10">
        <v>2</v>
      </c>
      <c r="D495" s="9" t="s">
        <v>113</v>
      </c>
      <c r="E495" s="11">
        <v>46312.165463449077</v>
      </c>
      <c r="F495" s="9" t="s">
        <v>1915</v>
      </c>
      <c r="G495" s="9" t="s">
        <v>39</v>
      </c>
      <c r="H495" s="9">
        <v>53</v>
      </c>
      <c r="I495" s="9" t="s">
        <v>40</v>
      </c>
      <c r="J495" s="9">
        <v>5309</v>
      </c>
      <c r="K495" s="9" t="s">
        <v>41</v>
      </c>
      <c r="L495" s="9">
        <v>5309070</v>
      </c>
      <c r="M495" s="9">
        <v>5309070003</v>
      </c>
      <c r="N495" s="9" t="s">
        <v>42</v>
      </c>
      <c r="O495" s="9">
        <v>10631</v>
      </c>
      <c r="P495" s="9" t="s">
        <v>1916</v>
      </c>
      <c r="Q495" s="10">
        <v>1</v>
      </c>
      <c r="R495" s="10">
        <v>0</v>
      </c>
      <c r="S495" s="10">
        <v>150000</v>
      </c>
      <c r="T495" s="10">
        <v>0</v>
      </c>
      <c r="U495" s="10">
        <v>300000</v>
      </c>
      <c r="V495" s="10">
        <v>0</v>
      </c>
      <c r="W495" s="10">
        <v>450000</v>
      </c>
      <c r="X495" s="10">
        <v>1500000</v>
      </c>
      <c r="Y495" s="10">
        <v>0</v>
      </c>
      <c r="Z495" s="10">
        <v>1050000</v>
      </c>
      <c r="AA495" s="10">
        <v>9000000</v>
      </c>
      <c r="AB495" s="10">
        <v>1500000</v>
      </c>
      <c r="AC495" s="10">
        <v>0</v>
      </c>
      <c r="AD495" s="9" t="s">
        <v>44</v>
      </c>
      <c r="AE495" s="10" t="s">
        <v>2546</v>
      </c>
      <c r="AF495" s="10">
        <v>1500000</v>
      </c>
      <c r="AG495" s="10">
        <v>1</v>
      </c>
      <c r="AH495" s="10">
        <v>1</v>
      </c>
      <c r="AI495" s="10">
        <v>1</v>
      </c>
      <c r="AJ495" s="12" t="s">
        <v>1917</v>
      </c>
      <c r="AK495" s="10">
        <v>0</v>
      </c>
      <c r="AL495" s="10">
        <v>0</v>
      </c>
      <c r="AM495" s="9">
        <v>2018</v>
      </c>
      <c r="AN495" s="10">
        <v>0</v>
      </c>
      <c r="AO495" s="10">
        <v>1</v>
      </c>
      <c r="AP495" s="10"/>
      <c r="AQ495" s="5"/>
      <c r="AR495" s="5"/>
      <c r="AS495" s="4">
        <f t="shared" si="21"/>
        <v>450000</v>
      </c>
      <c r="AT495" s="4">
        <f t="shared" si="22"/>
        <v>870000</v>
      </c>
      <c r="AU495" s="4">
        <f t="shared" si="23"/>
        <v>630000</v>
      </c>
      <c r="AV495" s="9" t="s">
        <v>1916</v>
      </c>
      <c r="AW495" s="12" t="s">
        <v>1917</v>
      </c>
      <c r="AX495" s="10">
        <v>0</v>
      </c>
      <c r="AY495">
        <f>S495*AU495/AS495</f>
        <v>210000</v>
      </c>
      <c r="AZ495">
        <f>AU495-AY495</f>
        <v>420000</v>
      </c>
      <c r="BA495" s="10">
        <v>1500000</v>
      </c>
      <c r="BB495" s="10">
        <v>0</v>
      </c>
      <c r="BC495" s="9" t="s">
        <v>42</v>
      </c>
      <c r="BD495" s="9">
        <v>10631</v>
      </c>
      <c r="BE495" t="s">
        <v>46</v>
      </c>
    </row>
    <row r="496" spans="1:57" ht="270.75" thickBot="1" x14ac:dyDescent="0.3">
      <c r="A496" s="9" t="s">
        <v>1918</v>
      </c>
      <c r="B496" s="9">
        <v>2001</v>
      </c>
      <c r="C496" s="10">
        <v>2</v>
      </c>
      <c r="D496" s="9" t="s">
        <v>37</v>
      </c>
      <c r="E496" s="11">
        <v>46230.549799560184</v>
      </c>
      <c r="F496" s="9" t="s">
        <v>1919</v>
      </c>
      <c r="G496" s="9" t="s">
        <v>39</v>
      </c>
      <c r="H496" s="9">
        <v>53</v>
      </c>
      <c r="I496" s="9" t="s">
        <v>40</v>
      </c>
      <c r="J496" s="9">
        <v>5309</v>
      </c>
      <c r="K496" s="9" t="s">
        <v>41</v>
      </c>
      <c r="L496" s="9">
        <v>5309040</v>
      </c>
      <c r="M496" s="9">
        <v>5309040002</v>
      </c>
      <c r="N496" s="9" t="s">
        <v>42</v>
      </c>
      <c r="O496" s="9">
        <v>10631</v>
      </c>
      <c r="P496" s="9" t="s">
        <v>1920</v>
      </c>
      <c r="Q496" s="10">
        <v>2</v>
      </c>
      <c r="R496" s="10">
        <v>0</v>
      </c>
      <c r="S496" s="10">
        <v>1800000</v>
      </c>
      <c r="T496" s="10">
        <v>0</v>
      </c>
      <c r="U496" s="10">
        <v>1440000</v>
      </c>
      <c r="V496" s="10">
        <v>0</v>
      </c>
      <c r="W496" s="10">
        <v>3240000</v>
      </c>
      <c r="X496" s="10">
        <v>18000000</v>
      </c>
      <c r="Y496" s="10">
        <v>0</v>
      </c>
      <c r="Z496" s="10">
        <v>14760000</v>
      </c>
      <c r="AA496" s="10">
        <v>0</v>
      </c>
      <c r="AB496" s="10">
        <v>18000000</v>
      </c>
      <c r="AC496" s="10">
        <v>0</v>
      </c>
      <c r="AD496" s="9" t="s">
        <v>44</v>
      </c>
      <c r="AE496" s="10" t="s">
        <v>120</v>
      </c>
      <c r="AF496" s="10">
        <v>9000000</v>
      </c>
      <c r="AG496" s="9"/>
      <c r="AH496" s="10">
        <v>1</v>
      </c>
      <c r="AI496" s="10">
        <v>1</v>
      </c>
      <c r="AJ496" s="12" t="s">
        <v>1921</v>
      </c>
      <c r="AK496" s="10">
        <v>0</v>
      </c>
      <c r="AL496" s="10">
        <v>0</v>
      </c>
      <c r="AM496" s="9">
        <v>2026</v>
      </c>
      <c r="AN496" s="10">
        <v>0</v>
      </c>
      <c r="AO496" s="10">
        <v>2</v>
      </c>
      <c r="AP496" s="10"/>
      <c r="AQ496" s="5"/>
      <c r="AR496" s="5"/>
      <c r="AS496" s="4">
        <f t="shared" si="21"/>
        <v>3240000</v>
      </c>
      <c r="AT496" s="4">
        <f t="shared" si="22"/>
        <v>10440000</v>
      </c>
      <c r="AU496" s="4">
        <f t="shared" si="23"/>
        <v>7560000</v>
      </c>
      <c r="AV496" s="9" t="s">
        <v>1920</v>
      </c>
      <c r="AW496" s="12" t="s">
        <v>1921</v>
      </c>
      <c r="AX496" s="10">
        <v>0</v>
      </c>
      <c r="AY496">
        <f>S496*AU496/AS496</f>
        <v>4200000</v>
      </c>
      <c r="AZ496">
        <f>AU496-AY496</f>
        <v>3360000</v>
      </c>
      <c r="BA496" s="10">
        <v>18000000</v>
      </c>
      <c r="BB496" s="10">
        <v>0</v>
      </c>
      <c r="BC496" s="9" t="s">
        <v>42</v>
      </c>
      <c r="BD496" s="9">
        <v>10631</v>
      </c>
      <c r="BE496" t="s">
        <v>46</v>
      </c>
    </row>
    <row r="497" spans="1:57" ht="255.75" thickBot="1" x14ac:dyDescent="0.3">
      <c r="A497" s="9" t="s">
        <v>1922</v>
      </c>
      <c r="B497" s="9">
        <v>2001</v>
      </c>
      <c r="C497" s="10">
        <v>2</v>
      </c>
      <c r="D497" s="9" t="s">
        <v>37</v>
      </c>
      <c r="E497" s="11">
        <v>46244.658302280091</v>
      </c>
      <c r="F497" s="9" t="s">
        <v>1923</v>
      </c>
      <c r="G497" s="9" t="s">
        <v>39</v>
      </c>
      <c r="H497" s="9">
        <v>53</v>
      </c>
      <c r="I497" s="9" t="s">
        <v>40</v>
      </c>
      <c r="J497" s="9">
        <v>5309</v>
      </c>
      <c r="K497" s="9" t="s">
        <v>41</v>
      </c>
      <c r="L497" s="9">
        <v>5309031</v>
      </c>
      <c r="M497" s="9">
        <v>5309031006</v>
      </c>
      <c r="N497" s="9" t="s">
        <v>42</v>
      </c>
      <c r="O497" s="9">
        <v>10631</v>
      </c>
      <c r="P497" s="9" t="s">
        <v>1924</v>
      </c>
      <c r="Q497" s="10">
        <v>1</v>
      </c>
      <c r="R497" s="10">
        <v>0</v>
      </c>
      <c r="S497" s="10">
        <v>1800000</v>
      </c>
      <c r="T497" s="10">
        <v>0</v>
      </c>
      <c r="U497" s="10">
        <v>55000</v>
      </c>
      <c r="V497" s="10">
        <v>10000</v>
      </c>
      <c r="W497" s="10">
        <v>1865000</v>
      </c>
      <c r="X497" s="10">
        <v>9500000</v>
      </c>
      <c r="Y497" s="10">
        <v>0</v>
      </c>
      <c r="Z497" s="10">
        <v>7645000</v>
      </c>
      <c r="AA497" s="10">
        <v>34000000</v>
      </c>
      <c r="AB497" s="10">
        <v>9500000</v>
      </c>
      <c r="AC497" s="10">
        <v>0</v>
      </c>
      <c r="AD497" s="9" t="s">
        <v>44</v>
      </c>
      <c r="AE497" s="10" t="s">
        <v>2552</v>
      </c>
      <c r="AF497" s="10">
        <v>9500000</v>
      </c>
      <c r="AG497" s="10">
        <v>0</v>
      </c>
      <c r="AH497" s="10">
        <v>1</v>
      </c>
      <c r="AI497" s="10">
        <v>1</v>
      </c>
      <c r="AJ497" s="12" t="s">
        <v>1925</v>
      </c>
      <c r="AK497" s="10">
        <v>0</v>
      </c>
      <c r="AL497" s="10">
        <v>0</v>
      </c>
      <c r="AM497" s="9">
        <v>2024</v>
      </c>
      <c r="AN497" s="10">
        <v>0</v>
      </c>
      <c r="AO497" s="10">
        <v>1</v>
      </c>
      <c r="AP497" s="10"/>
      <c r="AQ497" s="5"/>
      <c r="AR497" s="5"/>
      <c r="AS497" s="4">
        <f t="shared" si="21"/>
        <v>1855000</v>
      </c>
      <c r="AT497" s="4">
        <f t="shared" si="22"/>
        <v>5509998.9189014547</v>
      </c>
      <c r="AU497" s="4">
        <f t="shared" si="23"/>
        <v>3990001.0810985453</v>
      </c>
      <c r="AV497" s="9" t="s">
        <v>1924</v>
      </c>
      <c r="AW497" s="12" t="s">
        <v>1925</v>
      </c>
      <c r="AX497" s="10">
        <v>0</v>
      </c>
      <c r="AY497">
        <f>S497*AU497/AS497</f>
        <v>3871699.1622519577</v>
      </c>
      <c r="AZ497">
        <f>AU497-AY497</f>
        <v>118301.91884658765</v>
      </c>
      <c r="BA497" s="10">
        <v>9500000</v>
      </c>
      <c r="BB497" s="10">
        <v>0</v>
      </c>
      <c r="BC497" s="9" t="s">
        <v>42</v>
      </c>
      <c r="BD497" s="9">
        <v>10631</v>
      </c>
      <c r="BE497" t="s">
        <v>46</v>
      </c>
    </row>
    <row r="498" spans="1:57" ht="270.75" thickBot="1" x14ac:dyDescent="0.3">
      <c r="A498" s="9" t="s">
        <v>1926</v>
      </c>
      <c r="B498" s="9">
        <v>3002</v>
      </c>
      <c r="C498" s="10">
        <v>2</v>
      </c>
      <c r="D498" s="9" t="s">
        <v>84</v>
      </c>
      <c r="E498" s="11">
        <v>46316.135267800928</v>
      </c>
      <c r="F498" s="9" t="s">
        <v>1927</v>
      </c>
      <c r="G498" s="9" t="s">
        <v>39</v>
      </c>
      <c r="H498" s="9">
        <v>53</v>
      </c>
      <c r="I498" s="9" t="s">
        <v>40</v>
      </c>
      <c r="J498" s="9">
        <v>5309</v>
      </c>
      <c r="K498" s="9" t="s">
        <v>41</v>
      </c>
      <c r="L498" s="9">
        <v>5309070</v>
      </c>
      <c r="M498" s="9">
        <v>5309070001</v>
      </c>
      <c r="N498" s="9" t="s">
        <v>42</v>
      </c>
      <c r="O498" s="9">
        <v>10631</v>
      </c>
      <c r="P498" s="9" t="s">
        <v>1928</v>
      </c>
      <c r="Q498" s="10">
        <v>1</v>
      </c>
      <c r="R498" s="10">
        <v>0</v>
      </c>
      <c r="S498" s="10">
        <v>300000</v>
      </c>
      <c r="T498" s="10">
        <v>0</v>
      </c>
      <c r="U498" s="10">
        <v>200000</v>
      </c>
      <c r="V498" s="10">
        <v>0</v>
      </c>
      <c r="W498" s="10">
        <v>500000</v>
      </c>
      <c r="X498" s="10">
        <v>2000000</v>
      </c>
      <c r="Y498" s="10">
        <v>300000</v>
      </c>
      <c r="Z498" s="10">
        <v>1500000</v>
      </c>
      <c r="AA498" s="10">
        <v>46000000</v>
      </c>
      <c r="AB498" s="10">
        <v>2000000</v>
      </c>
      <c r="AC498" s="10">
        <v>0</v>
      </c>
      <c r="AD498" s="9" t="s">
        <v>44</v>
      </c>
      <c r="AE498" s="10" t="s">
        <v>77</v>
      </c>
      <c r="AF498" s="10">
        <v>2000000</v>
      </c>
      <c r="AG498" s="10">
        <v>1</v>
      </c>
      <c r="AH498" s="10">
        <v>1</v>
      </c>
      <c r="AI498" s="10">
        <v>1</v>
      </c>
      <c r="AJ498" s="12" t="s">
        <v>1929</v>
      </c>
      <c r="AK498" s="10">
        <v>0</v>
      </c>
      <c r="AL498" s="10">
        <v>0</v>
      </c>
      <c r="AM498" s="9">
        <v>2010</v>
      </c>
      <c r="AN498" s="10">
        <v>0</v>
      </c>
      <c r="AO498" s="10">
        <v>1</v>
      </c>
      <c r="AP498" s="10"/>
      <c r="AQ498" s="5"/>
      <c r="AR498" s="5"/>
      <c r="AS498" s="4">
        <f t="shared" si="21"/>
        <v>500000</v>
      </c>
      <c r="AT498" s="4">
        <f t="shared" si="22"/>
        <v>1159999.9999999998</v>
      </c>
      <c r="AU498" s="4">
        <f t="shared" si="23"/>
        <v>840000.00000000023</v>
      </c>
      <c r="AV498" s="9" t="s">
        <v>1928</v>
      </c>
      <c r="AW498" s="12" t="s">
        <v>1929</v>
      </c>
      <c r="AX498" s="10">
        <v>0</v>
      </c>
      <c r="AY498">
        <f>S498*AU498/AS498</f>
        <v>504000.00000000012</v>
      </c>
      <c r="AZ498">
        <f>AU498-AY498</f>
        <v>336000.00000000012</v>
      </c>
      <c r="BA498" s="10">
        <v>2000000</v>
      </c>
      <c r="BB498" s="10">
        <v>300000</v>
      </c>
      <c r="BC498" s="9" t="s">
        <v>42</v>
      </c>
      <c r="BD498" s="9">
        <v>10631</v>
      </c>
      <c r="BE498" t="s">
        <v>46</v>
      </c>
    </row>
    <row r="499" spans="1:57" ht="270.75" thickBot="1" x14ac:dyDescent="0.3">
      <c r="A499" s="9" t="s">
        <v>1930</v>
      </c>
      <c r="B499" s="9">
        <v>2001</v>
      </c>
      <c r="C499" s="10">
        <v>2</v>
      </c>
      <c r="D499" s="9" t="s">
        <v>37</v>
      </c>
      <c r="E499" s="11">
        <v>46209.818876064812</v>
      </c>
      <c r="F499" s="9" t="s">
        <v>1931</v>
      </c>
      <c r="G499" s="9" t="s">
        <v>39</v>
      </c>
      <c r="H499" s="9">
        <v>53</v>
      </c>
      <c r="I499" s="9" t="s">
        <v>40</v>
      </c>
      <c r="J499" s="9">
        <v>5309</v>
      </c>
      <c r="K499" s="9" t="s">
        <v>41</v>
      </c>
      <c r="L499" s="9">
        <v>5309020</v>
      </c>
      <c r="M499" s="9">
        <v>5309020012</v>
      </c>
      <c r="N499" s="9" t="s">
        <v>42</v>
      </c>
      <c r="O499" s="9">
        <v>10631</v>
      </c>
      <c r="P499" s="9" t="s">
        <v>1932</v>
      </c>
      <c r="Q499" s="10">
        <v>1</v>
      </c>
      <c r="R499" s="10">
        <v>0</v>
      </c>
      <c r="S499" s="10">
        <v>1000000</v>
      </c>
      <c r="T499" s="10">
        <v>0</v>
      </c>
      <c r="U499" s="10">
        <v>1500000</v>
      </c>
      <c r="V499" s="10">
        <v>30000</v>
      </c>
      <c r="W499" s="10">
        <v>2530000</v>
      </c>
      <c r="X499" s="10">
        <v>6500000</v>
      </c>
      <c r="Y499" s="10">
        <v>1000000</v>
      </c>
      <c r="Z499" s="10">
        <v>4000000</v>
      </c>
      <c r="AA499" s="10">
        <v>26000000</v>
      </c>
      <c r="AB499" s="10">
        <v>6500000</v>
      </c>
      <c r="AC499" s="10">
        <v>0</v>
      </c>
      <c r="AD499" s="9" t="s">
        <v>44</v>
      </c>
      <c r="AE499" s="10" t="s">
        <v>2553</v>
      </c>
      <c r="AF499" s="10">
        <v>6500000</v>
      </c>
      <c r="AG499" s="10">
        <v>0</v>
      </c>
      <c r="AH499" s="10">
        <v>1</v>
      </c>
      <c r="AI499" s="10">
        <v>1</v>
      </c>
      <c r="AJ499" s="12" t="s">
        <v>1933</v>
      </c>
      <c r="AK499" s="10">
        <v>0</v>
      </c>
      <c r="AL499" s="10">
        <v>0</v>
      </c>
      <c r="AM499" s="9">
        <v>2021</v>
      </c>
      <c r="AN499" s="10">
        <v>0</v>
      </c>
      <c r="AO499" s="10">
        <v>1</v>
      </c>
      <c r="AP499" s="10"/>
      <c r="AQ499" s="5"/>
      <c r="AR499" s="5"/>
      <c r="AS499" s="4">
        <f t="shared" si="21"/>
        <v>2500000</v>
      </c>
      <c r="AT499" s="4">
        <f t="shared" si="22"/>
        <v>3769997.6437514727</v>
      </c>
      <c r="AU499" s="4">
        <f t="shared" si="23"/>
        <v>2730002.3562485273</v>
      </c>
      <c r="AV499" s="9" t="s">
        <v>1932</v>
      </c>
      <c r="AW499" s="12" t="s">
        <v>1933</v>
      </c>
      <c r="AX499" s="10">
        <v>0</v>
      </c>
      <c r="AY499">
        <f>S499*AU499/AS499</f>
        <v>1092000.9424994108</v>
      </c>
      <c r="AZ499">
        <f>AU499-AY499</f>
        <v>1638001.4137491165</v>
      </c>
      <c r="BA499" s="10">
        <v>6500000</v>
      </c>
      <c r="BB499" s="10">
        <v>1000000</v>
      </c>
      <c r="BC499" s="9" t="s">
        <v>42</v>
      </c>
      <c r="BD499" s="9">
        <v>10631</v>
      </c>
      <c r="BE499" t="s">
        <v>46</v>
      </c>
    </row>
    <row r="500" spans="1:57" ht="270.75" thickBot="1" x14ac:dyDescent="0.3">
      <c r="A500" s="9" t="s">
        <v>1934</v>
      </c>
      <c r="B500" s="9">
        <v>1</v>
      </c>
      <c r="C500" s="10">
        <v>2</v>
      </c>
      <c r="D500" s="9" t="s">
        <v>37</v>
      </c>
      <c r="E500" s="11">
        <v>46210.78475791667</v>
      </c>
      <c r="F500" s="9" t="s">
        <v>1935</v>
      </c>
      <c r="G500" s="9" t="s">
        <v>39</v>
      </c>
      <c r="H500" s="9">
        <v>53</v>
      </c>
      <c r="I500" s="9" t="s">
        <v>40</v>
      </c>
      <c r="J500" s="9">
        <v>5309</v>
      </c>
      <c r="K500" s="9" t="s">
        <v>41</v>
      </c>
      <c r="L500" s="9">
        <v>5309020</v>
      </c>
      <c r="M500" s="9">
        <v>5309020013</v>
      </c>
      <c r="N500" s="9" t="s">
        <v>42</v>
      </c>
      <c r="O500" s="9">
        <v>10631</v>
      </c>
      <c r="P500" s="9" t="s">
        <v>1936</v>
      </c>
      <c r="Q500" s="10">
        <v>1</v>
      </c>
      <c r="R500" s="10">
        <v>0</v>
      </c>
      <c r="S500" s="10">
        <v>500000</v>
      </c>
      <c r="T500" s="10">
        <v>0</v>
      </c>
      <c r="U500" s="10">
        <v>0</v>
      </c>
      <c r="V500" s="10">
        <v>0</v>
      </c>
      <c r="W500" s="10">
        <v>500000</v>
      </c>
      <c r="X500" s="10">
        <v>2000000</v>
      </c>
      <c r="Y500" s="10">
        <v>0</v>
      </c>
      <c r="Z500" s="10">
        <v>1500000</v>
      </c>
      <c r="AA500" s="10">
        <v>1000000</v>
      </c>
      <c r="AB500" s="10">
        <v>2000000</v>
      </c>
      <c r="AC500" s="10">
        <v>0</v>
      </c>
      <c r="AD500" s="9" t="s">
        <v>44</v>
      </c>
      <c r="AE500" s="10" t="s">
        <v>77</v>
      </c>
      <c r="AF500" s="10">
        <v>2000000</v>
      </c>
      <c r="AG500" s="10">
        <v>1</v>
      </c>
      <c r="AH500" s="10">
        <v>1</v>
      </c>
      <c r="AI500" s="10">
        <v>1</v>
      </c>
      <c r="AJ500" s="12" t="s">
        <v>1937</v>
      </c>
      <c r="AK500" s="10">
        <v>0</v>
      </c>
      <c r="AL500" s="10">
        <v>0</v>
      </c>
      <c r="AM500" s="9">
        <v>2015</v>
      </c>
      <c r="AN500" s="10">
        <v>0</v>
      </c>
      <c r="AO500" s="10">
        <v>1</v>
      </c>
      <c r="AP500" s="10"/>
      <c r="AQ500" s="5"/>
      <c r="AR500" s="5"/>
      <c r="AS500" s="4">
        <f t="shared" si="21"/>
        <v>500000</v>
      </c>
      <c r="AT500" s="4">
        <f t="shared" si="22"/>
        <v>1159999.9999999998</v>
      </c>
      <c r="AU500" s="4">
        <f t="shared" si="23"/>
        <v>840000.00000000023</v>
      </c>
      <c r="AV500" s="9" t="s">
        <v>1936</v>
      </c>
      <c r="AW500" s="12" t="s">
        <v>1937</v>
      </c>
      <c r="AX500" s="10">
        <v>0</v>
      </c>
      <c r="AY500">
        <f>S500*AU500/AS500</f>
        <v>840000.00000000023</v>
      </c>
      <c r="AZ500">
        <f>AU500-AY500</f>
        <v>0</v>
      </c>
      <c r="BA500" s="10">
        <v>2000000</v>
      </c>
      <c r="BB500" s="10">
        <v>0</v>
      </c>
      <c r="BC500" s="9" t="s">
        <v>42</v>
      </c>
      <c r="BD500" s="9">
        <v>10631</v>
      </c>
      <c r="BE500" t="s">
        <v>46</v>
      </c>
    </row>
    <row r="501" spans="1:57" ht="270.75" thickBot="1" x14ac:dyDescent="0.3">
      <c r="A501" s="9" t="s">
        <v>1938</v>
      </c>
      <c r="B501" s="9">
        <v>3006</v>
      </c>
      <c r="C501" s="10">
        <v>2</v>
      </c>
      <c r="D501" s="9" t="s">
        <v>37</v>
      </c>
      <c r="E501" s="11">
        <v>46256.083062013888</v>
      </c>
      <c r="F501" s="9" t="s">
        <v>1939</v>
      </c>
      <c r="G501" s="9" t="s">
        <v>39</v>
      </c>
      <c r="H501" s="9">
        <v>53</v>
      </c>
      <c r="I501" s="9" t="s">
        <v>40</v>
      </c>
      <c r="J501" s="9">
        <v>5309</v>
      </c>
      <c r="K501" s="9" t="s">
        <v>41</v>
      </c>
      <c r="L501" s="9">
        <v>5309040</v>
      </c>
      <c r="M501" s="9">
        <v>5309040004</v>
      </c>
      <c r="N501" s="9" t="s">
        <v>42</v>
      </c>
      <c r="O501" s="9">
        <v>10631</v>
      </c>
      <c r="P501" s="9" t="s">
        <v>1940</v>
      </c>
      <c r="Q501" s="10">
        <v>2</v>
      </c>
      <c r="R501" s="10">
        <v>0</v>
      </c>
      <c r="S501" s="10">
        <v>650000</v>
      </c>
      <c r="T501" s="10">
        <v>0</v>
      </c>
      <c r="U501" s="10">
        <v>150000</v>
      </c>
      <c r="V501" s="10">
        <v>0</v>
      </c>
      <c r="W501" s="10">
        <v>800000</v>
      </c>
      <c r="X501" s="10">
        <v>5800000</v>
      </c>
      <c r="Y501" s="10">
        <v>0</v>
      </c>
      <c r="Z501" s="10">
        <v>5000000</v>
      </c>
      <c r="AA501" s="10">
        <v>2250000</v>
      </c>
      <c r="AB501" s="10">
        <v>5800000</v>
      </c>
      <c r="AC501" s="10">
        <v>0</v>
      </c>
      <c r="AD501" s="9" t="s">
        <v>44</v>
      </c>
      <c r="AE501" s="10" t="s">
        <v>2554</v>
      </c>
      <c r="AF501" s="10">
        <v>2900000</v>
      </c>
      <c r="AG501" s="10">
        <v>1</v>
      </c>
      <c r="AH501" s="10">
        <v>1</v>
      </c>
      <c r="AI501" s="10">
        <v>1</v>
      </c>
      <c r="AJ501" s="12" t="s">
        <v>1942</v>
      </c>
      <c r="AK501" s="10">
        <v>0</v>
      </c>
      <c r="AL501" s="10">
        <v>0</v>
      </c>
      <c r="AM501" s="9">
        <v>2021</v>
      </c>
      <c r="AN501" s="10">
        <v>0</v>
      </c>
      <c r="AO501" s="10">
        <v>2</v>
      </c>
      <c r="AP501" s="10"/>
      <c r="AQ501" s="5"/>
      <c r="AR501" s="5"/>
      <c r="AS501" s="4">
        <f t="shared" si="21"/>
        <v>800000</v>
      </c>
      <c r="AT501" s="4">
        <f t="shared" si="22"/>
        <v>3363999.8654400054</v>
      </c>
      <c r="AU501" s="4">
        <f t="shared" si="23"/>
        <v>2436000.1345599946</v>
      </c>
      <c r="AV501" s="9" t="s">
        <v>1940</v>
      </c>
      <c r="AW501" s="12" t="s">
        <v>1942</v>
      </c>
      <c r="AX501" s="10">
        <v>0</v>
      </c>
      <c r="AY501">
        <f>S501*AU501/AS501</f>
        <v>1979250.1093299957</v>
      </c>
      <c r="AZ501">
        <f>AU501-AY501</f>
        <v>456750.02522999886</v>
      </c>
      <c r="BA501" s="10">
        <v>5800000</v>
      </c>
      <c r="BB501" s="10">
        <v>0</v>
      </c>
      <c r="BC501" s="9" t="s">
        <v>42</v>
      </c>
      <c r="BD501" s="9">
        <v>10631</v>
      </c>
      <c r="BE501" t="s">
        <v>46</v>
      </c>
    </row>
    <row r="502" spans="1:57" ht="270.75" thickBot="1" x14ac:dyDescent="0.3">
      <c r="A502" s="9" t="s">
        <v>1943</v>
      </c>
      <c r="B502" s="9">
        <v>1</v>
      </c>
      <c r="C502" s="10">
        <v>2</v>
      </c>
      <c r="D502" s="9" t="s">
        <v>37</v>
      </c>
      <c r="E502" s="11">
        <v>46236.64742616898</v>
      </c>
      <c r="F502" s="9" t="s">
        <v>1944</v>
      </c>
      <c r="G502" s="9" t="s">
        <v>39</v>
      </c>
      <c r="H502" s="9">
        <v>53</v>
      </c>
      <c r="I502" s="9" t="s">
        <v>40</v>
      </c>
      <c r="J502" s="9">
        <v>5309</v>
      </c>
      <c r="K502" s="9" t="s">
        <v>41</v>
      </c>
      <c r="L502" s="9">
        <v>5309041</v>
      </c>
      <c r="M502" s="9">
        <v>5309041001</v>
      </c>
      <c r="N502" s="9" t="s">
        <v>42</v>
      </c>
      <c r="O502" s="9">
        <v>10631</v>
      </c>
      <c r="P502" s="9" t="s">
        <v>1945</v>
      </c>
      <c r="Q502" s="10">
        <v>1</v>
      </c>
      <c r="R502" s="10">
        <v>0</v>
      </c>
      <c r="S502" s="10">
        <v>250000</v>
      </c>
      <c r="T502" s="10">
        <v>0</v>
      </c>
      <c r="U502" s="10">
        <v>250000</v>
      </c>
      <c r="V502" s="10">
        <v>100000</v>
      </c>
      <c r="W502" s="10">
        <v>600000</v>
      </c>
      <c r="X502" s="10">
        <v>1800000</v>
      </c>
      <c r="Y502" s="10">
        <v>0</v>
      </c>
      <c r="Z502" s="10">
        <v>1300000</v>
      </c>
      <c r="AA502" s="10">
        <v>15000000</v>
      </c>
      <c r="AB502" s="10">
        <v>1800000</v>
      </c>
      <c r="AC502" s="10">
        <v>0</v>
      </c>
      <c r="AD502" s="9" t="s">
        <v>44</v>
      </c>
      <c r="AE502" s="10" t="s">
        <v>2371</v>
      </c>
      <c r="AF502" s="10">
        <v>1800000</v>
      </c>
      <c r="AG502" s="10">
        <v>1</v>
      </c>
      <c r="AH502" s="10">
        <v>1</v>
      </c>
      <c r="AI502" s="10">
        <v>1</v>
      </c>
      <c r="AJ502" s="12" t="s">
        <v>1946</v>
      </c>
      <c r="AK502" s="10">
        <v>0</v>
      </c>
      <c r="AL502" s="10">
        <v>0</v>
      </c>
      <c r="AM502" s="9">
        <v>2020</v>
      </c>
      <c r="AN502" s="10">
        <v>0</v>
      </c>
      <c r="AO502" s="10">
        <v>1</v>
      </c>
      <c r="AP502" s="10"/>
      <c r="AQ502" s="5"/>
      <c r="AR502" s="5"/>
      <c r="AS502" s="4">
        <f t="shared" si="21"/>
        <v>500000</v>
      </c>
      <c r="AT502" s="4">
        <f t="shared" si="22"/>
        <v>1044000.321230868</v>
      </c>
      <c r="AU502" s="4">
        <f t="shared" si="23"/>
        <v>755999.67876913201</v>
      </c>
      <c r="AV502" s="9" t="s">
        <v>1945</v>
      </c>
      <c r="AW502" s="12" t="s">
        <v>1946</v>
      </c>
      <c r="AX502" s="10">
        <v>0</v>
      </c>
      <c r="AY502">
        <f>S502*AU502/AS502</f>
        <v>377999.839384566</v>
      </c>
      <c r="AZ502">
        <f>AU502-AY502</f>
        <v>377999.839384566</v>
      </c>
      <c r="BA502" s="10">
        <v>1800000</v>
      </c>
      <c r="BB502" s="10">
        <v>0</v>
      </c>
      <c r="BC502" s="9" t="s">
        <v>42</v>
      </c>
      <c r="BD502" s="9">
        <v>10631</v>
      </c>
      <c r="BE502" t="s">
        <v>46</v>
      </c>
    </row>
    <row r="503" spans="1:57" ht="270.75" thickBot="1" x14ac:dyDescent="0.3">
      <c r="A503" s="9" t="s">
        <v>1947</v>
      </c>
      <c r="B503" s="9">
        <v>1</v>
      </c>
      <c r="C503" s="10">
        <v>2</v>
      </c>
      <c r="D503" s="9" t="s">
        <v>37</v>
      </c>
      <c r="E503" s="11">
        <v>46210.77976636574</v>
      </c>
      <c r="F503" s="9" t="s">
        <v>1948</v>
      </c>
      <c r="G503" s="9" t="s">
        <v>39</v>
      </c>
      <c r="H503" s="9">
        <v>53</v>
      </c>
      <c r="I503" s="9" t="s">
        <v>40</v>
      </c>
      <c r="J503" s="9">
        <v>5309</v>
      </c>
      <c r="K503" s="9" t="s">
        <v>41</v>
      </c>
      <c r="L503" s="9">
        <v>5309020</v>
      </c>
      <c r="M503" s="9">
        <v>5309020013</v>
      </c>
      <c r="N503" s="9" t="s">
        <v>42</v>
      </c>
      <c r="O503" s="9">
        <v>10631</v>
      </c>
      <c r="P503" s="9" t="s">
        <v>1949</v>
      </c>
      <c r="Q503" s="10">
        <v>3</v>
      </c>
      <c r="R503" s="10">
        <v>0</v>
      </c>
      <c r="S503" s="10">
        <v>200000</v>
      </c>
      <c r="T503" s="10">
        <v>0</v>
      </c>
      <c r="U503" s="10">
        <v>300000</v>
      </c>
      <c r="V503" s="10">
        <v>0</v>
      </c>
      <c r="W503" s="10">
        <v>500000</v>
      </c>
      <c r="X503" s="10">
        <v>600000</v>
      </c>
      <c r="Y503" s="10">
        <v>500000</v>
      </c>
      <c r="Z503" s="10">
        <f>X503-SUM(S503:U503)</f>
        <v>100000</v>
      </c>
      <c r="AA503" s="10">
        <v>1000000</v>
      </c>
      <c r="AB503" s="10">
        <v>500000</v>
      </c>
      <c r="AC503" s="10">
        <v>0</v>
      </c>
      <c r="AD503" s="9" t="s">
        <v>44</v>
      </c>
      <c r="AE503" s="10">
        <f>Z503/AB503</f>
        <v>0.2</v>
      </c>
      <c r="AF503" s="13">
        <v>1666666667</v>
      </c>
      <c r="AG503" s="10">
        <v>1</v>
      </c>
      <c r="AH503" s="9"/>
      <c r="AI503" s="10">
        <v>1</v>
      </c>
      <c r="AJ503" s="12" t="s">
        <v>1950</v>
      </c>
      <c r="AK503" s="10">
        <v>0</v>
      </c>
      <c r="AL503" s="10">
        <v>0</v>
      </c>
      <c r="AM503" s="9">
        <v>1997</v>
      </c>
      <c r="AN503" s="10">
        <v>0</v>
      </c>
      <c r="AO503" s="10">
        <v>3</v>
      </c>
      <c r="AP503" s="10"/>
      <c r="AQ503" s="5"/>
      <c r="AR503" s="5"/>
      <c r="AS503" s="4">
        <f t="shared" si="21"/>
        <v>400000</v>
      </c>
      <c r="AT503" s="4">
        <f>IF(AE503&gt;0.61,(Z503*0.58/AE503),IF(AE503&lt;0.15,(Z503*0.2/AE503),Z503))</f>
        <v>100000</v>
      </c>
      <c r="AU503" s="4">
        <f t="shared" si="23"/>
        <v>400000</v>
      </c>
      <c r="AV503" s="9" t="s">
        <v>1949</v>
      </c>
      <c r="AW503" s="12" t="s">
        <v>1950</v>
      </c>
      <c r="AX503" s="10">
        <v>0</v>
      </c>
      <c r="AY503">
        <f>S503*AU503/AS503</f>
        <v>200000</v>
      </c>
      <c r="AZ503">
        <f>AU503-AY503</f>
        <v>200000</v>
      </c>
      <c r="BA503" s="10">
        <v>500000</v>
      </c>
      <c r="BB503" s="10">
        <v>500000</v>
      </c>
      <c r="BC503" s="9" t="s">
        <v>42</v>
      </c>
      <c r="BD503" s="9">
        <v>10631</v>
      </c>
      <c r="BE503" t="s">
        <v>46</v>
      </c>
    </row>
    <row r="504" spans="1:57" ht="270.75" thickBot="1" x14ac:dyDescent="0.3">
      <c r="A504" s="9" t="s">
        <v>1951</v>
      </c>
      <c r="B504" s="9">
        <v>2001</v>
      </c>
      <c r="C504" s="10">
        <v>2</v>
      </c>
      <c r="D504" s="9" t="s">
        <v>37</v>
      </c>
      <c r="E504" s="11">
        <v>46223.541244722219</v>
      </c>
      <c r="F504" s="9" t="s">
        <v>1952</v>
      </c>
      <c r="G504" s="9" t="s">
        <v>39</v>
      </c>
      <c r="H504" s="9">
        <v>53</v>
      </c>
      <c r="I504" s="9" t="s">
        <v>40</v>
      </c>
      <c r="J504" s="9">
        <v>5309</v>
      </c>
      <c r="K504" s="9" t="s">
        <v>41</v>
      </c>
      <c r="L504" s="9">
        <v>5309010</v>
      </c>
      <c r="M504" s="9">
        <v>5309010011</v>
      </c>
      <c r="N504" s="9" t="s">
        <v>42</v>
      </c>
      <c r="O504" s="9">
        <v>10631</v>
      </c>
      <c r="P504" s="9" t="s">
        <v>1888</v>
      </c>
      <c r="Q504" s="10">
        <v>1</v>
      </c>
      <c r="R504" s="10">
        <v>0</v>
      </c>
      <c r="S504" s="10">
        <v>500000</v>
      </c>
      <c r="T504" s="10">
        <v>0</v>
      </c>
      <c r="U504" s="10">
        <v>300000</v>
      </c>
      <c r="V504" s="10">
        <v>0</v>
      </c>
      <c r="W504" s="10">
        <v>800000</v>
      </c>
      <c r="X504" s="10">
        <v>27000000</v>
      </c>
      <c r="Y504" s="10">
        <v>0</v>
      </c>
      <c r="Z504" s="10">
        <v>26200000</v>
      </c>
      <c r="AA504" s="10">
        <v>6250000</v>
      </c>
      <c r="AB504" s="10">
        <v>27000000</v>
      </c>
      <c r="AC504" s="10">
        <v>0</v>
      </c>
      <c r="AD504" s="9" t="s">
        <v>44</v>
      </c>
      <c r="AE504" s="10" t="s">
        <v>2555</v>
      </c>
      <c r="AF504" s="10">
        <v>27000000</v>
      </c>
      <c r="AG504" s="10">
        <v>1</v>
      </c>
      <c r="AH504" s="10">
        <v>1</v>
      </c>
      <c r="AI504" s="10">
        <v>1</v>
      </c>
      <c r="AJ504" s="12" t="s">
        <v>1953</v>
      </c>
      <c r="AK504" s="10">
        <v>0</v>
      </c>
      <c r="AL504" s="10">
        <v>0</v>
      </c>
      <c r="AM504" s="9">
        <v>2023</v>
      </c>
      <c r="AN504" s="10">
        <v>0</v>
      </c>
      <c r="AO504" s="10">
        <v>1</v>
      </c>
      <c r="AP504" s="10"/>
      <c r="AQ504" s="5"/>
      <c r="AR504" s="5"/>
      <c r="AS504" s="4">
        <f t="shared" si="21"/>
        <v>800000</v>
      </c>
      <c r="AT504" s="4">
        <f t="shared" si="22"/>
        <v>15660005.977101516</v>
      </c>
      <c r="AU504" s="4">
        <f t="shared" si="23"/>
        <v>11339994.022898484</v>
      </c>
      <c r="AV504" s="9" t="s">
        <v>1888</v>
      </c>
      <c r="AW504" s="12" t="s">
        <v>1953</v>
      </c>
      <c r="AX504" s="10">
        <v>0</v>
      </c>
      <c r="AY504">
        <f>S504*AU504/AS504</f>
        <v>7087496.264311553</v>
      </c>
      <c r="AZ504">
        <f>AU504-AY504</f>
        <v>4252497.758586931</v>
      </c>
      <c r="BA504" s="10">
        <v>27000000</v>
      </c>
      <c r="BB504" s="10">
        <v>0</v>
      </c>
      <c r="BC504" s="9" t="s">
        <v>42</v>
      </c>
      <c r="BD504" s="9">
        <v>10631</v>
      </c>
      <c r="BE504" t="s">
        <v>46</v>
      </c>
    </row>
    <row r="505" spans="1:57" ht="270.75" thickBot="1" x14ac:dyDescent="0.3">
      <c r="A505" s="9" t="s">
        <v>1954</v>
      </c>
      <c r="B505" s="9">
        <v>1002</v>
      </c>
      <c r="C505" s="10">
        <v>2</v>
      </c>
      <c r="D505" s="9" t="s">
        <v>37</v>
      </c>
      <c r="E505" s="11">
        <v>46218.499914467589</v>
      </c>
      <c r="F505" s="9" t="s">
        <v>1955</v>
      </c>
      <c r="G505" s="9" t="s">
        <v>39</v>
      </c>
      <c r="H505" s="9">
        <v>53</v>
      </c>
      <c r="I505" s="9" t="s">
        <v>40</v>
      </c>
      <c r="J505" s="9">
        <v>5309</v>
      </c>
      <c r="K505" s="9" t="s">
        <v>41</v>
      </c>
      <c r="L505" s="9">
        <v>5309010</v>
      </c>
      <c r="M505" s="9">
        <v>5309010015</v>
      </c>
      <c r="N505" s="9" t="s">
        <v>42</v>
      </c>
      <c r="O505" s="9">
        <v>10631</v>
      </c>
      <c r="P505" s="9" t="s">
        <v>1904</v>
      </c>
      <c r="Q505" s="10">
        <v>23</v>
      </c>
      <c r="R505" s="10">
        <v>0</v>
      </c>
      <c r="S505" s="10">
        <v>250000</v>
      </c>
      <c r="T505" s="10">
        <v>0</v>
      </c>
      <c r="U505" s="10">
        <v>200000</v>
      </c>
      <c r="V505" s="10">
        <v>50000</v>
      </c>
      <c r="W505" s="10">
        <v>500000</v>
      </c>
      <c r="X505" s="10">
        <v>4350000</v>
      </c>
      <c r="Y505" s="10">
        <v>0</v>
      </c>
      <c r="Z505" s="10">
        <v>3900000</v>
      </c>
      <c r="AA505" s="10">
        <v>10000000</v>
      </c>
      <c r="AB505" s="10">
        <v>4350000</v>
      </c>
      <c r="AC505" s="10">
        <v>0</v>
      </c>
      <c r="AD505" s="9" t="s">
        <v>44</v>
      </c>
      <c r="AE505" s="10" t="s">
        <v>2556</v>
      </c>
      <c r="AF505" s="13">
        <v>1891304348</v>
      </c>
      <c r="AG505" s="10">
        <v>1</v>
      </c>
      <c r="AH505" s="10">
        <v>1</v>
      </c>
      <c r="AI505" s="10">
        <v>1</v>
      </c>
      <c r="AJ505" s="12" t="s">
        <v>1956</v>
      </c>
      <c r="AK505" s="10">
        <v>0</v>
      </c>
      <c r="AL505" s="10">
        <v>0</v>
      </c>
      <c r="AM505" s="9">
        <v>2023</v>
      </c>
      <c r="AN505" s="10">
        <v>0</v>
      </c>
      <c r="AO505" s="10">
        <v>23</v>
      </c>
      <c r="AP505" s="10"/>
      <c r="AQ505" s="5"/>
      <c r="AR505" s="5"/>
      <c r="AS505" s="4">
        <f t="shared" si="21"/>
        <v>450000</v>
      </c>
      <c r="AT505" s="4">
        <f t="shared" si="22"/>
        <v>2522999.2236925466</v>
      </c>
      <c r="AU505" s="4">
        <f t="shared" si="23"/>
        <v>1827000.7763074534</v>
      </c>
      <c r="AV505" s="9" t="s">
        <v>1904</v>
      </c>
      <c r="AW505" s="12" t="s">
        <v>1956</v>
      </c>
      <c r="AX505" s="10">
        <v>0</v>
      </c>
      <c r="AY505">
        <f>S505*AU505/AS505</f>
        <v>1015000.4312819185</v>
      </c>
      <c r="AZ505">
        <f>AU505-AY505</f>
        <v>812000.34502553486</v>
      </c>
      <c r="BA505" s="10">
        <v>4350000</v>
      </c>
      <c r="BB505" s="10">
        <v>0</v>
      </c>
      <c r="BC505" s="9" t="s">
        <v>42</v>
      </c>
      <c r="BD505" s="9">
        <v>10631</v>
      </c>
      <c r="BE505" t="s">
        <v>46</v>
      </c>
    </row>
    <row r="506" spans="1:57" ht="270.75" thickBot="1" x14ac:dyDescent="0.3">
      <c r="A506" s="9" t="s">
        <v>1957</v>
      </c>
      <c r="B506" s="9">
        <v>2001</v>
      </c>
      <c r="C506" s="10">
        <v>2</v>
      </c>
      <c r="D506" s="9" t="s">
        <v>37</v>
      </c>
      <c r="E506" s="11">
        <v>46227.58343716435</v>
      </c>
      <c r="F506" s="9" t="s">
        <v>1958</v>
      </c>
      <c r="G506" s="9" t="s">
        <v>39</v>
      </c>
      <c r="H506" s="9">
        <v>53</v>
      </c>
      <c r="I506" s="9" t="s">
        <v>40</v>
      </c>
      <c r="J506" s="9">
        <v>5309</v>
      </c>
      <c r="K506" s="9" t="s">
        <v>41</v>
      </c>
      <c r="L506" s="9">
        <v>5309010</v>
      </c>
      <c r="M506" s="9">
        <v>5309010004</v>
      </c>
      <c r="N506" s="9" t="s">
        <v>42</v>
      </c>
      <c r="O506" s="9">
        <v>10631</v>
      </c>
      <c r="P506" s="9" t="s">
        <v>1945</v>
      </c>
      <c r="Q506" s="10">
        <v>1</v>
      </c>
      <c r="R506" s="10">
        <v>0</v>
      </c>
      <c r="S506" s="10">
        <v>500000</v>
      </c>
      <c r="T506" s="10">
        <v>0</v>
      </c>
      <c r="U506" s="10">
        <v>0</v>
      </c>
      <c r="V506" s="10">
        <v>0</v>
      </c>
      <c r="W506" s="10">
        <v>500000</v>
      </c>
      <c r="X506" s="10">
        <v>600000</v>
      </c>
      <c r="Y506" s="10">
        <v>200000</v>
      </c>
      <c r="Z506" s="10">
        <f>X506-SUM(S506:U506)</f>
        <v>100000</v>
      </c>
      <c r="AA506" s="10">
        <v>40000000</v>
      </c>
      <c r="AB506" s="10">
        <v>500000</v>
      </c>
      <c r="AC506" s="10">
        <v>0</v>
      </c>
      <c r="AD506" s="9" t="s">
        <v>44</v>
      </c>
      <c r="AE506" s="10">
        <f>Z506/AB506</f>
        <v>0.2</v>
      </c>
      <c r="AF506" s="10">
        <v>500000</v>
      </c>
      <c r="AG506" s="10">
        <v>1</v>
      </c>
      <c r="AH506" s="9"/>
      <c r="AI506" s="10">
        <v>1</v>
      </c>
      <c r="AJ506" s="12" t="s">
        <v>1959</v>
      </c>
      <c r="AK506" s="10">
        <v>0</v>
      </c>
      <c r="AL506" s="10">
        <v>0</v>
      </c>
      <c r="AM506" s="9">
        <v>2024</v>
      </c>
      <c r="AN506" s="10">
        <v>0</v>
      </c>
      <c r="AO506" s="10">
        <v>1</v>
      </c>
      <c r="AP506" s="10"/>
      <c r="AQ506" s="5"/>
      <c r="AR506" s="5"/>
      <c r="AS506" s="4">
        <f t="shared" si="21"/>
        <v>400000</v>
      </c>
      <c r="AT506" s="4">
        <f t="shared" si="22"/>
        <v>100000</v>
      </c>
      <c r="AU506" s="4">
        <f t="shared" si="23"/>
        <v>400000</v>
      </c>
      <c r="AV506" s="9" t="s">
        <v>1945</v>
      </c>
      <c r="AW506" s="12" t="s">
        <v>1959</v>
      </c>
      <c r="AX506" s="10">
        <v>0</v>
      </c>
      <c r="AY506">
        <f>S506*AU506/AS506</f>
        <v>500000</v>
      </c>
      <c r="AZ506">
        <f>AU506-AY506</f>
        <v>-100000</v>
      </c>
      <c r="BA506" s="10">
        <v>500000</v>
      </c>
      <c r="BB506" s="10">
        <v>200000</v>
      </c>
      <c r="BC506" s="9" t="s">
        <v>42</v>
      </c>
      <c r="BD506" s="9">
        <v>10631</v>
      </c>
      <c r="BE506" t="s">
        <v>46</v>
      </c>
    </row>
    <row r="507" spans="1:57" ht="270.75" thickBot="1" x14ac:dyDescent="0.3">
      <c r="A507" s="9" t="s">
        <v>1960</v>
      </c>
      <c r="B507" s="9">
        <v>3001</v>
      </c>
      <c r="C507" s="10">
        <v>2</v>
      </c>
      <c r="D507" s="9" t="s">
        <v>37</v>
      </c>
      <c r="E507" s="11">
        <v>46268.636339108794</v>
      </c>
      <c r="F507" s="9" t="s">
        <v>1961</v>
      </c>
      <c r="G507" s="9" t="s">
        <v>39</v>
      </c>
      <c r="H507" s="9">
        <v>53</v>
      </c>
      <c r="I507" s="9" t="s">
        <v>40</v>
      </c>
      <c r="J507" s="9">
        <v>5309</v>
      </c>
      <c r="K507" s="9" t="s">
        <v>41</v>
      </c>
      <c r="L507" s="9">
        <v>5309032</v>
      </c>
      <c r="M507" s="9">
        <v>5309032003</v>
      </c>
      <c r="N507" s="9" t="s">
        <v>42</v>
      </c>
      <c r="O507" s="9">
        <v>10631</v>
      </c>
      <c r="P507" s="9" t="s">
        <v>1888</v>
      </c>
      <c r="Q507" s="10">
        <v>1</v>
      </c>
      <c r="R507" s="10">
        <v>0</v>
      </c>
      <c r="S507" s="10">
        <v>115000</v>
      </c>
      <c r="T507" s="10">
        <v>0</v>
      </c>
      <c r="U507" s="10">
        <v>250000</v>
      </c>
      <c r="V507" s="10">
        <v>0</v>
      </c>
      <c r="W507" s="10">
        <v>365000</v>
      </c>
      <c r="X507" s="10">
        <v>1650000</v>
      </c>
      <c r="Y507" s="10">
        <v>0</v>
      </c>
      <c r="Z507" s="10">
        <v>1285000</v>
      </c>
      <c r="AA507" s="10">
        <v>129500000</v>
      </c>
      <c r="AB507" s="10">
        <v>1650000</v>
      </c>
      <c r="AC507" s="10">
        <v>0</v>
      </c>
      <c r="AD507" s="9" t="s">
        <v>44</v>
      </c>
      <c r="AE507" s="10" t="s">
        <v>2557</v>
      </c>
      <c r="AF507" s="10">
        <v>1650000</v>
      </c>
      <c r="AG507" s="10">
        <v>1</v>
      </c>
      <c r="AH507" s="10">
        <v>1</v>
      </c>
      <c r="AI507" s="10">
        <v>1</v>
      </c>
      <c r="AJ507" s="12" t="s">
        <v>1962</v>
      </c>
      <c r="AK507" s="10">
        <v>0</v>
      </c>
      <c r="AL507" s="10">
        <v>0</v>
      </c>
      <c r="AM507" s="9">
        <v>2017</v>
      </c>
      <c r="AN507" s="10">
        <v>0</v>
      </c>
      <c r="AO507" s="10">
        <v>1</v>
      </c>
      <c r="AP507" s="10"/>
      <c r="AQ507" s="5"/>
      <c r="AR507" s="5"/>
      <c r="AS507" s="4">
        <f t="shared" si="21"/>
        <v>365000</v>
      </c>
      <c r="AT507" s="4">
        <f t="shared" si="22"/>
        <v>956999.85105060681</v>
      </c>
      <c r="AU507" s="4">
        <f t="shared" si="23"/>
        <v>693000.14894939319</v>
      </c>
      <c r="AV507" s="9" t="s">
        <v>1888</v>
      </c>
      <c r="AW507" s="12" t="s">
        <v>1962</v>
      </c>
      <c r="AX507" s="10">
        <v>0</v>
      </c>
      <c r="AY507">
        <f>S507*AU507/AS507</f>
        <v>218342.51268268554</v>
      </c>
      <c r="AZ507">
        <f>AU507-AY507</f>
        <v>474657.63626670768</v>
      </c>
      <c r="BA507" s="10">
        <v>1650000</v>
      </c>
      <c r="BB507" s="10">
        <v>0</v>
      </c>
      <c r="BC507" s="9" t="s">
        <v>42</v>
      </c>
      <c r="BD507" s="9">
        <v>10631</v>
      </c>
      <c r="BE507" t="s">
        <v>46</v>
      </c>
    </row>
    <row r="508" spans="1:57" ht="270.75" thickBot="1" x14ac:dyDescent="0.3">
      <c r="A508" s="9" t="s">
        <v>1963</v>
      </c>
      <c r="B508" s="9">
        <v>1</v>
      </c>
      <c r="C508" s="10">
        <v>2</v>
      </c>
      <c r="D508" s="9" t="s">
        <v>37</v>
      </c>
      <c r="E508" s="11">
        <v>46228.528593483796</v>
      </c>
      <c r="F508" s="9" t="s">
        <v>1964</v>
      </c>
      <c r="G508" s="9" t="s">
        <v>39</v>
      </c>
      <c r="H508" s="9">
        <v>53</v>
      </c>
      <c r="I508" s="9" t="s">
        <v>40</v>
      </c>
      <c r="J508" s="9">
        <v>5309</v>
      </c>
      <c r="K508" s="9" t="s">
        <v>41</v>
      </c>
      <c r="L508" s="9">
        <v>5309031</v>
      </c>
      <c r="M508" s="9">
        <v>5309031005</v>
      </c>
      <c r="N508" s="9" t="s">
        <v>42</v>
      </c>
      <c r="O508" s="9">
        <v>10631</v>
      </c>
      <c r="P508" s="9" t="s">
        <v>1965</v>
      </c>
      <c r="Q508" s="10">
        <v>2</v>
      </c>
      <c r="R508" s="10">
        <v>1000000</v>
      </c>
      <c r="S508" s="10">
        <v>1350000</v>
      </c>
      <c r="T508" s="10">
        <v>0</v>
      </c>
      <c r="U508" s="10">
        <v>250000</v>
      </c>
      <c r="V508" s="10">
        <v>0</v>
      </c>
      <c r="W508" s="10">
        <v>2600000</v>
      </c>
      <c r="X508" s="10">
        <v>12600000</v>
      </c>
      <c r="Y508" s="10">
        <v>0</v>
      </c>
      <c r="Z508" s="10">
        <v>11000000</v>
      </c>
      <c r="AA508" s="10">
        <v>59800000</v>
      </c>
      <c r="AB508" s="10">
        <v>12600000</v>
      </c>
      <c r="AC508" s="10">
        <v>0</v>
      </c>
      <c r="AD508" s="9" t="s">
        <v>44</v>
      </c>
      <c r="AE508" s="10" t="s">
        <v>2558</v>
      </c>
      <c r="AF508" s="10">
        <v>6300000</v>
      </c>
      <c r="AG508" s="10">
        <v>0</v>
      </c>
      <c r="AH508" s="10">
        <v>1</v>
      </c>
      <c r="AI508" s="10">
        <v>1</v>
      </c>
      <c r="AJ508" s="12" t="s">
        <v>1966</v>
      </c>
      <c r="AK508" s="10">
        <v>0</v>
      </c>
      <c r="AL508" s="10">
        <v>0</v>
      </c>
      <c r="AM508" s="9">
        <v>2025</v>
      </c>
      <c r="AN508" s="10">
        <v>1</v>
      </c>
      <c r="AO508" s="10">
        <v>1</v>
      </c>
      <c r="AP508" s="10"/>
      <c r="AQ508" s="5"/>
      <c r="AR508" s="5"/>
      <c r="AS508" s="4">
        <f t="shared" si="21"/>
        <v>1600000</v>
      </c>
      <c r="AT508" s="4">
        <f t="shared" si="22"/>
        <v>7307998.9370183367</v>
      </c>
      <c r="AU508" s="4">
        <f t="shared" si="23"/>
        <v>5292001.0629816633</v>
      </c>
      <c r="AV508" s="9" t="s">
        <v>1965</v>
      </c>
      <c r="AW508" s="12" t="s">
        <v>1966</v>
      </c>
      <c r="AX508" s="10">
        <v>0</v>
      </c>
      <c r="AY508">
        <f>S508*AU508/AS508</f>
        <v>4465125.8968907781</v>
      </c>
      <c r="AZ508">
        <f>AU508-AY508</f>
        <v>826875.16609088518</v>
      </c>
      <c r="BA508" s="10">
        <v>12600000</v>
      </c>
      <c r="BB508" s="10">
        <v>0</v>
      </c>
      <c r="BC508" s="9" t="s">
        <v>42</v>
      </c>
      <c r="BD508" s="9">
        <v>10631</v>
      </c>
      <c r="BE508" t="s">
        <v>46</v>
      </c>
    </row>
    <row r="509" spans="1:57" ht="270.75" thickBot="1" x14ac:dyDescent="0.3">
      <c r="A509" s="9" t="s">
        <v>1967</v>
      </c>
      <c r="B509" s="9">
        <v>3001</v>
      </c>
      <c r="C509" s="10">
        <v>2</v>
      </c>
      <c r="D509" s="9" t="s">
        <v>37</v>
      </c>
      <c r="E509" s="11">
        <v>46215.469546030094</v>
      </c>
      <c r="F509" s="9" t="s">
        <v>1968</v>
      </c>
      <c r="G509" s="9" t="s">
        <v>39</v>
      </c>
      <c r="H509" s="9">
        <v>53</v>
      </c>
      <c r="I509" s="9" t="s">
        <v>40</v>
      </c>
      <c r="J509" s="9">
        <v>5309</v>
      </c>
      <c r="K509" s="9" t="s">
        <v>41</v>
      </c>
      <c r="L509" s="9">
        <v>5309061</v>
      </c>
      <c r="M509" s="9">
        <v>5309061008</v>
      </c>
      <c r="N509" s="9" t="s">
        <v>42</v>
      </c>
      <c r="O509" s="9">
        <v>10631</v>
      </c>
      <c r="P509" s="9" t="s">
        <v>1969</v>
      </c>
      <c r="Q509" s="10">
        <v>1</v>
      </c>
      <c r="R509" s="10">
        <v>0</v>
      </c>
      <c r="S509" s="10">
        <v>250000</v>
      </c>
      <c r="T509" s="10">
        <v>0</v>
      </c>
      <c r="U509" s="10">
        <v>100000</v>
      </c>
      <c r="V509" s="10">
        <v>0</v>
      </c>
      <c r="W509" s="10">
        <v>350000</v>
      </c>
      <c r="X509" s="10">
        <v>30000000</v>
      </c>
      <c r="Y509" s="10">
        <v>0</v>
      </c>
      <c r="Z509" s="10">
        <v>29650000</v>
      </c>
      <c r="AA509" s="10">
        <v>56000000</v>
      </c>
      <c r="AB509" s="10">
        <v>30000000</v>
      </c>
      <c r="AC509" s="10">
        <v>0</v>
      </c>
      <c r="AD509" s="9" t="s">
        <v>44</v>
      </c>
      <c r="AE509" s="10" t="s">
        <v>2559</v>
      </c>
      <c r="AF509" s="10">
        <v>30000000</v>
      </c>
      <c r="AG509" s="10">
        <v>1</v>
      </c>
      <c r="AH509" s="10">
        <v>1</v>
      </c>
      <c r="AI509" s="10">
        <v>1</v>
      </c>
      <c r="AJ509" s="12" t="s">
        <v>1970</v>
      </c>
      <c r="AK509" s="10">
        <v>0</v>
      </c>
      <c r="AL509" s="10">
        <v>0</v>
      </c>
      <c r="AM509" s="9">
        <v>1999</v>
      </c>
      <c r="AN509" s="10">
        <v>0</v>
      </c>
      <c r="AO509" s="10">
        <v>1</v>
      </c>
      <c r="AP509" s="10"/>
      <c r="AQ509" s="5"/>
      <c r="AR509" s="5"/>
      <c r="AS509" s="4">
        <f t="shared" si="21"/>
        <v>350000</v>
      </c>
      <c r="AT509" s="4">
        <f t="shared" si="22"/>
        <v>17400005.868467409</v>
      </c>
      <c r="AU509" s="4">
        <f t="shared" si="23"/>
        <v>12599994.131532591</v>
      </c>
      <c r="AV509" s="9" t="s">
        <v>1969</v>
      </c>
      <c r="AW509" s="12" t="s">
        <v>1970</v>
      </c>
      <c r="AX509" s="10">
        <v>0</v>
      </c>
      <c r="AY509">
        <f>S509*AU509/AS509</f>
        <v>8999995.8082375657</v>
      </c>
      <c r="AZ509">
        <f>AU509-AY509</f>
        <v>3599998.3232950252</v>
      </c>
      <c r="BA509" s="10">
        <v>30000000</v>
      </c>
      <c r="BB509" s="10">
        <v>0</v>
      </c>
      <c r="BC509" s="9" t="s">
        <v>42</v>
      </c>
      <c r="BD509" s="9">
        <v>10631</v>
      </c>
      <c r="BE509" t="s">
        <v>46</v>
      </c>
    </row>
    <row r="510" spans="1:57" ht="270.75" thickBot="1" x14ac:dyDescent="0.3">
      <c r="A510" s="9" t="s">
        <v>1971</v>
      </c>
      <c r="B510" s="9">
        <v>3001</v>
      </c>
      <c r="C510" s="10">
        <v>2</v>
      </c>
      <c r="D510" s="9" t="s">
        <v>37</v>
      </c>
      <c r="E510" s="11">
        <v>46219.022006678242</v>
      </c>
      <c r="F510" s="9" t="s">
        <v>1972</v>
      </c>
      <c r="G510" s="9" t="s">
        <v>39</v>
      </c>
      <c r="H510" s="9">
        <v>53</v>
      </c>
      <c r="I510" s="9" t="s">
        <v>40</v>
      </c>
      <c r="J510" s="9">
        <v>5309</v>
      </c>
      <c r="K510" s="9" t="s">
        <v>41</v>
      </c>
      <c r="L510" s="9">
        <v>5309041</v>
      </c>
      <c r="M510" s="9">
        <v>5309041004</v>
      </c>
      <c r="N510" s="9" t="s">
        <v>42</v>
      </c>
      <c r="O510" s="9">
        <v>10631</v>
      </c>
      <c r="P510" s="9" t="s">
        <v>1973</v>
      </c>
      <c r="Q510" s="10">
        <v>1</v>
      </c>
      <c r="R510" s="10">
        <v>0</v>
      </c>
      <c r="S510" s="10">
        <v>30000</v>
      </c>
      <c r="T510" s="10">
        <v>0</v>
      </c>
      <c r="U510" s="10">
        <v>130000</v>
      </c>
      <c r="V510" s="10">
        <v>0</v>
      </c>
      <c r="W510" s="10">
        <v>160000</v>
      </c>
      <c r="X510" s="10">
        <v>1080000</v>
      </c>
      <c r="Y510" s="10">
        <v>0</v>
      </c>
      <c r="Z510" s="10">
        <v>920000</v>
      </c>
      <c r="AA510" s="10">
        <v>3000000</v>
      </c>
      <c r="AB510" s="10">
        <v>1080000</v>
      </c>
      <c r="AC510" s="10">
        <v>0</v>
      </c>
      <c r="AD510" s="9" t="s">
        <v>44</v>
      </c>
      <c r="AE510" s="10" t="s">
        <v>2560</v>
      </c>
      <c r="AF510" s="10">
        <v>1080000</v>
      </c>
      <c r="AG510" s="10">
        <v>0</v>
      </c>
      <c r="AH510" s="10">
        <v>1</v>
      </c>
      <c r="AI510" s="10">
        <v>1</v>
      </c>
      <c r="AJ510" s="12" t="s">
        <v>1974</v>
      </c>
      <c r="AK510" s="10">
        <v>0</v>
      </c>
      <c r="AL510" s="10">
        <v>0</v>
      </c>
      <c r="AM510" s="9">
        <v>2024</v>
      </c>
      <c r="AN510" s="10">
        <v>0</v>
      </c>
      <c r="AO510" s="10">
        <v>1</v>
      </c>
      <c r="AP510" s="10"/>
      <c r="AQ510" s="5"/>
      <c r="AR510" s="5"/>
      <c r="AS510" s="4">
        <f t="shared" si="21"/>
        <v>160000</v>
      </c>
      <c r="AT510" s="4">
        <f t="shared" si="22"/>
        <v>626399.89106088842</v>
      </c>
      <c r="AU510" s="4">
        <f t="shared" si="23"/>
        <v>453600.10893911158</v>
      </c>
      <c r="AV510" s="9" t="s">
        <v>1973</v>
      </c>
      <c r="AW510" s="12" t="s">
        <v>1974</v>
      </c>
      <c r="AX510" s="10">
        <v>0</v>
      </c>
      <c r="AY510">
        <f>S510*AU510/AS510</f>
        <v>85050.020426083429</v>
      </c>
      <c r="AZ510">
        <f>AU510-AY510</f>
        <v>368550.08851302817</v>
      </c>
      <c r="BA510" s="10">
        <v>1080000</v>
      </c>
      <c r="BB510" s="10">
        <v>0</v>
      </c>
      <c r="BC510" s="9" t="s">
        <v>42</v>
      </c>
      <c r="BD510" s="9">
        <v>10631</v>
      </c>
      <c r="BE510" t="s">
        <v>46</v>
      </c>
    </row>
    <row r="511" spans="1:57" ht="270.75" thickBot="1" x14ac:dyDescent="0.3">
      <c r="A511" s="9" t="s">
        <v>1975</v>
      </c>
      <c r="B511" s="9">
        <v>3001</v>
      </c>
      <c r="C511" s="10">
        <v>2</v>
      </c>
      <c r="D511" s="9" t="s">
        <v>37</v>
      </c>
      <c r="E511" s="11">
        <v>46276.347309351855</v>
      </c>
      <c r="F511" s="9" t="s">
        <v>1976</v>
      </c>
      <c r="G511" s="9" t="s">
        <v>39</v>
      </c>
      <c r="H511" s="9">
        <v>53</v>
      </c>
      <c r="I511" s="9" t="s">
        <v>40</v>
      </c>
      <c r="J511" s="9">
        <v>5309</v>
      </c>
      <c r="K511" s="9" t="s">
        <v>41</v>
      </c>
      <c r="L511" s="9">
        <v>5309071</v>
      </c>
      <c r="M511" s="9">
        <v>5309071007</v>
      </c>
      <c r="N511" s="9" t="s">
        <v>42</v>
      </c>
      <c r="O511" s="9">
        <v>10631</v>
      </c>
      <c r="P511" s="9" t="s">
        <v>1977</v>
      </c>
      <c r="Q511" s="10">
        <v>2</v>
      </c>
      <c r="R511" s="10">
        <v>0</v>
      </c>
      <c r="S511" s="10">
        <v>100000</v>
      </c>
      <c r="T511" s="10">
        <v>0</v>
      </c>
      <c r="U511" s="10">
        <v>300000</v>
      </c>
      <c r="V511" s="10">
        <v>0</v>
      </c>
      <c r="W511" s="10">
        <v>400000</v>
      </c>
      <c r="X511" s="10">
        <v>5000000</v>
      </c>
      <c r="Y511" s="10">
        <v>0</v>
      </c>
      <c r="Z511" s="10">
        <v>4600000</v>
      </c>
      <c r="AA511" s="10">
        <v>10000000</v>
      </c>
      <c r="AB511" s="10">
        <v>5000000</v>
      </c>
      <c r="AC511" s="10">
        <v>0</v>
      </c>
      <c r="AD511" s="9" t="s">
        <v>44</v>
      </c>
      <c r="AE511" s="10" t="s">
        <v>340</v>
      </c>
      <c r="AF511" s="10">
        <v>2500000</v>
      </c>
      <c r="AG511" s="10">
        <v>1</v>
      </c>
      <c r="AH511" s="10">
        <v>1</v>
      </c>
      <c r="AI511" s="10">
        <v>1</v>
      </c>
      <c r="AJ511" s="12" t="s">
        <v>1978</v>
      </c>
      <c r="AK511" s="10">
        <v>0</v>
      </c>
      <c r="AL511" s="10">
        <v>0</v>
      </c>
      <c r="AM511" s="9">
        <v>2015</v>
      </c>
      <c r="AN511" s="10">
        <v>0</v>
      </c>
      <c r="AO511" s="10">
        <v>2</v>
      </c>
      <c r="AP511" s="10"/>
      <c r="AQ511" s="5"/>
      <c r="AR511" s="5"/>
      <c r="AS511" s="4">
        <f t="shared" si="21"/>
        <v>400000</v>
      </c>
      <c r="AT511" s="4">
        <f t="shared" si="22"/>
        <v>2900000</v>
      </c>
      <c r="AU511" s="4">
        <f t="shared" si="23"/>
        <v>2100000</v>
      </c>
      <c r="AV511" s="9" t="s">
        <v>1977</v>
      </c>
      <c r="AW511" s="12" t="s">
        <v>1978</v>
      </c>
      <c r="AX511" s="10">
        <v>0</v>
      </c>
      <c r="AY511">
        <f>S511*AU511/AS511</f>
        <v>525000</v>
      </c>
      <c r="AZ511">
        <f>AU511-AY511</f>
        <v>1575000</v>
      </c>
      <c r="BA511" s="10">
        <v>5000000</v>
      </c>
      <c r="BB511" s="10">
        <v>0</v>
      </c>
      <c r="BC511" s="9" t="s">
        <v>42</v>
      </c>
      <c r="BD511" s="9">
        <v>10631</v>
      </c>
      <c r="BE511" t="s">
        <v>46</v>
      </c>
    </row>
    <row r="512" spans="1:57" ht="270.75" thickBot="1" x14ac:dyDescent="0.3">
      <c r="A512" s="9" t="s">
        <v>1979</v>
      </c>
      <c r="B512" s="9">
        <v>3001</v>
      </c>
      <c r="C512" s="10">
        <v>2</v>
      </c>
      <c r="D512" s="9" t="s">
        <v>37</v>
      </c>
      <c r="E512" s="11">
        <v>46290.922840173611</v>
      </c>
      <c r="F512" s="9" t="s">
        <v>1980</v>
      </c>
      <c r="G512" s="9" t="s">
        <v>39</v>
      </c>
      <c r="H512" s="9">
        <v>53</v>
      </c>
      <c r="I512" s="9" t="s">
        <v>40</v>
      </c>
      <c r="J512" s="9">
        <v>5309</v>
      </c>
      <c r="K512" s="9" t="s">
        <v>41</v>
      </c>
      <c r="L512" s="9">
        <v>5309030</v>
      </c>
      <c r="M512" s="9">
        <v>5309030022</v>
      </c>
      <c r="N512" s="9" t="s">
        <v>42</v>
      </c>
      <c r="O512" s="9">
        <v>10631</v>
      </c>
      <c r="P512" s="9" t="s">
        <v>1981</v>
      </c>
      <c r="Q512" s="10">
        <v>1</v>
      </c>
      <c r="R512" s="10">
        <v>0</v>
      </c>
      <c r="S512" s="10">
        <v>480000</v>
      </c>
      <c r="T512" s="10">
        <v>0</v>
      </c>
      <c r="U512" s="10">
        <v>900000</v>
      </c>
      <c r="V512" s="10">
        <v>0</v>
      </c>
      <c r="W512" s="10">
        <v>1380000</v>
      </c>
      <c r="X512" s="10">
        <v>18000000</v>
      </c>
      <c r="Y512" s="10">
        <v>0</v>
      </c>
      <c r="Z512" s="10">
        <v>16620000</v>
      </c>
      <c r="AA512" s="10">
        <v>8000000</v>
      </c>
      <c r="AB512" s="10">
        <v>18000000</v>
      </c>
      <c r="AC512" s="10">
        <v>0</v>
      </c>
      <c r="AD512" s="9" t="s">
        <v>44</v>
      </c>
      <c r="AE512" s="10" t="s">
        <v>2446</v>
      </c>
      <c r="AF512" s="10">
        <v>18000000</v>
      </c>
      <c r="AG512" s="10">
        <v>1</v>
      </c>
      <c r="AH512" s="10">
        <v>1</v>
      </c>
      <c r="AI512" s="10">
        <v>1</v>
      </c>
      <c r="AJ512" s="12" t="s">
        <v>1982</v>
      </c>
      <c r="AK512" s="10">
        <v>0</v>
      </c>
      <c r="AL512" s="10">
        <v>0</v>
      </c>
      <c r="AM512" s="9">
        <v>2005</v>
      </c>
      <c r="AN512" s="10">
        <v>0</v>
      </c>
      <c r="AO512" s="10">
        <v>1</v>
      </c>
      <c r="AP512" s="10"/>
      <c r="AQ512" s="5"/>
      <c r="AR512" s="5"/>
      <c r="AS512" s="4">
        <f t="shared" si="21"/>
        <v>1380000</v>
      </c>
      <c r="AT512" s="4">
        <f t="shared" si="22"/>
        <v>10440003.76895443</v>
      </c>
      <c r="AU512" s="4">
        <f t="shared" si="23"/>
        <v>7559996.2310455702</v>
      </c>
      <c r="AV512" s="9" t="s">
        <v>1981</v>
      </c>
      <c r="AW512" s="12" t="s">
        <v>1982</v>
      </c>
      <c r="AX512" s="10">
        <v>0</v>
      </c>
      <c r="AY512">
        <f>S512*AU512/AS512</f>
        <v>2629563.906450633</v>
      </c>
      <c r="AZ512">
        <f>AU512-AY512</f>
        <v>4930432.3245949373</v>
      </c>
      <c r="BA512" s="10">
        <v>18000000</v>
      </c>
      <c r="BB512" s="10">
        <v>0</v>
      </c>
      <c r="BC512" s="9" t="s">
        <v>42</v>
      </c>
      <c r="BD512" s="9">
        <v>10631</v>
      </c>
      <c r="BE512" t="s">
        <v>46</v>
      </c>
    </row>
    <row r="513" spans="1:57" ht="270.75" thickBot="1" x14ac:dyDescent="0.3">
      <c r="A513" s="9" t="s">
        <v>1983</v>
      </c>
      <c r="B513" s="9">
        <v>1</v>
      </c>
      <c r="C513" s="10">
        <v>2</v>
      </c>
      <c r="D513" s="9" t="s">
        <v>37</v>
      </c>
      <c r="E513" s="11">
        <v>46260.610304155096</v>
      </c>
      <c r="F513" s="9" t="s">
        <v>1984</v>
      </c>
      <c r="G513" s="9" t="s">
        <v>39</v>
      </c>
      <c r="H513" s="9">
        <v>53</v>
      </c>
      <c r="I513" s="9" t="s">
        <v>40</v>
      </c>
      <c r="J513" s="9">
        <v>5309</v>
      </c>
      <c r="K513" s="9" t="s">
        <v>41</v>
      </c>
      <c r="L513" s="9">
        <v>5309031</v>
      </c>
      <c r="M513" s="9">
        <v>5309031004</v>
      </c>
      <c r="N513" s="9" t="s">
        <v>42</v>
      </c>
      <c r="O513" s="9">
        <v>10631</v>
      </c>
      <c r="P513" s="9" t="s">
        <v>1985</v>
      </c>
      <c r="Q513" s="10">
        <v>4</v>
      </c>
      <c r="R513" s="10">
        <v>14400000</v>
      </c>
      <c r="S513" s="10">
        <v>3600000</v>
      </c>
      <c r="T513" s="10">
        <v>0</v>
      </c>
      <c r="U513" s="10">
        <v>0</v>
      </c>
      <c r="V513" s="10">
        <v>5000</v>
      </c>
      <c r="W513" s="10">
        <v>18005000</v>
      </c>
      <c r="X513" s="10">
        <v>25000000</v>
      </c>
      <c r="Y513" s="10">
        <v>0</v>
      </c>
      <c r="Z513" s="10">
        <v>21400000</v>
      </c>
      <c r="AA513" s="10">
        <v>23000000</v>
      </c>
      <c r="AB513" s="10">
        <v>25000000</v>
      </c>
      <c r="AC513" s="10">
        <v>0</v>
      </c>
      <c r="AD513" s="9" t="s">
        <v>44</v>
      </c>
      <c r="AE513" s="10" t="s">
        <v>2561</v>
      </c>
      <c r="AF513" s="10">
        <v>6250000</v>
      </c>
      <c r="AG513" s="10">
        <v>1</v>
      </c>
      <c r="AH513" s="10">
        <v>1</v>
      </c>
      <c r="AI513" s="10">
        <v>1</v>
      </c>
      <c r="AJ513" s="12" t="s">
        <v>1986</v>
      </c>
      <c r="AK513" s="10">
        <v>0</v>
      </c>
      <c r="AL513" s="10">
        <v>0</v>
      </c>
      <c r="AM513" s="9">
        <v>2009</v>
      </c>
      <c r="AN513" s="10">
        <v>2</v>
      </c>
      <c r="AO513" s="10">
        <v>2</v>
      </c>
      <c r="AP513" s="10"/>
      <c r="AQ513" s="5"/>
      <c r="AR513" s="5"/>
      <c r="AS513" s="4">
        <f t="shared" si="21"/>
        <v>3600000</v>
      </c>
      <c r="AT513" s="4">
        <f t="shared" si="22"/>
        <v>14500000</v>
      </c>
      <c r="AU513" s="4">
        <f t="shared" si="23"/>
        <v>10500000</v>
      </c>
      <c r="AV513" s="9" t="s">
        <v>1985</v>
      </c>
      <c r="AW513" s="12" t="s">
        <v>1986</v>
      </c>
      <c r="AX513" s="10">
        <v>0</v>
      </c>
      <c r="AY513">
        <f>S513*AU513/AS513</f>
        <v>10500000</v>
      </c>
      <c r="AZ513">
        <f>AU513-AY513</f>
        <v>0</v>
      </c>
      <c r="BA513" s="10">
        <v>25000000</v>
      </c>
      <c r="BB513" s="10">
        <v>0</v>
      </c>
      <c r="BC513" s="9" t="s">
        <v>42</v>
      </c>
      <c r="BD513" s="9">
        <v>10631</v>
      </c>
      <c r="BE513" t="s">
        <v>46</v>
      </c>
    </row>
    <row r="514" spans="1:57" ht="270.75" thickBot="1" x14ac:dyDescent="0.3">
      <c r="A514" s="9" t="s">
        <v>1987</v>
      </c>
      <c r="B514" s="9">
        <v>1</v>
      </c>
      <c r="C514" s="10">
        <v>2</v>
      </c>
      <c r="D514" s="9" t="s">
        <v>37</v>
      </c>
      <c r="E514" s="11">
        <v>46228.246004224537</v>
      </c>
      <c r="F514" s="9" t="s">
        <v>1988</v>
      </c>
      <c r="G514" s="9" t="s">
        <v>39</v>
      </c>
      <c r="H514" s="9">
        <v>53</v>
      </c>
      <c r="I514" s="9" t="s">
        <v>40</v>
      </c>
      <c r="J514" s="9">
        <v>5309</v>
      </c>
      <c r="K514" s="9" t="s">
        <v>41</v>
      </c>
      <c r="L514" s="9">
        <v>5309012</v>
      </c>
      <c r="M514" s="9">
        <v>5309012002</v>
      </c>
      <c r="N514" s="9" t="s">
        <v>42</v>
      </c>
      <c r="O514" s="9">
        <v>10631</v>
      </c>
      <c r="P514" s="9" t="s">
        <v>1989</v>
      </c>
      <c r="Q514" s="10">
        <v>2</v>
      </c>
      <c r="R514" s="10">
        <v>0</v>
      </c>
      <c r="S514" s="10">
        <v>200000</v>
      </c>
      <c r="T514" s="10">
        <v>0</v>
      </c>
      <c r="U514" s="10">
        <v>0</v>
      </c>
      <c r="V514" s="10">
        <v>50000</v>
      </c>
      <c r="W514" s="10">
        <v>250000</v>
      </c>
      <c r="X514" s="10">
        <v>2500000</v>
      </c>
      <c r="Y514" s="10">
        <v>0</v>
      </c>
      <c r="Z514" s="10">
        <v>2300000</v>
      </c>
      <c r="AA514" s="10">
        <v>42000000</v>
      </c>
      <c r="AB514" s="10">
        <v>2500000</v>
      </c>
      <c r="AC514" s="10">
        <v>0</v>
      </c>
      <c r="AD514" s="9" t="s">
        <v>44</v>
      </c>
      <c r="AE514" s="10" t="s">
        <v>340</v>
      </c>
      <c r="AF514" s="10">
        <v>1250000</v>
      </c>
      <c r="AG514" s="10">
        <v>1</v>
      </c>
      <c r="AH514" s="10">
        <v>1</v>
      </c>
      <c r="AI514" s="10">
        <v>1</v>
      </c>
      <c r="AJ514" s="12" t="s">
        <v>1990</v>
      </c>
      <c r="AK514" s="10">
        <v>0</v>
      </c>
      <c r="AL514" s="10">
        <v>0</v>
      </c>
      <c r="AM514" s="9">
        <v>2016</v>
      </c>
      <c r="AN514" s="10">
        <v>0</v>
      </c>
      <c r="AO514" s="10">
        <v>2</v>
      </c>
      <c r="AP514" s="10"/>
      <c r="AQ514" s="5"/>
      <c r="AR514" s="5"/>
      <c r="AS514" s="4">
        <f t="shared" si="21"/>
        <v>200000</v>
      </c>
      <c r="AT514" s="4">
        <f t="shared" si="22"/>
        <v>1450000</v>
      </c>
      <c r="AU514" s="4">
        <f t="shared" si="23"/>
        <v>1050000</v>
      </c>
      <c r="AV514" s="9" t="s">
        <v>1989</v>
      </c>
      <c r="AW514" s="12" t="s">
        <v>1990</v>
      </c>
      <c r="AX514" s="10">
        <v>0</v>
      </c>
      <c r="AY514">
        <f>S514*AU514/AS514</f>
        <v>1050000</v>
      </c>
      <c r="AZ514">
        <f>AU514-AY514</f>
        <v>0</v>
      </c>
      <c r="BA514" s="10">
        <v>2500000</v>
      </c>
      <c r="BB514" s="10">
        <v>0</v>
      </c>
      <c r="BC514" s="9" t="s">
        <v>42</v>
      </c>
      <c r="BD514" s="9">
        <v>10631</v>
      </c>
      <c r="BE514" t="s">
        <v>46</v>
      </c>
    </row>
    <row r="515" spans="1:57" ht="270.75" thickBot="1" x14ac:dyDescent="0.3">
      <c r="A515" s="9" t="s">
        <v>1991</v>
      </c>
      <c r="B515" s="9">
        <v>1</v>
      </c>
      <c r="C515" s="10">
        <v>2</v>
      </c>
      <c r="D515" s="9" t="s">
        <v>37</v>
      </c>
      <c r="E515" s="11">
        <v>46240.432169664353</v>
      </c>
      <c r="F515" s="9" t="s">
        <v>1992</v>
      </c>
      <c r="G515" s="9" t="s">
        <v>39</v>
      </c>
      <c r="H515" s="9">
        <v>53</v>
      </c>
      <c r="I515" s="9" t="s">
        <v>40</v>
      </c>
      <c r="J515" s="9">
        <v>5309</v>
      </c>
      <c r="K515" s="9" t="s">
        <v>41</v>
      </c>
      <c r="L515" s="9">
        <v>5309010</v>
      </c>
      <c r="M515" s="9">
        <v>5309010004</v>
      </c>
      <c r="N515" s="9" t="s">
        <v>42</v>
      </c>
      <c r="O515" s="9">
        <v>10631</v>
      </c>
      <c r="P515" s="9" t="s">
        <v>1993</v>
      </c>
      <c r="Q515" s="10">
        <v>2</v>
      </c>
      <c r="R515" s="10">
        <v>0</v>
      </c>
      <c r="S515" s="10">
        <v>1735000</v>
      </c>
      <c r="T515" s="10">
        <v>0</v>
      </c>
      <c r="U515" s="10">
        <v>7200000</v>
      </c>
      <c r="V515" s="10">
        <v>0</v>
      </c>
      <c r="W515" s="10">
        <v>8935000</v>
      </c>
      <c r="X515" s="10">
        <v>96000000</v>
      </c>
      <c r="Y515" s="10">
        <v>0</v>
      </c>
      <c r="Z515" s="10">
        <v>87065000</v>
      </c>
      <c r="AA515" s="10">
        <v>38000000</v>
      </c>
      <c r="AB515" s="10">
        <v>96000000</v>
      </c>
      <c r="AC515" s="10">
        <v>0</v>
      </c>
      <c r="AD515" s="9" t="s">
        <v>44</v>
      </c>
      <c r="AE515" s="10" t="s">
        <v>2562</v>
      </c>
      <c r="AF515" s="10">
        <v>48000000</v>
      </c>
      <c r="AG515" s="10">
        <v>1</v>
      </c>
      <c r="AH515" s="10">
        <v>1</v>
      </c>
      <c r="AI515" s="10">
        <v>1</v>
      </c>
      <c r="AJ515" s="12" t="s">
        <v>1994</v>
      </c>
      <c r="AK515" s="10">
        <v>0</v>
      </c>
      <c r="AL515" s="10">
        <v>0</v>
      </c>
      <c r="AM515" s="9">
        <v>2005</v>
      </c>
      <c r="AN515" s="10">
        <v>0</v>
      </c>
      <c r="AO515" s="10">
        <v>2</v>
      </c>
      <c r="AP515" s="10"/>
      <c r="AQ515" s="5"/>
      <c r="AR515" s="5"/>
      <c r="AS515" s="4">
        <f t="shared" ref="AS515:AS572" si="24">AB515-Z515</f>
        <v>8935000</v>
      </c>
      <c r="AT515" s="4">
        <f t="shared" ref="AT515:AT572" si="25">IF(AE515&gt;0.61,(Z515*0.58/AE515),IF(AE515&lt;0.15,(Z515*0.2/AE515),Z515))</f>
        <v>55680005.116178036</v>
      </c>
      <c r="AU515" s="4">
        <f t="shared" ref="AU515:AU572" si="26">AB515-AT515</f>
        <v>40319994.883821964</v>
      </c>
      <c r="AV515" s="9" t="s">
        <v>1993</v>
      </c>
      <c r="AW515" s="12" t="s">
        <v>1994</v>
      </c>
      <c r="AX515" s="10">
        <v>0</v>
      </c>
      <c r="AY515">
        <f>S515*AU515/AS515</f>
        <v>7829344.2779441644</v>
      </c>
      <c r="AZ515">
        <f>AU515-AY515</f>
        <v>32490650.605877802</v>
      </c>
      <c r="BA515" s="10">
        <v>96000000</v>
      </c>
      <c r="BB515" s="10">
        <v>0</v>
      </c>
      <c r="BC515" s="9" t="s">
        <v>42</v>
      </c>
      <c r="BD515" s="9">
        <v>10631</v>
      </c>
      <c r="BE515" t="s">
        <v>46</v>
      </c>
    </row>
    <row r="516" spans="1:57" ht="270.75" thickBot="1" x14ac:dyDescent="0.3">
      <c r="A516" s="9" t="s">
        <v>1995</v>
      </c>
      <c r="B516" s="9">
        <v>1001</v>
      </c>
      <c r="C516" s="10">
        <v>2</v>
      </c>
      <c r="D516" s="9" t="s">
        <v>84</v>
      </c>
      <c r="E516" s="11">
        <v>46314.242320289355</v>
      </c>
      <c r="F516" s="9" t="s">
        <v>1996</v>
      </c>
      <c r="G516" s="9" t="s">
        <v>39</v>
      </c>
      <c r="H516" s="9">
        <v>53</v>
      </c>
      <c r="I516" s="9" t="s">
        <v>40</v>
      </c>
      <c r="J516" s="9">
        <v>5309</v>
      </c>
      <c r="K516" s="9" t="s">
        <v>41</v>
      </c>
      <c r="L516" s="9">
        <v>5309040</v>
      </c>
      <c r="M516" s="9">
        <v>5309040001</v>
      </c>
      <c r="N516" s="9" t="s">
        <v>42</v>
      </c>
      <c r="O516" s="9">
        <v>10631</v>
      </c>
      <c r="P516" s="9" t="s">
        <v>1997</v>
      </c>
      <c r="Q516" s="10">
        <v>1</v>
      </c>
      <c r="R516" s="10">
        <v>0</v>
      </c>
      <c r="S516" s="10">
        <v>1730000</v>
      </c>
      <c r="T516" s="10">
        <v>0</v>
      </c>
      <c r="U516" s="10">
        <v>50000</v>
      </c>
      <c r="V516" s="10">
        <v>0</v>
      </c>
      <c r="W516" s="10">
        <v>1780000</v>
      </c>
      <c r="X516" s="10">
        <v>6000000</v>
      </c>
      <c r="Y516" s="10">
        <v>0</v>
      </c>
      <c r="Z516" s="10">
        <v>4220000</v>
      </c>
      <c r="AA516" s="10">
        <v>40200000</v>
      </c>
      <c r="AB516" s="10">
        <v>6000000</v>
      </c>
      <c r="AC516" s="10">
        <v>0</v>
      </c>
      <c r="AD516" s="9" t="s">
        <v>44</v>
      </c>
      <c r="AE516" s="10" t="s">
        <v>2563</v>
      </c>
      <c r="AF516" s="10">
        <v>6000000</v>
      </c>
      <c r="AG516" s="10">
        <v>1</v>
      </c>
      <c r="AH516" s="10">
        <v>1</v>
      </c>
      <c r="AI516" s="10">
        <v>1</v>
      </c>
      <c r="AJ516" s="12" t="s">
        <v>1998</v>
      </c>
      <c r="AK516" s="10">
        <v>0</v>
      </c>
      <c r="AL516" s="10">
        <v>0</v>
      </c>
      <c r="AM516" s="9">
        <v>2023</v>
      </c>
      <c r="AN516" s="10">
        <v>0</v>
      </c>
      <c r="AO516" s="10">
        <v>1</v>
      </c>
      <c r="AP516" s="10"/>
      <c r="AQ516" s="5"/>
      <c r="AR516" s="5"/>
      <c r="AS516" s="4">
        <f t="shared" si="24"/>
        <v>1780000</v>
      </c>
      <c r="AT516" s="4">
        <f t="shared" si="25"/>
        <v>3480001.6492898813</v>
      </c>
      <c r="AU516" s="4">
        <f t="shared" si="26"/>
        <v>2519998.3507101187</v>
      </c>
      <c r="AV516" s="9" t="s">
        <v>1997</v>
      </c>
      <c r="AW516" s="12" t="s">
        <v>1998</v>
      </c>
      <c r="AX516" s="10">
        <v>0</v>
      </c>
      <c r="AY516">
        <f>S516*AU516/AS516</f>
        <v>2449211.8801845536</v>
      </c>
      <c r="AZ516">
        <f>AU516-AY516</f>
        <v>70786.470525565092</v>
      </c>
      <c r="BA516" s="10">
        <v>6000000</v>
      </c>
      <c r="BB516" s="10">
        <v>0</v>
      </c>
      <c r="BC516" s="9" t="s">
        <v>42</v>
      </c>
      <c r="BD516" s="9">
        <v>10631</v>
      </c>
      <c r="BE516" t="s">
        <v>46</v>
      </c>
    </row>
    <row r="517" spans="1:57" ht="270.75" thickBot="1" x14ac:dyDescent="0.3">
      <c r="A517" s="15" t="s">
        <v>1999</v>
      </c>
      <c r="B517" s="9">
        <v>3001</v>
      </c>
      <c r="C517" s="10">
        <v>2</v>
      </c>
      <c r="D517" s="9" t="s">
        <v>37</v>
      </c>
      <c r="E517" s="11">
        <v>46213.264406377311</v>
      </c>
      <c r="F517" s="15" t="s">
        <v>2000</v>
      </c>
      <c r="G517" s="9" t="s">
        <v>39</v>
      </c>
      <c r="H517" s="9">
        <v>53</v>
      </c>
      <c r="I517" s="9" t="s">
        <v>40</v>
      </c>
      <c r="J517" s="9">
        <v>5309</v>
      </c>
      <c r="K517" s="9" t="s">
        <v>41</v>
      </c>
      <c r="L517" s="9">
        <v>5309020</v>
      </c>
      <c r="M517" s="9">
        <v>5309020015</v>
      </c>
      <c r="N517" s="9" t="s">
        <v>42</v>
      </c>
      <c r="O517" s="9">
        <v>10631</v>
      </c>
      <c r="P517" s="9" t="s">
        <v>2001</v>
      </c>
      <c r="Q517" s="10">
        <v>1</v>
      </c>
      <c r="R517" s="10">
        <v>0</v>
      </c>
      <c r="S517" s="10">
        <v>5600000</v>
      </c>
      <c r="T517" s="10">
        <v>0</v>
      </c>
      <c r="U517" s="10">
        <v>200000</v>
      </c>
      <c r="V517" s="10">
        <v>0</v>
      </c>
      <c r="W517" s="10">
        <v>5800000</v>
      </c>
      <c r="X517" s="10">
        <v>5000000</v>
      </c>
      <c r="Y517" s="10">
        <v>2500000</v>
      </c>
      <c r="Z517" s="10">
        <v>-800000</v>
      </c>
      <c r="AA517" s="10">
        <v>10000000</v>
      </c>
      <c r="AB517" s="10">
        <v>5000000</v>
      </c>
      <c r="AC517" s="10">
        <v>0</v>
      </c>
      <c r="AD517" s="9" t="s">
        <v>44</v>
      </c>
      <c r="AE517" s="10" t="s">
        <v>2002</v>
      </c>
      <c r="AF517" s="10">
        <v>5000000</v>
      </c>
      <c r="AG517" s="10">
        <v>1</v>
      </c>
      <c r="AH517" s="10">
        <v>1</v>
      </c>
      <c r="AI517" s="10">
        <v>1</v>
      </c>
      <c r="AJ517" s="12" t="s">
        <v>2003</v>
      </c>
      <c r="AK517" s="10">
        <v>0</v>
      </c>
      <c r="AL517" s="10">
        <v>0</v>
      </c>
      <c r="AM517" s="9">
        <v>2024</v>
      </c>
      <c r="AN517" s="10">
        <v>0</v>
      </c>
      <c r="AO517" s="10">
        <v>1</v>
      </c>
      <c r="AP517" s="10"/>
      <c r="AQ517" s="5"/>
      <c r="AR517" s="5"/>
      <c r="AS517" s="4">
        <f t="shared" si="24"/>
        <v>5800000</v>
      </c>
      <c r="AT517" s="4">
        <f t="shared" si="25"/>
        <v>2899999.9999999995</v>
      </c>
      <c r="AU517" s="4">
        <f t="shared" si="26"/>
        <v>2100000.0000000005</v>
      </c>
      <c r="AV517" s="9" t="s">
        <v>2001</v>
      </c>
      <c r="AW517" s="12" t="s">
        <v>2003</v>
      </c>
      <c r="AX517" s="10">
        <v>0</v>
      </c>
      <c r="AY517">
        <f>S517*AU517/AS517</f>
        <v>2027586.2068965521</v>
      </c>
      <c r="AZ517">
        <f>AU517-AY517</f>
        <v>72413.793103448348</v>
      </c>
      <c r="BA517" s="10">
        <v>5000000</v>
      </c>
      <c r="BB517" s="10">
        <v>2500000</v>
      </c>
      <c r="BC517" s="9" t="s">
        <v>42</v>
      </c>
      <c r="BD517" s="9">
        <v>10631</v>
      </c>
      <c r="BE517" t="s">
        <v>46</v>
      </c>
    </row>
    <row r="518" spans="1:57" ht="270.75" thickBot="1" x14ac:dyDescent="0.3">
      <c r="A518" s="9" t="s">
        <v>2004</v>
      </c>
      <c r="B518" s="9">
        <v>1</v>
      </c>
      <c r="C518" s="10">
        <v>2</v>
      </c>
      <c r="D518" s="9" t="s">
        <v>37</v>
      </c>
      <c r="E518" s="11">
        <v>46211.079646828701</v>
      </c>
      <c r="F518" s="9" t="s">
        <v>2005</v>
      </c>
      <c r="G518" s="9" t="s">
        <v>39</v>
      </c>
      <c r="H518" s="9">
        <v>53</v>
      </c>
      <c r="I518" s="9" t="s">
        <v>40</v>
      </c>
      <c r="J518" s="9">
        <v>5309</v>
      </c>
      <c r="K518" s="9" t="s">
        <v>41</v>
      </c>
      <c r="L518" s="9">
        <v>5309010</v>
      </c>
      <c r="M518" s="9">
        <v>5309010014</v>
      </c>
      <c r="N518" s="9" t="s">
        <v>42</v>
      </c>
      <c r="O518" s="9">
        <v>10631</v>
      </c>
      <c r="P518" s="9" t="s">
        <v>2006</v>
      </c>
      <c r="Q518" s="10">
        <v>2</v>
      </c>
      <c r="R518" s="10">
        <v>0</v>
      </c>
      <c r="S518" s="10">
        <v>5000000</v>
      </c>
      <c r="T518" s="10">
        <v>0</v>
      </c>
      <c r="U518" s="10">
        <v>0</v>
      </c>
      <c r="V518" s="10">
        <v>52000</v>
      </c>
      <c r="W518" s="10">
        <v>5052000</v>
      </c>
      <c r="X518" s="10">
        <v>24000000</v>
      </c>
      <c r="Y518" s="10">
        <v>0</v>
      </c>
      <c r="Z518" s="10">
        <v>19000000</v>
      </c>
      <c r="AA518" s="10">
        <v>25000000</v>
      </c>
      <c r="AB518" s="10">
        <v>24000000</v>
      </c>
      <c r="AC518" s="10">
        <v>0</v>
      </c>
      <c r="AD518" s="9" t="s">
        <v>44</v>
      </c>
      <c r="AE518" s="10" t="s">
        <v>2518</v>
      </c>
      <c r="AF518" s="10">
        <v>12000000</v>
      </c>
      <c r="AG518" s="10">
        <v>1</v>
      </c>
      <c r="AH518" s="10">
        <v>1</v>
      </c>
      <c r="AI518" s="10">
        <v>1</v>
      </c>
      <c r="AJ518" s="12" t="s">
        <v>2007</v>
      </c>
      <c r="AK518" s="10">
        <v>0</v>
      </c>
      <c r="AL518" s="10">
        <v>0</v>
      </c>
      <c r="AM518" s="9">
        <v>2016</v>
      </c>
      <c r="AN518" s="10">
        <v>0</v>
      </c>
      <c r="AO518" s="10">
        <v>2</v>
      </c>
      <c r="AP518" s="10"/>
      <c r="AQ518" s="5"/>
      <c r="AR518" s="5"/>
      <c r="AS518" s="4">
        <f t="shared" si="24"/>
        <v>5000000</v>
      </c>
      <c r="AT518" s="4">
        <f t="shared" si="25"/>
        <v>13919994.138949836</v>
      </c>
      <c r="AU518" s="4">
        <f t="shared" si="26"/>
        <v>10080005.861050164</v>
      </c>
      <c r="AV518" s="9" t="s">
        <v>2006</v>
      </c>
      <c r="AW518" s="12" t="s">
        <v>2007</v>
      </c>
      <c r="AX518" s="10">
        <v>0</v>
      </c>
      <c r="AY518">
        <f>S518*AU518/AS518</f>
        <v>10080005.861050164</v>
      </c>
      <c r="AZ518">
        <f>AU518-AY518</f>
        <v>0</v>
      </c>
      <c r="BA518" s="10">
        <v>24000000</v>
      </c>
      <c r="BB518" s="10">
        <v>0</v>
      </c>
      <c r="BC518" s="9" t="s">
        <v>42</v>
      </c>
      <c r="BD518" s="9">
        <v>10631</v>
      </c>
      <c r="BE518" t="s">
        <v>46</v>
      </c>
    </row>
    <row r="519" spans="1:57" ht="270.75" thickBot="1" x14ac:dyDescent="0.3">
      <c r="A519" s="9" t="s">
        <v>2008</v>
      </c>
      <c r="B519" s="9">
        <v>2001</v>
      </c>
      <c r="C519" s="10">
        <v>2</v>
      </c>
      <c r="D519" s="9" t="s">
        <v>37</v>
      </c>
      <c r="E519" s="11">
        <v>46261.019696863426</v>
      </c>
      <c r="F519" s="9" t="s">
        <v>2009</v>
      </c>
      <c r="G519" s="9" t="s">
        <v>39</v>
      </c>
      <c r="H519" s="9">
        <v>53</v>
      </c>
      <c r="I519" s="9" t="s">
        <v>40</v>
      </c>
      <c r="J519" s="9">
        <v>5309</v>
      </c>
      <c r="K519" s="9" t="s">
        <v>41</v>
      </c>
      <c r="L519" s="9">
        <v>5309060</v>
      </c>
      <c r="M519" s="9">
        <v>5309060018</v>
      </c>
      <c r="N519" s="9" t="s">
        <v>42</v>
      </c>
      <c r="O519" s="9">
        <v>10631</v>
      </c>
      <c r="P519" s="9" t="s">
        <v>2010</v>
      </c>
      <c r="Q519" s="10">
        <v>3</v>
      </c>
      <c r="R519" s="10">
        <v>1000000</v>
      </c>
      <c r="S519" s="10">
        <v>100000</v>
      </c>
      <c r="T519" s="10">
        <v>0</v>
      </c>
      <c r="U519" s="10">
        <v>1000000</v>
      </c>
      <c r="V519" s="10">
        <v>0</v>
      </c>
      <c r="W519" s="10">
        <v>2100000</v>
      </c>
      <c r="X519" s="10">
        <v>5000000</v>
      </c>
      <c r="Y519" s="10">
        <v>0</v>
      </c>
      <c r="Z519" s="10">
        <v>3900000</v>
      </c>
      <c r="AA519" s="10">
        <v>5000000</v>
      </c>
      <c r="AB519" s="10">
        <v>5000000</v>
      </c>
      <c r="AC519" s="10">
        <v>0</v>
      </c>
      <c r="AD519" s="9" t="s">
        <v>44</v>
      </c>
      <c r="AE519" s="10" t="s">
        <v>65</v>
      </c>
      <c r="AF519" s="13">
        <v>1666666667</v>
      </c>
      <c r="AG519" s="10">
        <v>1</v>
      </c>
      <c r="AH519" s="10">
        <v>1</v>
      </c>
      <c r="AI519" s="10">
        <v>1</v>
      </c>
      <c r="AJ519" s="12" t="s">
        <v>2011</v>
      </c>
      <c r="AK519" s="10">
        <v>0</v>
      </c>
      <c r="AL519" s="10">
        <v>0</v>
      </c>
      <c r="AM519" s="9">
        <v>2024</v>
      </c>
      <c r="AN519" s="10">
        <v>3</v>
      </c>
      <c r="AO519" s="10">
        <v>0</v>
      </c>
      <c r="AP519" s="10"/>
      <c r="AQ519" s="5"/>
      <c r="AR519" s="5"/>
      <c r="AS519" s="4">
        <f t="shared" si="24"/>
        <v>1100000</v>
      </c>
      <c r="AT519" s="4">
        <f t="shared" si="25"/>
        <v>2900000</v>
      </c>
      <c r="AU519" s="4">
        <f t="shared" si="26"/>
        <v>2100000</v>
      </c>
      <c r="AV519" s="9" t="s">
        <v>2010</v>
      </c>
      <c r="AW519" s="12" t="s">
        <v>2011</v>
      </c>
      <c r="AX519" s="10">
        <v>0</v>
      </c>
      <c r="AY519">
        <f>S519*AU519/AS519</f>
        <v>190909.09090909091</v>
      </c>
      <c r="AZ519">
        <f>AU519-AY519</f>
        <v>1909090.9090909092</v>
      </c>
      <c r="BA519" s="10">
        <v>5000000</v>
      </c>
      <c r="BB519" s="10">
        <v>0</v>
      </c>
      <c r="BC519" s="9" t="s">
        <v>42</v>
      </c>
      <c r="BD519" s="9">
        <v>10631</v>
      </c>
      <c r="BE519" t="s">
        <v>46</v>
      </c>
    </row>
    <row r="520" spans="1:57" ht="270.75" thickBot="1" x14ac:dyDescent="0.3">
      <c r="A520" s="9" t="s">
        <v>2012</v>
      </c>
      <c r="B520" s="9">
        <v>1</v>
      </c>
      <c r="C520" s="10">
        <v>2</v>
      </c>
      <c r="D520" s="9" t="s">
        <v>37</v>
      </c>
      <c r="E520" s="11">
        <v>46270.941979606483</v>
      </c>
      <c r="F520" s="9" t="s">
        <v>2013</v>
      </c>
      <c r="G520" s="9" t="s">
        <v>39</v>
      </c>
      <c r="H520" s="9">
        <v>53</v>
      </c>
      <c r="I520" s="9" t="s">
        <v>40</v>
      </c>
      <c r="J520" s="9">
        <v>5309</v>
      </c>
      <c r="K520" s="9" t="s">
        <v>41</v>
      </c>
      <c r="L520" s="9">
        <v>5309011</v>
      </c>
      <c r="M520" s="9">
        <v>5309011004</v>
      </c>
      <c r="N520" s="9" t="s">
        <v>42</v>
      </c>
      <c r="O520" s="9">
        <v>10631</v>
      </c>
      <c r="P520" s="9" t="s">
        <v>2014</v>
      </c>
      <c r="Q520" s="10">
        <v>1</v>
      </c>
      <c r="R520" s="10">
        <v>0</v>
      </c>
      <c r="S520" s="10">
        <v>5000000</v>
      </c>
      <c r="T520" s="10">
        <v>0</v>
      </c>
      <c r="U520" s="10">
        <v>500000</v>
      </c>
      <c r="V520" s="10">
        <v>0</v>
      </c>
      <c r="W520" s="10">
        <v>5500000</v>
      </c>
      <c r="X520" s="10">
        <v>3000000</v>
      </c>
      <c r="Y520" s="10">
        <v>4000000</v>
      </c>
      <c r="Z520" s="10">
        <v>-2500000</v>
      </c>
      <c r="AA520" s="10">
        <v>7000000</v>
      </c>
      <c r="AB520" s="10">
        <v>3000000</v>
      </c>
      <c r="AC520" s="10">
        <v>0</v>
      </c>
      <c r="AD520" s="9" t="s">
        <v>44</v>
      </c>
      <c r="AE520" s="10" t="s">
        <v>2564</v>
      </c>
      <c r="AF520" s="10">
        <v>3000000</v>
      </c>
      <c r="AG520" s="10">
        <v>1</v>
      </c>
      <c r="AH520" s="10">
        <v>1</v>
      </c>
      <c r="AI520" s="10">
        <v>1</v>
      </c>
      <c r="AJ520" s="12" t="s">
        <v>2015</v>
      </c>
      <c r="AK520" s="10">
        <v>0</v>
      </c>
      <c r="AL520" s="10">
        <v>0</v>
      </c>
      <c r="AM520" s="9">
        <v>2022</v>
      </c>
      <c r="AN520" s="10">
        <v>0</v>
      </c>
      <c r="AO520" s="10">
        <v>1</v>
      </c>
      <c r="AP520" s="10"/>
      <c r="AQ520" s="5"/>
      <c r="AR520" s="5"/>
      <c r="AS520" s="4">
        <f t="shared" si="24"/>
        <v>5500000</v>
      </c>
      <c r="AT520" s="4">
        <f t="shared" si="25"/>
        <v>1740000.6960002785</v>
      </c>
      <c r="AU520" s="4">
        <f t="shared" si="26"/>
        <v>1259999.3039997215</v>
      </c>
      <c r="AV520" s="9" t="s">
        <v>2014</v>
      </c>
      <c r="AW520" s="12" t="s">
        <v>2015</v>
      </c>
      <c r="AX520" s="10">
        <v>0</v>
      </c>
      <c r="AY520">
        <f>S520*AU520/AS520</f>
        <v>1145453.9127270195</v>
      </c>
      <c r="AZ520">
        <f>AU520-AY520</f>
        <v>114545.39127270202</v>
      </c>
      <c r="BA520" s="10">
        <v>3000000</v>
      </c>
      <c r="BB520" s="10">
        <v>4000000</v>
      </c>
      <c r="BC520" s="9" t="s">
        <v>42</v>
      </c>
      <c r="BD520" s="9">
        <v>10631</v>
      </c>
      <c r="BE520" t="s">
        <v>46</v>
      </c>
    </row>
    <row r="521" spans="1:57" ht="270.75" thickBot="1" x14ac:dyDescent="0.3">
      <c r="A521" s="9" t="s">
        <v>2016</v>
      </c>
      <c r="B521" s="9">
        <v>1</v>
      </c>
      <c r="C521" s="10">
        <v>2</v>
      </c>
      <c r="D521" s="9" t="s">
        <v>37</v>
      </c>
      <c r="E521" s="11">
        <v>46227.995268275467</v>
      </c>
      <c r="F521" s="9" t="s">
        <v>2017</v>
      </c>
      <c r="G521" s="9" t="s">
        <v>39</v>
      </c>
      <c r="H521" s="9">
        <v>53</v>
      </c>
      <c r="I521" s="9" t="s">
        <v>40</v>
      </c>
      <c r="J521" s="9">
        <v>5309</v>
      </c>
      <c r="K521" s="9" t="s">
        <v>41</v>
      </c>
      <c r="L521" s="9">
        <v>5309020</v>
      </c>
      <c r="M521" s="9">
        <v>5309020014</v>
      </c>
      <c r="N521" s="9" t="s">
        <v>42</v>
      </c>
      <c r="O521" s="9">
        <v>10631</v>
      </c>
      <c r="P521" s="9" t="s">
        <v>2018</v>
      </c>
      <c r="Q521" s="10">
        <v>3</v>
      </c>
      <c r="R521" s="10">
        <v>5000000</v>
      </c>
      <c r="S521" s="10">
        <v>1500000</v>
      </c>
      <c r="T521" s="10">
        <v>0</v>
      </c>
      <c r="U521" s="10">
        <v>1500000</v>
      </c>
      <c r="V521" s="10">
        <v>250000</v>
      </c>
      <c r="W521" s="10">
        <v>8250000</v>
      </c>
      <c r="X521" s="10">
        <v>12000000</v>
      </c>
      <c r="Y521" s="10">
        <v>2500000</v>
      </c>
      <c r="Z521" s="10">
        <v>9000000</v>
      </c>
      <c r="AA521" s="10">
        <v>40000000</v>
      </c>
      <c r="AB521" s="10">
        <v>12000000</v>
      </c>
      <c r="AC521" s="10">
        <v>0</v>
      </c>
      <c r="AD521" s="9" t="s">
        <v>44</v>
      </c>
      <c r="AE521" s="10" t="s">
        <v>77</v>
      </c>
      <c r="AF521" s="10">
        <v>4000000</v>
      </c>
      <c r="AG521" s="10">
        <v>0</v>
      </c>
      <c r="AH521" s="10">
        <v>0</v>
      </c>
      <c r="AI521" s="10">
        <v>1</v>
      </c>
      <c r="AJ521" s="12" t="s">
        <v>2019</v>
      </c>
      <c r="AK521" s="10">
        <v>0</v>
      </c>
      <c r="AL521" s="10">
        <v>0</v>
      </c>
      <c r="AM521" s="9">
        <v>2000</v>
      </c>
      <c r="AN521" s="10">
        <v>1</v>
      </c>
      <c r="AO521" s="10">
        <v>2</v>
      </c>
      <c r="AP521" s="10"/>
      <c r="AQ521" s="5"/>
      <c r="AR521" s="5"/>
      <c r="AS521" s="4">
        <f t="shared" si="24"/>
        <v>3000000</v>
      </c>
      <c r="AT521" s="4">
        <f t="shared" si="25"/>
        <v>6960000</v>
      </c>
      <c r="AU521" s="4">
        <f t="shared" si="26"/>
        <v>5040000</v>
      </c>
      <c r="AV521" s="9" t="s">
        <v>2018</v>
      </c>
      <c r="AW521" s="12" t="s">
        <v>2019</v>
      </c>
      <c r="AX521" s="10">
        <v>0</v>
      </c>
      <c r="AY521">
        <f>S521*AU521/AS521</f>
        <v>2520000</v>
      </c>
      <c r="AZ521">
        <f>AU521-AY521</f>
        <v>2520000</v>
      </c>
      <c r="BA521" s="10">
        <v>12000000</v>
      </c>
      <c r="BB521" s="10">
        <v>2500000</v>
      </c>
      <c r="BC521" s="9" t="s">
        <v>42</v>
      </c>
      <c r="BD521" s="9">
        <v>10631</v>
      </c>
      <c r="BE521" t="s">
        <v>46</v>
      </c>
    </row>
    <row r="522" spans="1:57" ht="270.75" thickBot="1" x14ac:dyDescent="0.3">
      <c r="A522" s="9" t="s">
        <v>2020</v>
      </c>
      <c r="B522" s="9">
        <v>2001</v>
      </c>
      <c r="C522" s="10">
        <v>2</v>
      </c>
      <c r="D522" s="9" t="s">
        <v>84</v>
      </c>
      <c r="E522" s="11">
        <v>46226.80612277778</v>
      </c>
      <c r="F522" s="9" t="s">
        <v>2021</v>
      </c>
      <c r="G522" s="9" t="s">
        <v>39</v>
      </c>
      <c r="H522" s="9">
        <v>53</v>
      </c>
      <c r="I522" s="9" t="s">
        <v>40</v>
      </c>
      <c r="J522" s="9">
        <v>5309</v>
      </c>
      <c r="K522" s="9" t="s">
        <v>41</v>
      </c>
      <c r="L522" s="9">
        <v>5309060</v>
      </c>
      <c r="M522" s="9">
        <v>5309060010</v>
      </c>
      <c r="N522" s="9" t="s">
        <v>42</v>
      </c>
      <c r="O522" s="9">
        <v>10631</v>
      </c>
      <c r="P522" s="9" t="s">
        <v>2022</v>
      </c>
      <c r="Q522" s="10">
        <v>1</v>
      </c>
      <c r="R522" s="10">
        <v>0</v>
      </c>
      <c r="S522" s="10">
        <v>200000</v>
      </c>
      <c r="T522" s="10">
        <v>0</v>
      </c>
      <c r="U522" s="10">
        <v>5000000</v>
      </c>
      <c r="V522" s="10">
        <v>0</v>
      </c>
      <c r="W522" s="10">
        <v>5200000</v>
      </c>
      <c r="X522" s="10">
        <v>6000000</v>
      </c>
      <c r="Y522" s="10">
        <v>2000000</v>
      </c>
      <c r="Z522" s="10">
        <v>800000</v>
      </c>
      <c r="AA522" s="10">
        <v>35000000</v>
      </c>
      <c r="AB522" s="10">
        <v>6000000</v>
      </c>
      <c r="AC522" s="10">
        <v>0</v>
      </c>
      <c r="AD522" s="9" t="s">
        <v>44</v>
      </c>
      <c r="AE522" s="10" t="s">
        <v>2565</v>
      </c>
      <c r="AF522" s="10">
        <v>6000000</v>
      </c>
      <c r="AG522" s="10">
        <v>1</v>
      </c>
      <c r="AH522" s="10">
        <v>1</v>
      </c>
      <c r="AI522" s="10">
        <v>1</v>
      </c>
      <c r="AJ522" s="12" t="s">
        <v>2023</v>
      </c>
      <c r="AK522" s="10">
        <v>0</v>
      </c>
      <c r="AL522" s="10">
        <v>0</v>
      </c>
      <c r="AM522" s="9">
        <v>2013</v>
      </c>
      <c r="AN522" s="10">
        <v>0</v>
      </c>
      <c r="AO522" s="10">
        <v>1</v>
      </c>
      <c r="AP522" s="10"/>
      <c r="AQ522" s="5"/>
      <c r="AR522" s="5"/>
      <c r="AS522" s="4">
        <f t="shared" si="24"/>
        <v>5200000</v>
      </c>
      <c r="AT522" s="4">
        <f t="shared" si="25"/>
        <v>3480008.7000217494</v>
      </c>
      <c r="AU522" s="4">
        <f t="shared" si="26"/>
        <v>2519991.2999782506</v>
      </c>
      <c r="AV522" s="9" t="s">
        <v>2022</v>
      </c>
      <c r="AW522" s="12" t="s">
        <v>2023</v>
      </c>
      <c r="AX522" s="10">
        <v>0</v>
      </c>
      <c r="AY522">
        <f>S522*AU522/AS522</f>
        <v>96922.742306855798</v>
      </c>
      <c r="AZ522">
        <f>AU522-AY522</f>
        <v>2423068.5576713947</v>
      </c>
      <c r="BA522" s="10">
        <v>6000000</v>
      </c>
      <c r="BB522" s="10">
        <v>2000000</v>
      </c>
      <c r="BC522" s="9" t="s">
        <v>42</v>
      </c>
      <c r="BD522" s="9">
        <v>10631</v>
      </c>
      <c r="BE522" t="s">
        <v>46</v>
      </c>
    </row>
    <row r="523" spans="1:57" ht="255.75" thickBot="1" x14ac:dyDescent="0.3">
      <c r="A523" s="9" t="s">
        <v>2024</v>
      </c>
      <c r="B523" s="9">
        <v>1</v>
      </c>
      <c r="C523" s="10">
        <v>2</v>
      </c>
      <c r="D523" s="9" t="s">
        <v>37</v>
      </c>
      <c r="E523" s="11">
        <v>46216.151644201389</v>
      </c>
      <c r="F523" s="9" t="s">
        <v>2025</v>
      </c>
      <c r="G523" s="9" t="s">
        <v>39</v>
      </c>
      <c r="H523" s="9">
        <v>53</v>
      </c>
      <c r="I523" s="9" t="s">
        <v>40</v>
      </c>
      <c r="J523" s="9">
        <v>5309</v>
      </c>
      <c r="K523" s="9" t="s">
        <v>41</v>
      </c>
      <c r="L523" s="9">
        <v>5309020</v>
      </c>
      <c r="M523" s="9">
        <v>5309020021</v>
      </c>
      <c r="N523" s="9" t="s">
        <v>42</v>
      </c>
      <c r="O523" s="9">
        <v>10631</v>
      </c>
      <c r="P523" s="9" t="s">
        <v>2026</v>
      </c>
      <c r="Q523" s="10">
        <v>1</v>
      </c>
      <c r="R523" s="10">
        <v>0</v>
      </c>
      <c r="S523" s="10">
        <v>300000</v>
      </c>
      <c r="T523" s="10">
        <v>0</v>
      </c>
      <c r="U523" s="10">
        <v>450000</v>
      </c>
      <c r="V523" s="10">
        <v>0</v>
      </c>
      <c r="W523" s="10">
        <v>750000</v>
      </c>
      <c r="X523" s="10">
        <v>3000000</v>
      </c>
      <c r="Y523" s="10">
        <v>300000</v>
      </c>
      <c r="Z523" s="10">
        <v>2250000</v>
      </c>
      <c r="AA523" s="10">
        <v>7000000</v>
      </c>
      <c r="AB523" s="10">
        <v>3000000</v>
      </c>
      <c r="AC523" s="10">
        <v>0</v>
      </c>
      <c r="AD523" s="9" t="s">
        <v>44</v>
      </c>
      <c r="AE523" s="10" t="s">
        <v>77</v>
      </c>
      <c r="AF523" s="10">
        <v>3000000</v>
      </c>
      <c r="AG523" s="10">
        <v>1</v>
      </c>
      <c r="AH523" s="10">
        <v>1</v>
      </c>
      <c r="AI523" s="10">
        <v>1</v>
      </c>
      <c r="AJ523" s="12" t="s">
        <v>2027</v>
      </c>
      <c r="AK523" s="10">
        <v>0</v>
      </c>
      <c r="AL523" s="10">
        <v>0</v>
      </c>
      <c r="AM523" s="9">
        <v>2009</v>
      </c>
      <c r="AN523" s="10">
        <v>0</v>
      </c>
      <c r="AO523" s="10">
        <v>1</v>
      </c>
      <c r="AP523" s="10"/>
      <c r="AQ523" s="5"/>
      <c r="AR523" s="5"/>
      <c r="AS523" s="4">
        <f t="shared" si="24"/>
        <v>750000</v>
      </c>
      <c r="AT523" s="4">
        <f t="shared" si="25"/>
        <v>1740000</v>
      </c>
      <c r="AU523" s="4">
        <f t="shared" si="26"/>
        <v>1260000</v>
      </c>
      <c r="AV523" s="9" t="s">
        <v>2026</v>
      </c>
      <c r="AW523" s="12" t="s">
        <v>2027</v>
      </c>
      <c r="AX523" s="10">
        <v>0</v>
      </c>
      <c r="AY523">
        <f>S523*AU523/AS523</f>
        <v>504000</v>
      </c>
      <c r="AZ523">
        <f>AU523-AY523</f>
        <v>756000</v>
      </c>
      <c r="BA523" s="10">
        <v>3000000</v>
      </c>
      <c r="BB523" s="10">
        <v>300000</v>
      </c>
      <c r="BC523" s="9" t="s">
        <v>42</v>
      </c>
      <c r="BD523" s="9">
        <v>10631</v>
      </c>
      <c r="BE523" t="s">
        <v>46</v>
      </c>
    </row>
    <row r="524" spans="1:57" ht="270.75" thickBot="1" x14ac:dyDescent="0.3">
      <c r="A524" s="9" t="s">
        <v>2028</v>
      </c>
      <c r="B524" s="9">
        <v>3001</v>
      </c>
      <c r="C524" s="10">
        <v>2</v>
      </c>
      <c r="D524" s="9" t="s">
        <v>37</v>
      </c>
      <c r="E524" s="11">
        <v>46248.317397118059</v>
      </c>
      <c r="F524" s="9" t="s">
        <v>2029</v>
      </c>
      <c r="G524" s="9" t="s">
        <v>39</v>
      </c>
      <c r="H524" s="9">
        <v>53</v>
      </c>
      <c r="I524" s="9" t="s">
        <v>40</v>
      </c>
      <c r="J524" s="9">
        <v>5309</v>
      </c>
      <c r="K524" s="9" t="s">
        <v>41</v>
      </c>
      <c r="L524" s="9">
        <v>5309020</v>
      </c>
      <c r="M524" s="9">
        <v>5309020019</v>
      </c>
      <c r="N524" s="9" t="s">
        <v>42</v>
      </c>
      <c r="O524" s="9">
        <v>10631</v>
      </c>
      <c r="P524" s="9" t="s">
        <v>2030</v>
      </c>
      <c r="Q524" s="10">
        <v>2</v>
      </c>
      <c r="R524" s="10">
        <v>0</v>
      </c>
      <c r="S524" s="10">
        <v>1000000</v>
      </c>
      <c r="T524" s="10">
        <v>0</v>
      </c>
      <c r="U524" s="10">
        <v>500000</v>
      </c>
      <c r="V524" s="10">
        <v>10000</v>
      </c>
      <c r="W524" s="10">
        <v>1510000</v>
      </c>
      <c r="X524" s="10">
        <v>7000000</v>
      </c>
      <c r="Y524" s="10">
        <v>500000</v>
      </c>
      <c r="Z524" s="10">
        <v>5500000</v>
      </c>
      <c r="AA524" s="10">
        <v>23500000</v>
      </c>
      <c r="AB524" s="10">
        <v>7000000</v>
      </c>
      <c r="AC524" s="10">
        <v>0</v>
      </c>
      <c r="AD524" s="9" t="s">
        <v>44</v>
      </c>
      <c r="AE524" s="10" t="s">
        <v>2385</v>
      </c>
      <c r="AF524" s="10">
        <v>3500000</v>
      </c>
      <c r="AG524" s="10">
        <v>0</v>
      </c>
      <c r="AH524" s="10">
        <v>1</v>
      </c>
      <c r="AI524" s="10">
        <v>1</v>
      </c>
      <c r="AJ524" s="12" t="s">
        <v>2031</v>
      </c>
      <c r="AK524" s="10">
        <v>0</v>
      </c>
      <c r="AL524" s="10">
        <v>0</v>
      </c>
      <c r="AM524" s="9">
        <v>2025</v>
      </c>
      <c r="AN524" s="10">
        <v>0</v>
      </c>
      <c r="AO524" s="10">
        <v>2</v>
      </c>
      <c r="AP524" s="10"/>
      <c r="AQ524" s="5"/>
      <c r="AR524" s="5"/>
      <c r="AS524" s="4">
        <f t="shared" si="24"/>
        <v>1500000</v>
      </c>
      <c r="AT524" s="4">
        <f t="shared" si="25"/>
        <v>4060001.476364173</v>
      </c>
      <c r="AU524" s="4">
        <f t="shared" si="26"/>
        <v>2939998.523635827</v>
      </c>
      <c r="AV524" s="9" t="s">
        <v>2030</v>
      </c>
      <c r="AW524" s="12" t="s">
        <v>2031</v>
      </c>
      <c r="AX524" s="10">
        <v>0</v>
      </c>
      <c r="AY524">
        <f>S524*AU524/AS524</f>
        <v>1959999.015757218</v>
      </c>
      <c r="AZ524">
        <f>AU524-AY524</f>
        <v>979999.507878609</v>
      </c>
      <c r="BA524" s="10">
        <v>7000000</v>
      </c>
      <c r="BB524" s="10">
        <v>500000</v>
      </c>
      <c r="BC524" s="9" t="s">
        <v>42</v>
      </c>
      <c r="BD524" s="9">
        <v>10631</v>
      </c>
      <c r="BE524" t="s">
        <v>46</v>
      </c>
    </row>
    <row r="525" spans="1:57" ht="270.75" thickBot="1" x14ac:dyDescent="0.3">
      <c r="A525" s="9" t="s">
        <v>2032</v>
      </c>
      <c r="B525" s="9">
        <v>3001</v>
      </c>
      <c r="C525" s="10">
        <v>2</v>
      </c>
      <c r="D525" s="9" t="s">
        <v>37</v>
      </c>
      <c r="E525" s="11">
        <v>46231.437059016207</v>
      </c>
      <c r="F525" s="9" t="s">
        <v>2033</v>
      </c>
      <c r="G525" s="9" t="s">
        <v>39</v>
      </c>
      <c r="H525" s="9">
        <v>53</v>
      </c>
      <c r="I525" s="9" t="s">
        <v>40</v>
      </c>
      <c r="J525" s="9">
        <v>5309</v>
      </c>
      <c r="K525" s="9" t="s">
        <v>41</v>
      </c>
      <c r="L525" s="9">
        <v>5309010</v>
      </c>
      <c r="M525" s="9">
        <v>5309010003</v>
      </c>
      <c r="N525" s="9" t="s">
        <v>42</v>
      </c>
      <c r="O525" s="9">
        <v>10631</v>
      </c>
      <c r="P525" s="9" t="s">
        <v>2034</v>
      </c>
      <c r="Q525" s="10">
        <v>1</v>
      </c>
      <c r="R525" s="10">
        <v>0</v>
      </c>
      <c r="S525" s="10">
        <v>500000</v>
      </c>
      <c r="T525" s="10">
        <v>0</v>
      </c>
      <c r="U525" s="10">
        <v>300000</v>
      </c>
      <c r="V525" s="10">
        <v>50000</v>
      </c>
      <c r="W525" s="10">
        <v>850000</v>
      </c>
      <c r="X525" s="10">
        <v>6000000</v>
      </c>
      <c r="Y525" s="10">
        <v>0</v>
      </c>
      <c r="Z525" s="10">
        <v>5200000</v>
      </c>
      <c r="AA525" s="10">
        <v>6500000</v>
      </c>
      <c r="AB525" s="10">
        <v>6000000</v>
      </c>
      <c r="AC525" s="10">
        <v>0</v>
      </c>
      <c r="AD525" s="9" t="s">
        <v>44</v>
      </c>
      <c r="AE525" s="10" t="s">
        <v>2292</v>
      </c>
      <c r="AF525" s="10">
        <v>6000000</v>
      </c>
      <c r="AG525" s="10">
        <v>1</v>
      </c>
      <c r="AH525" s="10">
        <v>1</v>
      </c>
      <c r="AI525" s="10">
        <v>1</v>
      </c>
      <c r="AJ525" s="12" t="s">
        <v>2035</v>
      </c>
      <c r="AK525" s="10">
        <v>0</v>
      </c>
      <c r="AL525" s="10">
        <v>0</v>
      </c>
      <c r="AM525" s="9">
        <v>1998</v>
      </c>
      <c r="AN525" s="10">
        <v>0</v>
      </c>
      <c r="AO525" s="10">
        <v>1</v>
      </c>
      <c r="AP525" s="10"/>
      <c r="AQ525" s="5"/>
      <c r="AR525" s="5"/>
      <c r="AS525" s="4">
        <f t="shared" si="24"/>
        <v>800000</v>
      </c>
      <c r="AT525" s="4">
        <f t="shared" si="25"/>
        <v>3479998.6615389762</v>
      </c>
      <c r="AU525" s="4">
        <f t="shared" si="26"/>
        <v>2520001.3384610238</v>
      </c>
      <c r="AV525" s="9" t="s">
        <v>2034</v>
      </c>
      <c r="AW525" s="12" t="s">
        <v>2035</v>
      </c>
      <c r="AX525" s="10">
        <v>0</v>
      </c>
      <c r="AY525">
        <f>S525*AU525/AS525</f>
        <v>1575000.83653814</v>
      </c>
      <c r="AZ525">
        <f>AU525-AY525</f>
        <v>945000.50192288379</v>
      </c>
      <c r="BA525" s="10">
        <v>6000000</v>
      </c>
      <c r="BB525" s="10">
        <v>0</v>
      </c>
      <c r="BC525" s="9" t="s">
        <v>42</v>
      </c>
      <c r="BD525" s="9">
        <v>10631</v>
      </c>
      <c r="BE525" t="s">
        <v>46</v>
      </c>
    </row>
    <row r="526" spans="1:57" ht="270.75" thickBot="1" x14ac:dyDescent="0.3">
      <c r="A526" s="9" t="s">
        <v>2036</v>
      </c>
      <c r="B526" s="9">
        <v>3006</v>
      </c>
      <c r="C526" s="10">
        <v>2</v>
      </c>
      <c r="D526" s="9" t="s">
        <v>37</v>
      </c>
      <c r="E526" s="11">
        <v>46272.691151284722</v>
      </c>
      <c r="F526" s="9" t="s">
        <v>2037</v>
      </c>
      <c r="G526" s="9" t="s">
        <v>39</v>
      </c>
      <c r="H526" s="9">
        <v>53</v>
      </c>
      <c r="I526" s="9" t="s">
        <v>40</v>
      </c>
      <c r="J526" s="9">
        <v>5309</v>
      </c>
      <c r="K526" s="9" t="s">
        <v>41</v>
      </c>
      <c r="L526" s="9">
        <v>5309070</v>
      </c>
      <c r="M526" s="9">
        <v>5309070001</v>
      </c>
      <c r="N526" s="9" t="s">
        <v>42</v>
      </c>
      <c r="O526" s="9">
        <v>10631</v>
      </c>
      <c r="P526" s="9" t="s">
        <v>2038</v>
      </c>
      <c r="Q526" s="10">
        <v>1</v>
      </c>
      <c r="R526" s="10">
        <v>0</v>
      </c>
      <c r="S526" s="10">
        <v>350000</v>
      </c>
      <c r="T526" s="10">
        <v>0</v>
      </c>
      <c r="U526" s="10">
        <v>200000</v>
      </c>
      <c r="V526" s="10">
        <v>0</v>
      </c>
      <c r="W526" s="10">
        <v>550000</v>
      </c>
      <c r="X526" s="10">
        <v>3000000</v>
      </c>
      <c r="Y526" s="10">
        <v>500000</v>
      </c>
      <c r="Z526" s="10">
        <v>2450000</v>
      </c>
      <c r="AA526" s="10">
        <v>50000000</v>
      </c>
      <c r="AB526" s="10">
        <v>3000000</v>
      </c>
      <c r="AC526" s="10">
        <v>0</v>
      </c>
      <c r="AD526" s="9" t="s">
        <v>44</v>
      </c>
      <c r="AE526" s="10" t="s">
        <v>2566</v>
      </c>
      <c r="AF526" s="10">
        <v>3000000</v>
      </c>
      <c r="AG526" s="10">
        <v>1</v>
      </c>
      <c r="AH526" s="10">
        <v>1</v>
      </c>
      <c r="AI526" s="10">
        <v>1</v>
      </c>
      <c r="AJ526" s="12" t="s">
        <v>2039</v>
      </c>
      <c r="AK526" s="10">
        <v>0</v>
      </c>
      <c r="AL526" s="10">
        <v>0</v>
      </c>
      <c r="AM526" s="9">
        <v>2012</v>
      </c>
      <c r="AN526" s="10">
        <v>0</v>
      </c>
      <c r="AO526" s="10">
        <v>1</v>
      </c>
      <c r="AP526" s="10"/>
      <c r="AQ526" s="5"/>
      <c r="AR526" s="5"/>
      <c r="AS526" s="4">
        <f t="shared" si="24"/>
        <v>550000</v>
      </c>
      <c r="AT526" s="4">
        <f t="shared" si="25"/>
        <v>1739999.2897962083</v>
      </c>
      <c r="AU526" s="4">
        <f t="shared" si="26"/>
        <v>1260000.7102037917</v>
      </c>
      <c r="AV526" s="9" t="s">
        <v>2038</v>
      </c>
      <c r="AW526" s="12" t="s">
        <v>2039</v>
      </c>
      <c r="AX526" s="10">
        <v>0</v>
      </c>
      <c r="AY526">
        <f>S526*AU526/AS526</f>
        <v>801818.63376604929</v>
      </c>
      <c r="AZ526">
        <f>AU526-AY526</f>
        <v>458182.07643774245</v>
      </c>
      <c r="BA526" s="10">
        <v>3000000</v>
      </c>
      <c r="BB526" s="10">
        <v>500000</v>
      </c>
      <c r="BC526" s="9" t="s">
        <v>42</v>
      </c>
      <c r="BD526" s="9">
        <v>10631</v>
      </c>
      <c r="BE526" t="s">
        <v>46</v>
      </c>
    </row>
    <row r="527" spans="1:57" ht="270.75" thickBot="1" x14ac:dyDescent="0.3">
      <c r="A527" s="9" t="s">
        <v>2040</v>
      </c>
      <c r="B527" s="9">
        <v>2001</v>
      </c>
      <c r="C527" s="10">
        <v>2</v>
      </c>
      <c r="D527" s="9" t="s">
        <v>37</v>
      </c>
      <c r="E527" s="11">
        <v>46224.1989718287</v>
      </c>
      <c r="F527" s="9" t="s">
        <v>2041</v>
      </c>
      <c r="G527" s="9" t="s">
        <v>39</v>
      </c>
      <c r="H527" s="9">
        <v>53</v>
      </c>
      <c r="I527" s="9" t="s">
        <v>40</v>
      </c>
      <c r="J527" s="9">
        <v>5309</v>
      </c>
      <c r="K527" s="9" t="s">
        <v>41</v>
      </c>
      <c r="L527" s="9">
        <v>5309021</v>
      </c>
      <c r="M527" s="9">
        <v>5309021003</v>
      </c>
      <c r="N527" s="9" t="s">
        <v>42</v>
      </c>
      <c r="O527" s="9">
        <v>10631</v>
      </c>
      <c r="P527" s="9" t="s">
        <v>2042</v>
      </c>
      <c r="Q527" s="10">
        <v>2</v>
      </c>
      <c r="R527" s="10">
        <v>0</v>
      </c>
      <c r="S527" s="10">
        <v>800000</v>
      </c>
      <c r="T527" s="10">
        <v>0</v>
      </c>
      <c r="U527" s="10">
        <v>365000</v>
      </c>
      <c r="V527" s="10">
        <v>0</v>
      </c>
      <c r="W527" s="10">
        <v>1165000</v>
      </c>
      <c r="X527" s="10">
        <v>6250000</v>
      </c>
      <c r="Y527" s="10">
        <v>350000</v>
      </c>
      <c r="Z527" s="10">
        <v>5085000</v>
      </c>
      <c r="AA527" s="10">
        <v>22000000</v>
      </c>
      <c r="AB527" s="10">
        <v>6250000</v>
      </c>
      <c r="AC527" s="10">
        <v>0</v>
      </c>
      <c r="AD527" s="9" t="s">
        <v>44</v>
      </c>
      <c r="AE527" s="10" t="s">
        <v>2567</v>
      </c>
      <c r="AF527" s="10">
        <v>3125000</v>
      </c>
      <c r="AG527" s="10">
        <v>0</v>
      </c>
      <c r="AH527" s="10">
        <v>1</v>
      </c>
      <c r="AI527" s="10">
        <v>1</v>
      </c>
      <c r="AJ527" s="12" t="s">
        <v>2043</v>
      </c>
      <c r="AK527" s="10">
        <v>0</v>
      </c>
      <c r="AL527" s="10">
        <v>0</v>
      </c>
      <c r="AM527" s="9">
        <v>2024</v>
      </c>
      <c r="AN527" s="10">
        <v>0</v>
      </c>
      <c r="AO527" s="10">
        <v>2</v>
      </c>
      <c r="AP527" s="10"/>
      <c r="AQ527" s="5"/>
      <c r="AR527" s="5"/>
      <c r="AS527" s="4">
        <f t="shared" si="24"/>
        <v>1165000</v>
      </c>
      <c r="AT527" s="4">
        <f t="shared" si="25"/>
        <v>3625000</v>
      </c>
      <c r="AU527" s="4">
        <f t="shared" si="26"/>
        <v>2625000</v>
      </c>
      <c r="AV527" s="9" t="s">
        <v>2042</v>
      </c>
      <c r="AW527" s="12" t="s">
        <v>2043</v>
      </c>
      <c r="AX527" s="10">
        <v>0</v>
      </c>
      <c r="AY527">
        <f>S527*AU527/AS527</f>
        <v>1802575.1072961374</v>
      </c>
      <c r="AZ527">
        <f>AU527-AY527</f>
        <v>822424.89270386263</v>
      </c>
      <c r="BA527" s="10">
        <v>6250000</v>
      </c>
      <c r="BB527" s="10">
        <v>350000</v>
      </c>
      <c r="BC527" s="9" t="s">
        <v>42</v>
      </c>
      <c r="BD527" s="9">
        <v>10631</v>
      </c>
      <c r="BE527" t="s">
        <v>46</v>
      </c>
    </row>
    <row r="528" spans="1:57" ht="270.75" thickBot="1" x14ac:dyDescent="0.3">
      <c r="A528" s="9" t="s">
        <v>2044</v>
      </c>
      <c r="B528" s="9">
        <v>1002</v>
      </c>
      <c r="C528" s="10">
        <v>2</v>
      </c>
      <c r="D528" s="9" t="s">
        <v>37</v>
      </c>
      <c r="E528" s="11">
        <v>46265.898525648146</v>
      </c>
      <c r="F528" s="9" t="s">
        <v>2045</v>
      </c>
      <c r="G528" s="9" t="s">
        <v>39</v>
      </c>
      <c r="H528" s="9">
        <v>53</v>
      </c>
      <c r="I528" s="9" t="s">
        <v>40</v>
      </c>
      <c r="J528" s="9">
        <v>5309</v>
      </c>
      <c r="K528" s="9" t="s">
        <v>41</v>
      </c>
      <c r="L528" s="9">
        <v>5309070</v>
      </c>
      <c r="M528" s="9">
        <v>5309070003</v>
      </c>
      <c r="N528" s="9" t="s">
        <v>42</v>
      </c>
      <c r="O528" s="9">
        <v>10631</v>
      </c>
      <c r="P528" s="9" t="s">
        <v>2046</v>
      </c>
      <c r="Q528" s="10">
        <v>2</v>
      </c>
      <c r="R528" s="10">
        <v>0</v>
      </c>
      <c r="S528" s="10">
        <v>200000</v>
      </c>
      <c r="T528" s="10">
        <v>0</v>
      </c>
      <c r="U528" s="10">
        <v>400000</v>
      </c>
      <c r="V528" s="10">
        <v>0</v>
      </c>
      <c r="W528" s="10">
        <v>600000</v>
      </c>
      <c r="X528" s="10">
        <v>2000000</v>
      </c>
      <c r="Y528" s="10">
        <v>0</v>
      </c>
      <c r="Z528" s="10">
        <v>1400000</v>
      </c>
      <c r="AA528" s="10">
        <v>7000000</v>
      </c>
      <c r="AB528" s="10">
        <v>2000000</v>
      </c>
      <c r="AC528" s="10">
        <v>0</v>
      </c>
      <c r="AD528" s="9" t="s">
        <v>44</v>
      </c>
      <c r="AE528" s="10" t="s">
        <v>2546</v>
      </c>
      <c r="AF528" s="10">
        <v>1000000</v>
      </c>
      <c r="AG528" s="10">
        <v>0</v>
      </c>
      <c r="AH528" s="10">
        <v>1</v>
      </c>
      <c r="AI528" s="10">
        <v>1</v>
      </c>
      <c r="AJ528" s="12" t="s">
        <v>2047</v>
      </c>
      <c r="AK528" s="10">
        <v>0</v>
      </c>
      <c r="AL528" s="10">
        <v>0</v>
      </c>
      <c r="AM528" s="9">
        <v>2016</v>
      </c>
      <c r="AN528" s="10">
        <v>0</v>
      </c>
      <c r="AO528" s="10">
        <v>2</v>
      </c>
      <c r="AP528" s="10"/>
      <c r="AQ528" s="5"/>
      <c r="AR528" s="5"/>
      <c r="AS528" s="4">
        <f t="shared" si="24"/>
        <v>600000</v>
      </c>
      <c r="AT528" s="4">
        <f t="shared" si="25"/>
        <v>1160000</v>
      </c>
      <c r="AU528" s="4">
        <f t="shared" si="26"/>
        <v>840000</v>
      </c>
      <c r="AV528" s="9" t="s">
        <v>2046</v>
      </c>
      <c r="AW528" s="12" t="s">
        <v>2047</v>
      </c>
      <c r="AX528" s="10">
        <v>0</v>
      </c>
      <c r="AY528">
        <f>S528*AU528/AS528</f>
        <v>280000</v>
      </c>
      <c r="AZ528">
        <f>AU528-AY528</f>
        <v>560000</v>
      </c>
      <c r="BA528" s="10">
        <v>2000000</v>
      </c>
      <c r="BB528" s="10">
        <v>0</v>
      </c>
      <c r="BC528" s="9" t="s">
        <v>42</v>
      </c>
      <c r="BD528" s="9">
        <v>10631</v>
      </c>
      <c r="BE528" t="s">
        <v>46</v>
      </c>
    </row>
    <row r="529" spans="1:57" ht="270.75" thickBot="1" x14ac:dyDescent="0.3">
      <c r="A529" s="9" t="s">
        <v>2048</v>
      </c>
      <c r="B529" s="9">
        <v>3002</v>
      </c>
      <c r="C529" s="10">
        <v>2</v>
      </c>
      <c r="D529" s="9" t="s">
        <v>37</v>
      </c>
      <c r="E529" s="11">
        <v>46223.563726759261</v>
      </c>
      <c r="F529" s="9" t="s">
        <v>2049</v>
      </c>
      <c r="G529" s="9" t="s">
        <v>39</v>
      </c>
      <c r="H529" s="9">
        <v>53</v>
      </c>
      <c r="I529" s="9" t="s">
        <v>40</v>
      </c>
      <c r="J529" s="9">
        <v>5309</v>
      </c>
      <c r="K529" s="9" t="s">
        <v>41</v>
      </c>
      <c r="L529" s="9">
        <v>5309010</v>
      </c>
      <c r="M529" s="9">
        <v>5309010011</v>
      </c>
      <c r="N529" s="9" t="s">
        <v>42</v>
      </c>
      <c r="O529" s="9">
        <v>10631</v>
      </c>
      <c r="P529" s="9" t="s">
        <v>1945</v>
      </c>
      <c r="Q529" s="10">
        <v>1</v>
      </c>
      <c r="R529" s="10">
        <v>0</v>
      </c>
      <c r="S529" s="10">
        <v>500000</v>
      </c>
      <c r="T529" s="10">
        <v>0</v>
      </c>
      <c r="U529" s="10">
        <v>1500000</v>
      </c>
      <c r="V529" s="10">
        <v>300000</v>
      </c>
      <c r="W529" s="10">
        <v>2300000</v>
      </c>
      <c r="X529" s="10">
        <v>36500000</v>
      </c>
      <c r="Y529" s="10">
        <v>0</v>
      </c>
      <c r="Z529" s="10">
        <v>34500000</v>
      </c>
      <c r="AA529" s="10">
        <v>5000000</v>
      </c>
      <c r="AB529" s="10">
        <v>36500000</v>
      </c>
      <c r="AC529" s="10">
        <v>0</v>
      </c>
      <c r="AD529" s="9" t="s">
        <v>44</v>
      </c>
      <c r="AE529" s="10" t="s">
        <v>2568</v>
      </c>
      <c r="AF529" s="10">
        <v>36500000</v>
      </c>
      <c r="AG529" s="10">
        <v>1</v>
      </c>
      <c r="AH529" s="10">
        <v>1</v>
      </c>
      <c r="AI529" s="10">
        <v>1</v>
      </c>
      <c r="AJ529" s="12" t="s">
        <v>2050</v>
      </c>
      <c r="AK529" s="10">
        <v>0</v>
      </c>
      <c r="AL529" s="10">
        <v>0</v>
      </c>
      <c r="AM529" s="9">
        <v>2018</v>
      </c>
      <c r="AN529" s="10">
        <v>0</v>
      </c>
      <c r="AO529" s="10">
        <v>1</v>
      </c>
      <c r="AP529" s="10"/>
      <c r="AQ529" s="5"/>
      <c r="AR529" s="5"/>
      <c r="AS529" s="4">
        <f t="shared" si="24"/>
        <v>2000000</v>
      </c>
      <c r="AT529" s="4">
        <f t="shared" si="25"/>
        <v>21170010.738411244</v>
      </c>
      <c r="AU529" s="4">
        <f t="shared" si="26"/>
        <v>15329989.261588756</v>
      </c>
      <c r="AV529" s="9" t="s">
        <v>1945</v>
      </c>
      <c r="AW529" s="12" t="s">
        <v>2050</v>
      </c>
      <c r="AX529" s="10">
        <v>0</v>
      </c>
      <c r="AY529">
        <f>S529*AU529/AS529</f>
        <v>3832497.315397189</v>
      </c>
      <c r="AZ529">
        <f>AU529-AY529</f>
        <v>11497491.946191568</v>
      </c>
      <c r="BA529" s="10">
        <v>36500000</v>
      </c>
      <c r="BB529" s="10">
        <v>0</v>
      </c>
      <c r="BC529" s="9" t="s">
        <v>42</v>
      </c>
      <c r="BD529" s="9">
        <v>10631</v>
      </c>
      <c r="BE529" t="s">
        <v>46</v>
      </c>
    </row>
    <row r="530" spans="1:57" ht="270.75" thickBot="1" x14ac:dyDescent="0.3">
      <c r="A530" s="9" t="s">
        <v>2051</v>
      </c>
      <c r="B530" s="9">
        <v>1</v>
      </c>
      <c r="C530" s="10">
        <v>2</v>
      </c>
      <c r="D530" s="9" t="s">
        <v>37</v>
      </c>
      <c r="E530" s="14">
        <v>46223.63894675926</v>
      </c>
      <c r="F530" s="9" t="s">
        <v>2052</v>
      </c>
      <c r="G530" s="9" t="s">
        <v>39</v>
      </c>
      <c r="H530" s="9">
        <v>53</v>
      </c>
      <c r="I530" s="9" t="s">
        <v>40</v>
      </c>
      <c r="J530" s="9">
        <v>5309</v>
      </c>
      <c r="K530" s="9" t="s">
        <v>41</v>
      </c>
      <c r="L530" s="9">
        <v>5309060</v>
      </c>
      <c r="M530" s="9">
        <v>5309060027</v>
      </c>
      <c r="N530" s="9" t="s">
        <v>42</v>
      </c>
      <c r="O530" s="9">
        <v>10631</v>
      </c>
      <c r="P530" s="9" t="s">
        <v>2053</v>
      </c>
      <c r="Q530" s="10">
        <v>1</v>
      </c>
      <c r="R530" s="10">
        <v>600000</v>
      </c>
      <c r="S530" s="10">
        <v>5000000</v>
      </c>
      <c r="T530" s="10">
        <v>0</v>
      </c>
      <c r="U530" s="10">
        <v>150000</v>
      </c>
      <c r="V530" s="10">
        <v>17500</v>
      </c>
      <c r="W530" s="10">
        <v>5767500</v>
      </c>
      <c r="X530" s="10">
        <v>15000000</v>
      </c>
      <c r="Y530" s="10">
        <v>2000000</v>
      </c>
      <c r="Z530" s="10">
        <v>9850000</v>
      </c>
      <c r="AA530" s="10">
        <v>3000000</v>
      </c>
      <c r="AB530" s="10">
        <v>15000000</v>
      </c>
      <c r="AC530" s="10">
        <v>0</v>
      </c>
      <c r="AD530" s="9" t="s">
        <v>44</v>
      </c>
      <c r="AE530" s="10" t="s">
        <v>2569</v>
      </c>
      <c r="AF530" s="10">
        <v>15000000</v>
      </c>
      <c r="AG530" s="10">
        <v>1</v>
      </c>
      <c r="AH530" s="10">
        <v>1</v>
      </c>
      <c r="AI530" s="10">
        <v>1</v>
      </c>
      <c r="AJ530" s="12" t="s">
        <v>2054</v>
      </c>
      <c r="AK530" s="10">
        <v>0</v>
      </c>
      <c r="AL530" s="10">
        <v>0</v>
      </c>
      <c r="AM530" s="9">
        <v>2020</v>
      </c>
      <c r="AN530" s="10">
        <v>1</v>
      </c>
      <c r="AO530" s="10">
        <v>0</v>
      </c>
      <c r="AP530" s="10"/>
      <c r="AQ530" s="5"/>
      <c r="AR530" s="5"/>
      <c r="AS530" s="4">
        <f t="shared" si="24"/>
        <v>5150000</v>
      </c>
      <c r="AT530" s="4">
        <f t="shared" si="25"/>
        <v>8699995.583758587</v>
      </c>
      <c r="AU530" s="4">
        <f t="shared" si="26"/>
        <v>6300004.416241413</v>
      </c>
      <c r="AV530" s="9" t="s">
        <v>2053</v>
      </c>
      <c r="AW530" s="12" t="s">
        <v>2054</v>
      </c>
      <c r="AX530" s="10">
        <v>0</v>
      </c>
      <c r="AY530">
        <f>S530*AU530/AS530</f>
        <v>6116509.1419819547</v>
      </c>
      <c r="AZ530">
        <f>AU530-AY530</f>
        <v>183495.2742594583</v>
      </c>
      <c r="BA530" s="10">
        <v>15000000</v>
      </c>
      <c r="BB530" s="10">
        <v>2000000</v>
      </c>
      <c r="BC530" s="9" t="s">
        <v>42</v>
      </c>
      <c r="BD530" s="9">
        <v>10631</v>
      </c>
      <c r="BE530" t="s">
        <v>46</v>
      </c>
    </row>
    <row r="531" spans="1:57" ht="255.75" thickBot="1" x14ac:dyDescent="0.3">
      <c r="A531" s="9" t="s">
        <v>2055</v>
      </c>
      <c r="B531" s="9">
        <v>2001</v>
      </c>
      <c r="C531" s="10">
        <v>2</v>
      </c>
      <c r="D531" s="9" t="s">
        <v>37</v>
      </c>
      <c r="E531" s="14">
        <v>46224.862638888888</v>
      </c>
      <c r="F531" s="9" t="s">
        <v>2056</v>
      </c>
      <c r="G531" s="9" t="s">
        <v>39</v>
      </c>
      <c r="H531" s="9">
        <v>53</v>
      </c>
      <c r="I531" s="9" t="s">
        <v>40</v>
      </c>
      <c r="J531" s="9">
        <v>5309</v>
      </c>
      <c r="K531" s="9" t="s">
        <v>41</v>
      </c>
      <c r="L531" s="9">
        <v>5309020</v>
      </c>
      <c r="M531" s="9">
        <v>5309020016</v>
      </c>
      <c r="N531" s="9" t="s">
        <v>42</v>
      </c>
      <c r="O531" s="9">
        <v>10631</v>
      </c>
      <c r="P531" s="9" t="s">
        <v>2057</v>
      </c>
      <c r="Q531" s="10">
        <v>1</v>
      </c>
      <c r="R531" s="10">
        <v>0</v>
      </c>
      <c r="S531" s="10">
        <v>3000000</v>
      </c>
      <c r="T531" s="10">
        <v>0</v>
      </c>
      <c r="U531" s="10">
        <v>500000</v>
      </c>
      <c r="V531" s="10">
        <v>0</v>
      </c>
      <c r="W531" s="10">
        <v>3500000</v>
      </c>
      <c r="X531" s="10">
        <v>3200000</v>
      </c>
      <c r="Y531" s="10">
        <v>1000000</v>
      </c>
      <c r="Z531" s="10">
        <v>-300000</v>
      </c>
      <c r="AA531" s="10">
        <v>33000000</v>
      </c>
      <c r="AB531" s="10">
        <v>3200000</v>
      </c>
      <c r="AC531" s="10">
        <v>0</v>
      </c>
      <c r="AD531" s="9" t="s">
        <v>44</v>
      </c>
      <c r="AE531" s="10" t="s">
        <v>2570</v>
      </c>
      <c r="AF531" s="10">
        <v>3200000</v>
      </c>
      <c r="AG531" s="10">
        <v>1</v>
      </c>
      <c r="AH531" s="10">
        <v>1</v>
      </c>
      <c r="AI531" s="10">
        <v>1</v>
      </c>
      <c r="AJ531" s="12" t="s">
        <v>2058</v>
      </c>
      <c r="AK531" s="10">
        <v>0</v>
      </c>
      <c r="AL531" s="10">
        <v>0</v>
      </c>
      <c r="AM531" s="9">
        <v>2022</v>
      </c>
      <c r="AN531" s="10">
        <v>0</v>
      </c>
      <c r="AO531" s="10">
        <v>1</v>
      </c>
      <c r="AP531" s="10"/>
      <c r="AQ531" s="5"/>
      <c r="AR531" s="5"/>
      <c r="AS531" s="4">
        <f t="shared" si="24"/>
        <v>3500000</v>
      </c>
      <c r="AT531" s="4">
        <f t="shared" si="25"/>
        <v>1856000</v>
      </c>
      <c r="AU531" s="4">
        <f t="shared" si="26"/>
        <v>1344000</v>
      </c>
      <c r="AV531" s="9" t="s">
        <v>2057</v>
      </c>
      <c r="AW531" s="12" t="s">
        <v>2058</v>
      </c>
      <c r="AX531" s="10">
        <v>0</v>
      </c>
      <c r="AY531">
        <f>S531*AU531/AS531</f>
        <v>1152000</v>
      </c>
      <c r="AZ531">
        <f>AU531-AY531</f>
        <v>192000</v>
      </c>
      <c r="BA531" s="10">
        <v>3200000</v>
      </c>
      <c r="BB531" s="10">
        <v>1000000</v>
      </c>
      <c r="BC531" s="9" t="s">
        <v>42</v>
      </c>
      <c r="BD531" s="9">
        <v>10631</v>
      </c>
      <c r="BE531" t="s">
        <v>46</v>
      </c>
    </row>
    <row r="532" spans="1:57" ht="270.75" thickBot="1" x14ac:dyDescent="0.3">
      <c r="A532" s="9" t="s">
        <v>2059</v>
      </c>
      <c r="B532" s="9">
        <v>2001</v>
      </c>
      <c r="C532" s="10">
        <v>2</v>
      </c>
      <c r="D532" s="9" t="s">
        <v>37</v>
      </c>
      <c r="E532" s="14">
        <v>46204.642222222225</v>
      </c>
      <c r="F532" s="9" t="s">
        <v>2060</v>
      </c>
      <c r="G532" s="9" t="s">
        <v>39</v>
      </c>
      <c r="H532" s="9">
        <v>53</v>
      </c>
      <c r="I532" s="9" t="s">
        <v>40</v>
      </c>
      <c r="J532" s="9">
        <v>5309</v>
      </c>
      <c r="K532" s="9" t="s">
        <v>41</v>
      </c>
      <c r="L532" s="9">
        <v>5309010</v>
      </c>
      <c r="M532" s="9">
        <v>5309010002</v>
      </c>
      <c r="N532" s="9" t="s">
        <v>42</v>
      </c>
      <c r="O532" s="9">
        <v>10631</v>
      </c>
      <c r="P532" s="9" t="s">
        <v>2061</v>
      </c>
      <c r="Q532" s="10">
        <v>1</v>
      </c>
      <c r="R532" s="10">
        <v>0</v>
      </c>
      <c r="S532" s="10">
        <v>7500000</v>
      </c>
      <c r="T532" s="10">
        <v>0</v>
      </c>
      <c r="U532" s="10">
        <v>500000</v>
      </c>
      <c r="V532" s="10">
        <v>0</v>
      </c>
      <c r="W532" s="10">
        <v>8000000</v>
      </c>
      <c r="X532" s="10">
        <v>10000000</v>
      </c>
      <c r="Y532" s="10">
        <v>0</v>
      </c>
      <c r="Z532" s="10">
        <f>X532-SUM(S532:U532)</f>
        <v>2000000</v>
      </c>
      <c r="AA532" s="10">
        <v>25000000</v>
      </c>
      <c r="AB532" s="10">
        <v>8000000</v>
      </c>
      <c r="AC532" s="10">
        <v>0</v>
      </c>
      <c r="AD532" s="9" t="s">
        <v>44</v>
      </c>
      <c r="AE532" s="10">
        <f>Z532/AB532</f>
        <v>0.25</v>
      </c>
      <c r="AF532" s="10">
        <v>8000000</v>
      </c>
      <c r="AG532" s="10">
        <v>0</v>
      </c>
      <c r="AH532" s="9"/>
      <c r="AI532" s="10">
        <v>1</v>
      </c>
      <c r="AJ532" s="12" t="s">
        <v>2062</v>
      </c>
      <c r="AK532" s="10">
        <v>0</v>
      </c>
      <c r="AL532" s="10">
        <v>0</v>
      </c>
      <c r="AM532" s="9">
        <v>2025</v>
      </c>
      <c r="AN532" s="10">
        <v>0</v>
      </c>
      <c r="AO532" s="10">
        <v>1</v>
      </c>
      <c r="AP532" s="10"/>
      <c r="AQ532" s="5"/>
      <c r="AR532" s="5"/>
      <c r="AS532" s="4">
        <f t="shared" si="24"/>
        <v>6000000</v>
      </c>
      <c r="AT532" s="4">
        <f t="shared" si="25"/>
        <v>2000000</v>
      </c>
      <c r="AU532" s="4">
        <f t="shared" si="26"/>
        <v>6000000</v>
      </c>
      <c r="AV532" s="9" t="s">
        <v>2061</v>
      </c>
      <c r="AW532" s="12" t="s">
        <v>2062</v>
      </c>
      <c r="AX532" s="10">
        <v>0</v>
      </c>
      <c r="AY532">
        <f>S532*AU532/AS532</f>
        <v>7500000</v>
      </c>
      <c r="AZ532">
        <f>AU532-AY532</f>
        <v>-1500000</v>
      </c>
      <c r="BA532" s="10">
        <v>8000000</v>
      </c>
      <c r="BB532" s="10">
        <v>0</v>
      </c>
      <c r="BC532" s="9" t="s">
        <v>42</v>
      </c>
      <c r="BD532" s="9">
        <v>10631</v>
      </c>
      <c r="BE532" t="s">
        <v>46</v>
      </c>
    </row>
    <row r="533" spans="1:57" ht="270.75" thickBot="1" x14ac:dyDescent="0.3">
      <c r="A533" s="9" t="s">
        <v>2063</v>
      </c>
      <c r="B533" s="9">
        <v>2001</v>
      </c>
      <c r="C533" s="10">
        <v>2</v>
      </c>
      <c r="D533" s="9" t="s">
        <v>37</v>
      </c>
      <c r="E533" s="11">
        <v>46293.10348258102</v>
      </c>
      <c r="F533" s="9" t="s">
        <v>2064</v>
      </c>
      <c r="G533" s="9" t="s">
        <v>39</v>
      </c>
      <c r="H533" s="9">
        <v>53</v>
      </c>
      <c r="I533" s="9" t="s">
        <v>40</v>
      </c>
      <c r="J533" s="9">
        <v>5309</v>
      </c>
      <c r="K533" s="9" t="s">
        <v>41</v>
      </c>
      <c r="L533" s="9">
        <v>5309041</v>
      </c>
      <c r="M533" s="9">
        <v>5309041005</v>
      </c>
      <c r="N533" s="9" t="s">
        <v>42</v>
      </c>
      <c r="O533" s="9">
        <v>10631</v>
      </c>
      <c r="P533" s="9" t="s">
        <v>2065</v>
      </c>
      <c r="Q533" s="10">
        <v>2</v>
      </c>
      <c r="R533" s="10">
        <v>0</v>
      </c>
      <c r="S533" s="10">
        <v>100000</v>
      </c>
      <c r="T533" s="10">
        <v>0</v>
      </c>
      <c r="U533" s="10">
        <v>0</v>
      </c>
      <c r="V533" s="10">
        <v>0</v>
      </c>
      <c r="W533" s="10">
        <v>100000</v>
      </c>
      <c r="X533" s="10">
        <v>2400000</v>
      </c>
      <c r="Y533" s="10">
        <v>0</v>
      </c>
      <c r="Z533" s="10">
        <v>2300000</v>
      </c>
      <c r="AA533" s="10">
        <v>5600000</v>
      </c>
      <c r="AB533" s="10">
        <v>2400000</v>
      </c>
      <c r="AC533" s="10">
        <v>0</v>
      </c>
      <c r="AD533" s="9" t="s">
        <v>44</v>
      </c>
      <c r="AE533" s="10" t="s">
        <v>2257</v>
      </c>
      <c r="AF533" s="10">
        <v>1200000</v>
      </c>
      <c r="AG533" s="10">
        <v>1</v>
      </c>
      <c r="AH533" s="10">
        <v>1</v>
      </c>
      <c r="AI533" s="10">
        <v>1</v>
      </c>
      <c r="AJ533" s="12" t="s">
        <v>2066</v>
      </c>
      <c r="AK533" s="10">
        <v>0</v>
      </c>
      <c r="AL533" s="10">
        <v>0</v>
      </c>
      <c r="AM533" s="9">
        <v>2024</v>
      </c>
      <c r="AN533" s="10">
        <v>0</v>
      </c>
      <c r="AO533" s="10">
        <v>2</v>
      </c>
      <c r="AP533" s="10"/>
      <c r="AQ533" s="5"/>
      <c r="AR533" s="5"/>
      <c r="AS533" s="4">
        <f t="shared" si="24"/>
        <v>100000</v>
      </c>
      <c r="AT533" s="4">
        <f t="shared" si="25"/>
        <v>1392000.4841740814</v>
      </c>
      <c r="AU533" s="4">
        <f t="shared" si="26"/>
        <v>1007999.5158259186</v>
      </c>
      <c r="AV533" s="9" t="s">
        <v>2065</v>
      </c>
      <c r="AW533" s="12" t="s">
        <v>2066</v>
      </c>
      <c r="AX533" s="10">
        <v>0</v>
      </c>
      <c r="AY533">
        <f>S533*AU533/AS533</f>
        <v>1007999.5158259185</v>
      </c>
      <c r="AZ533">
        <f>AU533-AY533</f>
        <v>0</v>
      </c>
      <c r="BA533" s="10">
        <v>2400000</v>
      </c>
      <c r="BB533" s="10">
        <v>0</v>
      </c>
      <c r="BC533" s="9" t="s">
        <v>42</v>
      </c>
      <c r="BD533" s="9">
        <v>10631</v>
      </c>
      <c r="BE533" t="s">
        <v>46</v>
      </c>
    </row>
    <row r="534" spans="1:57" ht="270.75" thickBot="1" x14ac:dyDescent="0.3">
      <c r="A534" s="9" t="s">
        <v>2067</v>
      </c>
      <c r="B534" s="9">
        <v>1001</v>
      </c>
      <c r="C534" s="10">
        <v>2</v>
      </c>
      <c r="D534" s="9" t="s">
        <v>37</v>
      </c>
      <c r="E534" s="11">
        <v>46293.073895428242</v>
      </c>
      <c r="F534" s="9" t="s">
        <v>2068</v>
      </c>
      <c r="G534" s="9" t="s">
        <v>39</v>
      </c>
      <c r="H534" s="9">
        <v>53</v>
      </c>
      <c r="I534" s="9" t="s">
        <v>40</v>
      </c>
      <c r="J534" s="9">
        <v>5309</v>
      </c>
      <c r="K534" s="9" t="s">
        <v>41</v>
      </c>
      <c r="L534" s="9">
        <v>5309030</v>
      </c>
      <c r="M534" s="9">
        <v>5309030022</v>
      </c>
      <c r="N534" s="9" t="s">
        <v>42</v>
      </c>
      <c r="O534" s="9">
        <v>10631</v>
      </c>
      <c r="P534" s="9" t="s">
        <v>2069</v>
      </c>
      <c r="Q534" s="10">
        <v>1</v>
      </c>
      <c r="R534" s="10">
        <v>0</v>
      </c>
      <c r="S534" s="10">
        <v>600000</v>
      </c>
      <c r="T534" s="10">
        <v>0</v>
      </c>
      <c r="U534" s="10">
        <v>600000</v>
      </c>
      <c r="V534" s="10">
        <v>0</v>
      </c>
      <c r="W534" s="10">
        <v>1200000</v>
      </c>
      <c r="X534" s="10">
        <v>9600000</v>
      </c>
      <c r="Y534" s="10">
        <v>500000</v>
      </c>
      <c r="Z534" s="10">
        <v>8400000</v>
      </c>
      <c r="AA534" s="10">
        <v>2000000</v>
      </c>
      <c r="AB534" s="10">
        <v>9600000</v>
      </c>
      <c r="AC534" s="10">
        <v>0</v>
      </c>
      <c r="AD534" s="9" t="s">
        <v>44</v>
      </c>
      <c r="AE534" s="10" t="s">
        <v>2226</v>
      </c>
      <c r="AF534" s="10">
        <v>9600000</v>
      </c>
      <c r="AG534" s="10">
        <v>1</v>
      </c>
      <c r="AH534" s="10">
        <v>1</v>
      </c>
      <c r="AI534" s="10">
        <v>1</v>
      </c>
      <c r="AJ534" s="12" t="s">
        <v>2070</v>
      </c>
      <c r="AK534" s="10">
        <v>0</v>
      </c>
      <c r="AL534" s="10">
        <v>0</v>
      </c>
      <c r="AM534" s="9">
        <v>2000</v>
      </c>
      <c r="AN534" s="10">
        <v>0</v>
      </c>
      <c r="AO534" s="10">
        <v>1</v>
      </c>
      <c r="AP534" s="10"/>
      <c r="AQ534" s="5"/>
      <c r="AR534" s="5"/>
      <c r="AS534" s="4">
        <f t="shared" si="24"/>
        <v>1200000</v>
      </c>
      <c r="AT534" s="4">
        <f t="shared" si="25"/>
        <v>5568000</v>
      </c>
      <c r="AU534" s="4">
        <f t="shared" si="26"/>
        <v>4032000</v>
      </c>
      <c r="AV534" s="9" t="s">
        <v>2069</v>
      </c>
      <c r="AW534" s="12" t="s">
        <v>2070</v>
      </c>
      <c r="AX534" s="10">
        <v>0</v>
      </c>
      <c r="AY534">
        <f>S534*AU534/AS534</f>
        <v>2016000</v>
      </c>
      <c r="AZ534">
        <f>AU534-AY534</f>
        <v>2016000</v>
      </c>
      <c r="BA534" s="10">
        <v>9600000</v>
      </c>
      <c r="BB534" s="10">
        <v>500000</v>
      </c>
      <c r="BC534" s="9" t="s">
        <v>42</v>
      </c>
      <c r="BD534" s="9">
        <v>10631</v>
      </c>
      <c r="BE534" t="s">
        <v>46</v>
      </c>
    </row>
    <row r="535" spans="1:57" ht="270.75" thickBot="1" x14ac:dyDescent="0.3">
      <c r="A535" s="9" t="s">
        <v>2071</v>
      </c>
      <c r="B535" s="9">
        <v>1</v>
      </c>
      <c r="C535" s="10">
        <v>2</v>
      </c>
      <c r="D535" s="9" t="s">
        <v>113</v>
      </c>
      <c r="E535" s="11">
        <v>46280.611973634259</v>
      </c>
      <c r="F535" s="9" t="s">
        <v>2072</v>
      </c>
      <c r="G535" s="9" t="s">
        <v>39</v>
      </c>
      <c r="H535" s="9">
        <v>53</v>
      </c>
      <c r="I535" s="9" t="s">
        <v>40</v>
      </c>
      <c r="J535" s="9">
        <v>5309</v>
      </c>
      <c r="K535" s="9" t="s">
        <v>41</v>
      </c>
      <c r="L535" s="9">
        <v>5309010</v>
      </c>
      <c r="M535" s="9">
        <v>5309010004</v>
      </c>
      <c r="N535" s="9" t="s">
        <v>42</v>
      </c>
      <c r="O535" s="9">
        <v>10631</v>
      </c>
      <c r="P535" s="9" t="s">
        <v>2073</v>
      </c>
      <c r="Q535" s="10">
        <v>2</v>
      </c>
      <c r="R535" s="10">
        <v>0</v>
      </c>
      <c r="S535" s="10">
        <v>500000</v>
      </c>
      <c r="T535" s="10">
        <v>0</v>
      </c>
      <c r="U535" s="10">
        <v>100000</v>
      </c>
      <c r="V535" s="10">
        <v>400000</v>
      </c>
      <c r="W535" s="10">
        <v>1000000</v>
      </c>
      <c r="X535" s="10">
        <v>3000000</v>
      </c>
      <c r="Y535" s="10">
        <v>500000</v>
      </c>
      <c r="Z535" s="10">
        <v>2400000</v>
      </c>
      <c r="AA535" s="10">
        <v>47000000</v>
      </c>
      <c r="AB535" s="10">
        <v>3000000</v>
      </c>
      <c r="AC535" s="10">
        <v>0</v>
      </c>
      <c r="AD535" s="9" t="s">
        <v>44</v>
      </c>
      <c r="AE535" s="10" t="s">
        <v>2296</v>
      </c>
      <c r="AF535" s="10">
        <v>1500000</v>
      </c>
      <c r="AG535" s="10">
        <v>1</v>
      </c>
      <c r="AH535" s="10">
        <v>1</v>
      </c>
      <c r="AI535" s="10">
        <v>1</v>
      </c>
      <c r="AJ535" s="12" t="s">
        <v>2074</v>
      </c>
      <c r="AK535" s="10">
        <v>0</v>
      </c>
      <c r="AL535" s="10">
        <v>0</v>
      </c>
      <c r="AM535" s="9">
        <v>2013</v>
      </c>
      <c r="AN535" s="10">
        <v>0</v>
      </c>
      <c r="AO535" s="10">
        <v>2</v>
      </c>
      <c r="AP535" s="10"/>
      <c r="AQ535" s="5"/>
      <c r="AR535" s="5"/>
      <c r="AS535" s="4">
        <f t="shared" si="24"/>
        <v>600000</v>
      </c>
      <c r="AT535" s="4">
        <f t="shared" si="25"/>
        <v>1740000</v>
      </c>
      <c r="AU535" s="4">
        <f t="shared" si="26"/>
        <v>1260000</v>
      </c>
      <c r="AV535" s="9" t="s">
        <v>2073</v>
      </c>
      <c r="AW535" s="12" t="s">
        <v>2074</v>
      </c>
      <c r="AX535" s="10">
        <v>0</v>
      </c>
      <c r="AY535">
        <f>S535*AU535/AS535</f>
        <v>1050000</v>
      </c>
      <c r="AZ535">
        <f>AU535-AY535</f>
        <v>210000</v>
      </c>
      <c r="BA535" s="10">
        <v>3000000</v>
      </c>
      <c r="BB535" s="10">
        <v>500000</v>
      </c>
      <c r="BC535" s="9" t="s">
        <v>42</v>
      </c>
      <c r="BD535" s="9">
        <v>10631</v>
      </c>
      <c r="BE535" t="s">
        <v>46</v>
      </c>
    </row>
    <row r="536" spans="1:57" ht="270.75" thickBot="1" x14ac:dyDescent="0.3">
      <c r="A536" s="9" t="s">
        <v>2075</v>
      </c>
      <c r="B536" s="9">
        <v>1</v>
      </c>
      <c r="C536" s="10">
        <v>2</v>
      </c>
      <c r="D536" s="9" t="s">
        <v>37</v>
      </c>
      <c r="E536" s="11">
        <v>46270.939301261576</v>
      </c>
      <c r="F536" s="9" t="s">
        <v>2076</v>
      </c>
      <c r="G536" s="9" t="s">
        <v>39</v>
      </c>
      <c r="H536" s="9">
        <v>53</v>
      </c>
      <c r="I536" s="9" t="s">
        <v>40</v>
      </c>
      <c r="J536" s="9">
        <v>5309</v>
      </c>
      <c r="K536" s="9" t="s">
        <v>41</v>
      </c>
      <c r="L536" s="9">
        <v>5309011</v>
      </c>
      <c r="M536" s="9">
        <v>5309011004</v>
      </c>
      <c r="N536" s="9" t="s">
        <v>42</v>
      </c>
      <c r="O536" s="9">
        <v>10631</v>
      </c>
      <c r="P536" s="9" t="s">
        <v>2077</v>
      </c>
      <c r="Q536" s="10">
        <v>1</v>
      </c>
      <c r="R536" s="10">
        <v>0</v>
      </c>
      <c r="S536" s="10">
        <v>2000000</v>
      </c>
      <c r="T536" s="10">
        <v>0</v>
      </c>
      <c r="U536" s="10">
        <v>500000</v>
      </c>
      <c r="V536" s="10">
        <v>0</v>
      </c>
      <c r="W536" s="10">
        <v>2500000</v>
      </c>
      <c r="X536" s="10">
        <v>2000000</v>
      </c>
      <c r="Y536" s="10">
        <v>1000000</v>
      </c>
      <c r="Z536" s="10">
        <v>-500000</v>
      </c>
      <c r="AA536" s="10">
        <v>6000000</v>
      </c>
      <c r="AB536" s="10">
        <v>2000000</v>
      </c>
      <c r="AC536" s="10">
        <v>0</v>
      </c>
      <c r="AD536" s="9" t="s">
        <v>44</v>
      </c>
      <c r="AE536" s="10" t="s">
        <v>2078</v>
      </c>
      <c r="AF536" s="10">
        <v>2000000</v>
      </c>
      <c r="AG536" s="10">
        <v>0</v>
      </c>
      <c r="AH536" s="10">
        <v>1</v>
      </c>
      <c r="AI536" s="10">
        <v>1</v>
      </c>
      <c r="AJ536" s="12" t="s">
        <v>2079</v>
      </c>
      <c r="AK536" s="10">
        <v>0</v>
      </c>
      <c r="AL536" s="10">
        <v>0</v>
      </c>
      <c r="AM536" s="9">
        <v>2017</v>
      </c>
      <c r="AN536" s="10">
        <v>0</v>
      </c>
      <c r="AO536" s="10">
        <v>1</v>
      </c>
      <c r="AP536" s="10"/>
      <c r="AQ536" s="5"/>
      <c r="AR536" s="5"/>
      <c r="AS536" s="4">
        <f t="shared" si="24"/>
        <v>2500000</v>
      </c>
      <c r="AT536" s="4">
        <f t="shared" si="25"/>
        <v>1160000</v>
      </c>
      <c r="AU536" s="4">
        <f t="shared" si="26"/>
        <v>840000</v>
      </c>
      <c r="AV536" s="9" t="s">
        <v>2077</v>
      </c>
      <c r="AW536" s="12" t="s">
        <v>2079</v>
      </c>
      <c r="AX536" s="10">
        <v>0</v>
      </c>
      <c r="AY536">
        <f>S536*AU536/AS536</f>
        <v>672000</v>
      </c>
      <c r="AZ536">
        <f>AU536-AY536</f>
        <v>168000</v>
      </c>
      <c r="BA536" s="10">
        <v>2000000</v>
      </c>
      <c r="BB536" s="10">
        <v>1000000</v>
      </c>
      <c r="BC536" s="9" t="s">
        <v>42</v>
      </c>
      <c r="BD536" s="9">
        <v>10631</v>
      </c>
      <c r="BE536" t="s">
        <v>46</v>
      </c>
    </row>
    <row r="537" spans="1:57" ht="270.75" thickBot="1" x14ac:dyDescent="0.3">
      <c r="A537" s="9" t="s">
        <v>2080</v>
      </c>
      <c r="B537" s="9">
        <v>2001</v>
      </c>
      <c r="C537" s="10">
        <v>2</v>
      </c>
      <c r="D537" s="9" t="s">
        <v>37</v>
      </c>
      <c r="E537" s="14">
        <v>46221.99013888889</v>
      </c>
      <c r="F537" s="9" t="s">
        <v>2081</v>
      </c>
      <c r="G537" s="9" t="s">
        <v>39</v>
      </c>
      <c r="H537" s="9">
        <v>53</v>
      </c>
      <c r="I537" s="9" t="s">
        <v>40</v>
      </c>
      <c r="J537" s="9">
        <v>5309</v>
      </c>
      <c r="K537" s="9" t="s">
        <v>41</v>
      </c>
      <c r="L537" s="9">
        <v>5309020</v>
      </c>
      <c r="M537" s="9">
        <v>5309020009</v>
      </c>
      <c r="N537" s="9" t="s">
        <v>42</v>
      </c>
      <c r="O537" s="9">
        <v>10631</v>
      </c>
      <c r="P537" s="9" t="s">
        <v>2082</v>
      </c>
      <c r="Q537" s="10">
        <v>2</v>
      </c>
      <c r="R537" s="10">
        <v>1500000</v>
      </c>
      <c r="S537" s="10">
        <v>15000000</v>
      </c>
      <c r="T537" s="10">
        <v>0</v>
      </c>
      <c r="U537" s="10">
        <v>200000</v>
      </c>
      <c r="V537" s="10">
        <v>0</v>
      </c>
      <c r="W537" s="10">
        <v>16700000</v>
      </c>
      <c r="X537" s="10">
        <v>60000000</v>
      </c>
      <c r="Y537" s="10">
        <v>0</v>
      </c>
      <c r="Z537" s="10">
        <v>44800000</v>
      </c>
      <c r="AA537" s="10">
        <v>55000000</v>
      </c>
      <c r="AB537" s="10">
        <v>60000000</v>
      </c>
      <c r="AC537" s="10">
        <v>0</v>
      </c>
      <c r="AD537" s="9" t="s">
        <v>44</v>
      </c>
      <c r="AE537" s="10" t="s">
        <v>2571</v>
      </c>
      <c r="AF537" s="10">
        <v>30000000</v>
      </c>
      <c r="AG537" s="10">
        <v>1</v>
      </c>
      <c r="AH537" s="10">
        <v>1</v>
      </c>
      <c r="AI537" s="10">
        <v>1</v>
      </c>
      <c r="AJ537" s="12" t="s">
        <v>2083</v>
      </c>
      <c r="AK537" s="10">
        <v>0</v>
      </c>
      <c r="AL537" s="10">
        <v>0</v>
      </c>
      <c r="AM537" s="9">
        <v>2020</v>
      </c>
      <c r="AN537" s="10">
        <v>2</v>
      </c>
      <c r="AO537" s="10">
        <v>0</v>
      </c>
      <c r="AP537" s="10"/>
      <c r="AQ537" s="5"/>
      <c r="AR537" s="5"/>
      <c r="AS537" s="4">
        <f t="shared" si="24"/>
        <v>15200000</v>
      </c>
      <c r="AT537" s="4">
        <f t="shared" si="25"/>
        <v>34799984.464292653</v>
      </c>
      <c r="AU537" s="4">
        <f t="shared" si="26"/>
        <v>25200015.535707347</v>
      </c>
      <c r="AV537" s="9" t="s">
        <v>2082</v>
      </c>
      <c r="AW537" s="12" t="s">
        <v>2083</v>
      </c>
      <c r="AX537" s="10">
        <v>0</v>
      </c>
      <c r="AY537">
        <f>S537*AU537/AS537</f>
        <v>24868436.383921724</v>
      </c>
      <c r="AZ537">
        <f>AU537-AY537</f>
        <v>331579.15178562328</v>
      </c>
      <c r="BA537" s="10">
        <v>60000000</v>
      </c>
      <c r="BB537" s="10">
        <v>0</v>
      </c>
      <c r="BC537" s="9" t="s">
        <v>42</v>
      </c>
      <c r="BD537" s="9">
        <v>10631</v>
      </c>
      <c r="BE537" t="s">
        <v>46</v>
      </c>
    </row>
    <row r="538" spans="1:57" ht="270.75" thickBot="1" x14ac:dyDescent="0.3">
      <c r="A538" s="9" t="s">
        <v>2084</v>
      </c>
      <c r="B538" s="9">
        <v>1001</v>
      </c>
      <c r="C538" s="10">
        <v>2</v>
      </c>
      <c r="D538" s="9" t="s">
        <v>84</v>
      </c>
      <c r="E538" s="11">
        <v>46317.080340624998</v>
      </c>
      <c r="F538" s="9" t="s">
        <v>2085</v>
      </c>
      <c r="G538" s="9" t="s">
        <v>39</v>
      </c>
      <c r="H538" s="9">
        <v>53</v>
      </c>
      <c r="I538" s="9" t="s">
        <v>40</v>
      </c>
      <c r="J538" s="9">
        <v>5309</v>
      </c>
      <c r="K538" s="9" t="s">
        <v>41</v>
      </c>
      <c r="L538" s="9">
        <v>5309010</v>
      </c>
      <c r="M538" s="9">
        <v>5309010015</v>
      </c>
      <c r="N538" s="9" t="s">
        <v>42</v>
      </c>
      <c r="O538" s="9">
        <v>10631</v>
      </c>
      <c r="P538" s="9" t="s">
        <v>1904</v>
      </c>
      <c r="Q538" s="10">
        <v>16</v>
      </c>
      <c r="R538" s="10">
        <v>0</v>
      </c>
      <c r="S538" s="10">
        <v>200000</v>
      </c>
      <c r="T538" s="10">
        <v>0</v>
      </c>
      <c r="U538" s="10">
        <v>200000</v>
      </c>
      <c r="V538" s="10">
        <v>100000</v>
      </c>
      <c r="W538" s="10">
        <v>500000</v>
      </c>
      <c r="X538" s="10">
        <v>4560000</v>
      </c>
      <c r="Y538" s="10">
        <v>0</v>
      </c>
      <c r="Z538" s="10">
        <v>4160000</v>
      </c>
      <c r="AA538" s="10">
        <v>10000000</v>
      </c>
      <c r="AB538" s="10">
        <v>4560000</v>
      </c>
      <c r="AC538" s="10">
        <v>0</v>
      </c>
      <c r="AD538" s="9" t="s">
        <v>44</v>
      </c>
      <c r="AE538" s="10" t="s">
        <v>2550</v>
      </c>
      <c r="AF538" s="10">
        <v>285000</v>
      </c>
      <c r="AG538" s="10">
        <v>1</v>
      </c>
      <c r="AH538" s="10">
        <v>1</v>
      </c>
      <c r="AI538" s="10">
        <v>1</v>
      </c>
      <c r="AJ538" s="12" t="s">
        <v>2086</v>
      </c>
      <c r="AK538" s="10">
        <v>0</v>
      </c>
      <c r="AL538" s="10">
        <v>0</v>
      </c>
      <c r="AM538" s="9">
        <v>2025</v>
      </c>
      <c r="AN538" s="10">
        <v>0</v>
      </c>
      <c r="AO538" s="10">
        <v>16</v>
      </c>
      <c r="AP538" s="10"/>
      <c r="AQ538" s="5"/>
      <c r="AR538" s="5"/>
      <c r="AS538" s="4">
        <f t="shared" si="24"/>
        <v>400000</v>
      </c>
      <c r="AT538" s="4">
        <f t="shared" si="25"/>
        <v>2644799.1353541287</v>
      </c>
      <c r="AU538" s="4">
        <f t="shared" si="26"/>
        <v>1915200.8646458713</v>
      </c>
      <c r="AV538" s="9" t="s">
        <v>1904</v>
      </c>
      <c r="AW538" s="12" t="s">
        <v>2086</v>
      </c>
      <c r="AX538" s="10">
        <v>0</v>
      </c>
      <c r="AY538">
        <f>S538*AU538/AS538</f>
        <v>957600.43232293567</v>
      </c>
      <c r="AZ538">
        <f>AU538-AY538</f>
        <v>957600.43232293567</v>
      </c>
      <c r="BA538" s="10">
        <v>4560000</v>
      </c>
      <c r="BB538" s="10">
        <v>0</v>
      </c>
      <c r="BC538" s="9" t="s">
        <v>42</v>
      </c>
      <c r="BD538" s="9">
        <v>10631</v>
      </c>
      <c r="BE538" t="s">
        <v>46</v>
      </c>
    </row>
    <row r="539" spans="1:57" ht="270.75" thickBot="1" x14ac:dyDescent="0.3">
      <c r="A539" s="9" t="s">
        <v>2087</v>
      </c>
      <c r="B539" s="9">
        <v>1</v>
      </c>
      <c r="C539" s="10">
        <v>2</v>
      </c>
      <c r="D539" s="9" t="s">
        <v>37</v>
      </c>
      <c r="E539" s="11">
        <v>46248.185124293981</v>
      </c>
      <c r="F539" s="9" t="s">
        <v>2088</v>
      </c>
      <c r="G539" s="9" t="s">
        <v>39</v>
      </c>
      <c r="H539" s="9">
        <v>53</v>
      </c>
      <c r="I539" s="9" t="s">
        <v>40</v>
      </c>
      <c r="J539" s="9">
        <v>5309</v>
      </c>
      <c r="K539" s="9" t="s">
        <v>41</v>
      </c>
      <c r="L539" s="9">
        <v>5309010</v>
      </c>
      <c r="M539" s="9">
        <v>5309010014</v>
      </c>
      <c r="N539" s="9" t="s">
        <v>42</v>
      </c>
      <c r="O539" s="9">
        <v>10631</v>
      </c>
      <c r="P539" s="9" t="s">
        <v>2089</v>
      </c>
      <c r="Q539" s="10">
        <v>2</v>
      </c>
      <c r="R539" s="10">
        <v>250000</v>
      </c>
      <c r="S539" s="10">
        <v>700000</v>
      </c>
      <c r="T539" s="10">
        <v>0</v>
      </c>
      <c r="U539" s="10">
        <v>1200000</v>
      </c>
      <c r="V539" s="10">
        <v>0</v>
      </c>
      <c r="W539" s="10">
        <v>2150000</v>
      </c>
      <c r="X539" s="10">
        <v>500000</v>
      </c>
      <c r="Y539" s="10">
        <v>5000000</v>
      </c>
      <c r="Z539" s="10">
        <v>-1400000</v>
      </c>
      <c r="AA539" s="10">
        <v>24000000</v>
      </c>
      <c r="AB539" s="10">
        <v>500000</v>
      </c>
      <c r="AC539" s="10">
        <v>0</v>
      </c>
      <c r="AD539" s="9" t="s">
        <v>44</v>
      </c>
      <c r="AE539" s="10" t="s">
        <v>2572</v>
      </c>
      <c r="AF539" s="10">
        <v>250000</v>
      </c>
      <c r="AG539" s="10">
        <v>1</v>
      </c>
      <c r="AH539" s="10">
        <v>1</v>
      </c>
      <c r="AI539" s="10">
        <v>1</v>
      </c>
      <c r="AJ539" s="12" t="s">
        <v>2090</v>
      </c>
      <c r="AK539" s="10">
        <v>0</v>
      </c>
      <c r="AL539" s="10">
        <v>0</v>
      </c>
      <c r="AM539" s="9">
        <v>2012</v>
      </c>
      <c r="AN539" s="10">
        <v>2</v>
      </c>
      <c r="AO539" s="10">
        <v>0</v>
      </c>
      <c r="AP539" s="10"/>
      <c r="AQ539" s="5"/>
      <c r="AR539" s="5"/>
      <c r="AS539" s="4">
        <f t="shared" si="24"/>
        <v>1900000</v>
      </c>
      <c r="AT539" s="4">
        <f t="shared" si="25"/>
        <v>290000</v>
      </c>
      <c r="AU539" s="4">
        <f t="shared" si="26"/>
        <v>210000</v>
      </c>
      <c r="AV539" s="9" t="s">
        <v>2089</v>
      </c>
      <c r="AW539" s="12" t="s">
        <v>2090</v>
      </c>
      <c r="AX539" s="10">
        <v>0</v>
      </c>
      <c r="AY539">
        <f>S539*AU539/AS539</f>
        <v>77368.421052631573</v>
      </c>
      <c r="AZ539">
        <f>AU539-AY539</f>
        <v>132631.57894736843</v>
      </c>
      <c r="BA539" s="10">
        <v>500000</v>
      </c>
      <c r="BB539" s="10">
        <v>5000000</v>
      </c>
      <c r="BC539" s="9" t="s">
        <v>42</v>
      </c>
      <c r="BD539" s="9">
        <v>10631</v>
      </c>
      <c r="BE539" t="s">
        <v>46</v>
      </c>
    </row>
    <row r="540" spans="1:57" ht="270.75" thickBot="1" x14ac:dyDescent="0.3">
      <c r="A540" s="9" t="s">
        <v>2091</v>
      </c>
      <c r="B540" s="9">
        <v>2001</v>
      </c>
      <c r="C540" s="10">
        <v>2</v>
      </c>
      <c r="D540" s="9" t="s">
        <v>37</v>
      </c>
      <c r="E540" s="11">
        <v>46246.082053703707</v>
      </c>
      <c r="F540" s="9" t="s">
        <v>2092</v>
      </c>
      <c r="G540" s="9" t="s">
        <v>39</v>
      </c>
      <c r="H540" s="9">
        <v>53</v>
      </c>
      <c r="I540" s="9" t="s">
        <v>40</v>
      </c>
      <c r="J540" s="9">
        <v>5309</v>
      </c>
      <c r="K540" s="9" t="s">
        <v>41</v>
      </c>
      <c r="L540" s="9">
        <v>5309010</v>
      </c>
      <c r="M540" s="9">
        <v>5309010014</v>
      </c>
      <c r="N540" s="9" t="s">
        <v>42</v>
      </c>
      <c r="O540" s="9">
        <v>10631</v>
      </c>
      <c r="P540" s="9" t="s">
        <v>2093</v>
      </c>
      <c r="Q540" s="10">
        <v>1</v>
      </c>
      <c r="R540" s="10">
        <v>0</v>
      </c>
      <c r="S540" s="10">
        <v>500000</v>
      </c>
      <c r="T540" s="10">
        <v>0</v>
      </c>
      <c r="U540" s="10">
        <v>5000000</v>
      </c>
      <c r="V540" s="10">
        <v>0</v>
      </c>
      <c r="W540" s="10">
        <v>5500000</v>
      </c>
      <c r="X540" s="10">
        <v>18000000</v>
      </c>
      <c r="Y540" s="10">
        <v>0</v>
      </c>
      <c r="Z540" s="10">
        <v>12500000</v>
      </c>
      <c r="AA540" s="10">
        <v>12000000</v>
      </c>
      <c r="AB540" s="10">
        <v>18000000</v>
      </c>
      <c r="AC540" s="10">
        <v>0</v>
      </c>
      <c r="AD540" s="9" t="s">
        <v>44</v>
      </c>
      <c r="AE540" s="10" t="s">
        <v>2573</v>
      </c>
      <c r="AF540" s="10">
        <v>18000000</v>
      </c>
      <c r="AG540" s="10">
        <v>1</v>
      </c>
      <c r="AH540" s="10">
        <v>1</v>
      </c>
      <c r="AI540" s="10">
        <v>1</v>
      </c>
      <c r="AJ540" s="12" t="s">
        <v>2094</v>
      </c>
      <c r="AK540" s="10">
        <v>0</v>
      </c>
      <c r="AL540" s="10">
        <v>0</v>
      </c>
      <c r="AM540" s="9">
        <v>2024</v>
      </c>
      <c r="AN540" s="10">
        <v>0</v>
      </c>
      <c r="AO540" s="10">
        <v>1</v>
      </c>
      <c r="AP540" s="10"/>
      <c r="AQ540" s="5"/>
      <c r="AR540" s="5"/>
      <c r="AS540" s="4">
        <f t="shared" si="24"/>
        <v>5500000</v>
      </c>
      <c r="AT540" s="4">
        <f t="shared" si="25"/>
        <v>10440006.681604275</v>
      </c>
      <c r="AU540" s="4">
        <f t="shared" si="26"/>
        <v>7559993.3183957245</v>
      </c>
      <c r="AV540" s="9" t="s">
        <v>2093</v>
      </c>
      <c r="AW540" s="12" t="s">
        <v>2094</v>
      </c>
      <c r="AX540" s="10">
        <v>0</v>
      </c>
      <c r="AY540">
        <f>S540*AU540/AS540</f>
        <v>687272.11985415674</v>
      </c>
      <c r="AZ540">
        <f>AU540-AY540</f>
        <v>6872721.1985415677</v>
      </c>
      <c r="BA540" s="10">
        <v>18000000</v>
      </c>
      <c r="BB540" s="10">
        <v>0</v>
      </c>
      <c r="BC540" s="9" t="s">
        <v>42</v>
      </c>
      <c r="BD540" s="9">
        <v>10631</v>
      </c>
      <c r="BE540" t="s">
        <v>46</v>
      </c>
    </row>
    <row r="541" spans="1:57" ht="270.75" thickBot="1" x14ac:dyDescent="0.3">
      <c r="A541" s="9" t="s">
        <v>2095</v>
      </c>
      <c r="B541" s="9">
        <v>3001</v>
      </c>
      <c r="C541" s="10">
        <v>2</v>
      </c>
      <c r="D541" s="9" t="s">
        <v>37</v>
      </c>
      <c r="E541" s="11">
        <v>46230.875750451392</v>
      </c>
      <c r="F541" s="9" t="s">
        <v>2096</v>
      </c>
      <c r="G541" s="9" t="s">
        <v>39</v>
      </c>
      <c r="H541" s="9">
        <v>53</v>
      </c>
      <c r="I541" s="9" t="s">
        <v>40</v>
      </c>
      <c r="J541" s="9">
        <v>5309</v>
      </c>
      <c r="K541" s="9" t="s">
        <v>41</v>
      </c>
      <c r="L541" s="9">
        <v>5309074</v>
      </c>
      <c r="M541" s="9">
        <v>5309074007</v>
      </c>
      <c r="N541" s="9" t="s">
        <v>42</v>
      </c>
      <c r="O541" s="9">
        <v>10634</v>
      </c>
      <c r="P541" s="9" t="s">
        <v>2097</v>
      </c>
      <c r="Q541" s="10">
        <v>1</v>
      </c>
      <c r="R541" s="10">
        <v>0</v>
      </c>
      <c r="S541" s="10">
        <v>1200000</v>
      </c>
      <c r="T541" s="10">
        <v>0</v>
      </c>
      <c r="U541" s="10">
        <v>0</v>
      </c>
      <c r="V541" s="10">
        <v>0</v>
      </c>
      <c r="W541" s="10">
        <v>1200000</v>
      </c>
      <c r="X541" s="10">
        <v>5000000</v>
      </c>
      <c r="Y541" s="10">
        <v>0</v>
      </c>
      <c r="Z541" s="10">
        <v>3800000</v>
      </c>
      <c r="AA541" s="10">
        <v>525000</v>
      </c>
      <c r="AB541" s="10">
        <v>5000000</v>
      </c>
      <c r="AC541" s="10">
        <v>0</v>
      </c>
      <c r="AD541" s="9" t="s">
        <v>44</v>
      </c>
      <c r="AE541" s="10" t="s">
        <v>116</v>
      </c>
      <c r="AF541" s="10">
        <v>5000000</v>
      </c>
      <c r="AG541" s="10">
        <v>1</v>
      </c>
      <c r="AH541" s="10">
        <v>1</v>
      </c>
      <c r="AI541" s="10">
        <v>1</v>
      </c>
      <c r="AJ541" s="12" t="s">
        <v>2098</v>
      </c>
      <c r="AK541" s="10">
        <v>0</v>
      </c>
      <c r="AL541" s="10">
        <v>0</v>
      </c>
      <c r="AM541" s="9">
        <v>2015</v>
      </c>
      <c r="AN541" s="10">
        <v>0</v>
      </c>
      <c r="AO541" s="10">
        <v>1</v>
      </c>
      <c r="AP541" s="10"/>
      <c r="AQ541" s="5"/>
      <c r="AR541" s="5"/>
      <c r="AS541" s="4">
        <f t="shared" si="24"/>
        <v>1200000</v>
      </c>
      <c r="AT541" s="4">
        <f t="shared" si="25"/>
        <v>2900000</v>
      </c>
      <c r="AU541" s="4">
        <f t="shared" si="26"/>
        <v>2100000</v>
      </c>
      <c r="AV541" s="9" t="s">
        <v>2097</v>
      </c>
      <c r="AW541" s="12" t="s">
        <v>2098</v>
      </c>
      <c r="AX541" s="10">
        <v>0</v>
      </c>
      <c r="AY541">
        <f>S541*AU541/AS541</f>
        <v>2100000</v>
      </c>
      <c r="AZ541">
        <f>AU541-AY541</f>
        <v>0</v>
      </c>
      <c r="BA541" s="10">
        <v>5000000</v>
      </c>
      <c r="BB541" s="10">
        <v>0</v>
      </c>
      <c r="BC541" s="9" t="s">
        <v>42</v>
      </c>
      <c r="BD541" s="9">
        <v>10634</v>
      </c>
      <c r="BE541" t="s">
        <v>46</v>
      </c>
    </row>
    <row r="542" spans="1:57" ht="270.75" thickBot="1" x14ac:dyDescent="0.3">
      <c r="A542" s="9" t="s">
        <v>2099</v>
      </c>
      <c r="B542" s="9">
        <v>3001</v>
      </c>
      <c r="C542" s="10">
        <v>2</v>
      </c>
      <c r="D542" s="9" t="s">
        <v>37</v>
      </c>
      <c r="E542" s="11">
        <v>46276.251736030092</v>
      </c>
      <c r="F542" s="9" t="s">
        <v>2100</v>
      </c>
      <c r="G542" s="9" t="s">
        <v>39</v>
      </c>
      <c r="H542" s="9">
        <v>53</v>
      </c>
      <c r="I542" s="9" t="s">
        <v>40</v>
      </c>
      <c r="J542" s="9">
        <v>5309</v>
      </c>
      <c r="K542" s="9" t="s">
        <v>41</v>
      </c>
      <c r="L542" s="9">
        <v>5309050</v>
      </c>
      <c r="M542" s="9">
        <v>5309050005</v>
      </c>
      <c r="N542" s="9" t="s">
        <v>42</v>
      </c>
      <c r="O542" s="9">
        <v>10634</v>
      </c>
      <c r="P542" s="9" t="s">
        <v>2101</v>
      </c>
      <c r="Q542" s="10">
        <v>1</v>
      </c>
      <c r="R542" s="10">
        <v>0</v>
      </c>
      <c r="S542" s="10">
        <v>2500000</v>
      </c>
      <c r="T542" s="10">
        <v>0</v>
      </c>
      <c r="U542" s="10">
        <v>1500000</v>
      </c>
      <c r="V542" s="10">
        <v>500000</v>
      </c>
      <c r="W542" s="10">
        <v>4500000</v>
      </c>
      <c r="X542" s="10">
        <v>15000000</v>
      </c>
      <c r="Y542" s="10">
        <v>0</v>
      </c>
      <c r="Z542" s="10">
        <v>11000000</v>
      </c>
      <c r="AA542" s="10">
        <v>5300000</v>
      </c>
      <c r="AB542" s="10">
        <v>15000000</v>
      </c>
      <c r="AC542" s="10">
        <v>0</v>
      </c>
      <c r="AD542" s="9" t="s">
        <v>44</v>
      </c>
      <c r="AE542" s="10" t="s">
        <v>2369</v>
      </c>
      <c r="AF542" s="10">
        <v>15000000</v>
      </c>
      <c r="AG542" s="10">
        <v>1</v>
      </c>
      <c r="AH542" s="10">
        <v>1</v>
      </c>
      <c r="AI542" s="10">
        <v>1</v>
      </c>
      <c r="AJ542" s="12" t="s">
        <v>2102</v>
      </c>
      <c r="AK542" s="10">
        <v>0</v>
      </c>
      <c r="AL542" s="10">
        <v>0</v>
      </c>
      <c r="AM542" s="9">
        <v>2023</v>
      </c>
      <c r="AN542" s="10">
        <v>0</v>
      </c>
      <c r="AO542" s="10">
        <v>1</v>
      </c>
      <c r="AP542" s="10"/>
      <c r="AQ542" s="5"/>
      <c r="AR542" s="5"/>
      <c r="AS542" s="4">
        <f t="shared" si="24"/>
        <v>4000000</v>
      </c>
      <c r="AT542" s="4">
        <f t="shared" si="25"/>
        <v>8700003.9545472525</v>
      </c>
      <c r="AU542" s="4">
        <f t="shared" si="26"/>
        <v>6299996.0454527475</v>
      </c>
      <c r="AV542" s="9" t="s">
        <v>2101</v>
      </c>
      <c r="AW542" s="12" t="s">
        <v>2102</v>
      </c>
      <c r="AX542" s="10">
        <v>0</v>
      </c>
      <c r="AY542">
        <f>S542*AU542/AS542</f>
        <v>3937497.5284079672</v>
      </c>
      <c r="AZ542">
        <f>AU542-AY542</f>
        <v>2362498.5170447803</v>
      </c>
      <c r="BA542" s="10">
        <v>15000000</v>
      </c>
      <c r="BB542" s="10">
        <v>0</v>
      </c>
      <c r="BC542" s="9" t="s">
        <v>42</v>
      </c>
      <c r="BD542" s="9">
        <v>10634</v>
      </c>
      <c r="BE542" t="s">
        <v>46</v>
      </c>
    </row>
    <row r="543" spans="1:57" ht="270.75" thickBot="1" x14ac:dyDescent="0.3">
      <c r="A543" s="9" t="s">
        <v>2103</v>
      </c>
      <c r="B543" s="9">
        <v>3002</v>
      </c>
      <c r="C543" s="10">
        <v>2</v>
      </c>
      <c r="D543" s="9" t="s">
        <v>113</v>
      </c>
      <c r="E543" s="11">
        <v>46317.332278090274</v>
      </c>
      <c r="F543" s="9" t="s">
        <v>2104</v>
      </c>
      <c r="G543" s="9" t="s">
        <v>39</v>
      </c>
      <c r="H543" s="9">
        <v>53</v>
      </c>
      <c r="I543" s="9" t="s">
        <v>40</v>
      </c>
      <c r="J543" s="9">
        <v>5309</v>
      </c>
      <c r="K543" s="9" t="s">
        <v>41</v>
      </c>
      <c r="L543" s="9">
        <v>5309074</v>
      </c>
      <c r="M543" s="9">
        <v>5309074007</v>
      </c>
      <c r="N543" s="9" t="s">
        <v>42</v>
      </c>
      <c r="O543" s="9">
        <v>10634</v>
      </c>
      <c r="P543" s="9" t="s">
        <v>2105</v>
      </c>
      <c r="Q543" s="10">
        <v>1</v>
      </c>
      <c r="R543" s="10">
        <v>0</v>
      </c>
      <c r="S543" s="10">
        <v>1000000</v>
      </c>
      <c r="T543" s="10">
        <v>0</v>
      </c>
      <c r="U543" s="10">
        <v>0</v>
      </c>
      <c r="V543" s="10">
        <v>0</v>
      </c>
      <c r="W543" s="10">
        <v>1000000</v>
      </c>
      <c r="X543" s="10">
        <v>5000000</v>
      </c>
      <c r="Y543" s="10">
        <v>0</v>
      </c>
      <c r="Z543" s="10">
        <v>4000000</v>
      </c>
      <c r="AA543" s="10">
        <v>1000000</v>
      </c>
      <c r="AB543" s="10">
        <v>5000000</v>
      </c>
      <c r="AC543" s="10">
        <v>0</v>
      </c>
      <c r="AD543" s="9" t="s">
        <v>44</v>
      </c>
      <c r="AE543" s="10" t="s">
        <v>2296</v>
      </c>
      <c r="AF543" s="10">
        <v>5000000</v>
      </c>
      <c r="AG543" s="10">
        <v>1</v>
      </c>
      <c r="AH543" s="10">
        <v>1</v>
      </c>
      <c r="AI543" s="10">
        <v>1</v>
      </c>
      <c r="AJ543" s="12" t="s">
        <v>2106</v>
      </c>
      <c r="AK543" s="10">
        <v>0</v>
      </c>
      <c r="AL543" s="10">
        <v>0</v>
      </c>
      <c r="AM543" s="9">
        <v>2024</v>
      </c>
      <c r="AN543" s="10">
        <v>0</v>
      </c>
      <c r="AO543" s="10">
        <v>1</v>
      </c>
      <c r="AP543" s="10"/>
      <c r="AQ543" s="5"/>
      <c r="AR543" s="5"/>
      <c r="AS543" s="4">
        <f t="shared" si="24"/>
        <v>1000000</v>
      </c>
      <c r="AT543" s="4">
        <f t="shared" si="25"/>
        <v>2900000</v>
      </c>
      <c r="AU543" s="4">
        <f t="shared" si="26"/>
        <v>2100000</v>
      </c>
      <c r="AV543" s="9" t="s">
        <v>2105</v>
      </c>
      <c r="AW543" s="12" t="s">
        <v>2106</v>
      </c>
      <c r="AX543" s="10">
        <v>0</v>
      </c>
      <c r="AY543">
        <f>S543*AU543/AS543</f>
        <v>2100000</v>
      </c>
      <c r="AZ543">
        <f>AU543-AY543</f>
        <v>0</v>
      </c>
      <c r="BA543" s="10">
        <v>5000000</v>
      </c>
      <c r="BB543" s="10">
        <v>0</v>
      </c>
      <c r="BC543" s="9" t="s">
        <v>42</v>
      </c>
      <c r="BD543" s="9">
        <v>10634</v>
      </c>
      <c r="BE543" t="s">
        <v>46</v>
      </c>
    </row>
    <row r="544" spans="1:57" ht="270.75" thickBot="1" x14ac:dyDescent="0.3">
      <c r="A544" s="9" t="s">
        <v>2107</v>
      </c>
      <c r="B544" s="9">
        <v>1002</v>
      </c>
      <c r="C544" s="10">
        <v>2</v>
      </c>
      <c r="D544" s="9" t="s">
        <v>37</v>
      </c>
      <c r="E544" s="11">
        <v>46293.103491666669</v>
      </c>
      <c r="F544" s="9" t="s">
        <v>2108</v>
      </c>
      <c r="G544" s="9" t="s">
        <v>39</v>
      </c>
      <c r="H544" s="9">
        <v>53</v>
      </c>
      <c r="I544" s="9" t="s">
        <v>40</v>
      </c>
      <c r="J544" s="9">
        <v>5309</v>
      </c>
      <c r="K544" s="9" t="s">
        <v>41</v>
      </c>
      <c r="L544" s="9">
        <v>5309074</v>
      </c>
      <c r="M544" s="9">
        <v>5309074005</v>
      </c>
      <c r="N544" s="9" t="s">
        <v>42</v>
      </c>
      <c r="O544" s="9">
        <v>10636</v>
      </c>
      <c r="P544" s="9" t="s">
        <v>2109</v>
      </c>
      <c r="Q544" s="10">
        <v>1</v>
      </c>
      <c r="R544" s="10">
        <v>0</v>
      </c>
      <c r="S544" s="10">
        <v>6000000</v>
      </c>
      <c r="T544" s="10">
        <v>0</v>
      </c>
      <c r="U544" s="10">
        <v>500000</v>
      </c>
      <c r="V544" s="10">
        <v>0</v>
      </c>
      <c r="W544" s="10">
        <v>6500000</v>
      </c>
      <c r="X544" s="10">
        <v>18500000</v>
      </c>
      <c r="Y544" s="10">
        <v>0</v>
      </c>
      <c r="Z544" s="10">
        <v>12000000</v>
      </c>
      <c r="AA544" s="10">
        <v>2100000</v>
      </c>
      <c r="AB544" s="10">
        <v>18500000</v>
      </c>
      <c r="AC544" s="10">
        <v>0</v>
      </c>
      <c r="AD544" s="9" t="s">
        <v>44</v>
      </c>
      <c r="AE544" s="10" t="s">
        <v>2574</v>
      </c>
      <c r="AF544" s="10">
        <v>18500000</v>
      </c>
      <c r="AG544" s="10">
        <v>1</v>
      </c>
      <c r="AH544" s="10">
        <v>1</v>
      </c>
      <c r="AI544" s="10">
        <v>1</v>
      </c>
      <c r="AJ544" s="12" t="s">
        <v>2110</v>
      </c>
      <c r="AK544" s="10">
        <v>0</v>
      </c>
      <c r="AL544" s="10">
        <v>0</v>
      </c>
      <c r="AM544" s="9">
        <v>2020</v>
      </c>
      <c r="AN544" s="10">
        <v>0</v>
      </c>
      <c r="AO544" s="10">
        <v>1</v>
      </c>
      <c r="AP544" s="10"/>
      <c r="AQ544" s="5"/>
      <c r="AR544" s="5"/>
      <c r="AS544" s="4">
        <f t="shared" si="24"/>
        <v>6500000</v>
      </c>
      <c r="AT544" s="4">
        <f t="shared" si="25"/>
        <v>10729994.187919812</v>
      </c>
      <c r="AU544" s="4">
        <f t="shared" si="26"/>
        <v>7770005.8120801877</v>
      </c>
      <c r="AV544" s="9" t="s">
        <v>2109</v>
      </c>
      <c r="AW544" s="12" t="s">
        <v>2110</v>
      </c>
      <c r="AX544" s="10">
        <v>0</v>
      </c>
      <c r="AY544">
        <f>S544*AU544/AS544</f>
        <v>7172313.0573047884</v>
      </c>
      <c r="AZ544">
        <f>AU544-AY544</f>
        <v>597692.75477539934</v>
      </c>
      <c r="BA544" s="10">
        <v>18500000</v>
      </c>
      <c r="BB544" s="10">
        <v>0</v>
      </c>
      <c r="BC544" s="9" t="s">
        <v>42</v>
      </c>
      <c r="BD544" s="9">
        <v>10636</v>
      </c>
      <c r="BE544" t="s">
        <v>46</v>
      </c>
    </row>
    <row r="545" spans="1:57" ht="270.75" thickBot="1" x14ac:dyDescent="0.3">
      <c r="A545" s="9" t="s">
        <v>2111</v>
      </c>
      <c r="B545" s="9">
        <v>1001</v>
      </c>
      <c r="C545" s="10">
        <v>2</v>
      </c>
      <c r="D545" s="9" t="s">
        <v>37</v>
      </c>
      <c r="E545" s="11">
        <v>46214.85426644676</v>
      </c>
      <c r="F545" s="9" t="s">
        <v>2112</v>
      </c>
      <c r="G545" s="9" t="s">
        <v>39</v>
      </c>
      <c r="H545" s="9">
        <v>53</v>
      </c>
      <c r="I545" s="9" t="s">
        <v>40</v>
      </c>
      <c r="J545" s="9">
        <v>5309</v>
      </c>
      <c r="K545" s="9" t="s">
        <v>41</v>
      </c>
      <c r="L545" s="9">
        <v>5309030</v>
      </c>
      <c r="M545" s="9">
        <v>5309030013</v>
      </c>
      <c r="N545" s="9" t="s">
        <v>42</v>
      </c>
      <c r="O545" s="9">
        <v>10710</v>
      </c>
      <c r="P545" s="9" t="s">
        <v>2113</v>
      </c>
      <c r="Q545" s="10">
        <v>1</v>
      </c>
      <c r="R545" s="10">
        <v>0</v>
      </c>
      <c r="S545" s="10">
        <v>33600000</v>
      </c>
      <c r="T545" s="10">
        <v>0</v>
      </c>
      <c r="U545" s="10">
        <v>600000</v>
      </c>
      <c r="V545" s="10">
        <v>0</v>
      </c>
      <c r="W545" s="10">
        <v>34200000</v>
      </c>
      <c r="X545" s="10">
        <v>36960000</v>
      </c>
      <c r="Y545" s="10">
        <v>0</v>
      </c>
      <c r="Z545" s="10">
        <v>2760000</v>
      </c>
      <c r="AA545" s="10">
        <v>500000</v>
      </c>
      <c r="AB545" s="10">
        <v>36960000</v>
      </c>
      <c r="AC545" s="10">
        <v>0</v>
      </c>
      <c r="AD545" s="9" t="s">
        <v>44</v>
      </c>
      <c r="AE545" s="10" t="s">
        <v>2575</v>
      </c>
      <c r="AF545" s="10">
        <v>36960000</v>
      </c>
      <c r="AG545" s="10">
        <v>1</v>
      </c>
      <c r="AH545" s="10">
        <v>1</v>
      </c>
      <c r="AI545" s="10">
        <v>1</v>
      </c>
      <c r="AJ545" s="12" t="s">
        <v>2114</v>
      </c>
      <c r="AK545" s="10">
        <v>0</v>
      </c>
      <c r="AL545" s="10">
        <v>0</v>
      </c>
      <c r="AM545" s="9">
        <v>2021</v>
      </c>
      <c r="AN545" s="10">
        <v>0</v>
      </c>
      <c r="AO545" s="10">
        <v>1</v>
      </c>
      <c r="AP545" s="10"/>
      <c r="AQ545" s="5"/>
      <c r="AR545" s="5"/>
      <c r="AS545" s="4">
        <f t="shared" si="24"/>
        <v>34200000</v>
      </c>
      <c r="AT545" s="4">
        <f t="shared" si="25"/>
        <v>21436893.203883495</v>
      </c>
      <c r="AU545" s="4">
        <f t="shared" si="26"/>
        <v>15523106.796116505</v>
      </c>
      <c r="AV545" s="9" t="s">
        <v>2113</v>
      </c>
      <c r="AW545" s="12" t="s">
        <v>2114</v>
      </c>
      <c r="AX545" s="10">
        <v>0</v>
      </c>
      <c r="AY545">
        <f>S545*AU545/AS545</f>
        <v>15250771.589167092</v>
      </c>
      <c r="AZ545">
        <f>AU545-AY545</f>
        <v>272335.20694941282</v>
      </c>
      <c r="BA545" s="10">
        <v>36960000</v>
      </c>
      <c r="BB545" s="10">
        <v>0</v>
      </c>
      <c r="BC545" s="9" t="s">
        <v>42</v>
      </c>
      <c r="BD545" s="9">
        <v>10710</v>
      </c>
      <c r="BE545" t="s">
        <v>46</v>
      </c>
    </row>
    <row r="546" spans="1:57" ht="270.75" thickBot="1" x14ac:dyDescent="0.3">
      <c r="A546" s="9" t="s">
        <v>2115</v>
      </c>
      <c r="B546" s="9">
        <v>1002</v>
      </c>
      <c r="C546" s="10">
        <v>2</v>
      </c>
      <c r="D546" s="9" t="s">
        <v>37</v>
      </c>
      <c r="E546" s="11">
        <v>46263.042857048611</v>
      </c>
      <c r="F546" s="9" t="s">
        <v>2116</v>
      </c>
      <c r="G546" s="9" t="s">
        <v>39</v>
      </c>
      <c r="H546" s="9">
        <v>53</v>
      </c>
      <c r="I546" s="9" t="s">
        <v>40</v>
      </c>
      <c r="J546" s="9">
        <v>5309</v>
      </c>
      <c r="K546" s="9" t="s">
        <v>41</v>
      </c>
      <c r="L546" s="9">
        <v>5309031</v>
      </c>
      <c r="M546" s="9">
        <v>5309031008</v>
      </c>
      <c r="N546" s="9" t="s">
        <v>42</v>
      </c>
      <c r="O546" s="9">
        <v>10710</v>
      </c>
      <c r="P546" s="9" t="s">
        <v>2117</v>
      </c>
      <c r="Q546" s="10">
        <v>1</v>
      </c>
      <c r="R546" s="10">
        <v>0</v>
      </c>
      <c r="S546" s="10">
        <v>300000</v>
      </c>
      <c r="T546" s="10">
        <v>0</v>
      </c>
      <c r="U546" s="10">
        <v>0</v>
      </c>
      <c r="V546" s="10">
        <v>0</v>
      </c>
      <c r="W546" s="10">
        <v>300000</v>
      </c>
      <c r="X546" s="10">
        <v>800000</v>
      </c>
      <c r="Y546" s="10">
        <v>0</v>
      </c>
      <c r="Z546" s="10">
        <v>500000</v>
      </c>
      <c r="AA546" s="10">
        <v>9450000</v>
      </c>
      <c r="AB546" s="10">
        <v>800000</v>
      </c>
      <c r="AC546" s="10">
        <v>0</v>
      </c>
      <c r="AD546" s="9" t="s">
        <v>44</v>
      </c>
      <c r="AE546" s="10" t="s">
        <v>2227</v>
      </c>
      <c r="AF546" s="10">
        <v>800000</v>
      </c>
      <c r="AG546" s="10">
        <v>1</v>
      </c>
      <c r="AH546" s="10">
        <v>1</v>
      </c>
      <c r="AI546" s="10">
        <v>1</v>
      </c>
      <c r="AJ546" s="12" t="s">
        <v>2118</v>
      </c>
      <c r="AK546" s="10">
        <v>0</v>
      </c>
      <c r="AL546" s="10">
        <v>0</v>
      </c>
      <c r="AM546" s="9">
        <v>2008</v>
      </c>
      <c r="AN546" s="10">
        <v>0</v>
      </c>
      <c r="AO546" s="10">
        <v>1</v>
      </c>
      <c r="AP546" s="10"/>
      <c r="AQ546" s="5"/>
      <c r="AR546" s="5"/>
      <c r="AS546" s="4">
        <f t="shared" si="24"/>
        <v>300000</v>
      </c>
      <c r="AT546" s="4">
        <f t="shared" si="25"/>
        <v>464000</v>
      </c>
      <c r="AU546" s="4">
        <f t="shared" si="26"/>
        <v>336000</v>
      </c>
      <c r="AV546" s="9" t="s">
        <v>2117</v>
      </c>
      <c r="AW546" s="12" t="s">
        <v>2118</v>
      </c>
      <c r="AX546" s="10">
        <v>0</v>
      </c>
      <c r="AY546">
        <f>S546*AU546/AS546</f>
        <v>336000</v>
      </c>
      <c r="AZ546">
        <f>AU546-AY546</f>
        <v>0</v>
      </c>
      <c r="BA546" s="10">
        <v>800000</v>
      </c>
      <c r="BB546" s="10">
        <v>0</v>
      </c>
      <c r="BC546" s="9" t="s">
        <v>42</v>
      </c>
      <c r="BD546" s="9">
        <v>10710</v>
      </c>
      <c r="BE546" t="s">
        <v>46</v>
      </c>
    </row>
    <row r="547" spans="1:57" ht="270.75" thickBot="1" x14ac:dyDescent="0.3">
      <c r="A547" s="9" t="s">
        <v>2119</v>
      </c>
      <c r="B547" s="9">
        <v>1002</v>
      </c>
      <c r="C547" s="10">
        <v>2</v>
      </c>
      <c r="D547" s="9" t="s">
        <v>37</v>
      </c>
      <c r="E547" s="11">
        <v>46222.287555682873</v>
      </c>
      <c r="F547" s="9" t="s">
        <v>2120</v>
      </c>
      <c r="G547" s="9" t="s">
        <v>39</v>
      </c>
      <c r="H547" s="9">
        <v>53</v>
      </c>
      <c r="I547" s="9" t="s">
        <v>40</v>
      </c>
      <c r="J547" s="9">
        <v>5309</v>
      </c>
      <c r="K547" s="9" t="s">
        <v>41</v>
      </c>
      <c r="L547" s="9">
        <v>5309021</v>
      </c>
      <c r="M547" s="9">
        <v>5309021003</v>
      </c>
      <c r="N547" s="9" t="s">
        <v>42</v>
      </c>
      <c r="O547" s="9">
        <v>10710</v>
      </c>
      <c r="P547" s="9" t="s">
        <v>2121</v>
      </c>
      <c r="Q547" s="10">
        <v>2</v>
      </c>
      <c r="R547" s="10">
        <v>0</v>
      </c>
      <c r="S547" s="10">
        <v>550000</v>
      </c>
      <c r="T547" s="10">
        <v>0</v>
      </c>
      <c r="U547" s="10">
        <v>250000</v>
      </c>
      <c r="V547" s="10">
        <v>0</v>
      </c>
      <c r="W547" s="10">
        <v>800000</v>
      </c>
      <c r="X547" s="10">
        <v>3200000</v>
      </c>
      <c r="Y547" s="10">
        <v>0</v>
      </c>
      <c r="Z547" s="10">
        <v>2400000</v>
      </c>
      <c r="AA547" s="10">
        <v>39500000</v>
      </c>
      <c r="AB547" s="10">
        <v>3200000</v>
      </c>
      <c r="AC547" s="10">
        <v>0</v>
      </c>
      <c r="AD547" s="9" t="s">
        <v>44</v>
      </c>
      <c r="AE547" s="10" t="s">
        <v>77</v>
      </c>
      <c r="AF547" s="10">
        <v>1600000</v>
      </c>
      <c r="AG547" s="10">
        <v>1</v>
      </c>
      <c r="AH547" s="10">
        <v>1</v>
      </c>
      <c r="AI547" s="10">
        <v>1</v>
      </c>
      <c r="AJ547" s="12" t="s">
        <v>2122</v>
      </c>
      <c r="AK547" s="10">
        <v>0</v>
      </c>
      <c r="AL547" s="10">
        <v>0</v>
      </c>
      <c r="AM547" s="9">
        <v>2020</v>
      </c>
      <c r="AN547" s="10">
        <v>0</v>
      </c>
      <c r="AO547" s="10">
        <v>2</v>
      </c>
      <c r="AP547" s="10"/>
      <c r="AQ547" s="5"/>
      <c r="AR547" s="5"/>
      <c r="AS547" s="4">
        <f t="shared" si="24"/>
        <v>800000</v>
      </c>
      <c r="AT547" s="4">
        <f t="shared" si="25"/>
        <v>1856000</v>
      </c>
      <c r="AU547" s="4">
        <f t="shared" si="26"/>
        <v>1344000</v>
      </c>
      <c r="AV547" s="9" t="s">
        <v>2121</v>
      </c>
      <c r="AW547" s="12" t="s">
        <v>2122</v>
      </c>
      <c r="AX547" s="10">
        <v>0</v>
      </c>
      <c r="AY547">
        <f>S547*AU547/AS547</f>
        <v>924000</v>
      </c>
      <c r="AZ547">
        <f>AU547-AY547</f>
        <v>420000</v>
      </c>
      <c r="BA547" s="10">
        <v>3200000</v>
      </c>
      <c r="BB547" s="10">
        <v>0</v>
      </c>
      <c r="BC547" s="9" t="s">
        <v>42</v>
      </c>
      <c r="BD547" s="9">
        <v>10710</v>
      </c>
      <c r="BE547" t="s">
        <v>46</v>
      </c>
    </row>
    <row r="548" spans="1:57" ht="270.75" thickBot="1" x14ac:dyDescent="0.3">
      <c r="A548" s="9" t="s">
        <v>2123</v>
      </c>
      <c r="B548" s="9">
        <v>1001</v>
      </c>
      <c r="C548" s="10">
        <v>2</v>
      </c>
      <c r="D548" s="9" t="s">
        <v>37</v>
      </c>
      <c r="E548" s="11">
        <v>46240.181771585645</v>
      </c>
      <c r="F548" s="9" t="s">
        <v>2124</v>
      </c>
      <c r="G548" s="9" t="s">
        <v>39</v>
      </c>
      <c r="H548" s="9">
        <v>53</v>
      </c>
      <c r="I548" s="9" t="s">
        <v>40</v>
      </c>
      <c r="J548" s="9">
        <v>5309</v>
      </c>
      <c r="K548" s="9" t="s">
        <v>41</v>
      </c>
      <c r="L548" s="9">
        <v>5309074</v>
      </c>
      <c r="M548" s="9">
        <v>5309074004</v>
      </c>
      <c r="N548" s="9" t="s">
        <v>42</v>
      </c>
      <c r="O548" s="9">
        <v>10710</v>
      </c>
      <c r="P548" s="9" t="s">
        <v>2125</v>
      </c>
      <c r="Q548" s="10">
        <v>1</v>
      </c>
      <c r="R548" s="10">
        <v>0</v>
      </c>
      <c r="S548" s="10">
        <v>5000000</v>
      </c>
      <c r="T548" s="10">
        <v>0</v>
      </c>
      <c r="U548" s="10">
        <v>1000000</v>
      </c>
      <c r="V548" s="10">
        <v>0</v>
      </c>
      <c r="W548" s="10">
        <v>6000000</v>
      </c>
      <c r="X548" s="10">
        <v>21600000</v>
      </c>
      <c r="Y548" s="10">
        <v>0</v>
      </c>
      <c r="Z548" s="10">
        <v>15600000</v>
      </c>
      <c r="AA548" s="10">
        <v>7000000</v>
      </c>
      <c r="AB548" s="10">
        <v>21600000</v>
      </c>
      <c r="AC548" s="10">
        <v>0</v>
      </c>
      <c r="AD548" s="9" t="s">
        <v>44</v>
      </c>
      <c r="AE548" s="10" t="s">
        <v>2371</v>
      </c>
      <c r="AF548" s="10">
        <v>21600000</v>
      </c>
      <c r="AG548" s="10">
        <v>1</v>
      </c>
      <c r="AH548" s="10">
        <v>1</v>
      </c>
      <c r="AI548" s="10">
        <v>1</v>
      </c>
      <c r="AJ548" s="12" t="s">
        <v>2126</v>
      </c>
      <c r="AK548" s="10">
        <v>0</v>
      </c>
      <c r="AL548" s="10">
        <v>0</v>
      </c>
      <c r="AM548" s="9">
        <v>2020</v>
      </c>
      <c r="AN548" s="10">
        <v>0</v>
      </c>
      <c r="AO548" s="10">
        <v>1</v>
      </c>
      <c r="AP548" s="10"/>
      <c r="AQ548" s="5"/>
      <c r="AR548" s="5"/>
      <c r="AS548" s="4">
        <f t="shared" si="24"/>
        <v>6000000</v>
      </c>
      <c r="AT548" s="4">
        <f t="shared" si="25"/>
        <v>12528003.854770416</v>
      </c>
      <c r="AU548" s="4">
        <f t="shared" si="26"/>
        <v>9071996.1452295836</v>
      </c>
      <c r="AV548" s="9" t="s">
        <v>2125</v>
      </c>
      <c r="AW548" s="12" t="s">
        <v>2126</v>
      </c>
      <c r="AX548" s="10">
        <v>0</v>
      </c>
      <c r="AY548">
        <f>S548*AU548/AS548</f>
        <v>7559996.7876913203</v>
      </c>
      <c r="AZ548">
        <f>AU548-AY548</f>
        <v>1511999.3575382633</v>
      </c>
      <c r="BA548" s="10">
        <v>21600000</v>
      </c>
      <c r="BB548" s="10">
        <v>0</v>
      </c>
      <c r="BC548" s="9" t="s">
        <v>42</v>
      </c>
      <c r="BD548" s="9">
        <v>10710</v>
      </c>
      <c r="BE548" t="s">
        <v>46</v>
      </c>
    </row>
    <row r="549" spans="1:57" ht="270.75" thickBot="1" x14ac:dyDescent="0.3">
      <c r="A549" s="9" t="s">
        <v>2127</v>
      </c>
      <c r="B549" s="9">
        <v>1001</v>
      </c>
      <c r="C549" s="10">
        <v>2</v>
      </c>
      <c r="D549" s="9" t="s">
        <v>37</v>
      </c>
      <c r="E549" s="11">
        <v>46218.208965717589</v>
      </c>
      <c r="F549" s="9" t="s">
        <v>2128</v>
      </c>
      <c r="G549" s="9" t="s">
        <v>39</v>
      </c>
      <c r="H549" s="9">
        <v>53</v>
      </c>
      <c r="I549" s="9" t="s">
        <v>40</v>
      </c>
      <c r="J549" s="9">
        <v>5309</v>
      </c>
      <c r="K549" s="9" t="s">
        <v>41</v>
      </c>
      <c r="L549" s="9">
        <v>5309074</v>
      </c>
      <c r="M549" s="9">
        <v>5309074004</v>
      </c>
      <c r="N549" s="9" t="s">
        <v>42</v>
      </c>
      <c r="O549" s="9">
        <v>10710</v>
      </c>
      <c r="P549" s="9" t="s">
        <v>2129</v>
      </c>
      <c r="Q549" s="10">
        <v>1</v>
      </c>
      <c r="R549" s="10">
        <v>0</v>
      </c>
      <c r="S549" s="10">
        <v>1000000</v>
      </c>
      <c r="T549" s="10">
        <v>0</v>
      </c>
      <c r="U549" s="10">
        <v>0</v>
      </c>
      <c r="V549" s="10">
        <v>0</v>
      </c>
      <c r="W549" s="10">
        <v>1000000</v>
      </c>
      <c r="X549" s="10">
        <v>12000000</v>
      </c>
      <c r="Y549" s="10">
        <v>0</v>
      </c>
      <c r="Z549" s="10">
        <v>11000000</v>
      </c>
      <c r="AA549" s="10">
        <v>3500000</v>
      </c>
      <c r="AB549" s="10">
        <v>12000000</v>
      </c>
      <c r="AC549" s="10">
        <v>0</v>
      </c>
      <c r="AD549" s="9" t="s">
        <v>44</v>
      </c>
      <c r="AE549" s="10" t="s">
        <v>2236</v>
      </c>
      <c r="AF549" s="10">
        <v>12000000</v>
      </c>
      <c r="AG549" s="10">
        <v>1</v>
      </c>
      <c r="AH549" s="10">
        <v>1</v>
      </c>
      <c r="AI549" s="10">
        <v>1</v>
      </c>
      <c r="AJ549" s="12" t="s">
        <v>2130</v>
      </c>
      <c r="AK549" s="10">
        <v>0</v>
      </c>
      <c r="AL549" s="10">
        <v>0</v>
      </c>
      <c r="AM549" s="9">
        <v>2015</v>
      </c>
      <c r="AN549" s="10">
        <v>0</v>
      </c>
      <c r="AO549" s="10">
        <v>1</v>
      </c>
      <c r="AP549" s="10"/>
      <c r="AQ549" s="5"/>
      <c r="AR549" s="5"/>
      <c r="AS549" s="4">
        <f t="shared" si="24"/>
        <v>1000000</v>
      </c>
      <c r="AT549" s="4">
        <f t="shared" si="25"/>
        <v>6959997.4690918289</v>
      </c>
      <c r="AU549" s="4">
        <f t="shared" si="26"/>
        <v>5040002.5309081711</v>
      </c>
      <c r="AV549" s="9" t="s">
        <v>2129</v>
      </c>
      <c r="AW549" s="12" t="s">
        <v>2130</v>
      </c>
      <c r="AX549" s="10">
        <v>0</v>
      </c>
      <c r="AY549">
        <f>S549*AU549/AS549</f>
        <v>5040002.5309081711</v>
      </c>
      <c r="AZ549">
        <f>AU549-AY549</f>
        <v>0</v>
      </c>
      <c r="BA549" s="10">
        <v>12000000</v>
      </c>
      <c r="BB549" s="10">
        <v>0</v>
      </c>
      <c r="BC549" s="9" t="s">
        <v>42</v>
      </c>
      <c r="BD549" s="9">
        <v>10710</v>
      </c>
      <c r="BE549" t="s">
        <v>46</v>
      </c>
    </row>
    <row r="550" spans="1:57" ht="255.75" thickBot="1" x14ac:dyDescent="0.3">
      <c r="A550" s="9" t="s">
        <v>2131</v>
      </c>
      <c r="B550" s="9">
        <v>1002</v>
      </c>
      <c r="C550" s="10">
        <v>2</v>
      </c>
      <c r="D550" s="9" t="s">
        <v>37</v>
      </c>
      <c r="E550" s="11">
        <v>46293.15391158565</v>
      </c>
      <c r="F550" s="9" t="s">
        <v>2132</v>
      </c>
      <c r="G550" s="9" t="s">
        <v>39</v>
      </c>
      <c r="H550" s="9">
        <v>53</v>
      </c>
      <c r="I550" s="9" t="s">
        <v>40</v>
      </c>
      <c r="J550" s="9">
        <v>5309</v>
      </c>
      <c r="K550" s="9" t="s">
        <v>41</v>
      </c>
      <c r="L550" s="9">
        <v>5309062</v>
      </c>
      <c r="M550" s="9">
        <v>5309062013</v>
      </c>
      <c r="N550" s="9" t="s">
        <v>42</v>
      </c>
      <c r="O550" s="9">
        <v>10710</v>
      </c>
      <c r="P550" s="9" t="s">
        <v>2133</v>
      </c>
      <c r="Q550" s="10">
        <v>2</v>
      </c>
      <c r="R550" s="10">
        <v>0</v>
      </c>
      <c r="S550" s="10">
        <v>350000</v>
      </c>
      <c r="T550" s="10">
        <v>0</v>
      </c>
      <c r="U550" s="10">
        <v>100000</v>
      </c>
      <c r="V550" s="10">
        <v>100000</v>
      </c>
      <c r="W550" s="10">
        <v>550000</v>
      </c>
      <c r="X550" s="10">
        <v>3150000</v>
      </c>
      <c r="Y550" s="10">
        <v>0</v>
      </c>
      <c r="Z550" s="10">
        <v>2700000</v>
      </c>
      <c r="AA550" s="10">
        <v>2500000</v>
      </c>
      <c r="AB550" s="10">
        <v>3150000</v>
      </c>
      <c r="AC550" s="10">
        <v>0</v>
      </c>
      <c r="AD550" s="9" t="s">
        <v>44</v>
      </c>
      <c r="AE550" s="10" t="s">
        <v>2266</v>
      </c>
      <c r="AF550" s="10">
        <v>1575000</v>
      </c>
      <c r="AG550" s="10">
        <v>1</v>
      </c>
      <c r="AH550" s="10">
        <v>1</v>
      </c>
      <c r="AI550" s="10">
        <v>1</v>
      </c>
      <c r="AJ550" s="12" t="s">
        <v>2134</v>
      </c>
      <c r="AK550" s="10">
        <v>0</v>
      </c>
      <c r="AL550" s="10">
        <v>0</v>
      </c>
      <c r="AM550" s="9">
        <v>2024</v>
      </c>
      <c r="AN550" s="10">
        <v>0</v>
      </c>
      <c r="AO550" s="10">
        <v>2</v>
      </c>
      <c r="AP550" s="10"/>
      <c r="AQ550" s="5"/>
      <c r="AR550" s="5"/>
      <c r="AS550" s="4">
        <f t="shared" si="24"/>
        <v>450000</v>
      </c>
      <c r="AT550" s="4">
        <f t="shared" si="25"/>
        <v>1826999.6955000507</v>
      </c>
      <c r="AU550" s="4">
        <f t="shared" si="26"/>
        <v>1323000.3044999493</v>
      </c>
      <c r="AV550" s="9" t="s">
        <v>2133</v>
      </c>
      <c r="AW550" s="12" t="s">
        <v>2134</v>
      </c>
      <c r="AX550" s="10">
        <v>0</v>
      </c>
      <c r="AY550">
        <f>S550*AU550/AS550</f>
        <v>1029000.2368332938</v>
      </c>
      <c r="AZ550">
        <f>AU550-AY550</f>
        <v>294000.06766665552</v>
      </c>
      <c r="BA550" s="10">
        <v>3150000</v>
      </c>
      <c r="BB550" s="10">
        <v>0</v>
      </c>
      <c r="BC550" s="9" t="s">
        <v>42</v>
      </c>
      <c r="BD550" s="9">
        <v>10710</v>
      </c>
      <c r="BE550" t="s">
        <v>46</v>
      </c>
    </row>
    <row r="551" spans="1:57" ht="270.75" thickBot="1" x14ac:dyDescent="0.3">
      <c r="A551" s="9" t="s">
        <v>2135</v>
      </c>
      <c r="B551" s="9">
        <v>1001</v>
      </c>
      <c r="C551" s="10">
        <v>2</v>
      </c>
      <c r="D551" s="9" t="s">
        <v>84</v>
      </c>
      <c r="E551" s="11">
        <v>46290.922834016201</v>
      </c>
      <c r="F551" s="9" t="s">
        <v>2136</v>
      </c>
      <c r="G551" s="9" t="s">
        <v>39</v>
      </c>
      <c r="H551" s="9">
        <v>53</v>
      </c>
      <c r="I551" s="9" t="s">
        <v>40</v>
      </c>
      <c r="J551" s="9">
        <v>5309</v>
      </c>
      <c r="K551" s="9" t="s">
        <v>41</v>
      </c>
      <c r="L551" s="9">
        <v>5309030</v>
      </c>
      <c r="M551" s="9">
        <v>5309030022</v>
      </c>
      <c r="N551" s="9" t="s">
        <v>42</v>
      </c>
      <c r="O551" s="9">
        <v>10710</v>
      </c>
      <c r="P551" s="9" t="s">
        <v>2137</v>
      </c>
      <c r="Q551" s="10">
        <v>2</v>
      </c>
      <c r="R551" s="10">
        <v>0</v>
      </c>
      <c r="S551" s="10">
        <v>7800000</v>
      </c>
      <c r="T551" s="10">
        <v>0</v>
      </c>
      <c r="U551" s="10">
        <v>500000</v>
      </c>
      <c r="V551" s="10">
        <v>0</v>
      </c>
      <c r="W551" s="10">
        <v>8300000</v>
      </c>
      <c r="X551" s="10">
        <v>18000000000</v>
      </c>
      <c r="Y551" s="10">
        <v>0</v>
      </c>
      <c r="Z551" s="10">
        <v>17991700000</v>
      </c>
      <c r="AA551" s="10">
        <v>1500000</v>
      </c>
      <c r="AB551" s="10">
        <v>18000000000</v>
      </c>
      <c r="AC551" s="10">
        <v>0</v>
      </c>
      <c r="AD551" s="9" t="s">
        <v>976</v>
      </c>
      <c r="AE551" s="10" t="s">
        <v>2576</v>
      </c>
      <c r="AF551" s="10">
        <v>9000000000</v>
      </c>
      <c r="AG551" s="10">
        <v>1</v>
      </c>
      <c r="AH551" s="10">
        <v>1</v>
      </c>
      <c r="AI551" s="10">
        <v>1</v>
      </c>
      <c r="AJ551" s="12" t="s">
        <v>2138</v>
      </c>
      <c r="AK551" s="10">
        <v>0</v>
      </c>
      <c r="AL551" s="10">
        <v>0</v>
      </c>
      <c r="AM551" s="9">
        <v>2000</v>
      </c>
      <c r="AN551" s="10">
        <v>0</v>
      </c>
      <c r="AO551" s="10">
        <v>2</v>
      </c>
      <c r="AP551" s="10"/>
      <c r="AQ551" s="5"/>
      <c r="AR551" s="5"/>
      <c r="AS551" s="4">
        <f t="shared" si="24"/>
        <v>8300000</v>
      </c>
      <c r="AT551" s="4">
        <f t="shared" si="25"/>
        <v>10439998839.464994</v>
      </c>
      <c r="AU551" s="4">
        <f t="shared" si="26"/>
        <v>7560001160.5350056</v>
      </c>
      <c r="AV551" s="9" t="s">
        <v>2137</v>
      </c>
      <c r="AW551" s="12" t="s">
        <v>2138</v>
      </c>
      <c r="AX551" s="10">
        <v>0</v>
      </c>
      <c r="AY551">
        <f>S551*AU551/AS551</f>
        <v>7104579403.8762703</v>
      </c>
      <c r="AZ551">
        <f>AU551-AY551</f>
        <v>455421756.65873528</v>
      </c>
      <c r="BA551" s="10">
        <v>18000000000</v>
      </c>
      <c r="BB551" s="10">
        <v>0</v>
      </c>
      <c r="BC551" s="9" t="s">
        <v>42</v>
      </c>
      <c r="BD551" s="9">
        <v>10710</v>
      </c>
      <c r="BE551" t="s">
        <v>46</v>
      </c>
    </row>
    <row r="552" spans="1:57" ht="270.75" thickBot="1" x14ac:dyDescent="0.3">
      <c r="A552" s="9" t="s">
        <v>2139</v>
      </c>
      <c r="B552" s="9">
        <v>1002</v>
      </c>
      <c r="C552" s="10">
        <v>2</v>
      </c>
      <c r="D552" s="9" t="s">
        <v>37</v>
      </c>
      <c r="E552" s="11">
        <v>46230.474710775467</v>
      </c>
      <c r="F552" s="9" t="s">
        <v>2140</v>
      </c>
      <c r="G552" s="9" t="s">
        <v>39</v>
      </c>
      <c r="H552" s="9">
        <v>53</v>
      </c>
      <c r="I552" s="9" t="s">
        <v>40</v>
      </c>
      <c r="J552" s="9">
        <v>5309</v>
      </c>
      <c r="K552" s="9" t="s">
        <v>41</v>
      </c>
      <c r="L552" s="9">
        <v>5309062</v>
      </c>
      <c r="M552" s="9">
        <v>5309062005</v>
      </c>
      <c r="N552" s="9" t="s">
        <v>42</v>
      </c>
      <c r="O552" s="9">
        <v>10710</v>
      </c>
      <c r="P552" s="9" t="s">
        <v>2141</v>
      </c>
      <c r="Q552" s="10">
        <v>1</v>
      </c>
      <c r="R552" s="10">
        <v>0</v>
      </c>
      <c r="S552" s="10">
        <v>700000</v>
      </c>
      <c r="T552" s="10">
        <v>0</v>
      </c>
      <c r="U552" s="10">
        <v>50000</v>
      </c>
      <c r="V552" s="10">
        <v>0</v>
      </c>
      <c r="W552" s="10">
        <v>750000</v>
      </c>
      <c r="X552" s="10">
        <v>2500000</v>
      </c>
      <c r="Y552" s="10">
        <v>0</v>
      </c>
      <c r="Z552" s="10">
        <v>1750000</v>
      </c>
      <c r="AA552" s="10">
        <v>430000</v>
      </c>
      <c r="AB552" s="10">
        <v>2500000</v>
      </c>
      <c r="AC552" s="10">
        <v>0</v>
      </c>
      <c r="AD552" s="9" t="s">
        <v>44</v>
      </c>
      <c r="AE552" s="10" t="s">
        <v>2546</v>
      </c>
      <c r="AF552" s="10">
        <v>2500000</v>
      </c>
      <c r="AG552" s="10">
        <v>1</v>
      </c>
      <c r="AH552" s="10">
        <v>1</v>
      </c>
      <c r="AI552" s="10">
        <v>1</v>
      </c>
      <c r="AJ552" s="12" t="s">
        <v>2142</v>
      </c>
      <c r="AK552" s="10">
        <v>0</v>
      </c>
      <c r="AL552" s="10">
        <v>0</v>
      </c>
      <c r="AM552" s="9">
        <v>2025</v>
      </c>
      <c r="AN552" s="10">
        <v>0</v>
      </c>
      <c r="AO552" s="10">
        <v>1</v>
      </c>
      <c r="AP552" s="10"/>
      <c r="AQ552" s="5"/>
      <c r="AR552" s="5"/>
      <c r="AS552" s="4">
        <f t="shared" si="24"/>
        <v>750000</v>
      </c>
      <c r="AT552" s="4">
        <f t="shared" si="25"/>
        <v>1450000</v>
      </c>
      <c r="AU552" s="4">
        <f t="shared" si="26"/>
        <v>1050000</v>
      </c>
      <c r="AV552" s="9" t="s">
        <v>2141</v>
      </c>
      <c r="AW552" s="12" t="s">
        <v>2142</v>
      </c>
      <c r="AX552" s="10">
        <v>0</v>
      </c>
      <c r="AY552">
        <f>S552*AU552/AS552</f>
        <v>980000</v>
      </c>
      <c r="AZ552">
        <f>AU552-AY552</f>
        <v>70000</v>
      </c>
      <c r="BA552" s="10">
        <v>2500000</v>
      </c>
      <c r="BB552" s="10">
        <v>0</v>
      </c>
      <c r="BC552" s="9" t="s">
        <v>42</v>
      </c>
      <c r="BD552" s="9">
        <v>10710</v>
      </c>
      <c r="BE552" t="s">
        <v>46</v>
      </c>
    </row>
    <row r="553" spans="1:57" ht="270.75" thickBot="1" x14ac:dyDescent="0.3">
      <c r="A553" s="9" t="s">
        <v>2143</v>
      </c>
      <c r="B553" s="9">
        <v>1002</v>
      </c>
      <c r="C553" s="10">
        <v>2</v>
      </c>
      <c r="D553" s="9" t="s">
        <v>37</v>
      </c>
      <c r="E553" s="11">
        <v>46264.203890671299</v>
      </c>
      <c r="F553" s="9" t="s">
        <v>2144</v>
      </c>
      <c r="G553" s="9" t="s">
        <v>39</v>
      </c>
      <c r="H553" s="9">
        <v>53</v>
      </c>
      <c r="I553" s="9" t="s">
        <v>40</v>
      </c>
      <c r="J553" s="9">
        <v>5309</v>
      </c>
      <c r="K553" s="9" t="s">
        <v>41</v>
      </c>
      <c r="L553" s="9">
        <v>5309011</v>
      </c>
      <c r="M553" s="9">
        <v>5309011007</v>
      </c>
      <c r="N553" s="9" t="s">
        <v>42</v>
      </c>
      <c r="O553" s="9">
        <v>10710</v>
      </c>
      <c r="P553" s="9" t="s">
        <v>2145</v>
      </c>
      <c r="Q553" s="10">
        <v>1</v>
      </c>
      <c r="R553" s="10">
        <v>0</v>
      </c>
      <c r="S553" s="10">
        <v>1500000</v>
      </c>
      <c r="T553" s="10">
        <v>0</v>
      </c>
      <c r="U553" s="10">
        <v>1000000</v>
      </c>
      <c r="V553" s="10">
        <v>0</v>
      </c>
      <c r="W553" s="10">
        <v>2500000</v>
      </c>
      <c r="X553" s="10">
        <v>7500000</v>
      </c>
      <c r="Y553" s="10">
        <v>0</v>
      </c>
      <c r="Z553" s="10">
        <v>5000000</v>
      </c>
      <c r="AA553" s="10">
        <v>1000000</v>
      </c>
      <c r="AB553" s="10">
        <v>7500000</v>
      </c>
      <c r="AC553" s="10">
        <v>0</v>
      </c>
      <c r="AD553" s="9" t="s">
        <v>44</v>
      </c>
      <c r="AE553" s="10" t="s">
        <v>2237</v>
      </c>
      <c r="AF553" s="10">
        <v>7500000</v>
      </c>
      <c r="AG553" s="10">
        <v>1</v>
      </c>
      <c r="AH553" s="10">
        <v>1</v>
      </c>
      <c r="AI553" s="10">
        <v>1</v>
      </c>
      <c r="AJ553" s="12" t="s">
        <v>2146</v>
      </c>
      <c r="AK553" s="10">
        <v>0</v>
      </c>
      <c r="AL553" s="10">
        <v>0</v>
      </c>
      <c r="AM553" s="9">
        <v>2018</v>
      </c>
      <c r="AN553" s="10">
        <v>0</v>
      </c>
      <c r="AO553" s="10">
        <v>1</v>
      </c>
      <c r="AP553" s="10"/>
      <c r="AQ553" s="5"/>
      <c r="AR553" s="5"/>
      <c r="AS553" s="4">
        <f t="shared" si="24"/>
        <v>2500000</v>
      </c>
      <c r="AT553" s="4">
        <f t="shared" si="25"/>
        <v>4349997.825001087</v>
      </c>
      <c r="AU553" s="4">
        <f t="shared" si="26"/>
        <v>3150002.174998913</v>
      </c>
      <c r="AV553" s="9" t="s">
        <v>2145</v>
      </c>
      <c r="AW553" s="12" t="s">
        <v>2146</v>
      </c>
      <c r="AX553" s="10">
        <v>0</v>
      </c>
      <c r="AY553">
        <f>S553*AU553/AS553</f>
        <v>1890001.3049993475</v>
      </c>
      <c r="AZ553">
        <f>AU553-AY553</f>
        <v>1260000.8699995654</v>
      </c>
      <c r="BA553" s="10">
        <v>7500000</v>
      </c>
      <c r="BB553" s="10">
        <v>0</v>
      </c>
      <c r="BC553" s="9" t="s">
        <v>42</v>
      </c>
      <c r="BD553" s="9">
        <v>10710</v>
      </c>
      <c r="BE553" t="s">
        <v>46</v>
      </c>
    </row>
    <row r="554" spans="1:57" ht="270.75" thickBot="1" x14ac:dyDescent="0.3">
      <c r="A554" s="9" t="s">
        <v>2147</v>
      </c>
      <c r="B554" s="9">
        <v>3001</v>
      </c>
      <c r="C554" s="10">
        <v>2</v>
      </c>
      <c r="D554" s="9" t="s">
        <v>37</v>
      </c>
      <c r="E554" s="11">
        <v>46243.035867025465</v>
      </c>
      <c r="F554" s="9" t="s">
        <v>2148</v>
      </c>
      <c r="G554" s="9" t="s">
        <v>39</v>
      </c>
      <c r="H554" s="9">
        <v>53</v>
      </c>
      <c r="I554" s="9" t="s">
        <v>40</v>
      </c>
      <c r="J554" s="9">
        <v>5309</v>
      </c>
      <c r="K554" s="9" t="s">
        <v>41</v>
      </c>
      <c r="L554" s="9">
        <v>5309060</v>
      </c>
      <c r="M554" s="9">
        <v>5309060020</v>
      </c>
      <c r="N554" s="9" t="s">
        <v>42</v>
      </c>
      <c r="O554" s="9">
        <v>10710</v>
      </c>
      <c r="P554" s="9" t="s">
        <v>2149</v>
      </c>
      <c r="Q554" s="10">
        <v>1</v>
      </c>
      <c r="R554" s="10">
        <v>0</v>
      </c>
      <c r="S554" s="10">
        <v>1500000</v>
      </c>
      <c r="T554" s="10">
        <v>0</v>
      </c>
      <c r="U554" s="10">
        <v>350000</v>
      </c>
      <c r="V554" s="10">
        <v>0</v>
      </c>
      <c r="W554" s="10">
        <v>1850000</v>
      </c>
      <c r="X554" s="10">
        <v>6500000</v>
      </c>
      <c r="Y554" s="10">
        <v>0</v>
      </c>
      <c r="Z554" s="10">
        <v>4650000</v>
      </c>
      <c r="AA554" s="10">
        <v>0</v>
      </c>
      <c r="AB554" s="10">
        <v>6500000</v>
      </c>
      <c r="AC554" s="10">
        <v>0</v>
      </c>
      <c r="AD554" s="9" t="s">
        <v>44</v>
      </c>
      <c r="AE554" s="10" t="s">
        <v>2577</v>
      </c>
      <c r="AF554" s="10">
        <v>6500000</v>
      </c>
      <c r="AG554" s="9"/>
      <c r="AH554" s="10">
        <v>1</v>
      </c>
      <c r="AI554" s="10">
        <v>1</v>
      </c>
      <c r="AJ554" s="12" t="s">
        <v>2150</v>
      </c>
      <c r="AK554" s="10">
        <v>0</v>
      </c>
      <c r="AL554" s="10">
        <v>0</v>
      </c>
      <c r="AM554" s="9">
        <v>2020</v>
      </c>
      <c r="AN554" s="10">
        <v>0</v>
      </c>
      <c r="AO554" s="10">
        <v>1</v>
      </c>
      <c r="AP554" s="10"/>
      <c r="AQ554" s="5"/>
      <c r="AR554" s="5"/>
      <c r="AS554" s="4">
        <f t="shared" si="24"/>
        <v>1850000</v>
      </c>
      <c r="AT554" s="4">
        <f t="shared" si="25"/>
        <v>3769997.9731193692</v>
      </c>
      <c r="AU554" s="4">
        <f t="shared" si="26"/>
        <v>2730002.0268806308</v>
      </c>
      <c r="AV554" s="9" t="s">
        <v>2149</v>
      </c>
      <c r="AW554" s="12" t="s">
        <v>2150</v>
      </c>
      <c r="AX554" s="10">
        <v>0</v>
      </c>
      <c r="AY554">
        <f>S554*AU554/AS554</f>
        <v>2213515.1569302413</v>
      </c>
      <c r="AZ554">
        <f>AU554-AY554</f>
        <v>516486.86995038949</v>
      </c>
      <c r="BA554" s="10">
        <v>6500000</v>
      </c>
      <c r="BB554" s="10">
        <v>0</v>
      </c>
      <c r="BC554" s="9" t="s">
        <v>42</v>
      </c>
      <c r="BD554" s="9">
        <v>10710</v>
      </c>
      <c r="BE554" t="s">
        <v>46</v>
      </c>
    </row>
    <row r="555" spans="1:57" ht="270.75" thickBot="1" x14ac:dyDescent="0.3">
      <c r="A555" s="9" t="s">
        <v>2151</v>
      </c>
      <c r="B555" s="9">
        <v>1001</v>
      </c>
      <c r="C555" s="10">
        <v>2</v>
      </c>
      <c r="D555" s="9" t="s">
        <v>37</v>
      </c>
      <c r="E555" s="11">
        <v>46220.107050046296</v>
      </c>
      <c r="F555" s="9" t="s">
        <v>2152</v>
      </c>
      <c r="G555" s="9" t="s">
        <v>39</v>
      </c>
      <c r="H555" s="9">
        <v>53</v>
      </c>
      <c r="I555" s="9" t="s">
        <v>40</v>
      </c>
      <c r="J555" s="9">
        <v>5309</v>
      </c>
      <c r="K555" s="9" t="s">
        <v>41</v>
      </c>
      <c r="L555" s="9">
        <v>5309074</v>
      </c>
      <c r="M555" s="9">
        <v>5309074004</v>
      </c>
      <c r="N555" s="9" t="s">
        <v>42</v>
      </c>
      <c r="O555" s="9">
        <v>10710</v>
      </c>
      <c r="P555" s="9" t="s">
        <v>2153</v>
      </c>
      <c r="Q555" s="10">
        <v>1</v>
      </c>
      <c r="R555" s="10">
        <v>0</v>
      </c>
      <c r="S555" s="10">
        <v>2000000</v>
      </c>
      <c r="T555" s="10">
        <v>0</v>
      </c>
      <c r="U555" s="10">
        <v>1200000</v>
      </c>
      <c r="V555" s="10">
        <v>0</v>
      </c>
      <c r="W555" s="10">
        <v>3200000</v>
      </c>
      <c r="X555" s="10">
        <v>12000000</v>
      </c>
      <c r="Y555" s="10">
        <v>0</v>
      </c>
      <c r="Z555" s="10">
        <v>8800000</v>
      </c>
      <c r="AA555" s="10">
        <v>3600000</v>
      </c>
      <c r="AB555" s="10">
        <v>12000000</v>
      </c>
      <c r="AC555" s="10">
        <v>0</v>
      </c>
      <c r="AD555" s="9" t="s">
        <v>44</v>
      </c>
      <c r="AE555" s="10" t="s">
        <v>2369</v>
      </c>
      <c r="AF555" s="10">
        <v>12000000</v>
      </c>
      <c r="AG555" s="10">
        <v>1</v>
      </c>
      <c r="AH555" s="10">
        <v>1</v>
      </c>
      <c r="AI555" s="10">
        <v>1</v>
      </c>
      <c r="AJ555" s="12" t="s">
        <v>2154</v>
      </c>
      <c r="AK555" s="10">
        <v>0</v>
      </c>
      <c r="AL555" s="10">
        <v>0</v>
      </c>
      <c r="AM555" s="9">
        <v>1995</v>
      </c>
      <c r="AN555" s="10">
        <v>0</v>
      </c>
      <c r="AO555" s="10">
        <v>1</v>
      </c>
      <c r="AP555" s="10"/>
      <c r="AQ555" s="5"/>
      <c r="AR555" s="5"/>
      <c r="AS555" s="4">
        <f t="shared" si="24"/>
        <v>3200000</v>
      </c>
      <c r="AT555" s="4">
        <f t="shared" si="25"/>
        <v>6960003.1636378011</v>
      </c>
      <c r="AU555" s="4">
        <f t="shared" si="26"/>
        <v>5039996.8363621989</v>
      </c>
      <c r="AV555" s="9" t="s">
        <v>2153</v>
      </c>
      <c r="AW555" s="12" t="s">
        <v>2154</v>
      </c>
      <c r="AX555" s="10">
        <v>0</v>
      </c>
      <c r="AY555">
        <f>S555*AU555/AS555</f>
        <v>3149998.0227263747</v>
      </c>
      <c r="AZ555">
        <f>AU555-AY555</f>
        <v>1889998.8136358242</v>
      </c>
      <c r="BA555" s="10">
        <v>12000000</v>
      </c>
      <c r="BB555" s="10">
        <v>0</v>
      </c>
      <c r="BC555" s="9" t="s">
        <v>42</v>
      </c>
      <c r="BD555" s="9">
        <v>10710</v>
      </c>
      <c r="BE555" t="s">
        <v>46</v>
      </c>
    </row>
    <row r="556" spans="1:57" ht="270.75" thickBot="1" x14ac:dyDescent="0.3">
      <c r="A556" s="9" t="s">
        <v>2155</v>
      </c>
      <c r="B556" s="9">
        <v>1001</v>
      </c>
      <c r="C556" s="10">
        <v>2</v>
      </c>
      <c r="D556" s="9" t="s">
        <v>37</v>
      </c>
      <c r="E556" s="11">
        <v>46257.277819780094</v>
      </c>
      <c r="F556" s="9" t="s">
        <v>2156</v>
      </c>
      <c r="G556" s="9" t="s">
        <v>39</v>
      </c>
      <c r="H556" s="9">
        <v>53</v>
      </c>
      <c r="I556" s="9" t="s">
        <v>40</v>
      </c>
      <c r="J556" s="9">
        <v>5309</v>
      </c>
      <c r="K556" s="9" t="s">
        <v>41</v>
      </c>
      <c r="L556" s="9">
        <v>5309030</v>
      </c>
      <c r="M556" s="9">
        <v>5309030012</v>
      </c>
      <c r="N556" s="9" t="s">
        <v>42</v>
      </c>
      <c r="O556" s="9">
        <v>10710</v>
      </c>
      <c r="P556" s="9" t="s">
        <v>2157</v>
      </c>
      <c r="Q556" s="10">
        <v>1</v>
      </c>
      <c r="R556" s="10">
        <v>0</v>
      </c>
      <c r="S556" s="10">
        <v>3600000</v>
      </c>
      <c r="T556" s="10">
        <v>0</v>
      </c>
      <c r="U556" s="10">
        <v>500000</v>
      </c>
      <c r="V556" s="10">
        <v>0</v>
      </c>
      <c r="W556" s="10">
        <v>4100000</v>
      </c>
      <c r="X556" s="10">
        <v>12000000</v>
      </c>
      <c r="Y556" s="10">
        <v>0</v>
      </c>
      <c r="Z556" s="10">
        <v>7900000</v>
      </c>
      <c r="AA556" s="10">
        <v>10000000</v>
      </c>
      <c r="AB556" s="10">
        <v>12000000</v>
      </c>
      <c r="AC556" s="10">
        <v>0</v>
      </c>
      <c r="AD556" s="9" t="s">
        <v>44</v>
      </c>
      <c r="AE556" s="10" t="s">
        <v>2578</v>
      </c>
      <c r="AF556" s="10">
        <v>12000000</v>
      </c>
      <c r="AG556" s="10">
        <v>1</v>
      </c>
      <c r="AH556" s="10">
        <v>1</v>
      </c>
      <c r="AI556" s="10">
        <v>1</v>
      </c>
      <c r="AJ556" s="12" t="s">
        <v>2158</v>
      </c>
      <c r="AK556" s="10">
        <v>0</v>
      </c>
      <c r="AL556" s="10">
        <v>0</v>
      </c>
      <c r="AM556" s="9">
        <v>2019</v>
      </c>
      <c r="AN556" s="10">
        <v>0</v>
      </c>
      <c r="AO556" s="10">
        <v>1</v>
      </c>
      <c r="AP556" s="10"/>
      <c r="AQ556" s="5"/>
      <c r="AR556" s="5"/>
      <c r="AS556" s="4">
        <f t="shared" si="24"/>
        <v>4100000</v>
      </c>
      <c r="AT556" s="4">
        <f t="shared" si="25"/>
        <v>6960003.5240524178</v>
      </c>
      <c r="AU556" s="4">
        <f t="shared" si="26"/>
        <v>5039996.4759475822</v>
      </c>
      <c r="AV556" s="9" t="s">
        <v>2157</v>
      </c>
      <c r="AW556" s="12" t="s">
        <v>2158</v>
      </c>
      <c r="AX556" s="10">
        <v>0</v>
      </c>
      <c r="AY556">
        <f>S556*AU556/AS556</f>
        <v>4425362.7593686087</v>
      </c>
      <c r="AZ556">
        <f>AU556-AY556</f>
        <v>614633.71657897346</v>
      </c>
      <c r="BA556" s="10">
        <v>12000000</v>
      </c>
      <c r="BB556" s="10">
        <v>0</v>
      </c>
      <c r="BC556" s="9" t="s">
        <v>42</v>
      </c>
      <c r="BD556" s="9">
        <v>10710</v>
      </c>
      <c r="BE556" t="s">
        <v>46</v>
      </c>
    </row>
    <row r="557" spans="1:57" ht="270.75" thickBot="1" x14ac:dyDescent="0.3">
      <c r="A557" s="9" t="s">
        <v>2159</v>
      </c>
      <c r="B557" s="9">
        <v>1002</v>
      </c>
      <c r="C557" s="10">
        <v>2</v>
      </c>
      <c r="D557" s="9" t="s">
        <v>37</v>
      </c>
      <c r="E557" s="11">
        <v>46216.069866770835</v>
      </c>
      <c r="F557" s="9" t="s">
        <v>2160</v>
      </c>
      <c r="G557" s="9" t="s">
        <v>39</v>
      </c>
      <c r="H557" s="9">
        <v>53</v>
      </c>
      <c r="I557" s="9" t="s">
        <v>40</v>
      </c>
      <c r="J557" s="9">
        <v>5309</v>
      </c>
      <c r="K557" s="9" t="s">
        <v>41</v>
      </c>
      <c r="L557" s="9">
        <v>5309010</v>
      </c>
      <c r="M557" s="9">
        <v>5309010011</v>
      </c>
      <c r="N557" s="9" t="s">
        <v>42</v>
      </c>
      <c r="O557" s="9">
        <v>10710</v>
      </c>
      <c r="P557" s="9" t="s">
        <v>2161</v>
      </c>
      <c r="Q557" s="10">
        <v>2</v>
      </c>
      <c r="R557" s="10">
        <v>0</v>
      </c>
      <c r="S557" s="10">
        <v>450000</v>
      </c>
      <c r="T557" s="10">
        <v>0</v>
      </c>
      <c r="U557" s="10">
        <v>450000</v>
      </c>
      <c r="V557" s="10">
        <v>0</v>
      </c>
      <c r="W557" s="10">
        <v>900000</v>
      </c>
      <c r="X557" s="10">
        <v>11000000</v>
      </c>
      <c r="Y557" s="10">
        <v>0</v>
      </c>
      <c r="Z557" s="10">
        <v>10100000</v>
      </c>
      <c r="AA557" s="10">
        <v>1500000</v>
      </c>
      <c r="AB557" s="10">
        <v>11000000</v>
      </c>
      <c r="AC557" s="10">
        <v>0</v>
      </c>
      <c r="AD557" s="9" t="s">
        <v>44</v>
      </c>
      <c r="AE557" s="10" t="s">
        <v>2579</v>
      </c>
      <c r="AF557" s="10">
        <v>5500000</v>
      </c>
      <c r="AG557" s="10">
        <v>1</v>
      </c>
      <c r="AH557" s="10">
        <v>1</v>
      </c>
      <c r="AI557" s="10">
        <v>1</v>
      </c>
      <c r="AJ557" s="12" t="s">
        <v>2162</v>
      </c>
      <c r="AK557" s="10">
        <v>0</v>
      </c>
      <c r="AL557" s="10">
        <v>0</v>
      </c>
      <c r="AM557" s="9">
        <v>2019</v>
      </c>
      <c r="AN557" s="10">
        <v>0</v>
      </c>
      <c r="AO557" s="10">
        <v>2</v>
      </c>
      <c r="AP557" s="10"/>
      <c r="AQ557" s="5"/>
      <c r="AR557" s="5"/>
      <c r="AS557" s="4">
        <f t="shared" si="24"/>
        <v>900000</v>
      </c>
      <c r="AT557" s="4">
        <f t="shared" si="25"/>
        <v>6379998.7366339136</v>
      </c>
      <c r="AU557" s="4">
        <f t="shared" si="26"/>
        <v>4620001.2633660864</v>
      </c>
      <c r="AV557" s="9" t="s">
        <v>2161</v>
      </c>
      <c r="AW557" s="12" t="s">
        <v>2162</v>
      </c>
      <c r="AX557" s="10">
        <v>0</v>
      </c>
      <c r="AY557">
        <f>S557*AU557/AS557</f>
        <v>2310000.6316830432</v>
      </c>
      <c r="AZ557">
        <f>AU557-AY557</f>
        <v>2310000.6316830432</v>
      </c>
      <c r="BA557" s="10">
        <v>11000000</v>
      </c>
      <c r="BB557" s="10">
        <v>0</v>
      </c>
      <c r="BC557" s="9" t="s">
        <v>42</v>
      </c>
      <c r="BD557" s="9">
        <v>10710</v>
      </c>
      <c r="BE557" t="s">
        <v>46</v>
      </c>
    </row>
    <row r="558" spans="1:57" ht="270.75" thickBot="1" x14ac:dyDescent="0.3">
      <c r="A558" s="9" t="s">
        <v>2163</v>
      </c>
      <c r="B558" s="9">
        <v>1001</v>
      </c>
      <c r="C558" s="10">
        <v>2</v>
      </c>
      <c r="D558" s="9" t="s">
        <v>37</v>
      </c>
      <c r="E558" s="11">
        <v>46290.922835486112</v>
      </c>
      <c r="F558" s="9" t="s">
        <v>2164</v>
      </c>
      <c r="G558" s="9" t="s">
        <v>39</v>
      </c>
      <c r="H558" s="9">
        <v>53</v>
      </c>
      <c r="I558" s="9" t="s">
        <v>40</v>
      </c>
      <c r="J558" s="9">
        <v>5309</v>
      </c>
      <c r="K558" s="9" t="s">
        <v>41</v>
      </c>
      <c r="L558" s="9">
        <v>5309030</v>
      </c>
      <c r="M558" s="9">
        <v>5309030022</v>
      </c>
      <c r="N558" s="9" t="s">
        <v>42</v>
      </c>
      <c r="O558" s="9">
        <v>10710</v>
      </c>
      <c r="P558" s="9" t="s">
        <v>2165</v>
      </c>
      <c r="Q558" s="10">
        <v>1</v>
      </c>
      <c r="R558" s="10">
        <v>0</v>
      </c>
      <c r="S558" s="10">
        <v>5000000</v>
      </c>
      <c r="T558" s="10">
        <v>0</v>
      </c>
      <c r="U558" s="10">
        <v>1200000</v>
      </c>
      <c r="V558" s="10">
        <v>0</v>
      </c>
      <c r="W558" s="10">
        <v>6200000</v>
      </c>
      <c r="X558" s="10">
        <v>20000000</v>
      </c>
      <c r="Y558" s="10">
        <v>0</v>
      </c>
      <c r="Z558" s="10">
        <v>13800000</v>
      </c>
      <c r="AA558" s="10">
        <v>0</v>
      </c>
      <c r="AB558" s="10">
        <v>20000000</v>
      </c>
      <c r="AC558" s="10">
        <v>0</v>
      </c>
      <c r="AD558" s="9" t="s">
        <v>44</v>
      </c>
      <c r="AE558" s="10" t="s">
        <v>102</v>
      </c>
      <c r="AF558" s="10">
        <v>20000000</v>
      </c>
      <c r="AG558" s="9"/>
      <c r="AH558" s="10">
        <v>1</v>
      </c>
      <c r="AI558" s="10">
        <v>1</v>
      </c>
      <c r="AJ558" s="12" t="s">
        <v>2166</v>
      </c>
      <c r="AK558" s="10">
        <v>0</v>
      </c>
      <c r="AL558" s="10">
        <v>0</v>
      </c>
      <c r="AM558" s="9">
        <v>2014</v>
      </c>
      <c r="AN558" s="10">
        <v>0</v>
      </c>
      <c r="AO558" s="10">
        <v>1</v>
      </c>
      <c r="AP558" s="10"/>
      <c r="AQ558" s="5"/>
      <c r="AR558" s="5"/>
      <c r="AS558" s="4">
        <f t="shared" si="24"/>
        <v>6200000</v>
      </c>
      <c r="AT558" s="4">
        <f t="shared" si="25"/>
        <v>11600000</v>
      </c>
      <c r="AU558" s="4">
        <f t="shared" si="26"/>
        <v>8400000</v>
      </c>
      <c r="AV558" s="9" t="s">
        <v>2165</v>
      </c>
      <c r="AW558" s="12" t="s">
        <v>2166</v>
      </c>
      <c r="AX558" s="10">
        <v>0</v>
      </c>
      <c r="AY558">
        <f>S558*AU558/AS558</f>
        <v>6774193.5483870972</v>
      </c>
      <c r="AZ558">
        <f>AU558-AY558</f>
        <v>1625806.4516129028</v>
      </c>
      <c r="BA558" s="10">
        <v>20000000</v>
      </c>
      <c r="BB558" s="10">
        <v>0</v>
      </c>
      <c r="BC558" s="9" t="s">
        <v>42</v>
      </c>
      <c r="BD558" s="9">
        <v>10710</v>
      </c>
      <c r="BE558" t="s">
        <v>46</v>
      </c>
    </row>
    <row r="559" spans="1:57" ht="270.75" thickBot="1" x14ac:dyDescent="0.3">
      <c r="A559" s="9" t="s">
        <v>2167</v>
      </c>
      <c r="B559" s="9">
        <v>1002</v>
      </c>
      <c r="C559" s="10">
        <v>2</v>
      </c>
      <c r="D559" s="9" t="s">
        <v>37</v>
      </c>
      <c r="E559" s="11">
        <v>46266.41573695602</v>
      </c>
      <c r="F559" s="9" t="s">
        <v>2168</v>
      </c>
      <c r="G559" s="9" t="s">
        <v>39</v>
      </c>
      <c r="H559" s="9">
        <v>53</v>
      </c>
      <c r="I559" s="9" t="s">
        <v>40</v>
      </c>
      <c r="J559" s="9">
        <v>5309</v>
      </c>
      <c r="K559" s="9" t="s">
        <v>41</v>
      </c>
      <c r="L559" s="9">
        <v>5309050</v>
      </c>
      <c r="M559" s="9">
        <v>5309050016</v>
      </c>
      <c r="N559" s="9" t="s">
        <v>42</v>
      </c>
      <c r="O559" s="9">
        <v>10710</v>
      </c>
      <c r="P559" s="9" t="s">
        <v>2169</v>
      </c>
      <c r="Q559" s="10">
        <v>1</v>
      </c>
      <c r="R559" s="10">
        <v>0</v>
      </c>
      <c r="S559" s="10">
        <v>2000000</v>
      </c>
      <c r="T559" s="10">
        <v>0</v>
      </c>
      <c r="U559" s="10">
        <v>2000000</v>
      </c>
      <c r="V559" s="10">
        <v>0</v>
      </c>
      <c r="W559" s="10">
        <v>4000000</v>
      </c>
      <c r="X559" s="10">
        <v>14200000</v>
      </c>
      <c r="Y559" s="10">
        <v>0</v>
      </c>
      <c r="Z559" s="10">
        <v>10200000</v>
      </c>
      <c r="AA559" s="10">
        <v>300000</v>
      </c>
      <c r="AB559" s="10">
        <v>14200000</v>
      </c>
      <c r="AC559" s="10">
        <v>0</v>
      </c>
      <c r="AD559" s="9" t="s">
        <v>44</v>
      </c>
      <c r="AE559" s="10" t="s">
        <v>2580</v>
      </c>
      <c r="AF559" s="10">
        <v>14200000</v>
      </c>
      <c r="AG559" s="10">
        <v>1</v>
      </c>
      <c r="AH559" s="10">
        <v>1</v>
      </c>
      <c r="AI559" s="10">
        <v>1</v>
      </c>
      <c r="AJ559" s="12" t="s">
        <v>2170</v>
      </c>
      <c r="AK559" s="10">
        <v>0</v>
      </c>
      <c r="AL559" s="10">
        <v>0</v>
      </c>
      <c r="AM559" s="9">
        <v>2025</v>
      </c>
      <c r="AN559" s="10">
        <v>0</v>
      </c>
      <c r="AO559" s="10">
        <v>1</v>
      </c>
      <c r="AP559" s="10"/>
      <c r="AQ559" s="5"/>
      <c r="AR559" s="5"/>
      <c r="AS559" s="4">
        <f t="shared" si="24"/>
        <v>4000000</v>
      </c>
      <c r="AT559" s="4">
        <f t="shared" si="25"/>
        <v>8235998.3850983558</v>
      </c>
      <c r="AU559" s="4">
        <f t="shared" si="26"/>
        <v>5964001.6149016442</v>
      </c>
      <c r="AV559" s="9" t="s">
        <v>2169</v>
      </c>
      <c r="AW559" s="12" t="s">
        <v>2170</v>
      </c>
      <c r="AX559" s="10">
        <v>0</v>
      </c>
      <c r="AY559">
        <f>S559*AU559/AS559</f>
        <v>2982000.8074508221</v>
      </c>
      <c r="AZ559">
        <f>AU559-AY559</f>
        <v>2982000.8074508221</v>
      </c>
      <c r="BA559" s="10">
        <v>14200000</v>
      </c>
      <c r="BB559" s="10">
        <v>0</v>
      </c>
      <c r="BC559" s="9" t="s">
        <v>42</v>
      </c>
      <c r="BD559" s="9">
        <v>10710</v>
      </c>
      <c r="BE559" t="s">
        <v>46</v>
      </c>
    </row>
    <row r="560" spans="1:57" ht="270.75" thickBot="1" x14ac:dyDescent="0.3">
      <c r="A560" s="9" t="s">
        <v>2171</v>
      </c>
      <c r="B560" s="9">
        <v>1001</v>
      </c>
      <c r="C560" s="10">
        <v>2</v>
      </c>
      <c r="D560" s="9" t="s">
        <v>37</v>
      </c>
      <c r="E560" s="11">
        <v>46274.83275144676</v>
      </c>
      <c r="F560" s="9" t="s">
        <v>2172</v>
      </c>
      <c r="G560" s="9" t="s">
        <v>39</v>
      </c>
      <c r="H560" s="9">
        <v>53</v>
      </c>
      <c r="I560" s="9" t="s">
        <v>40</v>
      </c>
      <c r="J560" s="9">
        <v>5309</v>
      </c>
      <c r="K560" s="9" t="s">
        <v>41</v>
      </c>
      <c r="L560" s="9">
        <v>5309030</v>
      </c>
      <c r="M560" s="9">
        <v>5309030010</v>
      </c>
      <c r="N560" s="9" t="s">
        <v>42</v>
      </c>
      <c r="O560" s="9">
        <v>10710</v>
      </c>
      <c r="P560" s="9" t="s">
        <v>2173</v>
      </c>
      <c r="Q560" s="10">
        <v>1</v>
      </c>
      <c r="R560" s="10">
        <v>0</v>
      </c>
      <c r="S560" s="10">
        <v>3000000</v>
      </c>
      <c r="T560" s="10">
        <v>0</v>
      </c>
      <c r="U560" s="10">
        <v>0</v>
      </c>
      <c r="V560" s="10">
        <v>0</v>
      </c>
      <c r="W560" s="10">
        <v>3000000</v>
      </c>
      <c r="X560" s="10">
        <v>8000000</v>
      </c>
      <c r="Y560" s="10">
        <v>0</v>
      </c>
      <c r="Z560" s="10">
        <v>5000000</v>
      </c>
      <c r="AA560" s="10">
        <v>500000</v>
      </c>
      <c r="AB560" s="10">
        <v>8000000</v>
      </c>
      <c r="AC560" s="10">
        <v>0</v>
      </c>
      <c r="AD560" s="9" t="s">
        <v>44</v>
      </c>
      <c r="AE560" s="10" t="s">
        <v>2227</v>
      </c>
      <c r="AF560" s="10">
        <v>8000000</v>
      </c>
      <c r="AG560" s="10">
        <v>1</v>
      </c>
      <c r="AH560" s="10">
        <v>1</v>
      </c>
      <c r="AI560" s="10">
        <v>1</v>
      </c>
      <c r="AJ560" s="12" t="s">
        <v>2174</v>
      </c>
      <c r="AK560" s="10">
        <v>0</v>
      </c>
      <c r="AL560" s="10">
        <v>0</v>
      </c>
      <c r="AM560" s="9">
        <v>2020</v>
      </c>
      <c r="AN560" s="10">
        <v>0</v>
      </c>
      <c r="AO560" s="10">
        <v>1</v>
      </c>
      <c r="AP560" s="10"/>
      <c r="AQ560" s="5"/>
      <c r="AR560" s="5"/>
      <c r="AS560" s="4">
        <f t="shared" si="24"/>
        <v>3000000</v>
      </c>
      <c r="AT560" s="4">
        <f t="shared" si="25"/>
        <v>4640000</v>
      </c>
      <c r="AU560" s="4">
        <f t="shared" si="26"/>
        <v>3360000</v>
      </c>
      <c r="AV560" s="9" t="s">
        <v>2173</v>
      </c>
      <c r="AW560" s="12" t="s">
        <v>2174</v>
      </c>
      <c r="AX560" s="10">
        <v>0</v>
      </c>
      <c r="AY560">
        <f>S560*AU560/AS560</f>
        <v>3360000</v>
      </c>
      <c r="AZ560">
        <f>AU560-AY560</f>
        <v>0</v>
      </c>
      <c r="BA560" s="10">
        <v>8000000</v>
      </c>
      <c r="BB560" s="10">
        <v>0</v>
      </c>
      <c r="BC560" s="9" t="s">
        <v>42</v>
      </c>
      <c r="BD560" s="9">
        <v>10710</v>
      </c>
      <c r="BE560" t="s">
        <v>46</v>
      </c>
    </row>
    <row r="561" spans="1:57" ht="270.75" thickBot="1" x14ac:dyDescent="0.3">
      <c r="A561" s="9" t="s">
        <v>2175</v>
      </c>
      <c r="B561" s="9">
        <v>1002</v>
      </c>
      <c r="C561" s="10">
        <v>2</v>
      </c>
      <c r="D561" s="9" t="s">
        <v>37</v>
      </c>
      <c r="E561" s="11">
        <v>46290.922868148147</v>
      </c>
      <c r="F561" s="9" t="s">
        <v>2176</v>
      </c>
      <c r="G561" s="9" t="s">
        <v>39</v>
      </c>
      <c r="H561" s="9">
        <v>53</v>
      </c>
      <c r="I561" s="9" t="s">
        <v>40</v>
      </c>
      <c r="J561" s="9">
        <v>5309</v>
      </c>
      <c r="K561" s="9" t="s">
        <v>41</v>
      </c>
      <c r="L561" s="9">
        <v>5309030</v>
      </c>
      <c r="M561" s="9">
        <v>5309030027</v>
      </c>
      <c r="N561" s="9" t="s">
        <v>42</v>
      </c>
      <c r="O561" s="9">
        <v>10710</v>
      </c>
      <c r="P561" s="9" t="s">
        <v>2177</v>
      </c>
      <c r="Q561" s="10">
        <v>1</v>
      </c>
      <c r="R561" s="10">
        <v>0</v>
      </c>
      <c r="S561" s="10">
        <v>12000000</v>
      </c>
      <c r="T561" s="10">
        <v>0</v>
      </c>
      <c r="U561" s="10">
        <v>1000000</v>
      </c>
      <c r="V561" s="10">
        <v>0</v>
      </c>
      <c r="W561" s="10">
        <v>13000000</v>
      </c>
      <c r="X561" s="10">
        <v>36000000</v>
      </c>
      <c r="Y561" s="10">
        <v>0</v>
      </c>
      <c r="Z561" s="10">
        <v>23000000</v>
      </c>
      <c r="AA561" s="10">
        <v>3000000</v>
      </c>
      <c r="AB561" s="10">
        <v>36000000</v>
      </c>
      <c r="AC561" s="10">
        <v>0</v>
      </c>
      <c r="AD561" s="9" t="s">
        <v>44</v>
      </c>
      <c r="AE561" s="10" t="s">
        <v>2581</v>
      </c>
      <c r="AF561" s="10">
        <v>36000000</v>
      </c>
      <c r="AG561" s="10">
        <v>1</v>
      </c>
      <c r="AH561" s="10">
        <v>1</v>
      </c>
      <c r="AI561" s="10">
        <v>1</v>
      </c>
      <c r="AJ561" s="12" t="s">
        <v>2178</v>
      </c>
      <c r="AK561" s="10">
        <v>0</v>
      </c>
      <c r="AL561" s="10">
        <v>0</v>
      </c>
      <c r="AM561" s="9">
        <v>2023</v>
      </c>
      <c r="AN561" s="10">
        <v>0</v>
      </c>
      <c r="AO561" s="10">
        <v>1</v>
      </c>
      <c r="AP561" s="10"/>
      <c r="AQ561" s="5"/>
      <c r="AR561" s="5"/>
      <c r="AS561" s="4">
        <f t="shared" si="24"/>
        <v>13000000</v>
      </c>
      <c r="AT561" s="4">
        <f t="shared" si="25"/>
        <v>20879996.368696284</v>
      </c>
      <c r="AU561" s="4">
        <f t="shared" si="26"/>
        <v>15120003.631303716</v>
      </c>
      <c r="AV561" s="9" t="s">
        <v>2177</v>
      </c>
      <c r="AW561" s="12" t="s">
        <v>2178</v>
      </c>
      <c r="AX561" s="10">
        <v>0</v>
      </c>
      <c r="AY561">
        <f>S561*AU561/AS561</f>
        <v>13956926.428895738</v>
      </c>
      <c r="AZ561">
        <f>AU561-AY561</f>
        <v>1163077.2024079785</v>
      </c>
      <c r="BA561" s="10">
        <v>36000000</v>
      </c>
      <c r="BB561" s="10">
        <v>0</v>
      </c>
      <c r="BC561" s="9" t="s">
        <v>42</v>
      </c>
      <c r="BD561" s="9">
        <v>10710</v>
      </c>
      <c r="BE561" t="s">
        <v>46</v>
      </c>
    </row>
    <row r="562" spans="1:57" ht="270.75" thickBot="1" x14ac:dyDescent="0.3">
      <c r="A562" s="9" t="s">
        <v>2179</v>
      </c>
      <c r="B562" s="9">
        <v>1002</v>
      </c>
      <c r="C562" s="10">
        <v>2</v>
      </c>
      <c r="D562" s="9" t="s">
        <v>37</v>
      </c>
      <c r="E562" s="11">
        <v>46274.063642800924</v>
      </c>
      <c r="F562" s="9" t="s">
        <v>2180</v>
      </c>
      <c r="G562" s="9" t="s">
        <v>39</v>
      </c>
      <c r="H562" s="9">
        <v>53</v>
      </c>
      <c r="I562" s="9" t="s">
        <v>40</v>
      </c>
      <c r="J562" s="9">
        <v>5309</v>
      </c>
      <c r="K562" s="9" t="s">
        <v>41</v>
      </c>
      <c r="L562" s="9">
        <v>5309021</v>
      </c>
      <c r="M562" s="9">
        <v>5309021003</v>
      </c>
      <c r="N562" s="9" t="s">
        <v>42</v>
      </c>
      <c r="O562" s="9">
        <v>10710</v>
      </c>
      <c r="P562" s="9" t="s">
        <v>2181</v>
      </c>
      <c r="Q562" s="10">
        <v>1</v>
      </c>
      <c r="R562" s="10">
        <v>0</v>
      </c>
      <c r="S562" s="10">
        <v>3000000</v>
      </c>
      <c r="T562" s="10">
        <v>0</v>
      </c>
      <c r="U562" s="10">
        <v>500000</v>
      </c>
      <c r="V562" s="10">
        <v>0</v>
      </c>
      <c r="W562" s="10">
        <v>3500000</v>
      </c>
      <c r="X562" s="10">
        <v>12250000</v>
      </c>
      <c r="Y562" s="10">
        <v>0</v>
      </c>
      <c r="Z562" s="10">
        <v>8750000</v>
      </c>
      <c r="AA562" s="10">
        <v>15000000</v>
      </c>
      <c r="AB562" s="10">
        <v>12250000</v>
      </c>
      <c r="AC562" s="10">
        <v>0</v>
      </c>
      <c r="AD562" s="9" t="s">
        <v>44</v>
      </c>
      <c r="AE562" s="10" t="s">
        <v>2512</v>
      </c>
      <c r="AF562" s="10">
        <v>12250000</v>
      </c>
      <c r="AG562" s="10">
        <v>1</v>
      </c>
      <c r="AH562" s="10">
        <v>1</v>
      </c>
      <c r="AI562" s="10">
        <v>1</v>
      </c>
      <c r="AJ562" s="12" t="s">
        <v>2182</v>
      </c>
      <c r="AK562" s="10">
        <v>0</v>
      </c>
      <c r="AL562" s="10">
        <v>0</v>
      </c>
      <c r="AM562" s="9">
        <v>2021</v>
      </c>
      <c r="AN562" s="10">
        <v>0</v>
      </c>
      <c r="AO562" s="10">
        <v>1</v>
      </c>
      <c r="AP562" s="10"/>
      <c r="AQ562" s="5"/>
      <c r="AR562" s="5"/>
      <c r="AS562" s="4">
        <f t="shared" si="24"/>
        <v>3500000</v>
      </c>
      <c r="AT562" s="4">
        <f t="shared" si="25"/>
        <v>7104997.158001137</v>
      </c>
      <c r="AU562" s="4">
        <f t="shared" si="26"/>
        <v>5145002.841998863</v>
      </c>
      <c r="AV562" s="9" t="s">
        <v>2181</v>
      </c>
      <c r="AW562" s="12" t="s">
        <v>2182</v>
      </c>
      <c r="AX562" s="10">
        <v>0</v>
      </c>
      <c r="AY562">
        <f>S562*AU562/AS562</f>
        <v>4410002.4359990256</v>
      </c>
      <c r="AZ562">
        <f>AU562-AY562</f>
        <v>735000.40599983744</v>
      </c>
      <c r="BA562" s="10">
        <v>12250000</v>
      </c>
      <c r="BB562" s="10">
        <v>0</v>
      </c>
      <c r="BC562" s="9" t="s">
        <v>42</v>
      </c>
      <c r="BD562" s="9">
        <v>10710</v>
      </c>
      <c r="BE562" t="s">
        <v>46</v>
      </c>
    </row>
    <row r="563" spans="1:57" ht="270.75" thickBot="1" x14ac:dyDescent="0.3">
      <c r="A563" s="9" t="s">
        <v>2183</v>
      </c>
      <c r="B563" s="9">
        <v>1002</v>
      </c>
      <c r="C563" s="10">
        <v>2</v>
      </c>
      <c r="D563" s="9" t="s">
        <v>37</v>
      </c>
      <c r="E563" s="11">
        <v>46261.671737141201</v>
      </c>
      <c r="F563" s="9" t="s">
        <v>2184</v>
      </c>
      <c r="G563" s="9" t="s">
        <v>39</v>
      </c>
      <c r="H563" s="9">
        <v>53</v>
      </c>
      <c r="I563" s="9" t="s">
        <v>40</v>
      </c>
      <c r="J563" s="9">
        <v>5309</v>
      </c>
      <c r="K563" s="9" t="s">
        <v>41</v>
      </c>
      <c r="L563" s="9">
        <v>5309060</v>
      </c>
      <c r="M563" s="9">
        <v>5309060020</v>
      </c>
      <c r="N563" s="9" t="s">
        <v>42</v>
      </c>
      <c r="O563" s="9">
        <v>10710</v>
      </c>
      <c r="P563" s="9" t="s">
        <v>2185</v>
      </c>
      <c r="Q563" s="10">
        <v>1</v>
      </c>
      <c r="R563" s="10">
        <v>0</v>
      </c>
      <c r="S563" s="10">
        <v>750000</v>
      </c>
      <c r="T563" s="10">
        <v>0</v>
      </c>
      <c r="U563" s="10">
        <v>250000</v>
      </c>
      <c r="V563" s="10">
        <v>0</v>
      </c>
      <c r="W563" s="10">
        <v>1000000</v>
      </c>
      <c r="X563" s="10">
        <v>18000000</v>
      </c>
      <c r="Y563" s="10">
        <v>0</v>
      </c>
      <c r="Z563" s="10">
        <v>17000000</v>
      </c>
      <c r="AA563" s="10">
        <v>0</v>
      </c>
      <c r="AB563" s="10">
        <v>18000000</v>
      </c>
      <c r="AC563" s="10">
        <v>0</v>
      </c>
      <c r="AD563" s="9" t="s">
        <v>44</v>
      </c>
      <c r="AE563" s="10" t="s">
        <v>2290</v>
      </c>
      <c r="AF563" s="10">
        <v>18000000</v>
      </c>
      <c r="AG563" s="9"/>
      <c r="AH563" s="10">
        <v>1</v>
      </c>
      <c r="AI563" s="10">
        <v>1</v>
      </c>
      <c r="AJ563" s="12" t="s">
        <v>2186</v>
      </c>
      <c r="AK563" s="10">
        <v>0</v>
      </c>
      <c r="AL563" s="10">
        <v>0</v>
      </c>
      <c r="AM563" s="9">
        <v>2022</v>
      </c>
      <c r="AN563" s="10">
        <v>0</v>
      </c>
      <c r="AO563" s="10">
        <v>1</v>
      </c>
      <c r="AP563" s="10"/>
      <c r="AQ563" s="5"/>
      <c r="AR563" s="5"/>
      <c r="AS563" s="4">
        <f t="shared" si="24"/>
        <v>1000000</v>
      </c>
      <c r="AT563" s="4">
        <f t="shared" si="25"/>
        <v>10440004.91294349</v>
      </c>
      <c r="AU563" s="4">
        <f t="shared" si="26"/>
        <v>7559995.0870565102</v>
      </c>
      <c r="AV563" s="9" t="s">
        <v>2185</v>
      </c>
      <c r="AW563" s="12" t="s">
        <v>2186</v>
      </c>
      <c r="AX563" s="10">
        <v>0</v>
      </c>
      <c r="AY563">
        <f>S563*AU563/AS563</f>
        <v>5669996.3152923826</v>
      </c>
      <c r="AZ563">
        <f>AU563-AY563</f>
        <v>1889998.7717641275</v>
      </c>
      <c r="BA563" s="10">
        <v>18000000</v>
      </c>
      <c r="BB563" s="10">
        <v>0</v>
      </c>
      <c r="BC563" s="9" t="s">
        <v>42</v>
      </c>
      <c r="BD563" s="9">
        <v>10710</v>
      </c>
      <c r="BE563" t="s">
        <v>46</v>
      </c>
    </row>
    <row r="564" spans="1:57" ht="270.75" thickBot="1" x14ac:dyDescent="0.3">
      <c r="A564" s="9" t="s">
        <v>2187</v>
      </c>
      <c r="B564" s="9">
        <v>1101</v>
      </c>
      <c r="C564" s="10">
        <v>2</v>
      </c>
      <c r="D564" s="9" t="s">
        <v>37</v>
      </c>
      <c r="E564" s="11">
        <v>46249.674948460648</v>
      </c>
      <c r="F564" s="9" t="s">
        <v>2188</v>
      </c>
      <c r="G564" s="9" t="s">
        <v>39</v>
      </c>
      <c r="H564" s="9">
        <v>53</v>
      </c>
      <c r="I564" s="9" t="s">
        <v>40</v>
      </c>
      <c r="J564" s="9">
        <v>5309</v>
      </c>
      <c r="K564" s="9" t="s">
        <v>41</v>
      </c>
      <c r="L564" s="9">
        <v>5309072</v>
      </c>
      <c r="M564" s="9">
        <v>5309072004</v>
      </c>
      <c r="N564" s="9" t="s">
        <v>42</v>
      </c>
      <c r="O564" s="9">
        <v>10710</v>
      </c>
      <c r="P564" s="9" t="s">
        <v>2189</v>
      </c>
      <c r="Q564" s="10">
        <v>1</v>
      </c>
      <c r="R564" s="10">
        <v>0</v>
      </c>
      <c r="S564" s="10">
        <v>1800000</v>
      </c>
      <c r="T564" s="10">
        <v>0</v>
      </c>
      <c r="U564" s="10">
        <v>600000</v>
      </c>
      <c r="V564" s="10">
        <v>0</v>
      </c>
      <c r="W564" s="10">
        <v>2400000</v>
      </c>
      <c r="X564" s="10">
        <v>11760000</v>
      </c>
      <c r="Y564" s="10">
        <v>0</v>
      </c>
      <c r="Z564" s="10">
        <v>9360000</v>
      </c>
      <c r="AA564" s="10">
        <v>0</v>
      </c>
      <c r="AB564" s="10">
        <v>11760000</v>
      </c>
      <c r="AC564" s="10">
        <v>0</v>
      </c>
      <c r="AD564" s="9" t="s">
        <v>44</v>
      </c>
      <c r="AE564" s="10" t="s">
        <v>2582</v>
      </c>
      <c r="AF564" s="10">
        <v>11760000</v>
      </c>
      <c r="AG564" s="9"/>
      <c r="AH564" s="10">
        <v>1</v>
      </c>
      <c r="AI564" s="10">
        <v>1</v>
      </c>
      <c r="AJ564" s="12" t="s">
        <v>2190</v>
      </c>
      <c r="AK564" s="10">
        <v>0</v>
      </c>
      <c r="AL564" s="10">
        <v>0</v>
      </c>
      <c r="AM564" s="9">
        <v>2026</v>
      </c>
      <c r="AN564" s="10">
        <v>0</v>
      </c>
      <c r="AO564" s="10">
        <v>1</v>
      </c>
      <c r="AP564" s="10"/>
      <c r="AQ564" s="5"/>
      <c r="AR564" s="5"/>
      <c r="AS564" s="4">
        <f t="shared" si="24"/>
        <v>2400000</v>
      </c>
      <c r="AT564" s="4">
        <f t="shared" si="25"/>
        <v>6820803.148062991</v>
      </c>
      <c r="AU564" s="4">
        <f t="shared" si="26"/>
        <v>4939196.851937009</v>
      </c>
      <c r="AV564" s="9" t="s">
        <v>2189</v>
      </c>
      <c r="AW564" s="12" t="s">
        <v>2190</v>
      </c>
      <c r="AX564" s="10">
        <v>0</v>
      </c>
      <c r="AY564">
        <f>S564*AU564/AS564</f>
        <v>3704397.6389527572</v>
      </c>
      <c r="AZ564">
        <f>AU564-AY564</f>
        <v>1234799.2129842518</v>
      </c>
      <c r="BA564" s="10">
        <v>11760000</v>
      </c>
      <c r="BB564" s="10">
        <v>0</v>
      </c>
      <c r="BC564" s="9" t="s">
        <v>42</v>
      </c>
      <c r="BD564" s="9">
        <v>10710</v>
      </c>
      <c r="BE564" t="s">
        <v>46</v>
      </c>
    </row>
    <row r="565" spans="1:57" ht="270.75" thickBot="1" x14ac:dyDescent="0.3">
      <c r="A565" s="9" t="s">
        <v>2191</v>
      </c>
      <c r="B565" s="9">
        <v>1002</v>
      </c>
      <c r="C565" s="10">
        <v>2</v>
      </c>
      <c r="D565" s="9" t="s">
        <v>37</v>
      </c>
      <c r="E565" s="11">
        <v>46260.261272268515</v>
      </c>
      <c r="F565" s="9" t="s">
        <v>2192</v>
      </c>
      <c r="G565" s="9" t="s">
        <v>39</v>
      </c>
      <c r="H565" s="9">
        <v>53</v>
      </c>
      <c r="I565" s="9" t="s">
        <v>40</v>
      </c>
      <c r="J565" s="9">
        <v>5309</v>
      </c>
      <c r="K565" s="9" t="s">
        <v>41</v>
      </c>
      <c r="L565" s="9">
        <v>5309060</v>
      </c>
      <c r="M565" s="9">
        <v>5309060028</v>
      </c>
      <c r="N565" s="9" t="s">
        <v>42</v>
      </c>
      <c r="O565" s="9">
        <v>10710</v>
      </c>
      <c r="P565" s="9" t="s">
        <v>2193</v>
      </c>
      <c r="Q565" s="10">
        <v>1</v>
      </c>
      <c r="R565" s="10">
        <v>0</v>
      </c>
      <c r="S565" s="10">
        <v>13000000</v>
      </c>
      <c r="T565" s="10">
        <v>0</v>
      </c>
      <c r="U565" s="10">
        <v>1300000</v>
      </c>
      <c r="V565" s="10">
        <v>0</v>
      </c>
      <c r="W565" s="10">
        <v>14300000</v>
      </c>
      <c r="X565" s="10">
        <v>16200000</v>
      </c>
      <c r="Y565" s="10">
        <v>0</v>
      </c>
      <c r="Z565" s="10">
        <v>1900000</v>
      </c>
      <c r="AA565" s="10">
        <v>900000</v>
      </c>
      <c r="AB565" s="10">
        <v>16200000</v>
      </c>
      <c r="AC565" s="10">
        <v>0</v>
      </c>
      <c r="AD565" s="9" t="s">
        <v>44</v>
      </c>
      <c r="AE565" s="10" t="s">
        <v>2583</v>
      </c>
      <c r="AF565" s="10">
        <v>16200000</v>
      </c>
      <c r="AG565" s="10">
        <v>1</v>
      </c>
      <c r="AH565" s="10">
        <v>1</v>
      </c>
      <c r="AI565" s="10">
        <v>1</v>
      </c>
      <c r="AJ565" s="12" t="s">
        <v>2194</v>
      </c>
      <c r="AK565" s="10">
        <v>0</v>
      </c>
      <c r="AL565" s="10">
        <v>0</v>
      </c>
      <c r="AM565" s="9">
        <v>2014</v>
      </c>
      <c r="AN565" s="10">
        <v>0</v>
      </c>
      <c r="AO565" s="10">
        <v>1</v>
      </c>
      <c r="AP565" s="10"/>
      <c r="AQ565" s="5"/>
      <c r="AR565" s="5"/>
      <c r="AS565" s="4">
        <f t="shared" si="24"/>
        <v>14300000</v>
      </c>
      <c r="AT565" s="4">
        <f t="shared" si="25"/>
        <v>9395996.0437911395</v>
      </c>
      <c r="AU565" s="4">
        <f t="shared" si="26"/>
        <v>6804003.9562088605</v>
      </c>
      <c r="AV565" s="9" t="s">
        <v>2193</v>
      </c>
      <c r="AW565" s="12" t="s">
        <v>2194</v>
      </c>
      <c r="AX565" s="10">
        <v>0</v>
      </c>
      <c r="AY565">
        <f>S565*AU565/AS565</f>
        <v>6185458.142008055</v>
      </c>
      <c r="AZ565">
        <f>AU565-AY565</f>
        <v>618545.8142008055</v>
      </c>
      <c r="BA565" s="10">
        <v>16200000</v>
      </c>
      <c r="BB565" s="10">
        <v>0</v>
      </c>
      <c r="BC565" s="9" t="s">
        <v>42</v>
      </c>
      <c r="BD565" s="9">
        <v>10710</v>
      </c>
      <c r="BE565" t="s">
        <v>46</v>
      </c>
    </row>
    <row r="566" spans="1:57" ht="270.75" thickBot="1" x14ac:dyDescent="0.3">
      <c r="A566" s="9" t="s">
        <v>2195</v>
      </c>
      <c r="B566" s="9">
        <v>1002</v>
      </c>
      <c r="C566" s="10">
        <v>2</v>
      </c>
      <c r="D566" s="9" t="s">
        <v>37</v>
      </c>
      <c r="E566" s="11">
        <v>46269.029694131947</v>
      </c>
      <c r="F566" s="9" t="s">
        <v>2196</v>
      </c>
      <c r="G566" s="9" t="s">
        <v>39</v>
      </c>
      <c r="H566" s="9">
        <v>53</v>
      </c>
      <c r="I566" s="9" t="s">
        <v>40</v>
      </c>
      <c r="J566" s="9">
        <v>5309</v>
      </c>
      <c r="K566" s="9" t="s">
        <v>41</v>
      </c>
      <c r="L566" s="9">
        <v>5309074</v>
      </c>
      <c r="M566" s="9">
        <v>5309074004</v>
      </c>
      <c r="N566" s="9" t="s">
        <v>42</v>
      </c>
      <c r="O566" s="9">
        <v>10710</v>
      </c>
      <c r="P566" s="9" t="s">
        <v>2197</v>
      </c>
      <c r="Q566" s="10">
        <v>1</v>
      </c>
      <c r="R566" s="10">
        <v>0</v>
      </c>
      <c r="S566" s="10">
        <v>1000000</v>
      </c>
      <c r="T566" s="10">
        <v>0</v>
      </c>
      <c r="U566" s="10">
        <v>1500000</v>
      </c>
      <c r="V566" s="10">
        <v>0</v>
      </c>
      <c r="W566" s="10">
        <v>2500000</v>
      </c>
      <c r="X566" s="10">
        <v>12000000</v>
      </c>
      <c r="Y566" s="10">
        <v>0</v>
      </c>
      <c r="Z566" s="10">
        <v>9500000</v>
      </c>
      <c r="AA566" s="10">
        <v>8500000</v>
      </c>
      <c r="AB566" s="10">
        <v>12000000</v>
      </c>
      <c r="AC566" s="10">
        <v>0</v>
      </c>
      <c r="AD566" s="9" t="s">
        <v>44</v>
      </c>
      <c r="AE566" s="10" t="s">
        <v>2518</v>
      </c>
      <c r="AF566" s="10">
        <v>12000000</v>
      </c>
      <c r="AG566" s="10">
        <v>1</v>
      </c>
      <c r="AH566" s="10">
        <v>1</v>
      </c>
      <c r="AI566" s="10">
        <v>1</v>
      </c>
      <c r="AJ566" s="12" t="s">
        <v>2198</v>
      </c>
      <c r="AK566" s="10">
        <v>0</v>
      </c>
      <c r="AL566" s="10">
        <v>0</v>
      </c>
      <c r="AM566" s="9">
        <v>2016</v>
      </c>
      <c r="AN566" s="10">
        <v>0</v>
      </c>
      <c r="AO566" s="10">
        <v>1</v>
      </c>
      <c r="AP566" s="10"/>
      <c r="AQ566" s="5"/>
      <c r="AR566" s="5"/>
      <c r="AS566" s="4">
        <f t="shared" si="24"/>
        <v>2500000</v>
      </c>
      <c r="AT566" s="4">
        <f t="shared" si="25"/>
        <v>6959997.0694749178</v>
      </c>
      <c r="AU566" s="4">
        <f t="shared" si="26"/>
        <v>5040002.9305250822</v>
      </c>
      <c r="AV566" s="9" t="s">
        <v>2197</v>
      </c>
      <c r="AW566" s="12" t="s">
        <v>2198</v>
      </c>
      <c r="AX566" s="10">
        <v>0</v>
      </c>
      <c r="AY566">
        <f>S566*AU566/AS566</f>
        <v>2016001.1722100328</v>
      </c>
      <c r="AZ566">
        <f>AU566-AY566</f>
        <v>3024001.7583150491</v>
      </c>
      <c r="BA566" s="10">
        <v>12000000</v>
      </c>
      <c r="BB566" s="10">
        <v>0</v>
      </c>
      <c r="BC566" s="9" t="s">
        <v>42</v>
      </c>
      <c r="BD566" s="9">
        <v>10710</v>
      </c>
      <c r="BE566" t="s">
        <v>46</v>
      </c>
    </row>
    <row r="567" spans="1:57" ht="270.75" thickBot="1" x14ac:dyDescent="0.3">
      <c r="A567" s="9" t="s">
        <v>2199</v>
      </c>
      <c r="B567" s="9">
        <v>1002</v>
      </c>
      <c r="C567" s="10">
        <v>2</v>
      </c>
      <c r="D567" s="9" t="s">
        <v>37</v>
      </c>
      <c r="E567" s="11">
        <v>46293.103480902777</v>
      </c>
      <c r="F567" s="9" t="s">
        <v>2200</v>
      </c>
      <c r="G567" s="9" t="s">
        <v>39</v>
      </c>
      <c r="H567" s="9">
        <v>53</v>
      </c>
      <c r="I567" s="9" t="s">
        <v>40</v>
      </c>
      <c r="J567" s="9">
        <v>5309</v>
      </c>
      <c r="K567" s="9" t="s">
        <v>41</v>
      </c>
      <c r="L567" s="9">
        <v>5309021</v>
      </c>
      <c r="M567" s="9">
        <v>5309021003</v>
      </c>
      <c r="N567" s="9" t="s">
        <v>42</v>
      </c>
      <c r="O567" s="9">
        <v>10710</v>
      </c>
      <c r="P567" s="9" t="s">
        <v>2201</v>
      </c>
      <c r="Q567" s="10">
        <v>2</v>
      </c>
      <c r="R567" s="10">
        <v>0</v>
      </c>
      <c r="S567" s="10">
        <v>500000</v>
      </c>
      <c r="T567" s="10">
        <v>0</v>
      </c>
      <c r="U567" s="10">
        <v>100000</v>
      </c>
      <c r="V567" s="10">
        <v>0</v>
      </c>
      <c r="W567" s="10">
        <v>600000</v>
      </c>
      <c r="X567" s="10">
        <v>2523000</v>
      </c>
      <c r="Y567" s="10">
        <v>0</v>
      </c>
      <c r="Z567" s="10">
        <v>1923000</v>
      </c>
      <c r="AA567" s="10">
        <v>100300000</v>
      </c>
      <c r="AB567" s="10">
        <v>2523000</v>
      </c>
      <c r="AC567" s="10">
        <v>0</v>
      </c>
      <c r="AD567" s="9" t="s">
        <v>44</v>
      </c>
      <c r="AE567" s="10" t="s">
        <v>2584</v>
      </c>
      <c r="AF567" s="10">
        <v>1261500</v>
      </c>
      <c r="AG567" s="10">
        <v>1</v>
      </c>
      <c r="AH567" s="10">
        <v>1</v>
      </c>
      <c r="AI567" s="10">
        <v>1</v>
      </c>
      <c r="AJ567" s="12" t="s">
        <v>2202</v>
      </c>
      <c r="AK567" s="10">
        <v>0</v>
      </c>
      <c r="AL567" s="10">
        <v>0</v>
      </c>
      <c r="AM567" s="9">
        <v>2008</v>
      </c>
      <c r="AN567" s="10">
        <v>0</v>
      </c>
      <c r="AO567" s="10">
        <v>2</v>
      </c>
      <c r="AP567" s="10"/>
      <c r="AQ567" s="5"/>
      <c r="AR567" s="5"/>
      <c r="AS567" s="4">
        <f t="shared" si="24"/>
        <v>600000</v>
      </c>
      <c r="AT567" s="4">
        <f t="shared" si="25"/>
        <v>1463339.7534466563</v>
      </c>
      <c r="AU567" s="4">
        <f t="shared" si="26"/>
        <v>1059660.2465533437</v>
      </c>
      <c r="AV567" s="9" t="s">
        <v>2201</v>
      </c>
      <c r="AW567" s="12" t="s">
        <v>2202</v>
      </c>
      <c r="AX567" s="10">
        <v>0</v>
      </c>
      <c r="AY567">
        <f>S567*AU567/AS567</f>
        <v>883050.20546111977</v>
      </c>
      <c r="AZ567">
        <f>AU567-AY567</f>
        <v>176610.04109222395</v>
      </c>
      <c r="BA567" s="10">
        <v>2523000</v>
      </c>
      <c r="BB567" s="10">
        <v>0</v>
      </c>
      <c r="BC567" s="9" t="s">
        <v>42</v>
      </c>
      <c r="BD567" s="9">
        <v>10710</v>
      </c>
      <c r="BE567" t="s">
        <v>46</v>
      </c>
    </row>
    <row r="568" spans="1:57" ht="270.75" thickBot="1" x14ac:dyDescent="0.3">
      <c r="A568" s="9" t="s">
        <v>2203</v>
      </c>
      <c r="B568" s="9">
        <v>1001</v>
      </c>
      <c r="C568" s="10">
        <v>2</v>
      </c>
      <c r="D568" s="9" t="s">
        <v>37</v>
      </c>
      <c r="E568" s="11">
        <v>46261.022903888887</v>
      </c>
      <c r="F568" s="9" t="s">
        <v>2204</v>
      </c>
      <c r="G568" s="9" t="s">
        <v>39</v>
      </c>
      <c r="H568" s="9">
        <v>53</v>
      </c>
      <c r="I568" s="9" t="s">
        <v>40</v>
      </c>
      <c r="J568" s="9">
        <v>5309</v>
      </c>
      <c r="K568" s="9" t="s">
        <v>41</v>
      </c>
      <c r="L568" s="9">
        <v>5309030</v>
      </c>
      <c r="M568" s="9">
        <v>5309030013</v>
      </c>
      <c r="N568" s="9" t="s">
        <v>42</v>
      </c>
      <c r="O568" s="9">
        <v>10710</v>
      </c>
      <c r="P568" s="9" t="s">
        <v>2205</v>
      </c>
      <c r="Q568" s="10">
        <v>1</v>
      </c>
      <c r="R568" s="10">
        <v>0</v>
      </c>
      <c r="S568" s="10">
        <v>25200000</v>
      </c>
      <c r="T568" s="10">
        <v>0</v>
      </c>
      <c r="U568" s="10">
        <v>3600000</v>
      </c>
      <c r="V568" s="10">
        <v>0</v>
      </c>
      <c r="W568" s="10">
        <v>28800000</v>
      </c>
      <c r="X568" s="10">
        <v>33600000</v>
      </c>
      <c r="Y568" s="10">
        <v>0</v>
      </c>
      <c r="Z568" s="10">
        <v>4800000</v>
      </c>
      <c r="AA568" s="10">
        <v>6500000</v>
      </c>
      <c r="AB568" s="10">
        <v>33600000</v>
      </c>
      <c r="AC568" s="10">
        <v>0</v>
      </c>
      <c r="AD568" s="9" t="s">
        <v>44</v>
      </c>
      <c r="AE568" s="10" t="s">
        <v>2523</v>
      </c>
      <c r="AF568" s="10">
        <v>33600000</v>
      </c>
      <c r="AG568" s="10">
        <v>1</v>
      </c>
      <c r="AH568" s="10">
        <v>1</v>
      </c>
      <c r="AI568" s="10">
        <v>1</v>
      </c>
      <c r="AJ568" s="12" t="s">
        <v>2206</v>
      </c>
      <c r="AK568" s="10">
        <v>0</v>
      </c>
      <c r="AL568" s="10">
        <v>0</v>
      </c>
      <c r="AM568" s="9">
        <v>2021</v>
      </c>
      <c r="AN568" s="10">
        <v>0</v>
      </c>
      <c r="AO568" s="10">
        <v>1</v>
      </c>
      <c r="AP568" s="10"/>
      <c r="AQ568" s="5"/>
      <c r="AR568" s="5"/>
      <c r="AS568" s="4">
        <f t="shared" si="24"/>
        <v>28800000</v>
      </c>
      <c r="AT568" s="4">
        <f t="shared" si="25"/>
        <v>19488019.488019485</v>
      </c>
      <c r="AU568" s="4">
        <f t="shared" si="26"/>
        <v>14111980.511980515</v>
      </c>
      <c r="AV568" s="9" t="s">
        <v>2205</v>
      </c>
      <c r="AW568" s="12" t="s">
        <v>2206</v>
      </c>
      <c r="AX568" s="10">
        <v>0</v>
      </c>
      <c r="AY568">
        <f>S568*AU568/AS568</f>
        <v>12347982.947982952</v>
      </c>
      <c r="AZ568">
        <f>AU568-AY568</f>
        <v>1763997.563997563</v>
      </c>
      <c r="BA568" s="10">
        <v>33600000</v>
      </c>
      <c r="BB568" s="10">
        <v>0</v>
      </c>
      <c r="BC568" s="9" t="s">
        <v>42</v>
      </c>
      <c r="BD568" s="9">
        <v>10710</v>
      </c>
      <c r="BE568" t="s">
        <v>46</v>
      </c>
    </row>
    <row r="569" spans="1:57" ht="270.75" thickBot="1" x14ac:dyDescent="0.3">
      <c r="A569" s="9" t="s">
        <v>2207</v>
      </c>
      <c r="B569" s="9">
        <v>1002</v>
      </c>
      <c r="C569" s="10">
        <v>2</v>
      </c>
      <c r="D569" s="9" t="s">
        <v>37</v>
      </c>
      <c r="E569" s="11">
        <v>46293.073932199077</v>
      </c>
      <c r="F569" s="9" t="s">
        <v>2208</v>
      </c>
      <c r="G569" s="9" t="s">
        <v>39</v>
      </c>
      <c r="H569" s="9">
        <v>53</v>
      </c>
      <c r="I569" s="9" t="s">
        <v>40</v>
      </c>
      <c r="J569" s="9">
        <v>5309</v>
      </c>
      <c r="K569" s="9" t="s">
        <v>41</v>
      </c>
      <c r="L569" s="9">
        <v>5309030</v>
      </c>
      <c r="M569" s="9">
        <v>5309030022</v>
      </c>
      <c r="N569" s="9" t="s">
        <v>42</v>
      </c>
      <c r="O569" s="9">
        <v>10710</v>
      </c>
      <c r="P569" s="9" t="s">
        <v>2209</v>
      </c>
      <c r="Q569" s="10">
        <v>1</v>
      </c>
      <c r="R569" s="10">
        <v>0</v>
      </c>
      <c r="S569" s="10">
        <v>2400000</v>
      </c>
      <c r="T569" s="10">
        <v>0</v>
      </c>
      <c r="U569" s="10">
        <v>500000</v>
      </c>
      <c r="V569" s="10">
        <v>0</v>
      </c>
      <c r="W569" s="10">
        <v>2900000</v>
      </c>
      <c r="X569" s="10">
        <v>3200000</v>
      </c>
      <c r="Y569" s="10">
        <v>0</v>
      </c>
      <c r="Z569" s="10">
        <v>300000</v>
      </c>
      <c r="AA569" s="10">
        <v>500000</v>
      </c>
      <c r="AB569" s="10">
        <v>3200000</v>
      </c>
      <c r="AC569" s="10">
        <v>0</v>
      </c>
      <c r="AD569" s="9" t="s">
        <v>44</v>
      </c>
      <c r="AE569" s="10" t="s">
        <v>2585</v>
      </c>
      <c r="AF569" s="10">
        <v>3200000</v>
      </c>
      <c r="AG569" s="10">
        <v>1</v>
      </c>
      <c r="AH569" s="10">
        <v>1</v>
      </c>
      <c r="AI569" s="10">
        <v>1</v>
      </c>
      <c r="AJ569" s="12" t="s">
        <v>2210</v>
      </c>
      <c r="AK569" s="10">
        <v>0</v>
      </c>
      <c r="AL569" s="10">
        <v>0</v>
      </c>
      <c r="AM569" s="9">
        <v>2020</v>
      </c>
      <c r="AN569" s="10">
        <v>0</v>
      </c>
      <c r="AO569" s="10">
        <v>1</v>
      </c>
      <c r="AP569" s="10"/>
      <c r="AQ569" s="5"/>
      <c r="AR569" s="5"/>
      <c r="AS569" s="4">
        <f t="shared" si="24"/>
        <v>2900000</v>
      </c>
      <c r="AT569" s="4">
        <f t="shared" si="25"/>
        <v>1856000</v>
      </c>
      <c r="AU569" s="4">
        <f t="shared" si="26"/>
        <v>1344000</v>
      </c>
      <c r="AV569" s="9" t="s">
        <v>2209</v>
      </c>
      <c r="AW569" s="12" t="s">
        <v>2210</v>
      </c>
      <c r="AX569" s="10">
        <v>0</v>
      </c>
      <c r="AY569">
        <f>S569*AU569/AS569</f>
        <v>1112275.8620689656</v>
      </c>
      <c r="AZ569">
        <f>AU569-AY569</f>
        <v>231724.13793103443</v>
      </c>
      <c r="BA569" s="10">
        <v>3200000</v>
      </c>
      <c r="BB569" s="10">
        <v>0</v>
      </c>
      <c r="BC569" s="9" t="s">
        <v>42</v>
      </c>
      <c r="BD569" s="9">
        <v>10710</v>
      </c>
      <c r="BE569" t="s">
        <v>46</v>
      </c>
    </row>
    <row r="570" spans="1:57" ht="270.75" thickBot="1" x14ac:dyDescent="0.3">
      <c r="A570" s="9" t="s">
        <v>2211</v>
      </c>
      <c r="B570" s="9">
        <v>3002</v>
      </c>
      <c r="C570" s="10">
        <v>2</v>
      </c>
      <c r="D570" s="9" t="s">
        <v>37</v>
      </c>
      <c r="E570" s="11">
        <v>46217.446061377312</v>
      </c>
      <c r="F570" s="9" t="s">
        <v>2212</v>
      </c>
      <c r="G570" s="9" t="s">
        <v>39</v>
      </c>
      <c r="H570" s="9">
        <v>53</v>
      </c>
      <c r="I570" s="9" t="s">
        <v>40</v>
      </c>
      <c r="J570" s="9">
        <v>5309</v>
      </c>
      <c r="K570" s="9" t="s">
        <v>41</v>
      </c>
      <c r="L570" s="9">
        <v>5309031</v>
      </c>
      <c r="M570" s="9">
        <v>5309031008</v>
      </c>
      <c r="N570" s="9" t="s">
        <v>42</v>
      </c>
      <c r="O570" s="9">
        <v>10710</v>
      </c>
      <c r="P570" s="9" t="s">
        <v>2213</v>
      </c>
      <c r="Q570" s="10">
        <v>2</v>
      </c>
      <c r="R570" s="10">
        <v>0</v>
      </c>
      <c r="S570" s="10">
        <v>40000</v>
      </c>
      <c r="T570" s="10">
        <v>0</v>
      </c>
      <c r="U570" s="10">
        <v>200000</v>
      </c>
      <c r="V570" s="10">
        <v>0</v>
      </c>
      <c r="W570" s="10">
        <v>240000</v>
      </c>
      <c r="X570" s="10">
        <v>18000000</v>
      </c>
      <c r="Y570" s="10">
        <v>0</v>
      </c>
      <c r="Z570" s="10">
        <v>17760000</v>
      </c>
      <c r="AA570" s="10">
        <v>200000</v>
      </c>
      <c r="AB570" s="10">
        <v>18000000</v>
      </c>
      <c r="AC570" s="10">
        <v>0</v>
      </c>
      <c r="AD570" s="9" t="s">
        <v>44</v>
      </c>
      <c r="AE570" s="10" t="s">
        <v>2316</v>
      </c>
      <c r="AF570" s="10">
        <v>9000000</v>
      </c>
      <c r="AG570" s="10">
        <v>1</v>
      </c>
      <c r="AH570" s="10">
        <v>1</v>
      </c>
      <c r="AI570" s="10">
        <v>1</v>
      </c>
      <c r="AJ570" s="12" t="s">
        <v>2214</v>
      </c>
      <c r="AK570" s="10">
        <v>0</v>
      </c>
      <c r="AL570" s="10">
        <v>0</v>
      </c>
      <c r="AM570" s="9">
        <v>2008</v>
      </c>
      <c r="AN570" s="10">
        <v>0</v>
      </c>
      <c r="AO570" s="10">
        <v>2</v>
      </c>
      <c r="AP570" s="17"/>
      <c r="AQ570" s="16"/>
      <c r="AR570" s="16"/>
      <c r="AS570" s="4">
        <f t="shared" si="24"/>
        <v>240000</v>
      </c>
      <c r="AT570" s="4">
        <f t="shared" si="25"/>
        <v>10439996.472974164</v>
      </c>
      <c r="AU570" s="4">
        <f t="shared" si="26"/>
        <v>7560003.5270258356</v>
      </c>
      <c r="AV570" s="9" t="s">
        <v>2213</v>
      </c>
      <c r="AW570" s="12" t="s">
        <v>2214</v>
      </c>
      <c r="AX570" s="10">
        <v>0</v>
      </c>
      <c r="AY570">
        <f>S570*AU570/AS570</f>
        <v>1260000.5878376393</v>
      </c>
      <c r="AZ570">
        <f>AU570-AY570</f>
        <v>6300002.9391881963</v>
      </c>
      <c r="BA570" s="10">
        <v>18000000</v>
      </c>
      <c r="BB570" s="10">
        <v>0</v>
      </c>
      <c r="BC570" s="9" t="s">
        <v>42</v>
      </c>
      <c r="BD570" s="9">
        <v>10710</v>
      </c>
      <c r="BE570" t="s">
        <v>46</v>
      </c>
    </row>
    <row r="571" spans="1:57" ht="270.75" thickBot="1" x14ac:dyDescent="0.3">
      <c r="A571" s="9" t="s">
        <v>2215</v>
      </c>
      <c r="B571" s="9">
        <v>1002</v>
      </c>
      <c r="C571" s="10">
        <v>2</v>
      </c>
      <c r="D571" s="9" t="s">
        <v>37</v>
      </c>
      <c r="E571" s="11">
        <v>46271.599788680556</v>
      </c>
      <c r="F571" s="9" t="s">
        <v>2216</v>
      </c>
      <c r="G571" s="9" t="s">
        <v>39</v>
      </c>
      <c r="H571" s="9">
        <v>53</v>
      </c>
      <c r="I571" s="9" t="s">
        <v>40</v>
      </c>
      <c r="J571" s="9">
        <v>5309</v>
      </c>
      <c r="K571" s="9" t="s">
        <v>41</v>
      </c>
      <c r="L571" s="9">
        <v>5309030</v>
      </c>
      <c r="M571" s="9">
        <v>5309030012</v>
      </c>
      <c r="N571" s="9" t="s">
        <v>42</v>
      </c>
      <c r="O571" s="9">
        <v>10710</v>
      </c>
      <c r="P571" s="9" t="s">
        <v>2217</v>
      </c>
      <c r="Q571" s="10">
        <v>1</v>
      </c>
      <c r="R571" s="10">
        <v>0</v>
      </c>
      <c r="S571" s="10">
        <v>6000000</v>
      </c>
      <c r="T571" s="10">
        <v>0</v>
      </c>
      <c r="U571" s="10">
        <v>500000</v>
      </c>
      <c r="V571" s="10">
        <v>0</v>
      </c>
      <c r="W571" s="10">
        <v>6500000</v>
      </c>
      <c r="X571" s="10">
        <v>21600000</v>
      </c>
      <c r="Y571" s="10">
        <v>0</v>
      </c>
      <c r="Z571" s="10">
        <v>15100000</v>
      </c>
      <c r="AA571" s="10">
        <v>6000000</v>
      </c>
      <c r="AB571" s="10">
        <v>21600000</v>
      </c>
      <c r="AC571" s="10">
        <v>0</v>
      </c>
      <c r="AD571" s="9" t="s">
        <v>44</v>
      </c>
      <c r="AE571" s="10" t="s">
        <v>2586</v>
      </c>
      <c r="AF571" s="10">
        <v>21600000</v>
      </c>
      <c r="AG571" s="10">
        <v>1</v>
      </c>
      <c r="AH571" s="10">
        <v>1</v>
      </c>
      <c r="AI571" s="10">
        <v>1</v>
      </c>
      <c r="AJ571" s="12" t="s">
        <v>2218</v>
      </c>
      <c r="AK571" s="10">
        <v>0</v>
      </c>
      <c r="AL571" s="10">
        <v>0</v>
      </c>
      <c r="AM571" s="9">
        <v>1997</v>
      </c>
      <c r="AN571" s="10">
        <v>0</v>
      </c>
      <c r="AO571" s="10">
        <v>1</v>
      </c>
      <c r="AP571" s="17"/>
      <c r="AQ571" s="16"/>
      <c r="AR571" s="16"/>
      <c r="AS571" s="4">
        <f t="shared" si="24"/>
        <v>6500000</v>
      </c>
      <c r="AT571" s="4">
        <f t="shared" si="25"/>
        <v>12528001.32747034</v>
      </c>
      <c r="AU571" s="4">
        <f t="shared" si="26"/>
        <v>9071998.6725296602</v>
      </c>
      <c r="AV571" s="9" t="s">
        <v>2217</v>
      </c>
      <c r="AW571" s="12" t="s">
        <v>2218</v>
      </c>
      <c r="AX571" s="10">
        <v>0</v>
      </c>
      <c r="AY571">
        <f>S571*AU571/AS571</f>
        <v>8374152.6207966097</v>
      </c>
      <c r="AZ571">
        <f>AU571-AY571</f>
        <v>697846.0517330505</v>
      </c>
      <c r="BA571" s="10">
        <v>21600000</v>
      </c>
      <c r="BB571" s="10">
        <v>0</v>
      </c>
      <c r="BC571" s="9" t="s">
        <v>42</v>
      </c>
      <c r="BD571" s="9">
        <v>10710</v>
      </c>
      <c r="BE571" t="s">
        <v>46</v>
      </c>
    </row>
    <row r="572" spans="1:57" ht="270.75" thickBot="1" x14ac:dyDescent="0.3">
      <c r="A572" s="9" t="s">
        <v>2219</v>
      </c>
      <c r="B572" s="9">
        <v>3001</v>
      </c>
      <c r="C572" s="10">
        <v>2</v>
      </c>
      <c r="D572" s="9" t="s">
        <v>37</v>
      </c>
      <c r="E572" s="11">
        <v>46225.17728640046</v>
      </c>
      <c r="F572" s="9" t="s">
        <v>2220</v>
      </c>
      <c r="G572" s="9" t="s">
        <v>39</v>
      </c>
      <c r="H572" s="9">
        <v>53</v>
      </c>
      <c r="I572" s="9" t="s">
        <v>40</v>
      </c>
      <c r="J572" s="9">
        <v>5309</v>
      </c>
      <c r="K572" s="9" t="s">
        <v>41</v>
      </c>
      <c r="L572" s="9">
        <v>5309074</v>
      </c>
      <c r="M572" s="9">
        <v>5309074004</v>
      </c>
      <c r="N572" s="9" t="s">
        <v>42</v>
      </c>
      <c r="O572" s="9">
        <v>10710</v>
      </c>
      <c r="P572" s="9" t="s">
        <v>2221</v>
      </c>
      <c r="Q572" s="10">
        <v>1</v>
      </c>
      <c r="R572" s="10">
        <v>0</v>
      </c>
      <c r="S572" s="10">
        <v>1000000</v>
      </c>
      <c r="T572" s="10">
        <v>0</v>
      </c>
      <c r="U572" s="10">
        <v>1200000</v>
      </c>
      <c r="V572" s="10">
        <v>0</v>
      </c>
      <c r="W572" s="10">
        <v>2200000</v>
      </c>
      <c r="X572" s="10">
        <v>12000000</v>
      </c>
      <c r="Y572" s="10">
        <v>0</v>
      </c>
      <c r="Z572" s="10">
        <v>9800000</v>
      </c>
      <c r="AA572" s="10">
        <v>4000000</v>
      </c>
      <c r="AB572" s="10">
        <v>12000000</v>
      </c>
      <c r="AC572" s="10">
        <v>0</v>
      </c>
      <c r="AD572" s="9" t="s">
        <v>44</v>
      </c>
      <c r="AE572" s="10" t="s">
        <v>2566</v>
      </c>
      <c r="AF572" s="10">
        <v>12000000</v>
      </c>
      <c r="AG572" s="10">
        <v>1</v>
      </c>
      <c r="AH572" s="10">
        <v>1</v>
      </c>
      <c r="AI572" s="10">
        <v>1</v>
      </c>
      <c r="AJ572" s="12" t="s">
        <v>2222</v>
      </c>
      <c r="AK572" s="10">
        <v>0</v>
      </c>
      <c r="AL572" s="10">
        <v>0</v>
      </c>
      <c r="AM572" s="9">
        <v>2013</v>
      </c>
      <c r="AN572" s="10">
        <v>0</v>
      </c>
      <c r="AO572" s="10">
        <v>1</v>
      </c>
      <c r="AP572" s="17"/>
      <c r="AQ572" s="16"/>
      <c r="AR572" s="16"/>
      <c r="AS572" s="4">
        <f t="shared" si="24"/>
        <v>2200000</v>
      </c>
      <c r="AT572" s="4">
        <f t="shared" si="25"/>
        <v>6959997.1591848331</v>
      </c>
      <c r="AU572" s="4">
        <f t="shared" si="26"/>
        <v>5040002.8408151669</v>
      </c>
      <c r="AV572" s="9" t="s">
        <v>2221</v>
      </c>
      <c r="AW572" s="12" t="s">
        <v>2222</v>
      </c>
      <c r="AX572" s="10">
        <v>0</v>
      </c>
      <c r="AY572">
        <f>S572*AU572/AS572</f>
        <v>2290910.3821887122</v>
      </c>
      <c r="AZ572">
        <f>AU572-AY572</f>
        <v>2749092.4586264547</v>
      </c>
      <c r="BA572" s="10">
        <v>12000000</v>
      </c>
      <c r="BB572" s="10">
        <v>0</v>
      </c>
      <c r="BC572" s="9" t="s">
        <v>42</v>
      </c>
      <c r="BD572" s="9">
        <v>10710</v>
      </c>
      <c r="BE572" t="s">
        <v>46</v>
      </c>
    </row>
    <row r="573" spans="1:57" ht="15.75" thickBot="1" x14ac:dyDescent="0.3">
      <c r="A573" s="16"/>
      <c r="B573" s="16"/>
      <c r="C573" s="17"/>
      <c r="D573" s="16"/>
      <c r="E573" s="18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6"/>
      <c r="AE573" s="17"/>
      <c r="AF573" s="17"/>
      <c r="AG573" s="17"/>
      <c r="AH573" s="17"/>
      <c r="AI573" s="17"/>
      <c r="AJ573" s="17"/>
      <c r="AK573" s="19"/>
      <c r="AL573" s="17"/>
      <c r="AM573" s="17"/>
      <c r="AN573" s="16"/>
      <c r="AO573" s="17"/>
      <c r="AP573" s="17"/>
      <c r="AQ573" s="16"/>
      <c r="AR573" s="16"/>
      <c r="AS573" s="22"/>
      <c r="AT573" s="22"/>
      <c r="AU573" s="22"/>
    </row>
  </sheetData>
  <autoFilter ref="A1:BG572" xr:uid="{44B51AA4-1FE2-463A-B1DE-2BBEF95278AD}"/>
  <hyperlinks>
    <hyperlink ref="AJ2" r:id="rId1" xr:uid="{2C777E37-A0A7-423B-943B-FB5CA52D1F16}"/>
    <hyperlink ref="AJ3" r:id="rId2" xr:uid="{100BF49D-E28C-40A7-B357-4A9F921C4F09}"/>
    <hyperlink ref="AJ4" r:id="rId3" xr:uid="{DA24C5A6-380B-4D0C-BA52-1B120EF07113}"/>
    <hyperlink ref="AJ5" r:id="rId4" xr:uid="{E95055DA-42E8-4CF6-B942-7FD2E0526CE1}"/>
    <hyperlink ref="AJ6" r:id="rId5" xr:uid="{B7B844DB-9B0C-4675-8CF2-97537B95C4FA}"/>
    <hyperlink ref="AJ7" r:id="rId6" xr:uid="{CBB0FAFA-96E9-4714-9475-E2E8B323D175}"/>
    <hyperlink ref="AJ8" r:id="rId7" xr:uid="{0E66ED00-244E-4192-B767-34DFB2D8C1C9}"/>
    <hyperlink ref="AJ9" r:id="rId8" xr:uid="{EDA14389-AA94-418F-BD44-33C593D7744E}"/>
    <hyperlink ref="AJ10" r:id="rId9" xr:uid="{A20722CB-4175-42A1-A3BA-06EBDBA7636A}"/>
    <hyperlink ref="AJ11" r:id="rId10" xr:uid="{C85216E0-CC63-4342-8BCE-1D503A9CA114}"/>
    <hyperlink ref="AJ12" r:id="rId11" xr:uid="{EEFE12D3-9212-48B1-9947-5D69CF4E70CF}"/>
    <hyperlink ref="AJ13" r:id="rId12" xr:uid="{E1F04BCC-99C9-4313-BA0B-5B2D4CF0A8FD}"/>
    <hyperlink ref="AJ14" r:id="rId13" xr:uid="{EFE28943-DDCD-47E7-B397-41263C351508}"/>
    <hyperlink ref="AJ15" r:id="rId14" xr:uid="{89DAB36E-AA27-4ADF-90B3-743985E6C6C2}"/>
    <hyperlink ref="AJ16" r:id="rId15" xr:uid="{51C7430F-BFF3-4AA8-9864-8DE179C27CBE}"/>
    <hyperlink ref="AJ17" r:id="rId16" xr:uid="{81A03D4C-C88A-4995-940E-FD8CCE3A8F32}"/>
    <hyperlink ref="AJ18" r:id="rId17" xr:uid="{A0C65076-403C-4B74-80CA-0655B5B3FA8A}"/>
    <hyperlink ref="AJ19" r:id="rId18" xr:uid="{C6A26C25-21FF-4001-8238-E13A9D6B0F9E}"/>
    <hyperlink ref="AJ20" r:id="rId19" xr:uid="{F0C9EE61-B35A-41B0-9C3F-80AB0B9C5BE3}"/>
    <hyperlink ref="AJ21" r:id="rId20" xr:uid="{904F4A33-700F-471E-8AA8-03271E5AF794}"/>
    <hyperlink ref="AJ22" r:id="rId21" xr:uid="{1811AA7A-4742-44F6-991D-DEA4F92D3F59}"/>
    <hyperlink ref="AJ23" r:id="rId22" xr:uid="{6C59F2BA-0C99-4CA3-AA58-B662D1DEC8A7}"/>
    <hyperlink ref="AJ24" r:id="rId23" xr:uid="{9001D63E-98D7-4C69-92EC-F08EA2FFB2F9}"/>
    <hyperlink ref="AJ25" r:id="rId24" xr:uid="{762A0552-CE3E-4FF7-8FC6-9DFF51FC4BBB}"/>
    <hyperlink ref="AJ26" r:id="rId25" xr:uid="{D2CC0265-50EE-4656-9FE8-28231EF662C3}"/>
    <hyperlink ref="AJ27" r:id="rId26" xr:uid="{4921CE5B-AF98-4ADA-928D-77A98362C66D}"/>
    <hyperlink ref="AJ28" r:id="rId27" xr:uid="{4483CCC3-EFF7-4A4E-8DEF-73EAEC208D38}"/>
    <hyperlink ref="AJ29" r:id="rId28" xr:uid="{023FA85A-7199-4D21-8C99-5A75455F0367}"/>
    <hyperlink ref="AJ30" r:id="rId29" xr:uid="{BE12B2E4-D464-48CD-A90A-6DAD92C12E92}"/>
    <hyperlink ref="AJ31" r:id="rId30" xr:uid="{609448D8-BB87-4011-B6CB-77B1E578C821}"/>
    <hyperlink ref="AJ32" r:id="rId31" xr:uid="{30B2AEF1-6E36-4C66-AF4A-E818713225A4}"/>
    <hyperlink ref="AJ33" r:id="rId32" xr:uid="{E6262797-9007-4DCC-A0DF-B7F150DF50EF}"/>
    <hyperlink ref="AJ34" r:id="rId33" xr:uid="{2C23D679-AC69-49F5-ACA3-3E54AC49DD47}"/>
    <hyperlink ref="AJ35" r:id="rId34" xr:uid="{20F13B09-5619-4632-86E8-EAEF1D64A8CD}"/>
    <hyperlink ref="AJ36" r:id="rId35" xr:uid="{65800D75-36C4-4E12-AF98-23EB1C6433C3}"/>
    <hyperlink ref="AJ37" r:id="rId36" xr:uid="{B65271FE-19F2-4E29-A46C-60AB5FCDAE57}"/>
    <hyperlink ref="AJ38" r:id="rId37" xr:uid="{B559095F-5F22-4E20-A797-C0EFEE8B7CAC}"/>
    <hyperlink ref="AJ39" r:id="rId38" xr:uid="{DA437914-48F9-4E9E-8222-425A29012F16}"/>
    <hyperlink ref="AJ40" r:id="rId39" xr:uid="{F200D749-940C-4616-8769-09096C2F6C1D}"/>
    <hyperlink ref="AJ41" r:id="rId40" xr:uid="{559C090C-AE94-4B4E-BDEB-CF920D48FB70}"/>
    <hyperlink ref="AJ42" r:id="rId41" xr:uid="{EDCFDCF7-DFBF-40F8-89A3-E0324F4C3334}"/>
    <hyperlink ref="AJ43" r:id="rId42" xr:uid="{8617EF5D-68B7-4C11-8E3D-029878DCDD19}"/>
    <hyperlink ref="AJ44" r:id="rId43" xr:uid="{8D629B50-438A-4F5D-B459-8639E837CC53}"/>
    <hyperlink ref="AJ45" r:id="rId44" xr:uid="{64108763-0D2F-444B-9E8D-9487772F9919}"/>
    <hyperlink ref="AJ46" r:id="rId45" xr:uid="{59B26F28-7F91-4C8E-9B5E-87E43CA49F35}"/>
    <hyperlink ref="AJ47" r:id="rId46" xr:uid="{1536A2F4-8360-4DEF-B28B-87F37F7A6543}"/>
    <hyperlink ref="AJ48" r:id="rId47" xr:uid="{BC974568-06AD-48E8-B764-847D25AF2C85}"/>
    <hyperlink ref="AJ49" r:id="rId48" xr:uid="{FF5A1A09-4386-4395-B610-B67F4EC46CF9}"/>
    <hyperlink ref="AJ50" r:id="rId49" xr:uid="{27990775-10C8-4532-B90D-B59C32C28EEB}"/>
    <hyperlink ref="AJ51" r:id="rId50" xr:uid="{9038235D-10B3-4C27-9FE1-D7CCA18143AC}"/>
    <hyperlink ref="AJ52" r:id="rId51" xr:uid="{0EE97E99-3A50-489D-AD46-A794AFA9B66C}"/>
    <hyperlink ref="AJ53" r:id="rId52" xr:uid="{B1644420-C1AA-4526-A515-B5A7F337D7CD}"/>
    <hyperlink ref="AJ54" r:id="rId53" xr:uid="{CDF43725-2A22-4874-B98A-230D6ADB8176}"/>
    <hyperlink ref="AJ55" r:id="rId54" xr:uid="{228A009E-2D3F-44DC-ADD9-3B4201B32C1C}"/>
    <hyperlink ref="AJ56" r:id="rId55" xr:uid="{E1F05C1C-A519-4C50-AB27-E1CA139F660D}"/>
    <hyperlink ref="AJ57" r:id="rId56" xr:uid="{DA45CC6D-B58B-4512-A62E-DFCAB601BCDB}"/>
    <hyperlink ref="AJ58" r:id="rId57" xr:uid="{0E9AE977-0A71-4B34-A8B2-C24821513BB6}"/>
    <hyperlink ref="AJ59" r:id="rId58" xr:uid="{054BE4D3-1FFC-4B75-9CF2-C631A1D8B9F6}"/>
    <hyperlink ref="AJ60" r:id="rId59" xr:uid="{E01C1B68-8C8F-40C0-9DB0-6009B339F792}"/>
    <hyperlink ref="AJ61" r:id="rId60" xr:uid="{6B7D9D5B-6319-4AF3-A11C-E137E9B548FB}"/>
    <hyperlink ref="AJ62" r:id="rId61" xr:uid="{B0D759D4-C4B6-4BB3-9240-F206DC21752A}"/>
    <hyperlink ref="AJ63" r:id="rId62" xr:uid="{9560C041-C306-4EE5-ADD0-3726195DB0D1}"/>
    <hyperlink ref="AJ64" r:id="rId63" xr:uid="{3480FFA2-75DC-4F63-BB3C-5C45F0146304}"/>
    <hyperlink ref="AJ65" r:id="rId64" xr:uid="{3D6444F3-80C0-4A1C-8866-05C1CF4D9538}"/>
    <hyperlink ref="AJ66" r:id="rId65" xr:uid="{3E6AA8DC-23A5-40E9-A4C9-D1ADF3A637BC}"/>
    <hyperlink ref="AJ67" r:id="rId66" xr:uid="{E8AFCC39-335C-4007-9B74-CE9843A60FBA}"/>
    <hyperlink ref="AJ68" r:id="rId67" xr:uid="{FAB526ED-9FE8-42BE-A4A0-B981C0BE1980}"/>
    <hyperlink ref="AJ69" r:id="rId68" xr:uid="{4F0506BC-672D-4295-8D3A-6070FFF9561F}"/>
    <hyperlink ref="AJ70" r:id="rId69" xr:uid="{7C8AD3BC-5FFB-40D1-B6C2-F8F6E830906C}"/>
    <hyperlink ref="AJ71" r:id="rId70" xr:uid="{E9DC7A0D-44FE-440B-B541-0C71D16B09BF}"/>
    <hyperlink ref="AJ72" r:id="rId71" xr:uid="{DBB1AAC9-8063-4935-9865-865EFD04C588}"/>
    <hyperlink ref="AJ73" r:id="rId72" xr:uid="{711C7EB1-4924-42E5-BCBB-B0992B11DD84}"/>
    <hyperlink ref="AJ74" r:id="rId73" xr:uid="{3D960CA9-C520-4075-80DC-E001CACADD94}"/>
    <hyperlink ref="AJ75" r:id="rId74" xr:uid="{0A5ADA1C-AE5B-4B38-9BDE-68FAE5AD3C8A}"/>
    <hyperlink ref="AJ76" r:id="rId75" xr:uid="{232BF2F0-1A5D-42EC-981A-47A5202697CB}"/>
    <hyperlink ref="AJ77" r:id="rId76" xr:uid="{4B80D807-5626-456B-A486-7CB8EB2ADBE4}"/>
    <hyperlink ref="AJ78" r:id="rId77" xr:uid="{2A3D5CB0-E83E-43AA-B9A8-BB20F901E670}"/>
    <hyperlink ref="AJ79" r:id="rId78" xr:uid="{86208C7B-47C3-4349-8C60-6B9254ADAA5B}"/>
    <hyperlink ref="AJ80" r:id="rId79" xr:uid="{E73222C2-769D-4CC2-AD8F-CFF251BFD9FF}"/>
    <hyperlink ref="AJ81" r:id="rId80" xr:uid="{DB638EC7-CC9A-4790-8112-124BF26421DA}"/>
    <hyperlink ref="AJ82" r:id="rId81" xr:uid="{861714A3-E2FE-4DF4-9F51-E4FCA31CC71A}"/>
    <hyperlink ref="AJ83" r:id="rId82" xr:uid="{FD7155FF-D52A-4868-8CA3-886C05A53D0F}"/>
    <hyperlink ref="AJ84" r:id="rId83" xr:uid="{606BF356-D76E-474E-84A8-FC11AB795D97}"/>
    <hyperlink ref="AJ85" r:id="rId84" xr:uid="{628FD528-F1B7-4D9B-8331-67258694AAA8}"/>
    <hyperlink ref="AJ86" r:id="rId85" xr:uid="{9C5CA484-74C5-418B-A07F-F482552391FE}"/>
    <hyperlink ref="AJ87" r:id="rId86" xr:uid="{239993F6-84FD-41F2-AC89-BD8BFC7C0530}"/>
    <hyperlink ref="AJ88" r:id="rId87" xr:uid="{7EADB130-E1E0-4959-99FA-30CD7BEC9F61}"/>
    <hyperlink ref="AJ89" r:id="rId88" xr:uid="{601685CB-9975-4205-B8C4-490D28380B4E}"/>
    <hyperlink ref="AJ90" r:id="rId89" xr:uid="{8FB86636-513F-4F3B-8E14-25AB46A2B845}"/>
    <hyperlink ref="AJ91" r:id="rId90" xr:uid="{A75F2637-68B8-43EC-B96D-7CDA6068AF10}"/>
    <hyperlink ref="AJ92" r:id="rId91" xr:uid="{890C8866-60E6-4EFE-BEFF-1EF10BAAF373}"/>
    <hyperlink ref="AJ93" r:id="rId92" xr:uid="{5FECCADE-604A-4BCA-87F2-2C521A0588B6}"/>
    <hyperlink ref="AJ94" r:id="rId93" xr:uid="{1EE21522-1697-4AF9-AD51-4152176D1EB5}"/>
    <hyperlink ref="AJ95" r:id="rId94" xr:uid="{8DCE708E-9AA7-4BA3-AD11-6CBDA8D24E5D}"/>
    <hyperlink ref="AJ96" r:id="rId95" xr:uid="{A5FD6848-F157-4C66-AFE8-AD7D524E4B56}"/>
    <hyperlink ref="AJ97" r:id="rId96" xr:uid="{01A242D9-4E69-492B-8BD4-18F2A011774F}"/>
    <hyperlink ref="AJ98" r:id="rId97" xr:uid="{F9FBDFC3-CC14-4913-A705-D28F0ADF2F59}"/>
    <hyperlink ref="AJ99" r:id="rId98" xr:uid="{E6447F0C-1978-44B1-B24D-7C5C1C627D66}"/>
    <hyperlink ref="AJ100" r:id="rId99" xr:uid="{5D4DAFEA-87EE-4F99-A664-2B55EB2B7851}"/>
    <hyperlink ref="AJ101" r:id="rId100" xr:uid="{BB32A70C-51FB-431C-94E5-CB2EA7772275}"/>
    <hyperlink ref="AJ102" r:id="rId101" xr:uid="{CD5D26AE-2D39-4178-9DB5-12EFDFD77C4F}"/>
    <hyperlink ref="AJ103" r:id="rId102" xr:uid="{C3E8FCB1-6CC4-483A-BF2D-1A2EC71E9816}"/>
    <hyperlink ref="AJ104" r:id="rId103" xr:uid="{F3D9AB58-C210-40C9-92D6-F8A6937F41EB}"/>
    <hyperlink ref="AJ105" r:id="rId104" xr:uid="{12A09DB9-0B35-48DA-B9CD-A699FFD8F1DB}"/>
    <hyperlink ref="AJ106" r:id="rId105" xr:uid="{31D486E5-EB50-4318-842F-41C34A872FB1}"/>
    <hyperlink ref="AJ107" r:id="rId106" xr:uid="{B117F485-C91D-4ED4-BE5E-DDE9D4AC0451}"/>
    <hyperlink ref="AJ108" r:id="rId107" xr:uid="{58849339-CBBB-48E6-866A-E5FD088D3096}"/>
    <hyperlink ref="AJ109" r:id="rId108" xr:uid="{6F4E4B60-9313-48F8-9F5F-72A190A546E7}"/>
    <hyperlink ref="AJ110" r:id="rId109" xr:uid="{2DB97A7E-4376-499C-AD7D-2CE636E58BA9}"/>
    <hyperlink ref="AJ111" r:id="rId110" xr:uid="{FD96F3AB-A89C-47FE-A8A7-3E7893F3A1EA}"/>
    <hyperlink ref="AJ112" r:id="rId111" xr:uid="{5B6FAC79-AACA-4FCB-84FB-5C0A02B2BB18}"/>
    <hyperlink ref="AJ113" r:id="rId112" xr:uid="{47EC6E41-10C2-4510-81A4-DDE7D91FD290}"/>
    <hyperlink ref="AJ114" r:id="rId113" xr:uid="{9E2164BC-3E34-42AB-9C80-8C3DE2AFE1E0}"/>
    <hyperlink ref="AJ115" r:id="rId114" xr:uid="{7D14A423-8E05-4905-A294-AF62A07B1384}"/>
    <hyperlink ref="AJ116" r:id="rId115" xr:uid="{DEEB3323-AE29-4D64-B338-D529AEA573E3}"/>
    <hyperlink ref="AJ117" r:id="rId116" xr:uid="{A44FB53C-1148-41E4-B655-6B10901270CB}"/>
    <hyperlink ref="AJ118" r:id="rId117" xr:uid="{E7FB60E6-E165-4A6F-9C2E-18450BB5C04C}"/>
    <hyperlink ref="AJ119" r:id="rId118" xr:uid="{7E73DF48-764A-41C4-A358-1306FB8ED3E9}"/>
    <hyperlink ref="AJ120" r:id="rId119" xr:uid="{ECBDCFA0-6B83-4594-95ED-60C666C64380}"/>
    <hyperlink ref="AJ121" r:id="rId120" xr:uid="{D8E5C25F-BDBD-4804-BD27-D63285C3FFC2}"/>
    <hyperlink ref="AJ122" r:id="rId121" xr:uid="{B409E85A-6502-46F1-B5CE-BEE2F072E21D}"/>
    <hyperlink ref="AJ123" r:id="rId122" xr:uid="{2D85FC7F-3BB8-4E2B-AE18-0B4DD8602DAA}"/>
    <hyperlink ref="AJ124" r:id="rId123" xr:uid="{FF9C4A44-C350-49ED-83CD-109D7BE9A8D0}"/>
    <hyperlink ref="AJ125" r:id="rId124" xr:uid="{BD0D3FC1-344C-41DF-8F98-7C95277C7A43}"/>
    <hyperlink ref="AJ126" r:id="rId125" xr:uid="{E4342970-550E-47C6-AA1D-DF5F3AF84B65}"/>
    <hyperlink ref="AJ127" r:id="rId126" xr:uid="{05E96BE0-1D2B-4502-9113-5C5888B47096}"/>
    <hyperlink ref="AJ128" r:id="rId127" xr:uid="{482053CB-A959-4988-BEBB-1B800686F585}"/>
    <hyperlink ref="AJ129" r:id="rId128" xr:uid="{63E474E3-673F-448B-8F01-334230DD4906}"/>
    <hyperlink ref="AJ130" r:id="rId129" xr:uid="{FA51F37F-F05C-464C-9753-BA8810CB1C41}"/>
    <hyperlink ref="AJ131" r:id="rId130" xr:uid="{8EB4A6FB-6BDA-429A-9390-B47AEA580859}"/>
    <hyperlink ref="AJ132" r:id="rId131" xr:uid="{40B57F08-96D7-4037-9B81-696DA207A421}"/>
    <hyperlink ref="AJ133" r:id="rId132" xr:uid="{042CB5A9-EF0D-4029-B64C-DD9AED748306}"/>
    <hyperlink ref="AJ134" r:id="rId133" xr:uid="{DA013280-E4AD-423F-8D5C-8DAA7AB95134}"/>
    <hyperlink ref="AJ135" r:id="rId134" xr:uid="{24F8A051-586E-4C6D-8C72-8EA36C9C9773}"/>
    <hyperlink ref="AJ136" r:id="rId135" xr:uid="{91DEE37B-2A86-4A6C-AB82-3A14BB07BDB1}"/>
    <hyperlink ref="AJ137" r:id="rId136" xr:uid="{6F5EC710-CE51-455D-AFC6-B3A276B134C6}"/>
    <hyperlink ref="AJ138" r:id="rId137" xr:uid="{090FACB5-C784-4A12-A4AE-531D50410E08}"/>
    <hyperlink ref="AJ139" r:id="rId138" xr:uid="{6084263A-F7D2-4F38-86B3-81BD3EE32330}"/>
    <hyperlink ref="AJ140" r:id="rId139" xr:uid="{E55BD40A-CAA3-47A3-806E-53F121E3B469}"/>
    <hyperlink ref="AJ141" r:id="rId140" xr:uid="{D8BDB5C8-B88B-442C-A986-10A191566362}"/>
    <hyperlink ref="AJ142" r:id="rId141" xr:uid="{3225132A-0D3D-4102-B6C7-ACD0B582B4DA}"/>
    <hyperlink ref="AJ143" r:id="rId142" xr:uid="{D768533B-67D1-475B-975F-E4CBF5ACE23D}"/>
    <hyperlink ref="AJ144" r:id="rId143" xr:uid="{5F17A72C-FCD9-43E7-8DBC-1E06852DF35E}"/>
    <hyperlink ref="AJ145" r:id="rId144" xr:uid="{C708E48E-0C3F-4D16-8298-B386ABD4F30E}"/>
    <hyperlink ref="AJ146" r:id="rId145" xr:uid="{52201D9D-D176-4205-B39D-FEA13C86C8C7}"/>
    <hyperlink ref="AJ147" r:id="rId146" xr:uid="{BCA08074-3311-4439-9C31-D8CC6F7877F4}"/>
    <hyperlink ref="AJ148" r:id="rId147" xr:uid="{01D147DB-0DF2-44F4-BC26-2FE1774A0233}"/>
    <hyperlink ref="AJ149" r:id="rId148" xr:uid="{5C5CD0CC-54E4-4458-B761-C40A3E9EE862}"/>
    <hyperlink ref="AJ150" r:id="rId149" xr:uid="{DF0813C7-EF51-4C6D-8544-ABC71E120E72}"/>
    <hyperlink ref="AJ151" r:id="rId150" xr:uid="{280238EB-11D8-4EFF-86A0-ED7C3F7C7957}"/>
    <hyperlink ref="AJ152" r:id="rId151" xr:uid="{635D08AD-05AC-4DC4-BB1C-29578CDDDB3C}"/>
    <hyperlink ref="AJ153" r:id="rId152" xr:uid="{01B3A9E6-0665-4682-9CD8-10129324D895}"/>
    <hyperlink ref="AJ154" r:id="rId153" xr:uid="{F5F33581-E47B-4902-94BB-9506F5A769C2}"/>
    <hyperlink ref="AJ155" r:id="rId154" xr:uid="{37FFF53C-1196-40EB-9284-55D6D418D4CF}"/>
    <hyperlink ref="AJ156" r:id="rId155" xr:uid="{724BBBF6-D68D-415A-AC54-261794EFCF92}"/>
    <hyperlink ref="AJ157" r:id="rId156" xr:uid="{A6DCEB6D-D49F-40C9-B87F-C4FC26020F03}"/>
    <hyperlink ref="AJ158" r:id="rId157" xr:uid="{9D87FD95-806E-45FD-9CCA-BD4C783D63BE}"/>
    <hyperlink ref="AJ159" r:id="rId158" xr:uid="{7DAC6B5C-730E-4094-8D5A-163ED042BCC2}"/>
    <hyperlink ref="AJ160" r:id="rId159" xr:uid="{6A055888-6FDD-45C5-96ED-29E6E5C96B9A}"/>
    <hyperlink ref="AJ161" r:id="rId160" xr:uid="{14E709A8-3834-43DC-B8FE-412887A3DD1B}"/>
    <hyperlink ref="AJ162" r:id="rId161" xr:uid="{4190D716-ABFA-4506-BABF-54AEB0F30C75}"/>
    <hyperlink ref="AJ163" r:id="rId162" xr:uid="{E454A412-683B-4864-AF4B-0B46EC7AC0AD}"/>
    <hyperlink ref="AJ164" r:id="rId163" xr:uid="{2C8B27D9-73EA-4583-AB41-F7218D3CBE9D}"/>
    <hyperlink ref="AJ165" r:id="rId164" xr:uid="{82D611D5-6285-4C9C-A7D9-9B1A1F010CC3}"/>
    <hyperlink ref="AJ166" r:id="rId165" xr:uid="{95C47DBE-6F30-4F12-9517-E6D86D71B5DF}"/>
    <hyperlink ref="AJ167" r:id="rId166" xr:uid="{E6CB2D2C-D26B-4FBE-B446-68BD82880224}"/>
    <hyperlink ref="AJ168" r:id="rId167" xr:uid="{3B9D9E5C-8A4B-452D-9DD1-A10CAB9D7748}"/>
    <hyperlink ref="AJ169" r:id="rId168" xr:uid="{3AF0B0AB-06D8-44BF-A9BA-A12995508D9D}"/>
    <hyperlink ref="AJ170" r:id="rId169" xr:uid="{AD887ABB-E6B5-47D1-AECF-2A9F64BFE607}"/>
    <hyperlink ref="AJ171" r:id="rId170" xr:uid="{570D5E45-8E25-48CC-B8C6-3A41F6FF2874}"/>
    <hyperlink ref="AJ172" r:id="rId171" xr:uid="{1BB7DE00-4CFD-454E-AD2D-C26ED43CEDE6}"/>
    <hyperlink ref="AJ173" r:id="rId172" xr:uid="{AC2D781D-900B-40EB-B049-2412FACC2E9C}"/>
    <hyperlink ref="AJ174" r:id="rId173" xr:uid="{290C5680-0907-44E8-B47B-97FB5F3E8102}"/>
    <hyperlink ref="AJ175" r:id="rId174" xr:uid="{367A900D-8BB2-4AB8-8B6B-D6A841B6743B}"/>
    <hyperlink ref="AJ176" r:id="rId175" xr:uid="{BFEBCF5A-2206-494C-AD56-2E515852B287}"/>
    <hyperlink ref="AJ177" r:id="rId176" xr:uid="{8B03CC87-FFE0-40E4-8816-78EDD6F184CC}"/>
    <hyperlink ref="AJ178" r:id="rId177" xr:uid="{6B9E5CF2-130E-418D-B252-11BF5786D6A4}"/>
    <hyperlink ref="AJ179" r:id="rId178" xr:uid="{30CE81EE-9850-4C8F-A68E-F7E80FFD40EE}"/>
    <hyperlink ref="AJ180" r:id="rId179" xr:uid="{CF2FE3BF-BA11-4936-A183-68470A617C71}"/>
    <hyperlink ref="AJ181" r:id="rId180" xr:uid="{C563B4B6-24F9-4705-90F7-2F6926ACCB48}"/>
    <hyperlink ref="AJ182" r:id="rId181" xr:uid="{6CBE799B-A2B4-457E-9FD5-176AE44A64CA}"/>
    <hyperlink ref="AJ183" r:id="rId182" xr:uid="{16FA0BE5-12AA-45F2-8839-576CE38A9A52}"/>
    <hyperlink ref="AJ184" r:id="rId183" xr:uid="{C50FFA8F-B9CC-4B5B-96F1-873072B857EE}"/>
    <hyperlink ref="AJ185" r:id="rId184" xr:uid="{18DE40A6-07D8-4CDB-8270-4F3BFD8347FE}"/>
    <hyperlink ref="AJ186" r:id="rId185" xr:uid="{F60987A4-E7CA-4EB3-B619-2EB5B9F68377}"/>
    <hyperlink ref="AJ187" r:id="rId186" xr:uid="{758289FF-66FF-4731-B28C-479CD8532B33}"/>
    <hyperlink ref="AJ188" r:id="rId187" xr:uid="{F02F7019-6CAC-4836-850A-B32916BCD999}"/>
    <hyperlink ref="AJ189" r:id="rId188" xr:uid="{E5F206F2-ADB0-4D1D-9FEA-7E412A8E374F}"/>
    <hyperlink ref="AJ190" r:id="rId189" xr:uid="{C30FBF40-B5AF-43B6-8971-5391789B9D64}"/>
    <hyperlink ref="AJ191" r:id="rId190" xr:uid="{8AC8BD07-30C1-433D-BEB1-769DC38B0A73}"/>
    <hyperlink ref="AJ192" r:id="rId191" xr:uid="{C48B1DD8-D5F2-4D0A-829A-8CD81F1F4BE1}"/>
    <hyperlink ref="AJ193" r:id="rId192" xr:uid="{9B8EB316-2A08-46A9-9633-B7A4DA10B92C}"/>
    <hyperlink ref="AJ194" r:id="rId193" xr:uid="{49209C60-4A4F-4530-BB9A-FD8F5ED2FB33}"/>
    <hyperlink ref="AJ195" r:id="rId194" xr:uid="{96760AC7-26A2-4BB7-B29F-270C5E5ABF68}"/>
    <hyperlink ref="AJ196" r:id="rId195" xr:uid="{761AEDB5-9430-4F77-A6A9-AEE2A7991989}"/>
    <hyperlink ref="AJ197" r:id="rId196" xr:uid="{861A14AB-5623-447C-8F3C-03A9C5A36460}"/>
    <hyperlink ref="AJ198" r:id="rId197" xr:uid="{25F14C29-61FF-406E-9739-156DC60522B5}"/>
    <hyperlink ref="AJ199" r:id="rId198" xr:uid="{9C21ABE3-D677-41F9-9A72-6A24B9A5480E}"/>
    <hyperlink ref="AJ200" r:id="rId199" xr:uid="{2F702B32-3666-4858-98E0-2093625B3351}"/>
    <hyperlink ref="AJ201" r:id="rId200" xr:uid="{F576A1D2-CC4B-4E59-A7BA-616515387CEE}"/>
    <hyperlink ref="AJ202" r:id="rId201" xr:uid="{EBE214E6-2E68-4457-9575-D9A94A05FDB6}"/>
    <hyperlink ref="AJ203" r:id="rId202" xr:uid="{099720C7-2885-4784-AD37-D31DF7FA3227}"/>
    <hyperlink ref="AJ204" r:id="rId203" xr:uid="{4E4C713E-B45C-4AD3-A37F-B91A3BF89D28}"/>
    <hyperlink ref="AJ205" r:id="rId204" xr:uid="{1CA69B00-D805-4DF6-9AFC-DE1B7EA55F81}"/>
    <hyperlink ref="AJ206" r:id="rId205" xr:uid="{10B340F7-0249-44E7-9223-1F09E3DD4440}"/>
    <hyperlink ref="AJ207" r:id="rId206" xr:uid="{31137936-FD8C-42DC-B9AA-2E7A19EA2C9E}"/>
    <hyperlink ref="AJ208" r:id="rId207" xr:uid="{C370F933-8CB4-42DD-97DA-0467C0B35D50}"/>
    <hyperlink ref="AJ209" r:id="rId208" xr:uid="{F854FACA-0C07-48F3-983A-51AB291A9D52}"/>
    <hyperlink ref="AJ210" r:id="rId209" xr:uid="{E72B47CF-D576-45F0-91D5-6B59DF5A8231}"/>
    <hyperlink ref="AJ211" r:id="rId210" xr:uid="{255056C6-173F-4922-B6D4-5B6AA6D558C2}"/>
    <hyperlink ref="AJ212" r:id="rId211" xr:uid="{C9CA1A4B-7504-4BEA-B73A-32DA206EE5D6}"/>
    <hyperlink ref="AJ213" r:id="rId212" xr:uid="{F55C4490-584E-413B-BA9A-382F2116E3E0}"/>
    <hyperlink ref="AJ214" r:id="rId213" xr:uid="{B6889CD1-19E6-4685-8FAA-BA5A4DC8C36A}"/>
    <hyperlink ref="AJ215" r:id="rId214" xr:uid="{F725B788-3B6F-44CD-B1DA-292274686F91}"/>
    <hyperlink ref="AJ216" r:id="rId215" xr:uid="{28E3CE59-0B54-4151-86EB-9DBCA9051E30}"/>
    <hyperlink ref="AJ217" r:id="rId216" xr:uid="{BE3C6661-28AC-4D9C-8F55-7AB3B6FBC732}"/>
    <hyperlink ref="AJ218" r:id="rId217" xr:uid="{3EF3D3F1-337D-4C82-AE28-EA3A9312BC4F}"/>
    <hyperlink ref="AJ219" r:id="rId218" xr:uid="{8B781232-5326-43B4-8447-B96E90053336}"/>
    <hyperlink ref="AJ220" r:id="rId219" xr:uid="{E0E3B655-1BD7-46A3-A866-801A64C17167}"/>
    <hyperlink ref="AJ221" r:id="rId220" xr:uid="{C4780D70-F350-4764-8F23-C2EF2F29AEA1}"/>
    <hyperlink ref="AJ222" r:id="rId221" xr:uid="{2998A1F7-3D0B-42DB-A8EB-08FE484D5A4E}"/>
    <hyperlink ref="AJ223" r:id="rId222" xr:uid="{187C3AFE-F480-47D0-B44B-AF71220D4914}"/>
    <hyperlink ref="AJ224" r:id="rId223" xr:uid="{1E5DB1CA-261F-4CD4-9208-CFAF0C6CFAC2}"/>
    <hyperlink ref="AJ225" r:id="rId224" xr:uid="{02F77453-6BDF-4C15-A43F-71E55FC2B21E}"/>
    <hyperlink ref="AJ226" r:id="rId225" xr:uid="{8A57F047-31A9-4EF7-AA81-4358B3E51544}"/>
    <hyperlink ref="AJ227" r:id="rId226" xr:uid="{F6013704-7CC7-49FE-B465-5A5F0883AFBD}"/>
    <hyperlink ref="AJ228" r:id="rId227" xr:uid="{493E4354-EA4D-41E5-BC7F-7EBFAB69B475}"/>
    <hyperlink ref="AJ229" r:id="rId228" xr:uid="{3AAB272E-AD38-4B3F-8061-5C77924C3F51}"/>
    <hyperlink ref="AJ230" r:id="rId229" xr:uid="{DB91A4BC-6A40-4B11-9C0A-3A7534377074}"/>
    <hyperlink ref="AJ231" r:id="rId230" xr:uid="{68C2F46D-D7C0-46A4-B869-DB33B59EB28C}"/>
    <hyperlink ref="AJ232" r:id="rId231" xr:uid="{086E2DB5-6B3C-42E2-A8F7-6E40160C7D2D}"/>
    <hyperlink ref="AJ233" r:id="rId232" xr:uid="{DE7E3405-39EE-40B8-AF8A-33AA72E63AAA}"/>
    <hyperlink ref="AJ234" r:id="rId233" xr:uid="{77AE3D3D-8151-4A12-A05E-778E09CA8A27}"/>
    <hyperlink ref="AJ235" r:id="rId234" xr:uid="{36CCD936-A93D-4D69-870C-AC59B5E33995}"/>
    <hyperlink ref="AJ236" r:id="rId235" xr:uid="{E89AB8F3-4C7C-41F0-9F36-2650DD73839D}"/>
    <hyperlink ref="AJ237" r:id="rId236" xr:uid="{72BDB6EB-D502-4F62-9D35-19FD81803E79}"/>
    <hyperlink ref="AJ238" r:id="rId237" xr:uid="{5D177746-AA57-4E13-B800-4113F66B9010}"/>
    <hyperlink ref="AJ239" r:id="rId238" xr:uid="{996904C4-2AC2-41B5-8B21-53B6B361C82E}"/>
    <hyperlink ref="AJ240" r:id="rId239" xr:uid="{7328CB20-3654-484A-A6ED-7F03F43AC151}"/>
    <hyperlink ref="AJ241" r:id="rId240" xr:uid="{60D22742-BDAE-4EB5-BC60-9E2944564B82}"/>
    <hyperlink ref="AJ242" r:id="rId241" xr:uid="{FCDF40FF-9A66-4759-9650-045AC63E5B63}"/>
    <hyperlink ref="AJ243" r:id="rId242" xr:uid="{9A61D9C4-3D2B-4B08-A25B-B2E94B013B7E}"/>
    <hyperlink ref="AJ244" r:id="rId243" xr:uid="{CF25B0AA-7E84-4EFF-828A-E0A5D1D6A127}"/>
    <hyperlink ref="AJ245" r:id="rId244" xr:uid="{49A48757-621B-4711-8787-5AB8672137F6}"/>
    <hyperlink ref="AJ246" r:id="rId245" xr:uid="{2331FED8-A1DC-4285-A727-9B3D2808E348}"/>
    <hyperlink ref="AJ247" r:id="rId246" xr:uid="{E3DBECFE-E134-4206-B494-96CA8493DBB1}"/>
    <hyperlink ref="AJ248" r:id="rId247" xr:uid="{29D75DD4-75B8-4051-B8F1-359718C9D7EB}"/>
    <hyperlink ref="AJ249" r:id="rId248" xr:uid="{A6B37149-7A51-4F1A-8899-135A2924E29A}"/>
    <hyperlink ref="AJ250" r:id="rId249" xr:uid="{2A6CEA13-30CC-479E-A223-62D4C296978A}"/>
    <hyperlink ref="AJ251" r:id="rId250" xr:uid="{96E2C602-2E85-4CD2-8B96-B8302C783845}"/>
    <hyperlink ref="AJ252" r:id="rId251" xr:uid="{59FB8C76-EA2A-4F67-BBC6-F7DE0F629B82}"/>
    <hyperlink ref="AJ253" r:id="rId252" xr:uid="{A34AD533-C488-4FFB-A675-EF4E159D5143}"/>
    <hyperlink ref="AJ254" r:id="rId253" xr:uid="{43BDCAAC-37D0-4C83-8DAE-96319684B5C4}"/>
    <hyperlink ref="AJ255" r:id="rId254" xr:uid="{BA60478B-7E1E-4BBA-8689-84D410EBC317}"/>
    <hyperlink ref="AJ256" r:id="rId255" xr:uid="{29DBD207-FC65-4DE9-B2F1-2C2F8A1D4A5B}"/>
    <hyperlink ref="AJ257" r:id="rId256" xr:uid="{D5F76FA9-51AD-482E-9168-475CE472FA95}"/>
    <hyperlink ref="AJ258" r:id="rId257" xr:uid="{25374399-4178-41CE-8502-0A877DE7C8E0}"/>
    <hyperlink ref="AJ259" r:id="rId258" xr:uid="{8B165670-7B07-438A-A00F-CE2E6F66ACF0}"/>
    <hyperlink ref="AJ260" r:id="rId259" xr:uid="{2AD9FF74-5B7E-4538-9BAE-2A801578142A}"/>
    <hyperlink ref="AJ261" r:id="rId260" xr:uid="{3D29CEEA-03FC-4564-B07C-D8817DD4E735}"/>
    <hyperlink ref="AJ262" r:id="rId261" xr:uid="{165DF265-9CDF-47C0-BDF9-8117A0661859}"/>
    <hyperlink ref="AJ263" r:id="rId262" xr:uid="{FF000194-26EE-4ADD-A4B6-613E441CA094}"/>
    <hyperlink ref="AJ264" r:id="rId263" xr:uid="{872E5C34-42AD-4D74-A806-B19137E7154C}"/>
    <hyperlink ref="AJ265" r:id="rId264" xr:uid="{226F0309-E19F-420D-8BF7-3B07544E617A}"/>
    <hyperlink ref="AJ266" r:id="rId265" xr:uid="{B30CF60A-FCDC-46A9-96CC-B211C56D2D1B}"/>
    <hyperlink ref="AJ267" r:id="rId266" xr:uid="{7D89148B-A484-4BB6-A280-58F74DD2B5DF}"/>
    <hyperlink ref="AJ268" r:id="rId267" xr:uid="{8CA12892-8516-41A0-A7F2-A8762C8A5462}"/>
    <hyperlink ref="AJ269" r:id="rId268" xr:uid="{3ACEFDE3-4458-4491-BD2C-23251365D718}"/>
    <hyperlink ref="AJ270" r:id="rId269" xr:uid="{2B93C5CC-71B5-4D8E-9DBD-D11CC93E001B}"/>
    <hyperlink ref="AJ271" r:id="rId270" xr:uid="{2F6B8134-D85D-4823-A106-8BDE5753A179}"/>
    <hyperlink ref="AJ272" r:id="rId271" xr:uid="{D5A36938-90CC-46C8-A7D1-5C16553E8C43}"/>
    <hyperlink ref="AJ273" r:id="rId272" xr:uid="{B8D340A0-F67F-43B5-A6D7-35230347E97F}"/>
    <hyperlink ref="AJ274" r:id="rId273" xr:uid="{B072EE88-C2D6-47D8-B694-BDDCDAD68D41}"/>
    <hyperlink ref="AJ275" r:id="rId274" xr:uid="{D3E841E7-64AD-45B9-A15D-E6B72A484665}"/>
    <hyperlink ref="AJ276" r:id="rId275" xr:uid="{E7365E5B-CCBD-4131-A70A-FCF2FB670063}"/>
    <hyperlink ref="AJ277" r:id="rId276" xr:uid="{A0A5B34B-4622-441F-94BB-D27B60ABE538}"/>
    <hyperlink ref="AJ278" r:id="rId277" xr:uid="{1D52030B-2D02-4E23-A79A-EF2E1A88F871}"/>
    <hyperlink ref="AJ279" r:id="rId278" xr:uid="{5FBBB4AD-651A-4941-8995-240736898416}"/>
    <hyperlink ref="AJ280" r:id="rId279" xr:uid="{834802AE-840F-4426-8656-A9CC6E1958FB}"/>
    <hyperlink ref="AJ281" r:id="rId280" xr:uid="{E54D1CF6-0276-4AE4-BFF0-AF113A09B0D4}"/>
    <hyperlink ref="AJ282" r:id="rId281" xr:uid="{1A7E3D02-4291-43AD-90AE-1E9E790CA788}"/>
    <hyperlink ref="AJ283" r:id="rId282" xr:uid="{CF0E44A5-EEC2-429D-BE2D-56BC229E077C}"/>
    <hyperlink ref="AJ284" r:id="rId283" xr:uid="{B99E5343-5942-4AA1-8E3D-37A19AFD37B4}"/>
    <hyperlink ref="AJ285" r:id="rId284" xr:uid="{EE35D446-DA46-4246-A312-88B9E381E43F}"/>
    <hyperlink ref="AJ286" r:id="rId285" xr:uid="{55B5F187-92D7-43EE-BC52-47CAA0C5CF52}"/>
    <hyperlink ref="AJ287" r:id="rId286" xr:uid="{537A5AA1-A03C-4B36-A7AC-925571D97B87}"/>
    <hyperlink ref="AJ288" r:id="rId287" xr:uid="{3ADB933E-EF64-45AE-8139-DB583FC8617E}"/>
    <hyperlink ref="AJ289" r:id="rId288" xr:uid="{429C981B-4C82-4220-83DB-A05BFA5469AC}"/>
    <hyperlink ref="AJ290" r:id="rId289" xr:uid="{5C5B2616-62A8-45EA-BADD-333B3E7D48F7}"/>
    <hyperlink ref="AJ291" r:id="rId290" xr:uid="{DF1A9709-6402-448E-81E2-149FF5995800}"/>
    <hyperlink ref="AJ292" r:id="rId291" xr:uid="{73546ECE-3124-4938-B124-A274C4B50EF9}"/>
    <hyperlink ref="AJ293" r:id="rId292" xr:uid="{DD9FA99D-2DE4-4906-A958-533C040C689E}"/>
    <hyperlink ref="AJ294" r:id="rId293" xr:uid="{0DF031F7-BDDE-4412-B535-8DAE64643DD1}"/>
    <hyperlink ref="AJ295" r:id="rId294" xr:uid="{AF8F6F0F-E378-4CFC-9F32-166FA37C18AA}"/>
    <hyperlink ref="AJ296" r:id="rId295" xr:uid="{AAB93B59-5776-4A35-8BC2-D387F27AA456}"/>
    <hyperlink ref="AJ297" r:id="rId296" xr:uid="{D3A43E50-87FF-4C37-B0B3-D308D193E3E3}"/>
    <hyperlink ref="AJ298" r:id="rId297" xr:uid="{DA0A1558-43E6-4A1C-9417-22BCADF44748}"/>
    <hyperlink ref="AJ299" r:id="rId298" xr:uid="{21D93F9E-E535-443A-BF38-FB38F7E65355}"/>
    <hyperlink ref="AJ300" r:id="rId299" xr:uid="{F45EF5F2-90A5-4094-81EC-199F69D60178}"/>
    <hyperlink ref="AJ301" r:id="rId300" xr:uid="{CCC2E37D-1EA8-4B22-BF00-87BCEE2F6480}"/>
    <hyperlink ref="AJ302" r:id="rId301" xr:uid="{F51232DD-F6C0-4BFB-8FDE-319475821CD0}"/>
    <hyperlink ref="AJ303" r:id="rId302" xr:uid="{C6326BF8-3215-4E44-B99C-20AF71A216B8}"/>
    <hyperlink ref="AJ304" r:id="rId303" xr:uid="{2E3E8755-8576-4325-965D-F406B5E17FD5}"/>
    <hyperlink ref="AJ305" r:id="rId304" xr:uid="{6DA90483-43AA-47DC-994C-47BB64FD43EC}"/>
    <hyperlink ref="AJ306" r:id="rId305" xr:uid="{0A3126C5-4323-404D-A92D-F2F2D32AC9C2}"/>
    <hyperlink ref="AJ307" r:id="rId306" xr:uid="{9C80DFE8-DC80-4F83-8BFE-152AD653CC49}"/>
    <hyperlink ref="AJ308" r:id="rId307" xr:uid="{E8F1DDC0-5C43-49BC-A9B2-CA9D37F535B9}"/>
    <hyperlink ref="AJ309" r:id="rId308" xr:uid="{B9337F05-0012-45B9-ACF0-E2D4046DDCD8}"/>
    <hyperlink ref="AJ310" r:id="rId309" xr:uid="{E37589B3-9DC5-4A0A-953E-4E8E6827A0C2}"/>
    <hyperlink ref="AJ311" r:id="rId310" xr:uid="{A197D67E-F78C-4B8A-8C09-A9422F0C6166}"/>
    <hyperlink ref="AJ312" r:id="rId311" xr:uid="{3D228E63-82C9-40F5-A9B3-E4BDA388D507}"/>
    <hyperlink ref="AJ313" r:id="rId312" xr:uid="{A4C17415-C392-4254-8357-D4F7C1B43247}"/>
    <hyperlink ref="AJ314" r:id="rId313" xr:uid="{AC9C97F0-893F-482F-BE92-90236DD8EBB4}"/>
    <hyperlink ref="AJ315" r:id="rId314" xr:uid="{3CC67777-7C1B-49DE-9D90-0EB06FDD2011}"/>
    <hyperlink ref="AJ316" r:id="rId315" xr:uid="{5F3BD95F-513E-491C-90E3-B2ED022C0ED6}"/>
    <hyperlink ref="AJ317" r:id="rId316" xr:uid="{29F3C1B7-99B2-47AC-B09C-FFE7F31E93C3}"/>
    <hyperlink ref="AJ318" r:id="rId317" xr:uid="{9B91C59E-30B6-4F22-835C-E6F69FBA96DF}"/>
    <hyperlink ref="AJ319" r:id="rId318" xr:uid="{F7E078F8-CA7D-4DE8-B5EA-91C5DF8ED164}"/>
    <hyperlink ref="AJ320" r:id="rId319" xr:uid="{CBFA5CD6-5996-44F7-BA6C-1E31C2304CC5}"/>
    <hyperlink ref="AJ321" r:id="rId320" xr:uid="{62D150D2-4816-4FD8-A552-76C7F2156A3E}"/>
    <hyperlink ref="AJ322" r:id="rId321" xr:uid="{59E932F4-1A08-4C50-8FE3-545D9D36DD76}"/>
    <hyperlink ref="AJ323" r:id="rId322" xr:uid="{FC88EDBB-882A-449F-A75B-82F78B36D97B}"/>
    <hyperlink ref="AJ324" r:id="rId323" xr:uid="{61ACDE3C-3400-4CFF-920A-106306E94679}"/>
    <hyperlink ref="AJ325" r:id="rId324" xr:uid="{17CAE4A9-7662-4D3C-96DF-56A3A8795BA7}"/>
    <hyperlink ref="AJ326" r:id="rId325" xr:uid="{CA68CA69-AE21-4C37-B1A4-A881D06AFDCF}"/>
    <hyperlink ref="AJ327" r:id="rId326" xr:uid="{608C8433-F385-4349-9299-117234DCBA0E}"/>
    <hyperlink ref="AJ328" r:id="rId327" xr:uid="{DDA2F0A5-818B-4AFB-9273-68ABE27F2D79}"/>
    <hyperlink ref="AJ329" r:id="rId328" xr:uid="{3AF5F581-5AEF-46CA-BE05-BF424832FEC3}"/>
    <hyperlink ref="AJ330" r:id="rId329" xr:uid="{BDDC7C24-9304-4C58-9DD6-6B3EBE0BC1FE}"/>
    <hyperlink ref="AJ331" r:id="rId330" xr:uid="{B6CD6328-1E3D-4452-AC47-E1B97BC7F8E4}"/>
    <hyperlink ref="AJ332" r:id="rId331" xr:uid="{3FB104B6-5571-4BDA-A9A8-C32BFBC31DD1}"/>
    <hyperlink ref="AJ333" r:id="rId332" xr:uid="{1E43DC04-1721-4893-8C77-F0E133B3B55E}"/>
    <hyperlink ref="AJ334" r:id="rId333" xr:uid="{AAFF6AC2-305A-41BE-BB26-902FE1528557}"/>
    <hyperlink ref="AJ335" r:id="rId334" xr:uid="{4F5C9AB5-6A75-4028-8431-78F039AAF2CF}"/>
    <hyperlink ref="AJ336" r:id="rId335" xr:uid="{7E6B9E53-E7F4-4C5A-9FFA-A3922465B093}"/>
    <hyperlink ref="AJ337" r:id="rId336" xr:uid="{1AFD1C60-BC12-4EED-9A88-1035C50F69AC}"/>
    <hyperlink ref="AJ338" r:id="rId337" xr:uid="{D61112BF-1A5F-45CB-AF32-8CFCE0046D6D}"/>
    <hyperlink ref="AJ339" r:id="rId338" xr:uid="{5FAF4389-E71B-415E-A423-BE4F8E369168}"/>
    <hyperlink ref="AJ340" r:id="rId339" xr:uid="{7F6646F7-092D-4424-A00B-E99DA004C674}"/>
    <hyperlink ref="AJ341" r:id="rId340" xr:uid="{57B47C6F-CDDF-46D0-AE91-0F18F309B8AA}"/>
    <hyperlink ref="AJ342" r:id="rId341" xr:uid="{3CBEAF16-FA55-4676-9A15-D0FD4197BFDA}"/>
    <hyperlink ref="AJ343" r:id="rId342" xr:uid="{0335C962-58BF-448A-9426-23170646543A}"/>
    <hyperlink ref="AJ344" r:id="rId343" xr:uid="{3EAFFD8E-215D-4A84-87EA-66F9DC9C5825}"/>
    <hyperlink ref="AJ345" r:id="rId344" xr:uid="{5EB9998F-6B48-4503-AB43-46F41B09A2C6}"/>
    <hyperlink ref="AJ346" r:id="rId345" xr:uid="{51F705FD-D0FD-4035-AE81-EA7E61E1965F}"/>
    <hyperlink ref="AJ347" r:id="rId346" xr:uid="{1518998C-77F4-4778-9AAA-1AB42AE9446E}"/>
    <hyperlink ref="AJ348" r:id="rId347" xr:uid="{E8C084DF-0213-4D90-B8B1-314F4BD48193}"/>
    <hyperlink ref="AJ349" r:id="rId348" xr:uid="{E24D9670-7041-4419-8945-B9A7B35E0899}"/>
    <hyperlink ref="AJ350" r:id="rId349" xr:uid="{864E1C7C-1A24-4296-AA56-B23B8E59494C}"/>
    <hyperlink ref="AJ351" r:id="rId350" xr:uid="{8BD75A6E-2A3C-4882-ABD0-0388D1FA56A6}"/>
    <hyperlink ref="AJ352" r:id="rId351" xr:uid="{F8D1F4AB-FC1F-4149-91D1-1CCCCD898E8E}"/>
    <hyperlink ref="AJ353" r:id="rId352" xr:uid="{E9909B44-C5AA-4EA2-806B-2D1B6C4613A3}"/>
    <hyperlink ref="AJ354" r:id="rId353" xr:uid="{C048998E-D7A3-453D-B761-90B3F6BD2FDC}"/>
    <hyperlink ref="AJ355" r:id="rId354" xr:uid="{DFE0013E-F05C-40A7-B69A-8360F23C5DA0}"/>
    <hyperlink ref="AJ356" r:id="rId355" xr:uid="{2269CD1B-4C1D-4745-9DC0-FDFFBE535CFA}"/>
    <hyperlink ref="AJ357" r:id="rId356" xr:uid="{E134FC4C-23BF-48C1-B693-AD467BA060FF}"/>
    <hyperlink ref="AJ358" r:id="rId357" xr:uid="{AB046CAD-9D48-40FD-B640-8E0599414984}"/>
    <hyperlink ref="AJ359" r:id="rId358" xr:uid="{F3BC4885-74C9-42CB-A71D-B1B6CD7E549F}"/>
    <hyperlink ref="AJ360" r:id="rId359" xr:uid="{0451A862-948C-4A52-B302-4DE40B778F42}"/>
    <hyperlink ref="AJ361" r:id="rId360" xr:uid="{80B0A2C4-9096-44F7-8EAC-F9C8D4124092}"/>
    <hyperlink ref="AJ362" r:id="rId361" xr:uid="{35F8CB97-B493-4606-BF45-8849DBE027D6}"/>
    <hyperlink ref="AJ363" r:id="rId362" xr:uid="{43321644-3A13-43F2-9E4B-D78EEE2AF647}"/>
    <hyperlink ref="AJ364" r:id="rId363" xr:uid="{CBCC7A0C-1CD1-49E8-A092-D673ACC7979D}"/>
    <hyperlink ref="AJ365" r:id="rId364" xr:uid="{D27325FA-D579-4CE1-A35B-45BAAC4DCF6C}"/>
    <hyperlink ref="AJ366" r:id="rId365" xr:uid="{5E444DE5-AF44-487F-8006-1E6531BEE281}"/>
    <hyperlink ref="AJ367" r:id="rId366" xr:uid="{80BC1B73-38FD-4D18-ADDC-10DD49ED4594}"/>
    <hyperlink ref="AJ368" r:id="rId367" xr:uid="{C57332CE-6C01-4185-B579-4AC76841AAB2}"/>
    <hyperlink ref="AJ369" r:id="rId368" xr:uid="{63A6ACAD-3AF8-4DFA-8650-F8C14B14C550}"/>
    <hyperlink ref="AJ370" r:id="rId369" xr:uid="{B6F496DF-7958-4762-9DC8-C3C9A7FF7431}"/>
    <hyperlink ref="AJ371" r:id="rId370" xr:uid="{CF284457-5161-4244-9C33-40CC964E30C1}"/>
    <hyperlink ref="AJ372" r:id="rId371" xr:uid="{47A0EBA0-5FD6-459A-BB70-889FE89DF84F}"/>
    <hyperlink ref="AJ373" r:id="rId372" xr:uid="{FB72B77F-2BBE-4367-AB9B-0C5C0AE2A569}"/>
    <hyperlink ref="AJ374" r:id="rId373" xr:uid="{B855517C-9423-410A-A3DF-2C695D3DD0F3}"/>
    <hyperlink ref="AJ375" r:id="rId374" xr:uid="{88C6F3FB-188D-41F6-9F01-29150C28DBDC}"/>
    <hyperlink ref="AJ376" r:id="rId375" xr:uid="{5BD9EC7B-8647-4142-9D7E-D4465CF99026}"/>
    <hyperlink ref="AJ377" r:id="rId376" xr:uid="{3877805D-56BB-4136-B779-8B09F10ED3B5}"/>
    <hyperlink ref="AJ378" r:id="rId377" xr:uid="{BC5C6C7C-325B-4C75-93D5-0358EA168204}"/>
    <hyperlink ref="AJ379" r:id="rId378" xr:uid="{251F4259-E3E8-4F2A-90B1-C1A065BD0B22}"/>
    <hyperlink ref="AJ380" r:id="rId379" xr:uid="{E804D42D-B456-4800-A57D-2E850936E49E}"/>
    <hyperlink ref="AJ381" r:id="rId380" xr:uid="{98698CC0-5DDA-44D6-A100-7FB1ECB96A7A}"/>
    <hyperlink ref="AJ382" r:id="rId381" xr:uid="{555F5811-CCF9-4F53-9B5B-B716F936CFA8}"/>
    <hyperlink ref="AJ383" r:id="rId382" xr:uid="{F953F0F7-F5A6-48C6-81F1-E4FE5794BB17}"/>
    <hyperlink ref="AJ384" r:id="rId383" xr:uid="{068FD697-7A63-468B-8D89-E495A1371724}"/>
    <hyperlink ref="AJ385" r:id="rId384" xr:uid="{5FDBC4F2-5A09-4E4B-B254-012472D6E90B}"/>
    <hyperlink ref="AJ386" r:id="rId385" xr:uid="{1E172A86-2A2C-4DBA-AB11-909B6DA08D4F}"/>
    <hyperlink ref="AJ387" r:id="rId386" xr:uid="{CF5E9234-D059-455D-B296-6F710FD8B00C}"/>
    <hyperlink ref="AJ388" r:id="rId387" xr:uid="{7B0E4151-A44E-468D-9300-03ED854017D2}"/>
    <hyperlink ref="AJ389" r:id="rId388" xr:uid="{F035655E-185F-4953-BE17-4BD1023BCA95}"/>
    <hyperlink ref="AJ390" r:id="rId389" xr:uid="{14C52D59-59B4-4020-A2C8-6B87C2A22E8C}"/>
    <hyperlink ref="AJ391" r:id="rId390" xr:uid="{81597210-B8FF-4D17-81A4-2221C2392DD3}"/>
    <hyperlink ref="AJ392" r:id="rId391" xr:uid="{6EC68E2A-07DC-4A56-B80B-3F6574E27D33}"/>
    <hyperlink ref="AJ393" r:id="rId392" xr:uid="{8CB5A673-4FA1-4124-A112-753F4F1E8386}"/>
    <hyperlink ref="AJ394" r:id="rId393" xr:uid="{154CEA86-76A5-43CF-BF40-DBB68F01C231}"/>
    <hyperlink ref="AJ395" r:id="rId394" xr:uid="{0457B350-94DE-4EEF-BFBB-65AB17D5BA9D}"/>
    <hyperlink ref="AJ396" r:id="rId395" xr:uid="{A73EB6BC-1A95-4248-B9AF-A4B94F1806F4}"/>
    <hyperlink ref="AJ397" r:id="rId396" xr:uid="{A4B82AC4-A9AA-45C7-BD9F-E9C9A623B60A}"/>
    <hyperlink ref="AJ398" r:id="rId397" xr:uid="{F8D5B8B5-CC20-4CA3-9821-8E69CC991B53}"/>
    <hyperlink ref="AJ399" r:id="rId398" xr:uid="{DE757A2E-B2CC-4B9E-B3C9-751E41C8A38F}"/>
    <hyperlink ref="AJ400" r:id="rId399" xr:uid="{B90597F4-BE1A-48B9-B430-E545332C4C5F}"/>
    <hyperlink ref="AJ401" r:id="rId400" xr:uid="{10AB2340-9036-4B51-B56B-3AB40E4B09E5}"/>
    <hyperlink ref="AJ402" r:id="rId401" xr:uid="{D3BA53A0-C507-47B8-96B6-ADD646FABAF3}"/>
    <hyperlink ref="AJ403" r:id="rId402" xr:uid="{2D623455-820D-4A1D-B5BE-73E01F1CAB35}"/>
    <hyperlink ref="AJ404" r:id="rId403" xr:uid="{A5B3BACF-53DF-49AE-AA50-D358ACC2D5E5}"/>
    <hyperlink ref="AJ405" r:id="rId404" xr:uid="{6E387555-9613-42FC-AD9D-4C3FDB8F6390}"/>
    <hyperlink ref="AJ406" r:id="rId405" xr:uid="{40A8CA7E-43AB-41ED-9942-D437A137B247}"/>
    <hyperlink ref="AJ407" r:id="rId406" xr:uid="{DBFAF5AB-C2A6-4998-87CD-09AE4EABCA00}"/>
    <hyperlink ref="AJ408" r:id="rId407" xr:uid="{7B9BFD20-F6F9-4DC5-A8B1-E886FA868767}"/>
    <hyperlink ref="AJ409" r:id="rId408" xr:uid="{B852660A-BF83-4CA6-9514-63F3B75C2987}"/>
    <hyperlink ref="AJ410" r:id="rId409" xr:uid="{5DA58C1F-17B9-4960-9041-AF4D32C1F828}"/>
    <hyperlink ref="AJ411" r:id="rId410" xr:uid="{FB43C702-3461-4683-9B6B-38CD47F4A1FA}"/>
    <hyperlink ref="AJ412" r:id="rId411" xr:uid="{7CC3C79E-BCA3-42DD-919E-C6C67DB19DD0}"/>
    <hyperlink ref="AJ413" r:id="rId412" xr:uid="{71810A9F-8E1F-4D1A-8EFB-A2AF64864D07}"/>
    <hyperlink ref="AJ414" r:id="rId413" xr:uid="{515442CD-3415-4C6B-A060-4941C8CBD7F9}"/>
    <hyperlink ref="AJ415" r:id="rId414" xr:uid="{575DE8BB-C82F-4FD1-BFA3-F779FBC1E45C}"/>
    <hyperlink ref="AJ416" r:id="rId415" xr:uid="{B0D91A96-AD00-4894-8830-8D351A5F4123}"/>
    <hyperlink ref="AJ417" r:id="rId416" xr:uid="{83005895-28C2-4700-88B0-D27C24CEB8E5}"/>
    <hyperlink ref="AJ418" r:id="rId417" xr:uid="{E1AFD1DB-C82F-4E82-950E-F6F0D6400CA8}"/>
    <hyperlink ref="AJ419" r:id="rId418" xr:uid="{F8FC989E-1891-4899-BE53-2A10B3B38D83}"/>
    <hyperlink ref="AJ420" r:id="rId419" xr:uid="{8DB344E7-CE6C-4A7C-BDDC-6664D3B5E5F6}"/>
    <hyperlink ref="AJ421" r:id="rId420" xr:uid="{5D52CD46-5788-4D5A-931F-BA7A2AC6F341}"/>
    <hyperlink ref="AJ422" r:id="rId421" xr:uid="{CC70195A-6B7B-4A15-8483-DE297EC21DA7}"/>
    <hyperlink ref="AJ423" r:id="rId422" xr:uid="{A15089B4-FAF8-4B05-97AC-AD4E67CBDFEB}"/>
    <hyperlink ref="AJ424" r:id="rId423" xr:uid="{8D8AC031-138C-4F1A-996F-D89F9E661DF3}"/>
    <hyperlink ref="AJ425" r:id="rId424" xr:uid="{92DA98A8-F582-493E-83B2-6D86BEE0456C}"/>
    <hyperlink ref="AJ426" r:id="rId425" xr:uid="{D454014B-56E4-4BBF-8EC3-768A590D7098}"/>
    <hyperlink ref="AJ427" r:id="rId426" xr:uid="{B34ED39F-8884-443F-BEBD-AB34C55CAD46}"/>
    <hyperlink ref="AJ428" r:id="rId427" xr:uid="{9F394AF2-53C4-47AE-A3D8-C98D6DE69C8B}"/>
    <hyperlink ref="AJ429" r:id="rId428" xr:uid="{FCD0F344-7ED1-4B6F-B0E4-688F4BF79D09}"/>
    <hyperlink ref="AJ430" r:id="rId429" xr:uid="{74E138D9-6BC7-40A0-B9E5-F20F3C2C69E4}"/>
    <hyperlink ref="AJ431" r:id="rId430" xr:uid="{30C0D3DC-319E-47FA-A9DF-FE67C4080A79}"/>
    <hyperlink ref="AJ432" r:id="rId431" xr:uid="{860DC86C-E336-4E42-A440-C6CC0E4DD964}"/>
    <hyperlink ref="AJ433" r:id="rId432" xr:uid="{9C8001D1-5DAD-4D73-8F78-903EBC54280B}"/>
    <hyperlink ref="AJ434" r:id="rId433" xr:uid="{3840EEF3-E028-48EE-B7A7-3775FC93EC90}"/>
    <hyperlink ref="AJ435" r:id="rId434" xr:uid="{B17C4A54-4BDC-425B-9DE7-8C04CF796FD4}"/>
    <hyperlink ref="AJ436" r:id="rId435" xr:uid="{F46815FB-BE08-4310-A8E1-E75D70ACFE81}"/>
    <hyperlink ref="AJ437" r:id="rId436" xr:uid="{9A926F74-BE3D-442F-B9EB-20DF21B83873}"/>
    <hyperlink ref="AJ438" r:id="rId437" xr:uid="{01277B71-DEE3-4579-8108-CCD75C1DC42C}"/>
    <hyperlink ref="AJ439" r:id="rId438" xr:uid="{470C0D91-31A6-4951-9FAE-7D33DD72E785}"/>
    <hyperlink ref="AJ440" r:id="rId439" xr:uid="{26C9AFC3-93C0-4B6B-8AD4-F8CEF29D5927}"/>
    <hyperlink ref="AJ441" r:id="rId440" xr:uid="{6CC4326C-FB5E-4C3A-BB3E-5A15A2D38F93}"/>
    <hyperlink ref="AJ442" r:id="rId441" xr:uid="{F3F8426F-9942-4FFE-8EBD-0D8E973F830F}"/>
    <hyperlink ref="AJ443" r:id="rId442" xr:uid="{276A0468-D3C3-4445-949E-C18B13AF65D0}"/>
    <hyperlink ref="AJ444" r:id="rId443" xr:uid="{1A0B28E8-B07A-4D03-9C31-1801BBD63B6D}"/>
    <hyperlink ref="AJ445" r:id="rId444" xr:uid="{A7AFB3FE-5F93-4ABB-8994-7F5C54E8BAAF}"/>
    <hyperlink ref="AJ446" r:id="rId445" xr:uid="{195DB191-F04E-4DD0-9485-79EDD596EB2D}"/>
    <hyperlink ref="AJ447" r:id="rId446" xr:uid="{FC3C81A4-F288-48B4-A17D-34774888A90F}"/>
    <hyperlink ref="AJ448" r:id="rId447" xr:uid="{3ED513E3-2375-41AC-8F82-D2A580EDE25F}"/>
    <hyperlink ref="AJ449" r:id="rId448" xr:uid="{EBDFE3EB-196B-41EE-A81A-D17AA8425F2A}"/>
    <hyperlink ref="AJ450" r:id="rId449" xr:uid="{8CAF4E7F-44A4-4E8A-AF47-27A90C670EB1}"/>
    <hyperlink ref="AJ451" r:id="rId450" xr:uid="{887FC0C7-0B75-49AE-ACB9-76746E42D8D7}"/>
    <hyperlink ref="AJ452" r:id="rId451" xr:uid="{F415FD9F-1741-47D9-92C9-926184587581}"/>
    <hyperlink ref="AJ453" r:id="rId452" xr:uid="{EDD36975-DBD8-43F4-8E49-2B7BD7A9B6DD}"/>
    <hyperlink ref="AJ454" r:id="rId453" xr:uid="{7567D566-9FD7-45A2-8902-8DC9047190C2}"/>
    <hyperlink ref="AJ455" r:id="rId454" xr:uid="{7E811879-76DC-4427-B73A-80E0E5B6A141}"/>
    <hyperlink ref="AJ456" r:id="rId455" xr:uid="{431415E3-581F-4CF2-9ED3-7B94D718784D}"/>
    <hyperlink ref="AJ457" r:id="rId456" xr:uid="{788B7BB4-A435-49BE-AC7C-FCF9C580BB6D}"/>
    <hyperlink ref="AJ458" r:id="rId457" xr:uid="{D0170A97-3A86-4333-8DBA-5EA59CA2EEC9}"/>
    <hyperlink ref="AJ459" r:id="rId458" xr:uid="{9B6B0C85-CD5B-4834-9A33-243DDC11238D}"/>
    <hyperlink ref="AJ460" r:id="rId459" xr:uid="{F5225F70-DEDD-4107-B465-45AD6AD99DFC}"/>
    <hyperlink ref="AJ461" r:id="rId460" xr:uid="{1023511B-35CC-4F28-971E-88577F8E87E0}"/>
    <hyperlink ref="AJ462" r:id="rId461" xr:uid="{16E0423C-4020-469F-A7AA-333A4980F128}"/>
    <hyperlink ref="AJ463" r:id="rId462" xr:uid="{FFCA09C7-1453-4F2D-9DBF-E3F3A0DE76DD}"/>
    <hyperlink ref="AJ464" r:id="rId463" xr:uid="{C4B8FBDB-40FD-4BCA-BC01-658015CD3C8D}"/>
    <hyperlink ref="AJ465" r:id="rId464" xr:uid="{3CB2181D-1E4D-4F2C-9838-EE8AA7F3D564}"/>
    <hyperlink ref="AJ466" r:id="rId465" xr:uid="{CC5DA66E-1292-451C-8BF6-C6407FB4BE63}"/>
    <hyperlink ref="AJ467" r:id="rId466" xr:uid="{C2801174-5C68-4F88-A0AA-A4FC2102AF87}"/>
    <hyperlink ref="AJ468" r:id="rId467" xr:uid="{694BB192-E2D6-429C-895B-90CC63325D39}"/>
    <hyperlink ref="AJ469" r:id="rId468" xr:uid="{9E7D30C2-1606-4F2F-A931-41BEFB706278}"/>
    <hyperlink ref="AJ470" r:id="rId469" xr:uid="{712E8306-47B9-4C3A-905D-BCEF26E01AF6}"/>
    <hyperlink ref="AJ471" r:id="rId470" xr:uid="{F3414AC2-3020-429E-AD34-D47C6634F69A}"/>
    <hyperlink ref="AJ472" r:id="rId471" xr:uid="{F9D1005C-6D30-4598-A5A7-905E66D03735}"/>
    <hyperlink ref="AJ473" r:id="rId472" xr:uid="{17405DCD-038C-4E76-9512-12D0D185B077}"/>
    <hyperlink ref="AJ474" r:id="rId473" xr:uid="{35B37198-9CA9-4C0E-9FC6-E7609C21D4AB}"/>
    <hyperlink ref="AJ475" r:id="rId474" xr:uid="{D2C23311-A1E9-43FC-A11B-17C8775C2516}"/>
    <hyperlink ref="AJ476" r:id="rId475" xr:uid="{A039BAD9-F48C-4506-9CF9-11E97F08F268}"/>
    <hyperlink ref="AJ477" r:id="rId476" xr:uid="{68FDB481-CF27-4DA3-A2E2-89C9E1120D69}"/>
    <hyperlink ref="AJ478" r:id="rId477" xr:uid="{692DB953-B862-4E81-B665-FD3387DC0F06}"/>
    <hyperlink ref="AJ479" r:id="rId478" xr:uid="{2F6E3B74-59E7-4C88-A772-1269C5CB3884}"/>
    <hyperlink ref="AJ480" r:id="rId479" xr:uid="{405AC140-58C9-4817-92CB-2E64056A4AEF}"/>
    <hyperlink ref="AJ481" r:id="rId480" xr:uid="{353E943D-9A76-496D-ABD2-F7FB5C3CFA23}"/>
    <hyperlink ref="AJ482" r:id="rId481" xr:uid="{7C2345EB-737C-4114-82D4-BC7267F17489}"/>
    <hyperlink ref="AJ483" r:id="rId482" xr:uid="{BA1A3764-E61F-4A6B-89D0-0CC72AAA1ADE}"/>
    <hyperlink ref="AJ484" r:id="rId483" xr:uid="{61E28381-3074-4939-9257-813B2098D08A}"/>
    <hyperlink ref="AJ485" r:id="rId484" xr:uid="{D4EAE1CC-4C04-49FF-8AFB-68CBA3C84C63}"/>
    <hyperlink ref="AJ486" r:id="rId485" xr:uid="{5B9DFC53-F32A-4F09-B76B-E726D929803D}"/>
    <hyperlink ref="AJ487" r:id="rId486" xr:uid="{C74B0959-E728-4E97-971D-04EC45E51F36}"/>
    <hyperlink ref="AJ488" r:id="rId487" xr:uid="{942B10C6-A8A9-445F-AB7D-214370FC897F}"/>
    <hyperlink ref="AJ489" r:id="rId488" xr:uid="{341B4BC9-8DF7-4848-B14C-6BE372A17B66}"/>
    <hyperlink ref="AJ490" r:id="rId489" xr:uid="{D94A6EDD-09C8-4DF7-B0C0-1D325C41D95C}"/>
    <hyperlink ref="AJ491" r:id="rId490" xr:uid="{F2AE8402-59F3-4B79-AD7F-78D4725A2AD4}"/>
    <hyperlink ref="AJ492" r:id="rId491" xr:uid="{71138975-7EE9-4CC9-917F-1D8C16FE3E19}"/>
    <hyperlink ref="AJ493" r:id="rId492" xr:uid="{C7AC9484-3007-4660-87C5-19C5A3857171}"/>
    <hyperlink ref="AJ494" r:id="rId493" xr:uid="{6529EC04-B748-44CA-871F-8BB7D8E08757}"/>
    <hyperlink ref="AJ495" r:id="rId494" xr:uid="{31742947-A9AD-4B74-AA22-03FC0C1DC1DF}"/>
    <hyperlink ref="AJ496" r:id="rId495" xr:uid="{21C3D8B7-171C-4F10-914F-E713EFDBEE16}"/>
    <hyperlink ref="AJ497" r:id="rId496" xr:uid="{CE363690-A628-4E50-BC56-78552790277A}"/>
    <hyperlink ref="AJ498" r:id="rId497" xr:uid="{5F623B34-C34E-4244-9C20-67AFE82312B4}"/>
    <hyperlink ref="AJ499" r:id="rId498" xr:uid="{A2F18746-57A6-45C0-A868-BCB9E02515D8}"/>
    <hyperlink ref="AJ500" r:id="rId499" xr:uid="{1612E3D9-5489-48DC-8B15-5126D87F99D7}"/>
    <hyperlink ref="AJ501" r:id="rId500" xr:uid="{0239961E-6DBF-4A2E-A9D1-DA3542D30E5D}"/>
    <hyperlink ref="AJ502" r:id="rId501" xr:uid="{5A54C90D-6169-4E07-B038-0593AFB83F70}"/>
    <hyperlink ref="AJ503" r:id="rId502" xr:uid="{28E0962E-78CF-47AE-9C2B-520DAEF5BF7A}"/>
    <hyperlink ref="AJ504" r:id="rId503" xr:uid="{EB67283D-7545-49A9-8D20-74606E868265}"/>
    <hyperlink ref="AJ505" r:id="rId504" xr:uid="{FF488714-AF38-45A5-BC48-E76FC22CB035}"/>
    <hyperlink ref="AJ506" r:id="rId505" xr:uid="{090C477D-2E71-4451-B395-061825C9C273}"/>
    <hyperlink ref="AJ507" r:id="rId506" xr:uid="{961BB9E9-D77B-4796-B9C9-D17735D93647}"/>
    <hyperlink ref="AJ508" r:id="rId507" xr:uid="{27993F1D-F11C-48D2-BA4A-194A9B7EF3C2}"/>
    <hyperlink ref="AJ509" r:id="rId508" xr:uid="{43ED7785-7B5B-418E-BAEA-54E7258C551E}"/>
    <hyperlink ref="AJ510" r:id="rId509" xr:uid="{4861AA92-7AE6-40B0-BCF2-0D108FF67D36}"/>
    <hyperlink ref="AJ511" r:id="rId510" xr:uid="{566A8792-2EDD-4ACD-941C-4491F2C62E24}"/>
    <hyperlink ref="AJ512" r:id="rId511" xr:uid="{45B3D432-680B-4D2D-9D67-6EBF0C44A0EF}"/>
    <hyperlink ref="AJ513" r:id="rId512" xr:uid="{C0030EE7-DED3-451F-A896-79DD6A71F6D6}"/>
    <hyperlink ref="AJ514" r:id="rId513" xr:uid="{DA750DCB-9CBD-41CE-A43C-715007C0DDDF}"/>
    <hyperlink ref="AJ515" r:id="rId514" xr:uid="{EDDF2F02-A736-49B6-A274-23EDC55BD6FD}"/>
    <hyperlink ref="AJ516" r:id="rId515" xr:uid="{CD04DC41-286E-4E93-BA78-B668254C76FE}"/>
    <hyperlink ref="AJ517" r:id="rId516" xr:uid="{51906BB1-DAAB-4544-9042-17B5B9B86AFD}"/>
    <hyperlink ref="AJ518" r:id="rId517" xr:uid="{A731378C-374B-492D-BF01-595FA6774C0C}"/>
    <hyperlink ref="AJ519" r:id="rId518" xr:uid="{46E79F0A-B3E8-4D5F-A6F2-D322DC492F3F}"/>
    <hyperlink ref="AJ520" r:id="rId519" xr:uid="{DA34AD46-76EA-4618-B09D-32CCCEA0AD71}"/>
    <hyperlink ref="AJ521" r:id="rId520" xr:uid="{CF535D5C-7199-4E7C-B3F7-6266972C63F4}"/>
    <hyperlink ref="AJ522" r:id="rId521" xr:uid="{1656648C-CF9D-477C-A0D0-A0E700049665}"/>
    <hyperlink ref="AJ523" r:id="rId522" xr:uid="{6B501D54-F096-4A36-8678-2BB1C02D3D11}"/>
    <hyperlink ref="AJ524" r:id="rId523" xr:uid="{36BB6D85-2610-47F0-97FD-732329D6B294}"/>
    <hyperlink ref="AJ525" r:id="rId524" xr:uid="{3D214707-5EE5-4974-9619-241ADF3089AF}"/>
    <hyperlink ref="AJ526" r:id="rId525" xr:uid="{678E2838-2AC6-4319-AA4A-EA5788771893}"/>
    <hyperlink ref="AJ527" r:id="rId526" xr:uid="{2937591A-C809-4C19-BF3E-D3D5EB708086}"/>
    <hyperlink ref="AJ528" r:id="rId527" xr:uid="{1D292CC8-A234-4D0D-BE76-8B522049C546}"/>
    <hyperlink ref="AJ529" r:id="rId528" xr:uid="{76E21FF1-F0D2-4903-9594-82CE4C90D901}"/>
    <hyperlink ref="AJ530" r:id="rId529" xr:uid="{EA1AD73D-081A-4997-8D3B-7917443A8CEF}"/>
    <hyperlink ref="AJ531" r:id="rId530" xr:uid="{1D798709-CCB2-42F4-A4BD-CC4108E6F49F}"/>
    <hyperlink ref="AJ532" r:id="rId531" xr:uid="{ED2CC0D6-65EC-4A6E-99F9-4D8F3703C695}"/>
    <hyperlink ref="AJ533" r:id="rId532" xr:uid="{693518C3-38A9-4C94-8369-370E87DE5A61}"/>
    <hyperlink ref="AJ534" r:id="rId533" xr:uid="{4239BF38-A3DF-4F9E-A787-170471A9FE73}"/>
    <hyperlink ref="AJ535" r:id="rId534" xr:uid="{2EA643E6-6F55-4C8A-A195-3B6BDE78B012}"/>
    <hyperlink ref="AJ536" r:id="rId535" xr:uid="{D6626F3B-4CCB-4110-AD75-00951D776CB5}"/>
    <hyperlink ref="AJ537" r:id="rId536" xr:uid="{EB7E1C12-BB68-4277-9DBE-49951F1BD146}"/>
    <hyperlink ref="AJ538" r:id="rId537" xr:uid="{67F6F352-E567-4AAC-A2DE-8939F4C1CB5F}"/>
    <hyperlink ref="AJ539" r:id="rId538" xr:uid="{7507021A-9DED-4103-8750-E54B02452401}"/>
    <hyperlink ref="AJ540" r:id="rId539" xr:uid="{6456C905-8DAD-4BAE-9759-761B947DF1E7}"/>
    <hyperlink ref="AJ541" r:id="rId540" xr:uid="{FA8CBE30-D6E7-444F-AADD-B8652D7537B8}"/>
    <hyperlink ref="AJ542" r:id="rId541" xr:uid="{1BF3F8A5-1900-447A-848C-404D4C9BFD31}"/>
    <hyperlink ref="AJ543" r:id="rId542" xr:uid="{0D567B27-5187-4430-8948-1795743F70A6}"/>
    <hyperlink ref="AJ544" r:id="rId543" xr:uid="{94C97FF8-B8C5-4DBB-A09D-E58C0F59295F}"/>
    <hyperlink ref="AJ545" r:id="rId544" xr:uid="{2359E66E-2CD8-4434-BC26-5B5879D747A4}"/>
    <hyperlink ref="AJ546" r:id="rId545" xr:uid="{422CB125-519E-4F72-BEF8-ED9AF13D0733}"/>
    <hyperlink ref="AJ547" r:id="rId546" xr:uid="{DE1156B8-7269-4489-A6DE-64962D1B6D3D}"/>
    <hyperlink ref="AJ548" r:id="rId547" xr:uid="{CEFEA8E6-A675-4DAE-98FF-F1780E86045C}"/>
    <hyperlink ref="AJ549" r:id="rId548" xr:uid="{A466A91A-BFA6-42BC-B7D8-BE813CE72889}"/>
    <hyperlink ref="AJ550" r:id="rId549" xr:uid="{F7D8FDCE-AFAB-41BF-8314-E44D966A2CB4}"/>
    <hyperlink ref="AJ551" r:id="rId550" xr:uid="{0E44E80A-E489-4671-AB76-71496CB4369C}"/>
    <hyperlink ref="AJ552" r:id="rId551" xr:uid="{A359106D-12FE-45E5-972A-937CBF666F69}"/>
    <hyperlink ref="AJ553" r:id="rId552" xr:uid="{FDD0D290-124C-4787-AED8-2293427164DE}"/>
    <hyperlink ref="AJ554" r:id="rId553" xr:uid="{79C19149-6EE7-4121-93EE-F3BBAFE4349E}"/>
    <hyperlink ref="AJ555" r:id="rId554" xr:uid="{B01185C7-2B80-4AAF-99B3-CCD39F81E87B}"/>
    <hyperlink ref="AJ556" r:id="rId555" xr:uid="{D23D9F4E-EFD9-4BF5-9873-BC9B81D3DA9C}"/>
    <hyperlink ref="AJ557" r:id="rId556" xr:uid="{A983C87B-502F-44E3-8298-E2DB7BE91F3C}"/>
    <hyperlink ref="AJ558" r:id="rId557" xr:uid="{BBD589B3-FB1E-4897-8F3B-716A0FE6DA15}"/>
    <hyperlink ref="AJ559" r:id="rId558" xr:uid="{5B2B9F0E-01FB-40EC-A88C-09D546DF96F4}"/>
    <hyperlink ref="AJ560" r:id="rId559" xr:uid="{5437A841-C37C-42F8-8DEB-5DD4D905E0A1}"/>
    <hyperlink ref="AJ561" r:id="rId560" xr:uid="{1EF25CD6-C8FE-426C-AD21-07926E491F2F}"/>
    <hyperlink ref="AJ562" r:id="rId561" xr:uid="{A26CFD13-4EED-4E6E-91E9-E94F54FE61D3}"/>
    <hyperlink ref="AJ563" r:id="rId562" xr:uid="{6B09C59A-3ECA-45E3-A1F2-33FFAB7334FB}"/>
    <hyperlink ref="AJ564" r:id="rId563" xr:uid="{A8878CF0-122D-4A13-86FA-116812886B6D}"/>
    <hyperlink ref="AJ565" r:id="rId564" xr:uid="{E4404004-2E05-4DF9-9995-88F1C7BB70E6}"/>
    <hyperlink ref="AJ566" r:id="rId565" xr:uid="{C0ED86EC-E955-455B-B32B-B1E4822EC77A}"/>
    <hyperlink ref="AJ567" r:id="rId566" xr:uid="{AF29BCB7-D05E-4FA2-9070-81E217A771D6}"/>
    <hyperlink ref="AJ568" r:id="rId567" xr:uid="{8A0F2A2E-91EB-48D7-9D12-5E84A0680616}"/>
    <hyperlink ref="AJ569" r:id="rId568" xr:uid="{B5D3947E-D924-4773-A233-3323C7727775}"/>
    <hyperlink ref="AJ570" r:id="rId569" xr:uid="{B25B398B-CD81-402F-AF01-AC61A5F00BC5}"/>
    <hyperlink ref="AJ571" r:id="rId570" xr:uid="{7BFEF4A3-5225-45BC-B0E0-33BFC504BEEB}"/>
    <hyperlink ref="AJ572" r:id="rId571" xr:uid="{CC34C304-8D87-46F8-8D63-58602685A60C}"/>
    <hyperlink ref="AW2" r:id="rId572" xr:uid="{56043FFC-5DB2-467A-95CC-E5F784D30896}"/>
    <hyperlink ref="AW3" r:id="rId573" xr:uid="{E5D4224F-8869-4FE5-AEF7-945531F0AE63}"/>
    <hyperlink ref="AW4" r:id="rId574" xr:uid="{82F78962-1A32-4C57-B249-95A710E5B413}"/>
    <hyperlink ref="AW5" r:id="rId575" xr:uid="{0228B69D-2757-4C77-BE61-F05B1288AA1F}"/>
    <hyperlink ref="AW6" r:id="rId576" xr:uid="{7FD23E25-A8D5-4D80-8BD4-0360981FCEA9}"/>
    <hyperlink ref="AW7" r:id="rId577" xr:uid="{8CFA5266-2712-4478-9356-DE687B097B25}"/>
    <hyperlink ref="AW8" r:id="rId578" xr:uid="{8CDDC016-C838-4D70-9138-49CD80BD2A59}"/>
    <hyperlink ref="AW9" r:id="rId579" xr:uid="{597D7C51-B667-4DF3-8341-D8CED2331D77}"/>
    <hyperlink ref="AW10" r:id="rId580" xr:uid="{185216B7-C9C5-4101-BDED-6C1058646D26}"/>
    <hyperlink ref="AW11" r:id="rId581" xr:uid="{A6EB4C26-B559-4EE5-8CAF-343B7FD83541}"/>
    <hyperlink ref="AW12" r:id="rId582" xr:uid="{3D45715D-3276-4171-805E-88C1ABBFB2B1}"/>
    <hyperlink ref="AW13" r:id="rId583" xr:uid="{F3E9DB2F-91A8-4C4A-9254-2A30D3E8C877}"/>
    <hyperlink ref="AW14" r:id="rId584" xr:uid="{3C10D38F-C995-45BF-8526-ECB35B3E361B}"/>
    <hyperlink ref="AW15" r:id="rId585" xr:uid="{ADB10143-3E82-44AA-BE5B-32E0DE6678F8}"/>
    <hyperlink ref="AW16" r:id="rId586" xr:uid="{2B640FBF-DB95-46A9-8584-4011DC76F7E2}"/>
    <hyperlink ref="AW17" r:id="rId587" xr:uid="{F5E0D07D-3E4C-496D-83D3-39E360325E8B}"/>
    <hyperlink ref="AW18" r:id="rId588" xr:uid="{F12544E7-FFC9-4C41-BBD0-2D2A2A613D90}"/>
    <hyperlink ref="AW19" r:id="rId589" xr:uid="{538B51D1-F281-4643-B5E1-7240B7DF5CCD}"/>
    <hyperlink ref="AW20" r:id="rId590" xr:uid="{F7AC03E9-3031-4393-8BE4-379ECC78B755}"/>
    <hyperlink ref="AW21" r:id="rId591" xr:uid="{00C5D704-F4A0-4597-8842-D5058C711A54}"/>
    <hyperlink ref="AW22" r:id="rId592" xr:uid="{15178ECF-F736-4F99-9E01-05A01757CD91}"/>
    <hyperlink ref="AW23" r:id="rId593" xr:uid="{013077AB-A08D-431B-AAA5-87D169960036}"/>
    <hyperlink ref="AW24" r:id="rId594" xr:uid="{6B78FBAB-E57A-4D42-9B10-1F50EFDAC035}"/>
    <hyperlink ref="AW25" r:id="rId595" xr:uid="{532B6AAF-0CAF-4F84-8062-AD182BA0F525}"/>
    <hyperlink ref="AW26" r:id="rId596" xr:uid="{51959019-6360-4180-9511-5FDC166048A7}"/>
    <hyperlink ref="AW27" r:id="rId597" xr:uid="{4F9A32CC-FD7D-4680-B156-D7F62BB02C2E}"/>
    <hyperlink ref="AW28" r:id="rId598" xr:uid="{A7C3E043-02F8-44F8-BD6C-497FFB85DE46}"/>
    <hyperlink ref="AW29" r:id="rId599" xr:uid="{A5DDEB2C-9A58-4C30-8E4E-BB931A2C0FB3}"/>
    <hyperlink ref="AW30" r:id="rId600" xr:uid="{685A60E2-1083-4D34-95C3-0820B7671BFE}"/>
    <hyperlink ref="AW31" r:id="rId601" xr:uid="{C600B359-9E0B-46FF-976F-7B62522C9BA6}"/>
    <hyperlink ref="AW32" r:id="rId602" xr:uid="{4713B0A6-CBC6-4EA4-A616-301FCA3ADA1D}"/>
    <hyperlink ref="AW33" r:id="rId603" xr:uid="{9364118C-6696-44A6-B742-7678B2E68A6A}"/>
    <hyperlink ref="AW34" r:id="rId604" xr:uid="{DD845838-0761-458E-9927-C62F4F39D583}"/>
    <hyperlink ref="AW35" r:id="rId605" xr:uid="{26D2D969-C484-4F18-9CB1-37518955247A}"/>
    <hyperlink ref="AW36" r:id="rId606" xr:uid="{52E17CE8-2E23-4A71-9810-5D4159EF1C8F}"/>
    <hyperlink ref="AW37" r:id="rId607" xr:uid="{4DBE271B-F521-4AD7-A25C-4AA686343157}"/>
    <hyperlink ref="AW38" r:id="rId608" xr:uid="{88D02E4E-7EE2-44C3-B8D0-9C7E05C1034C}"/>
    <hyperlink ref="AW39" r:id="rId609" xr:uid="{88B1905B-98A4-4BE7-A32A-25D2F3D844D1}"/>
    <hyperlink ref="AW40" r:id="rId610" xr:uid="{1D11570E-1CCD-41EA-94DA-CDF37A9C38FA}"/>
    <hyperlink ref="AW41" r:id="rId611" xr:uid="{BE29DBDB-249F-4C6D-876D-33947162011B}"/>
    <hyperlink ref="AW42" r:id="rId612" xr:uid="{3342B7CD-F5D4-428E-A0CB-45D8D7DC8C32}"/>
    <hyperlink ref="AW43" r:id="rId613" xr:uid="{ECEA7364-7D03-477D-B314-3FA61480F5DB}"/>
    <hyperlink ref="AW44" r:id="rId614" xr:uid="{E3FC5650-F874-4776-91BF-EAF7F6BF00E6}"/>
    <hyperlink ref="AW45" r:id="rId615" xr:uid="{090D3E49-8F81-4E03-980B-749FEEAF53DD}"/>
    <hyperlink ref="AW46" r:id="rId616" xr:uid="{4C004A51-328B-4D62-A021-8050F9A71728}"/>
    <hyperlink ref="AW47" r:id="rId617" xr:uid="{BE3DA1EE-004C-42C3-8014-5B38553E36E5}"/>
    <hyperlink ref="AW48" r:id="rId618" xr:uid="{4CD124D5-2841-402B-A38E-A686842A6A75}"/>
    <hyperlink ref="AW49" r:id="rId619" xr:uid="{D99D350E-A225-4D83-821C-D95138F328BB}"/>
    <hyperlink ref="AW50" r:id="rId620" xr:uid="{2EE4DE10-0321-4EE5-BC2A-DDB143F2E171}"/>
    <hyperlink ref="AW51" r:id="rId621" xr:uid="{E51AD004-0CFB-43E0-A82E-A00FB789BF09}"/>
    <hyperlink ref="AW52" r:id="rId622" xr:uid="{139C1754-8867-46D6-BDFD-A933CE08180C}"/>
    <hyperlink ref="AW53" r:id="rId623" xr:uid="{63F12E60-F951-46C7-922F-B6CD6F9809F5}"/>
    <hyperlink ref="AW54" r:id="rId624" xr:uid="{D80743D3-AF64-46AC-8814-B553B8599E4F}"/>
    <hyperlink ref="AW55" r:id="rId625" xr:uid="{71615E26-C099-4CFF-B1F0-7C1415F84A6D}"/>
    <hyperlink ref="AW56" r:id="rId626" xr:uid="{B151975E-A287-461B-9911-557E83CC66EB}"/>
    <hyperlink ref="AW57" r:id="rId627" xr:uid="{F1AC858E-6CBE-4497-9151-03DAB470991F}"/>
    <hyperlink ref="AW58" r:id="rId628" xr:uid="{50683E39-1C0E-41C2-AD83-F7220AA7873C}"/>
    <hyperlink ref="AW59" r:id="rId629" xr:uid="{A9ED77A0-8936-447A-8FE3-C5588538EF18}"/>
    <hyperlink ref="AW60" r:id="rId630" xr:uid="{AC105425-AB0D-41FB-A2B9-045A9D019B6E}"/>
    <hyperlink ref="AW61" r:id="rId631" xr:uid="{FB60D40C-1AC9-439B-82B2-B23817F7F892}"/>
    <hyperlink ref="AW62" r:id="rId632" xr:uid="{915BA5F5-4EE0-4367-82B3-52040C2944EC}"/>
    <hyperlink ref="AW63" r:id="rId633" xr:uid="{F1F83155-483C-46F0-983F-0EC249FA90F3}"/>
    <hyperlink ref="AW64" r:id="rId634" xr:uid="{A37C80C1-CC7C-44A8-9080-2A434A01D60C}"/>
    <hyperlink ref="AW65" r:id="rId635" xr:uid="{A7F659AB-1E86-4168-8466-1C89EACCCC3D}"/>
    <hyperlink ref="AW66" r:id="rId636" xr:uid="{8F5811D0-116A-40F6-BB28-03F27CFD6156}"/>
    <hyperlink ref="AW67" r:id="rId637" xr:uid="{02C1121E-07E1-48EA-9AD0-14185B1FDC97}"/>
    <hyperlink ref="AW68" r:id="rId638" xr:uid="{9AA17351-29AD-4D4F-869D-A0FC9B2B0CE7}"/>
    <hyperlink ref="AW69" r:id="rId639" xr:uid="{7DA20AD6-8ED8-4737-9AFF-FFC99D52097B}"/>
    <hyperlink ref="AW70" r:id="rId640" xr:uid="{D50B0DA1-B12E-4ECE-878A-246D3D56594F}"/>
    <hyperlink ref="AW71" r:id="rId641" xr:uid="{AB521358-41E1-49EB-B14E-AD43544E809C}"/>
    <hyperlink ref="AW72" r:id="rId642" xr:uid="{EA5BD9C9-05B7-467D-850D-B25A7B3DD19D}"/>
    <hyperlink ref="AW73" r:id="rId643" xr:uid="{6AAB277C-0F40-4C7D-A1C1-2FB391A156D7}"/>
    <hyperlink ref="AW74" r:id="rId644" xr:uid="{621A3B5F-CF3A-495C-A69B-B657C8079932}"/>
    <hyperlink ref="AW75" r:id="rId645" xr:uid="{C1AD7E80-603A-489A-A6A3-F3AD9CC93D16}"/>
    <hyperlink ref="AW76" r:id="rId646" xr:uid="{0F1C262D-BD76-499B-A99D-A651A04C018A}"/>
    <hyperlink ref="AW77" r:id="rId647" xr:uid="{D52069B6-4E46-4F08-9948-4E1AD666F78A}"/>
    <hyperlink ref="AW78" r:id="rId648" xr:uid="{A4D1DA4D-5B89-4877-BC83-7ACB510CA3C3}"/>
    <hyperlink ref="AW79" r:id="rId649" xr:uid="{619A13CE-71A3-4EC1-815A-28F3F0AB90BC}"/>
    <hyperlink ref="AW80" r:id="rId650" xr:uid="{EB6ACEF7-7641-4B50-A8C1-8DEE62F929CF}"/>
    <hyperlink ref="AW81" r:id="rId651" xr:uid="{32ADB4FD-A6C7-4134-BC73-7B5C996D2572}"/>
    <hyperlink ref="AW82" r:id="rId652" xr:uid="{4A13956C-1CEB-4509-AFEA-3521217DFC31}"/>
    <hyperlink ref="AW83" r:id="rId653" xr:uid="{ED67F9E4-D598-4F39-8DF8-A04BD1DD1F5F}"/>
    <hyperlink ref="AW84" r:id="rId654" xr:uid="{F143B885-BF2C-433C-ADED-80B2501445BB}"/>
    <hyperlink ref="AW85" r:id="rId655" xr:uid="{E3F89652-9613-4F59-8616-FF2E5382974D}"/>
    <hyperlink ref="AW86" r:id="rId656" xr:uid="{AFF1834D-00AB-4F54-9489-9626060C1A03}"/>
    <hyperlink ref="AW87" r:id="rId657" xr:uid="{858DF765-896F-4877-87B3-02648DD553D3}"/>
    <hyperlink ref="AW88" r:id="rId658" xr:uid="{60420A00-7457-4C23-B4B6-912644E6F8EA}"/>
    <hyperlink ref="AW89" r:id="rId659" xr:uid="{88CF4B64-43D6-4774-9B26-D223BBEC928A}"/>
    <hyperlink ref="AW90" r:id="rId660" xr:uid="{9000A61D-A310-46B3-B086-F510B92F7F89}"/>
    <hyperlink ref="AW91" r:id="rId661" xr:uid="{719CB461-F9EF-4257-97D3-3A16C8F557EC}"/>
    <hyperlink ref="AW92" r:id="rId662" xr:uid="{84032EBC-697F-479D-8057-3666778E1713}"/>
    <hyperlink ref="AW93" r:id="rId663" xr:uid="{72730F49-B5D3-4458-A0B6-D175A82EF6F5}"/>
    <hyperlink ref="AW94" r:id="rId664" xr:uid="{546B1094-C81B-4BA9-82FD-BDE3E9A5362E}"/>
    <hyperlink ref="AW95" r:id="rId665" xr:uid="{DD33AC52-7B19-445F-A6F1-C1678B7A2F88}"/>
    <hyperlink ref="AW96" r:id="rId666" xr:uid="{C9D8EEDF-B8D5-48E4-931A-1859493DB572}"/>
    <hyperlink ref="AW97" r:id="rId667" xr:uid="{65E56B96-8EF3-4EA9-AB4C-EE9B26A9A364}"/>
    <hyperlink ref="AW98" r:id="rId668" xr:uid="{1FF5B372-3CEB-4685-8CBF-68FA50237B04}"/>
    <hyperlink ref="AW99" r:id="rId669" xr:uid="{D1F3A830-80E6-4468-A2EE-B3101CA9750D}"/>
    <hyperlink ref="AW100" r:id="rId670" xr:uid="{25F856EB-9D7C-416B-8881-ED1D96D1D728}"/>
    <hyperlink ref="AW101" r:id="rId671" xr:uid="{A7246388-28AB-4D07-9CD0-1F3C7097A8CF}"/>
    <hyperlink ref="AW102" r:id="rId672" xr:uid="{99D163A2-8C9B-4BA2-B15F-301A6F4927F7}"/>
    <hyperlink ref="AW103" r:id="rId673" xr:uid="{10AB5DCF-73B3-43FA-A09D-4E69ECA37739}"/>
    <hyperlink ref="AW104" r:id="rId674" xr:uid="{3AAA3E16-7BCF-4E84-9AD0-9A9D85DEFDD7}"/>
    <hyperlink ref="AW105" r:id="rId675" xr:uid="{121C942A-BED0-4923-9445-50C0360C8A18}"/>
    <hyperlink ref="AW106" r:id="rId676" xr:uid="{4D279C1D-52D6-4E4A-A0EE-B5688E6C296B}"/>
    <hyperlink ref="AW107" r:id="rId677" xr:uid="{4A53CEA7-0BC9-48A4-B924-2BF71DA9410E}"/>
    <hyperlink ref="AW108" r:id="rId678" xr:uid="{E7B4376A-D1E6-4B6E-BAC2-037621A0663E}"/>
    <hyperlink ref="AW109" r:id="rId679" xr:uid="{4B31A432-28D5-4598-BBD8-4AB7AA08673E}"/>
    <hyperlink ref="AW110" r:id="rId680" xr:uid="{9CBD24FD-3142-4BDB-8A20-1CD1EBEC48A7}"/>
    <hyperlink ref="AW111" r:id="rId681" xr:uid="{0B1AF4CC-4BF0-4268-B8ED-DB749B437EBF}"/>
    <hyperlink ref="AW112" r:id="rId682" xr:uid="{F3C4CFC1-3F56-4FB0-B157-27879A943B82}"/>
    <hyperlink ref="AW113" r:id="rId683" xr:uid="{BA2643E5-F288-42EB-AF3E-A4D9627A8DB8}"/>
    <hyperlink ref="AW114" r:id="rId684" xr:uid="{D3D484E0-2736-4F92-8BE9-F259194678F3}"/>
    <hyperlink ref="AW115" r:id="rId685" xr:uid="{AC7903FC-93F8-4484-8E34-4E2A54E2E4A7}"/>
    <hyperlink ref="AW116" r:id="rId686" xr:uid="{E8A3A497-749B-4532-85E0-22F682118DA9}"/>
    <hyperlink ref="AW117" r:id="rId687" xr:uid="{D917C4E0-2969-48D9-A0D8-22810CB3F8A5}"/>
    <hyperlink ref="AW118" r:id="rId688" xr:uid="{926E8E76-88FA-46B1-9326-81B58281C2EC}"/>
    <hyperlink ref="AW119" r:id="rId689" xr:uid="{AE405A26-0637-4FE3-AAA6-D3F6956B620A}"/>
    <hyperlink ref="AW120" r:id="rId690" xr:uid="{570C638C-CD28-4269-9406-327F4B3EDC4D}"/>
    <hyperlink ref="AW121" r:id="rId691" xr:uid="{A12AF5C2-920C-4097-B27F-2FC5A0A5A19D}"/>
    <hyperlink ref="AW122" r:id="rId692" xr:uid="{B0628549-8F4F-4489-929E-919790B20C67}"/>
    <hyperlink ref="AW123" r:id="rId693" xr:uid="{914DF0E5-B367-496E-AF25-1D8A74310CB1}"/>
    <hyperlink ref="AW124" r:id="rId694" xr:uid="{55C3C90E-2428-41BF-9FA6-8F55E0E69172}"/>
    <hyperlink ref="AW125" r:id="rId695" xr:uid="{EC15BD06-BA87-400F-BA8C-A4A164D01DBE}"/>
    <hyperlink ref="AW126" r:id="rId696" xr:uid="{03B0C88F-9207-41D4-9E95-1283DB79B435}"/>
    <hyperlink ref="AW127" r:id="rId697" xr:uid="{CAE6A1E9-05E0-4D6C-9194-A7D3E6B3129D}"/>
    <hyperlink ref="AW128" r:id="rId698" xr:uid="{E73EF489-68D6-4B99-8909-05F52C974113}"/>
    <hyperlink ref="AW129" r:id="rId699" xr:uid="{C74DD9E7-5357-4D5E-A179-DC8B70A9882A}"/>
    <hyperlink ref="AW130" r:id="rId700" xr:uid="{53715BAA-EDBC-4C5B-9C10-3E760D655D00}"/>
    <hyperlink ref="AW131" r:id="rId701" xr:uid="{8EACC945-23D8-4AA2-B87C-C4FF9DC13819}"/>
    <hyperlink ref="AW132" r:id="rId702" xr:uid="{11848987-C784-4498-B263-8D35009E1654}"/>
    <hyperlink ref="AW133" r:id="rId703" xr:uid="{D0064D86-06BB-45A2-A3CF-3B9DAAAA7D6B}"/>
    <hyperlink ref="AW134" r:id="rId704" xr:uid="{F02EC40F-0720-4050-89A8-67AC16490438}"/>
    <hyperlink ref="AW135" r:id="rId705" xr:uid="{F3F09E7A-83CD-427E-8C61-F6786525196F}"/>
    <hyperlink ref="AW136" r:id="rId706" xr:uid="{2B736926-D8CF-4909-8F23-7FED9C54DAAB}"/>
    <hyperlink ref="AW137" r:id="rId707" xr:uid="{9DEFF773-776A-4CF7-B85B-FF535C1E5126}"/>
    <hyperlink ref="AW138" r:id="rId708" xr:uid="{91BB7D95-3498-4570-BC8A-C0DD37CAA7C5}"/>
    <hyperlink ref="AW139" r:id="rId709" xr:uid="{BC03008C-81E9-4F28-85E3-306D7ACA578E}"/>
    <hyperlink ref="AW140" r:id="rId710" xr:uid="{395475DD-4C44-4102-B59B-0A7E915C3243}"/>
    <hyperlink ref="AW141" r:id="rId711" xr:uid="{B5EA6A93-7275-4824-9902-2DEABE66DF76}"/>
    <hyperlink ref="AW142" r:id="rId712" xr:uid="{347B0963-AC19-4825-8BA2-4CBB70371AC3}"/>
    <hyperlink ref="AW143" r:id="rId713" xr:uid="{4E197F8E-9D30-4C58-ADC2-C678D9011B6D}"/>
    <hyperlink ref="AW144" r:id="rId714" xr:uid="{C5848592-5239-4AEA-BE95-07CBFA30BA2B}"/>
    <hyperlink ref="AW145" r:id="rId715" xr:uid="{EAE9872A-3D0A-4AC7-BB5C-259014E8E888}"/>
    <hyperlink ref="AW146" r:id="rId716" xr:uid="{229E1300-57CE-4184-8C9E-FB76C02A2FF8}"/>
    <hyperlink ref="AW147" r:id="rId717" xr:uid="{2C0BD608-7157-4871-AAC5-80BA29C0C465}"/>
    <hyperlink ref="AW148" r:id="rId718" xr:uid="{4DA19882-40A6-42E8-A293-2BD234C2AE55}"/>
    <hyperlink ref="AW149" r:id="rId719" xr:uid="{C3148369-D46D-4816-999D-931A74076C30}"/>
    <hyperlink ref="AW150" r:id="rId720" xr:uid="{C5E58FDE-F1DA-4F23-99C9-DC3D2892A4C9}"/>
    <hyperlink ref="AW151" r:id="rId721" xr:uid="{BE3601CC-A8F6-4D56-AFA7-D82CB6048416}"/>
    <hyperlink ref="AW152" r:id="rId722" xr:uid="{E6F8DA4B-C13F-43F4-9C40-4C3A2A9A9F46}"/>
    <hyperlink ref="AW153" r:id="rId723" xr:uid="{DDC4F243-0364-43BD-B212-0209E4691355}"/>
    <hyperlink ref="AW154" r:id="rId724" xr:uid="{4AF06D04-C93F-4E65-9005-1EC5C2A6BAB5}"/>
    <hyperlink ref="AW155" r:id="rId725" xr:uid="{981BC76F-3910-4E3D-8B27-9F66AD75FB19}"/>
    <hyperlink ref="AW156" r:id="rId726" xr:uid="{37635932-4AE9-462D-979D-A91F66EDA912}"/>
    <hyperlink ref="AW157" r:id="rId727" xr:uid="{85CABA02-F7EA-48BF-91D2-0437A5DFB120}"/>
    <hyperlink ref="AW158" r:id="rId728" xr:uid="{0FFBE04A-274D-4FB3-98E2-8A515D8B3A8C}"/>
    <hyperlink ref="AW159" r:id="rId729" xr:uid="{4B88FE38-5A10-4AC2-963E-FC9E8D9A8338}"/>
    <hyperlink ref="AW160" r:id="rId730" xr:uid="{281E37B3-710A-4C24-AFB1-CC3F02CE9A59}"/>
    <hyperlink ref="AW161" r:id="rId731" xr:uid="{E982C8B4-A235-4E68-90C4-4DB2CBF6BFD4}"/>
    <hyperlink ref="AW162" r:id="rId732" xr:uid="{DBB838C0-C1DA-42E4-BF50-715D72C25E25}"/>
    <hyperlink ref="AW163" r:id="rId733" xr:uid="{E78C3E55-932A-4FC8-B8A4-BA356833E04C}"/>
    <hyperlink ref="AW164" r:id="rId734" xr:uid="{7EB15107-EF8E-46C3-AE36-5CC3391589F5}"/>
    <hyperlink ref="AW165" r:id="rId735" xr:uid="{367FF6FB-9C16-46B6-B8A7-C30C34812EE4}"/>
    <hyperlink ref="AW166" r:id="rId736" xr:uid="{E260AACC-EAF9-433F-BE9A-FB916F9A7F31}"/>
    <hyperlink ref="AW167" r:id="rId737" xr:uid="{E8FDB7D9-B444-4705-A22C-950A2958F00C}"/>
    <hyperlink ref="AW168" r:id="rId738" xr:uid="{42FC3270-6DB4-452C-B201-AFC33E8D241F}"/>
    <hyperlink ref="AW169" r:id="rId739" xr:uid="{70B53CF2-2289-45E5-96A8-3F959693D5FB}"/>
    <hyperlink ref="AW170" r:id="rId740" xr:uid="{3112124D-B221-4420-9080-0F7571788FB0}"/>
    <hyperlink ref="AW171" r:id="rId741" xr:uid="{0DA7A28D-8017-4C84-BAE5-DF2FDDA17DAF}"/>
    <hyperlink ref="AW172" r:id="rId742" xr:uid="{8BF9D08A-EEEA-4542-9CA2-D3D35C4D9FF9}"/>
    <hyperlink ref="AW173" r:id="rId743" xr:uid="{9CAE1CBB-0715-4167-A667-425451E812B6}"/>
    <hyperlink ref="AW174" r:id="rId744" xr:uid="{041A5639-8DCD-48A4-897F-8B1CCD83554F}"/>
    <hyperlink ref="AW175" r:id="rId745" xr:uid="{24AB5750-04D5-4075-B07A-7DE038075806}"/>
    <hyperlink ref="AW176" r:id="rId746" xr:uid="{368F772C-B7DE-4598-A8A2-6E9068F8B602}"/>
    <hyperlink ref="AW177" r:id="rId747" xr:uid="{3D7A74F7-C30E-429A-A179-4E76941069F3}"/>
    <hyperlink ref="AW178" r:id="rId748" xr:uid="{81B9A706-75A7-4684-9D6D-1FDFCAB716D2}"/>
    <hyperlink ref="AW179" r:id="rId749" xr:uid="{023D6F0E-6AAD-49AF-8BA1-F5B80CE31BA0}"/>
    <hyperlink ref="AW180" r:id="rId750" xr:uid="{4FD5D6CE-C7CD-4468-8CDB-CA3DB69CC9BF}"/>
    <hyperlink ref="AW181" r:id="rId751" xr:uid="{B2782285-8D82-4A2D-8455-DC4495E0E4B1}"/>
    <hyperlink ref="AW182" r:id="rId752" xr:uid="{A9CD7A14-4701-496D-91EC-1A2858863EC3}"/>
    <hyperlink ref="AW183" r:id="rId753" xr:uid="{D857FCC9-1687-4803-A9E9-88DCD274C0B0}"/>
    <hyperlink ref="AW184" r:id="rId754" xr:uid="{38B11349-8EF0-4E21-99E0-2AF8EE277BDA}"/>
    <hyperlink ref="AW185" r:id="rId755" xr:uid="{24994A11-10CD-4981-A76F-D5169C92056E}"/>
    <hyperlink ref="AW186" r:id="rId756" xr:uid="{FC099588-AECD-4E80-9E3B-B2EAE37F3EAD}"/>
    <hyperlink ref="AW187" r:id="rId757" xr:uid="{C6B1E0E8-5B71-4E35-8EEC-0EC1C52651F3}"/>
    <hyperlink ref="AW188" r:id="rId758" xr:uid="{51C72926-7ACA-4A1A-BDF3-467879EE041F}"/>
    <hyperlink ref="AW189" r:id="rId759" xr:uid="{CB6B1C4E-7060-4189-9625-26343428833A}"/>
    <hyperlink ref="AW190" r:id="rId760" xr:uid="{DE5B198B-F513-4BA8-9A6C-FE9997AC54FA}"/>
    <hyperlink ref="AW191" r:id="rId761" xr:uid="{64E287D5-B27B-425D-8F7C-5B57560FB680}"/>
    <hyperlink ref="AW192" r:id="rId762" xr:uid="{63F5F9B4-6056-4758-80EA-C92113B4D73E}"/>
    <hyperlink ref="AW193" r:id="rId763" xr:uid="{DDEF0505-49B9-4900-9932-7E5DB2B0372B}"/>
    <hyperlink ref="AW194" r:id="rId764" xr:uid="{E73ED329-0D76-4779-9868-E6DFC29D8ACC}"/>
    <hyperlink ref="AW195" r:id="rId765" xr:uid="{2D7B1A6E-2782-4889-BC7C-B1A427D959DC}"/>
    <hyperlink ref="AW196" r:id="rId766" xr:uid="{8CB3C85E-056E-4A36-B6CC-2CB9FE5A0A6B}"/>
    <hyperlink ref="AW197" r:id="rId767" xr:uid="{C612D80E-5DF8-4AC9-9FD9-5DDF028E9380}"/>
    <hyperlink ref="AW198" r:id="rId768" xr:uid="{0D80DAAC-896D-4B76-8CA1-77036B86E084}"/>
    <hyperlink ref="AW199" r:id="rId769" xr:uid="{837DADBB-2A6B-4F17-8014-7EC40B299861}"/>
    <hyperlink ref="AW200" r:id="rId770" xr:uid="{4E6AA90F-E6D2-42AA-A1D5-A1E51965A649}"/>
    <hyperlink ref="AW201" r:id="rId771" xr:uid="{ABDB4620-9714-46D5-B0C5-67CF81068EA7}"/>
    <hyperlink ref="AW202" r:id="rId772" xr:uid="{E01EAC92-BDB3-4594-BB8E-65987ACAF876}"/>
    <hyperlink ref="AW203" r:id="rId773" xr:uid="{C7606161-FF24-4C56-8901-B39356B3D606}"/>
    <hyperlink ref="AW204" r:id="rId774" xr:uid="{B76CB140-287F-4079-BD5E-AB91D3CE2ECB}"/>
    <hyperlink ref="AW205" r:id="rId775" xr:uid="{B6D8ECE8-4B06-434F-BC9D-84972F5279E1}"/>
    <hyperlink ref="AW206" r:id="rId776" xr:uid="{3396F8EC-86F2-40E1-84B5-C5E7099F6F69}"/>
    <hyperlink ref="AW207" r:id="rId777" xr:uid="{70412E79-39B7-430D-9F5A-5C7A16763E0B}"/>
    <hyperlink ref="AW208" r:id="rId778" xr:uid="{ABA97E9D-9446-4A9D-BC1F-B07F847BDCFB}"/>
    <hyperlink ref="AW209" r:id="rId779" xr:uid="{5BC2D176-57A5-45AC-83CA-B500807ECA97}"/>
    <hyperlink ref="AW210" r:id="rId780" xr:uid="{92301D5D-C9E7-4F82-BCAA-1C62BE8822DC}"/>
    <hyperlink ref="AW211" r:id="rId781" xr:uid="{887CD4F5-E13E-4866-AD43-FD0812386124}"/>
    <hyperlink ref="AW212" r:id="rId782" xr:uid="{7422F235-4350-4411-AB77-3BC1C37BA1E8}"/>
    <hyperlink ref="AW213" r:id="rId783" xr:uid="{893FC38C-104C-46A5-BA0A-B41E8E55066E}"/>
    <hyperlink ref="AW214" r:id="rId784" xr:uid="{EED0E808-4EA0-4AD5-8ADC-F3A1FC047FB0}"/>
    <hyperlink ref="AW215" r:id="rId785" xr:uid="{5D688834-0812-44A8-90FE-1490C56E68D1}"/>
    <hyperlink ref="AW216" r:id="rId786" xr:uid="{AAC14783-2385-468A-ABC9-AD640782F9DD}"/>
    <hyperlink ref="AW217" r:id="rId787" xr:uid="{F1B5A754-A271-4A54-8DF7-0C03EE421F9B}"/>
    <hyperlink ref="AW218" r:id="rId788" xr:uid="{D3256C88-108A-454C-919D-76F43AA3C48A}"/>
    <hyperlink ref="AW219" r:id="rId789" xr:uid="{71AE3F67-5EE4-450E-B31A-4446EA2E1C1A}"/>
    <hyperlink ref="AW220" r:id="rId790" xr:uid="{D3E4BA59-3077-4C8E-910F-A290BBF5844B}"/>
    <hyperlink ref="AW221" r:id="rId791" xr:uid="{B8F664D3-F50E-47C7-83A8-EAFFBC710C8E}"/>
    <hyperlink ref="AW222" r:id="rId792" xr:uid="{ADA72AAA-45BF-434C-9E7D-A69A5A1A8A9D}"/>
    <hyperlink ref="AW223" r:id="rId793" xr:uid="{2E35DDFF-FA36-4536-BBDE-7A29922D1D00}"/>
    <hyperlink ref="AW224" r:id="rId794" xr:uid="{046CC932-68BA-4A89-89B8-B1960C856B6B}"/>
    <hyperlink ref="AW225" r:id="rId795" xr:uid="{F57B28CB-B5D5-47DB-AA19-789E15893AB5}"/>
    <hyperlink ref="AW226" r:id="rId796" xr:uid="{30AF0B93-4D40-4574-9163-65DD5561A45E}"/>
    <hyperlink ref="AW227" r:id="rId797" xr:uid="{BF846650-D987-4FE0-8B1B-0579A4B3E79B}"/>
    <hyperlink ref="AW228" r:id="rId798" xr:uid="{CC6ABDD7-875B-4A72-8EC4-2A48122DC235}"/>
    <hyperlink ref="AW229" r:id="rId799" xr:uid="{5476612F-A243-4CBB-A021-AA2BB92287E4}"/>
    <hyperlink ref="AW230" r:id="rId800" xr:uid="{81C76A24-EBA3-4A3F-A69D-4C8791B265FE}"/>
    <hyperlink ref="AW231" r:id="rId801" xr:uid="{B5D136D4-F3B5-4623-A30A-FFB72A7C488A}"/>
    <hyperlink ref="AW232" r:id="rId802" xr:uid="{06014F9D-8035-4E63-A978-A028CC787E62}"/>
    <hyperlink ref="AW233" r:id="rId803" xr:uid="{A14FF83F-70D8-4133-8B46-7DE1F0EFCFA9}"/>
    <hyperlink ref="AW234" r:id="rId804" xr:uid="{BD5235FC-41B5-44EF-B26A-0E77C5144D92}"/>
    <hyperlink ref="AW235" r:id="rId805" xr:uid="{185A559D-A97A-4187-B27D-A0AC3799A4B6}"/>
    <hyperlink ref="AW236" r:id="rId806" xr:uid="{26DB1F0F-E6D4-4AEA-82AA-EC3194885ECB}"/>
    <hyperlink ref="AW237" r:id="rId807" xr:uid="{68099387-2528-469C-B4B1-74B04CC4996E}"/>
    <hyperlink ref="AW238" r:id="rId808" xr:uid="{77071C4B-D22D-4294-A2F0-53E53671DC5A}"/>
    <hyperlink ref="AW239" r:id="rId809" xr:uid="{E5E7489F-C3DC-462E-94DE-CF371DF02B98}"/>
    <hyperlink ref="AW240" r:id="rId810" xr:uid="{92A033D3-F53B-4A2A-8115-F4F77322D7D2}"/>
    <hyperlink ref="AW241" r:id="rId811" xr:uid="{CDFED169-91CF-4E26-A380-25098AEACC9B}"/>
    <hyperlink ref="AW242" r:id="rId812" xr:uid="{C1B2353E-CF64-468C-BAB6-565C0D0AD4A8}"/>
    <hyperlink ref="AW243" r:id="rId813" xr:uid="{21215F64-E3A6-485B-A1F8-8B3006681056}"/>
    <hyperlink ref="AW244" r:id="rId814" xr:uid="{D487DBF9-2CFF-4561-B790-1548C93E51E4}"/>
    <hyperlink ref="AW245" r:id="rId815" xr:uid="{AC3BAE5F-B191-485F-8988-185852259969}"/>
    <hyperlink ref="AW246" r:id="rId816" xr:uid="{8EF6958C-2211-4C2E-8126-F1A32A0C9419}"/>
    <hyperlink ref="AW247" r:id="rId817" xr:uid="{33A77558-A04F-422E-B1DB-0CAC2C93734C}"/>
    <hyperlink ref="AW248" r:id="rId818" xr:uid="{296F513B-2D81-4D33-B141-32657D496EC9}"/>
    <hyperlink ref="AW249" r:id="rId819" xr:uid="{D56BC8E4-37A6-4FED-A181-2C83207CB5B3}"/>
    <hyperlink ref="AW250" r:id="rId820" xr:uid="{34E75DAF-A52D-4208-94CF-A3257DD02F4C}"/>
    <hyperlink ref="AW251" r:id="rId821" xr:uid="{6D28B803-5FC8-43D7-9740-E4AA951910E6}"/>
    <hyperlink ref="AW252" r:id="rId822" xr:uid="{F2CE23AA-E137-42D7-AA32-11D2D410EED9}"/>
    <hyperlink ref="AW253" r:id="rId823" xr:uid="{23D91E35-E1DE-4E26-A032-BA94055EA1AB}"/>
    <hyperlink ref="AW254" r:id="rId824" xr:uid="{B636FC3D-1F13-41FB-807F-680F5BBBD71D}"/>
    <hyperlink ref="AW255" r:id="rId825" xr:uid="{4DC8FA31-D1BB-4EF3-A7CE-B196D94369A5}"/>
    <hyperlink ref="AW256" r:id="rId826" xr:uid="{E6798EBD-75FE-4F62-89F3-AAECDE5B2582}"/>
    <hyperlink ref="AW257" r:id="rId827" xr:uid="{F64C830B-6EDD-4614-B34D-033A87FDCAE7}"/>
    <hyperlink ref="AW258" r:id="rId828" xr:uid="{CBCD9403-BC07-4891-A83A-8C20A2662F00}"/>
    <hyperlink ref="AW259" r:id="rId829" xr:uid="{CED8726E-9902-40C3-AE78-25B409FBCF23}"/>
    <hyperlink ref="AW260" r:id="rId830" xr:uid="{91599C18-EB05-4A66-8C38-28F593090C3D}"/>
    <hyperlink ref="AW261" r:id="rId831" xr:uid="{D46928C9-2922-43A2-9E82-516D42A105D1}"/>
    <hyperlink ref="AW262" r:id="rId832" xr:uid="{CA0378F0-FA0B-4994-B484-AD790DCA146A}"/>
    <hyperlink ref="AW263" r:id="rId833" xr:uid="{23B9990F-FA79-4674-A87F-E265D463F3ED}"/>
    <hyperlink ref="AW264" r:id="rId834" xr:uid="{22756CE7-73E2-4454-8B6B-2BD5D748FDBF}"/>
    <hyperlink ref="AW265" r:id="rId835" xr:uid="{0B35CF95-0B02-408D-B94A-E8ABE5402AFE}"/>
    <hyperlink ref="AW266" r:id="rId836" xr:uid="{8ED78820-F285-47E9-8F5D-87A1106EA5DD}"/>
    <hyperlink ref="AW267" r:id="rId837" xr:uid="{711336AF-4491-42EA-A33E-AFD84E5BFDD0}"/>
    <hyperlink ref="AW268" r:id="rId838" xr:uid="{D91912F6-A77D-4A4C-8EB3-D2907CAB4B4A}"/>
    <hyperlink ref="AW269" r:id="rId839" xr:uid="{F5B6A9E7-88EC-499F-BAAE-F5479DA11231}"/>
    <hyperlink ref="AW270" r:id="rId840" xr:uid="{394B95FB-8D5B-4D79-9B67-AAA57E4C4095}"/>
    <hyperlink ref="AW271" r:id="rId841" xr:uid="{93F1DE43-92BF-4231-BB7E-85E8708363DB}"/>
    <hyperlink ref="AW272" r:id="rId842" xr:uid="{6C491BFD-2D9C-4FF9-9C51-24A7B0D4D37D}"/>
    <hyperlink ref="AW273" r:id="rId843" xr:uid="{E628BA78-4B1D-40AD-9AD1-3EA0401D6E3F}"/>
    <hyperlink ref="AW274" r:id="rId844" xr:uid="{83E7FD5D-DA77-4C07-9C44-531124508A3D}"/>
    <hyperlink ref="AW275" r:id="rId845" xr:uid="{DDFE7163-4C32-4AD1-9CF9-719F068C1B81}"/>
    <hyperlink ref="AW276" r:id="rId846" xr:uid="{DF13ADEF-73F6-42EC-ABDD-4A56509BD88E}"/>
    <hyperlink ref="AW277" r:id="rId847" xr:uid="{691D0816-93D3-42C4-B231-E24B2D18FC67}"/>
    <hyperlink ref="AW278" r:id="rId848" xr:uid="{E967F935-541B-4461-BD53-681C79BB09F1}"/>
    <hyperlink ref="AW279" r:id="rId849" xr:uid="{FC8D4C4C-8E5C-49E2-B35C-4B5BDD6CEB24}"/>
    <hyperlink ref="AW280" r:id="rId850" xr:uid="{9EAEEB77-2BEF-49EE-B0E9-5B9D2B2F4C28}"/>
    <hyperlink ref="AW281" r:id="rId851" xr:uid="{A943A398-E979-49E2-A990-6FC290593CDA}"/>
    <hyperlink ref="AW282" r:id="rId852" xr:uid="{F670A931-E6F9-4BB1-BAB5-EB3CFC6F4F0C}"/>
    <hyperlink ref="AW283" r:id="rId853" xr:uid="{45D35FFC-65E0-49AC-937C-4BDC4EFB5008}"/>
    <hyperlink ref="AW284" r:id="rId854" xr:uid="{DEE233E4-45BE-4F07-82EC-116081DD4D1E}"/>
    <hyperlink ref="AW285" r:id="rId855" xr:uid="{71F0BDB0-9666-4099-88E5-6F974CF34120}"/>
    <hyperlink ref="AW286" r:id="rId856" xr:uid="{CEA7E0F9-01B0-46A1-9AD6-F872694D06C8}"/>
    <hyperlink ref="AW287" r:id="rId857" xr:uid="{DDA475EC-9367-4880-A10C-E5642D7B60D1}"/>
    <hyperlink ref="AW288" r:id="rId858" xr:uid="{FF2D8756-2B99-4DCD-A7C7-AD15113C030F}"/>
    <hyperlink ref="AW289" r:id="rId859" xr:uid="{5FA0A480-869A-4244-93B0-E6B5AFB7E726}"/>
    <hyperlink ref="AW290" r:id="rId860" xr:uid="{CE481BD2-F66B-4DDF-8741-4CA0C408C1AC}"/>
    <hyperlink ref="AW291" r:id="rId861" xr:uid="{3A5149B8-96D6-4D65-8229-96318195835E}"/>
    <hyperlink ref="AW292" r:id="rId862" xr:uid="{05F881CB-F530-498D-A0DA-F998075CBF5A}"/>
    <hyperlink ref="AW293" r:id="rId863" xr:uid="{B51A753D-409C-4250-A7C4-5DF00F86360E}"/>
    <hyperlink ref="AW294" r:id="rId864" xr:uid="{0CE955BB-A43C-44B5-8857-F9AE0B6D3BFD}"/>
    <hyperlink ref="AW295" r:id="rId865" xr:uid="{4E16BD71-0FEF-40CA-B110-5269E2553C12}"/>
    <hyperlink ref="AW296" r:id="rId866" xr:uid="{291EDBC2-AAC9-45B9-A525-07744D7C8F85}"/>
    <hyperlink ref="AW297" r:id="rId867" xr:uid="{BA4D5F24-86FE-4438-A680-9CD6FEF420A3}"/>
    <hyperlink ref="AW298" r:id="rId868" xr:uid="{3D7AEA05-DFC8-412D-AEC3-90494D33DBA8}"/>
    <hyperlink ref="AW299" r:id="rId869" xr:uid="{0A6E9F40-8748-46C7-A24A-A53195D9E4C3}"/>
    <hyperlink ref="AW300" r:id="rId870" xr:uid="{C99891BD-1E41-46CB-AAA1-502297C880CF}"/>
    <hyperlink ref="AW301" r:id="rId871" xr:uid="{08BB8B3F-16DD-4754-8C86-4CCDB938B74C}"/>
    <hyperlink ref="AW302" r:id="rId872" xr:uid="{5D9894D9-4263-4220-A4EC-1C68A22260BB}"/>
    <hyperlink ref="AW303" r:id="rId873" xr:uid="{81AD9E51-4931-4E75-BEEF-0CF39EC62CEC}"/>
    <hyperlink ref="AW304" r:id="rId874" xr:uid="{5CE6B197-8D5D-4740-A5E6-F8B0FE07D0D7}"/>
    <hyperlink ref="AW305" r:id="rId875" xr:uid="{30B4E5D7-04F3-4E76-81A9-6ED26B3F30A4}"/>
    <hyperlink ref="AW306" r:id="rId876" xr:uid="{2F2A03E1-8940-43FA-9A27-2B11A136A6BE}"/>
    <hyperlink ref="AW307" r:id="rId877" xr:uid="{6F5FE772-9773-4DEC-B806-A34B6AAA9560}"/>
    <hyperlink ref="AW308" r:id="rId878" xr:uid="{3A2BA1FB-8CEB-4CC3-880A-B7A69801517A}"/>
    <hyperlink ref="AW309" r:id="rId879" xr:uid="{AD7D9865-88D3-4177-8CE6-947A02728645}"/>
    <hyperlink ref="AW310" r:id="rId880" xr:uid="{98C07C73-F617-42E1-AC76-54B3954EFA34}"/>
    <hyperlink ref="AW311" r:id="rId881" xr:uid="{4BBFF9D0-F835-4FE2-AA39-A49055315793}"/>
    <hyperlink ref="AW312" r:id="rId882" xr:uid="{835357ED-E680-40CF-9A82-800C78FB3309}"/>
    <hyperlink ref="AW313" r:id="rId883" xr:uid="{41F05209-3CB4-46C0-B7EF-67E0757003C0}"/>
    <hyperlink ref="AW314" r:id="rId884" xr:uid="{5AE106D2-AEDF-43B7-BE11-E4D4DC40FCD6}"/>
    <hyperlink ref="AW315" r:id="rId885" xr:uid="{440CBF0E-16D4-4C7E-B385-3B32B1CC5E28}"/>
    <hyperlink ref="AW316" r:id="rId886" xr:uid="{AF78A75A-AE25-4B99-A35C-D3F8497ADEE2}"/>
    <hyperlink ref="AW317" r:id="rId887" xr:uid="{3C3A2D19-EDCA-448A-94E1-CD21706D6E53}"/>
    <hyperlink ref="AW318" r:id="rId888" xr:uid="{8107881E-B25C-47AE-B900-FF0AE436DC47}"/>
    <hyperlink ref="AW319" r:id="rId889" xr:uid="{DA353DA2-E62F-47A6-AB4C-0385B546889B}"/>
    <hyperlink ref="AW320" r:id="rId890" xr:uid="{A12E1FD4-54A6-4841-AB59-6286EE6BC510}"/>
    <hyperlink ref="AW321" r:id="rId891" xr:uid="{1864C9C9-AB33-4FCA-9CF5-34261A5088B2}"/>
    <hyperlink ref="AW322" r:id="rId892" xr:uid="{22551A15-8224-48FC-BF10-F512930C0109}"/>
    <hyperlink ref="AW323" r:id="rId893" xr:uid="{B84506CA-3BF0-40D6-996A-53D5726C2808}"/>
    <hyperlink ref="AW324" r:id="rId894" xr:uid="{E414864A-75D9-4AD3-BE8A-4AEC51A8EB56}"/>
    <hyperlink ref="AW325" r:id="rId895" xr:uid="{1DADD192-641D-463A-A6FA-10373A8145CE}"/>
    <hyperlink ref="AW326" r:id="rId896" xr:uid="{82F28C5B-7FEC-46D1-A30B-A0A3AA2DC3ED}"/>
    <hyperlink ref="AW327" r:id="rId897" xr:uid="{05059081-9509-4AEF-B57A-B6AE80583E84}"/>
    <hyperlink ref="AW328" r:id="rId898" xr:uid="{9BE0B09B-0F78-48CC-8BD0-0FFE7AEC80BD}"/>
    <hyperlink ref="AW329" r:id="rId899" xr:uid="{BC9A36D9-D714-48F0-9B0E-74159286CF03}"/>
    <hyperlink ref="AW330" r:id="rId900" xr:uid="{A2F03BF1-3828-4038-AC2B-AC3ED615ED50}"/>
    <hyperlink ref="AW331" r:id="rId901" xr:uid="{5545D768-D712-4E5C-BFB5-CE3308D6D4E9}"/>
    <hyperlink ref="AW332" r:id="rId902" xr:uid="{C99C39A0-5D7A-4232-ABCA-25E35DB8B235}"/>
    <hyperlink ref="AW333" r:id="rId903" xr:uid="{209238B1-DDAA-47AF-B326-1A4D4026E728}"/>
    <hyperlink ref="AW334" r:id="rId904" xr:uid="{4847C133-969C-42C5-8D8A-F10D71D37BBE}"/>
    <hyperlink ref="AW335" r:id="rId905" xr:uid="{BB6BD7B5-FA69-4664-A93A-80A16FFE1354}"/>
    <hyperlink ref="AW336" r:id="rId906" xr:uid="{D847D254-0E0F-4167-9283-51BFB45944DE}"/>
    <hyperlink ref="AW337" r:id="rId907" xr:uid="{71DD96F7-54FD-4F87-ACBF-D415749E7FAA}"/>
    <hyperlink ref="AW338" r:id="rId908" xr:uid="{E20E225C-09C6-4429-A723-73DF9229049F}"/>
    <hyperlink ref="AW339" r:id="rId909" xr:uid="{AB686178-6433-4C5C-AF16-EB051325B185}"/>
    <hyperlink ref="AW340" r:id="rId910" xr:uid="{643E4592-427A-4B0A-9D54-0C38BE38DEBF}"/>
    <hyperlink ref="AW341" r:id="rId911" xr:uid="{62F88899-3287-4EAF-B14F-D22D3E94DA69}"/>
    <hyperlink ref="AW342" r:id="rId912" xr:uid="{EBFB12AD-D762-440A-AD96-6A31361FE793}"/>
    <hyperlink ref="AW343" r:id="rId913" xr:uid="{BB3ED253-76EE-4F10-9AD9-88B9B815A3B9}"/>
    <hyperlink ref="AW344" r:id="rId914" xr:uid="{0E212611-58EC-4779-A1E1-5CCED32C4200}"/>
    <hyperlink ref="AW345" r:id="rId915" xr:uid="{3483C83C-0FEF-472D-B144-1DD85A4DE18C}"/>
    <hyperlink ref="AW346" r:id="rId916" xr:uid="{00C307D8-EE6E-47DB-86F6-FDA9856995A1}"/>
    <hyperlink ref="AW347" r:id="rId917" xr:uid="{13FF575B-1ECF-49F8-A8B5-34BD1A2241E8}"/>
    <hyperlink ref="AW348" r:id="rId918" xr:uid="{C0E0DBE3-414C-4FCE-BB76-EDD13E718F41}"/>
    <hyperlink ref="AW349" r:id="rId919" xr:uid="{31890B74-AC56-40F1-9BD4-AF1F8C1F3AE2}"/>
    <hyperlink ref="AW350" r:id="rId920" xr:uid="{503EA99A-82FF-4D21-A0FF-1AADE39ADDAB}"/>
    <hyperlink ref="AW351" r:id="rId921" xr:uid="{AD0ABD4A-99D4-40AD-89CA-2E9902C86F1F}"/>
    <hyperlink ref="AW352" r:id="rId922" xr:uid="{D1E91594-CE9C-4F92-BE94-D58449DCF767}"/>
    <hyperlink ref="AW353" r:id="rId923" xr:uid="{64D38706-6C43-47B1-B2CB-6F0F72E1B31E}"/>
    <hyperlink ref="AW354" r:id="rId924" xr:uid="{1EF46126-C0E8-45BD-9699-F4C37F1D3CDB}"/>
    <hyperlink ref="AW355" r:id="rId925" xr:uid="{9805C60D-8180-40A6-A088-50CB10F89FD7}"/>
    <hyperlink ref="AW356" r:id="rId926" xr:uid="{6B406E89-D1E7-45AE-8D88-76E3802722D3}"/>
    <hyperlink ref="AW357" r:id="rId927" xr:uid="{2FD5C5A0-A7B9-413D-8582-13D8988AD6BD}"/>
    <hyperlink ref="AW358" r:id="rId928" xr:uid="{FFF1717F-B6D6-445D-BC12-74693A48D1B3}"/>
    <hyperlink ref="AW359" r:id="rId929" xr:uid="{C9EDE325-C70C-4D83-92E2-1A842C212EB9}"/>
    <hyperlink ref="AW360" r:id="rId930" xr:uid="{36B95CB2-721B-456B-A51E-5A020DBB9EBD}"/>
    <hyperlink ref="AW361" r:id="rId931" xr:uid="{9F666554-1957-4459-9B6F-0894A3366D55}"/>
    <hyperlink ref="AW362" r:id="rId932" xr:uid="{7BD7BEFE-778A-4EDB-9081-EF2A1015095F}"/>
    <hyperlink ref="AW363" r:id="rId933" xr:uid="{D29DBED4-3DE1-4430-8E8D-2AF0C590AE15}"/>
    <hyperlink ref="AW364" r:id="rId934" xr:uid="{B0E63957-125A-4951-A8EC-EA39CD9B9BD3}"/>
    <hyperlink ref="AW365" r:id="rId935" xr:uid="{E67E8B23-3CC4-4842-A61F-765227807C72}"/>
    <hyperlink ref="AW366" r:id="rId936" xr:uid="{E5366DCB-AD5E-4CFA-8BD5-02F7B928C465}"/>
    <hyperlink ref="AW367" r:id="rId937" xr:uid="{5E4BB222-3C83-4927-ACDD-0DC05E2A97BE}"/>
    <hyperlink ref="AW368" r:id="rId938" xr:uid="{AC385EE5-CE07-4AAE-B097-A431315652F2}"/>
    <hyperlink ref="AW369" r:id="rId939" xr:uid="{A7F23667-7287-463D-991B-40531923F31E}"/>
    <hyperlink ref="AW370" r:id="rId940" xr:uid="{A7C7D2B9-2744-4F27-A3AE-FAC316EBC98B}"/>
    <hyperlink ref="AW371" r:id="rId941" xr:uid="{ED1C5A35-1350-4C05-BD4A-0F93CD593F7E}"/>
    <hyperlink ref="AW372" r:id="rId942" xr:uid="{4FF0A346-ECDB-4902-87B9-BAFDE39A8B77}"/>
    <hyperlink ref="AW373" r:id="rId943" xr:uid="{7BE77AD1-58AC-4191-98E4-E96C07696790}"/>
    <hyperlink ref="AW374" r:id="rId944" xr:uid="{939A2C18-1838-4428-8E69-C1963A12563A}"/>
    <hyperlink ref="AW375" r:id="rId945" xr:uid="{26D36C25-AC06-4A5B-BE0D-0CA5E4961F5C}"/>
    <hyperlink ref="AW376" r:id="rId946" xr:uid="{66B1A557-D19B-4B57-B4E5-AFD38AAA496E}"/>
    <hyperlink ref="AW377" r:id="rId947" xr:uid="{9E7A4D9A-E551-467B-A449-111FDE72BF9A}"/>
    <hyperlink ref="AW378" r:id="rId948" xr:uid="{39706B40-6A49-4A2D-9968-A763EF95C8D1}"/>
    <hyperlink ref="AW379" r:id="rId949" xr:uid="{CF6074E3-B226-4D45-856C-064D4D893B97}"/>
    <hyperlink ref="AW380" r:id="rId950" xr:uid="{B76E8B36-EB1F-4ADD-9A5E-3F33F5F014AB}"/>
    <hyperlink ref="AW381" r:id="rId951" xr:uid="{4F125CFA-56BA-4990-8A36-4DD1D72C9DB5}"/>
    <hyperlink ref="AW382" r:id="rId952" xr:uid="{9F2F4D64-5E17-4712-9BA3-3F8439ADB4CD}"/>
    <hyperlink ref="AW383" r:id="rId953" xr:uid="{8C39841E-A6F2-4102-88BA-659AA793DFB5}"/>
    <hyperlink ref="AW384" r:id="rId954" xr:uid="{01354AB5-3294-46CF-B082-594B06D3715B}"/>
    <hyperlink ref="AW385" r:id="rId955" xr:uid="{975FB1CB-1CB0-4275-B1C3-33962B4C251F}"/>
    <hyperlink ref="AW386" r:id="rId956" xr:uid="{CAB78CC6-64B4-43A4-991D-B9D90B570CA6}"/>
    <hyperlink ref="AW387" r:id="rId957" xr:uid="{6E411E41-C7A1-4DB8-B4F4-C735E0303FD8}"/>
    <hyperlink ref="AW388" r:id="rId958" xr:uid="{DD6DF92F-B1D3-4CCA-B091-58F3D0380244}"/>
    <hyperlink ref="AW389" r:id="rId959" xr:uid="{A3D3C48C-80A0-48A7-A05C-0948D81BE759}"/>
    <hyperlink ref="AW390" r:id="rId960" xr:uid="{6C150C10-B199-4163-87A7-F5EB9941888D}"/>
    <hyperlink ref="AW391" r:id="rId961" xr:uid="{4DFE3DEF-96AC-4EDA-89E6-B6918449AF1D}"/>
    <hyperlink ref="AW392" r:id="rId962" xr:uid="{598CCA02-23D1-4A17-9F22-7C39AE9497F6}"/>
    <hyperlink ref="AW393" r:id="rId963" xr:uid="{8358F264-1805-4881-A0CB-EA78F5D41505}"/>
    <hyperlink ref="AW394" r:id="rId964" xr:uid="{BDBA9154-C088-42C4-AEDA-E9DF4D1530F2}"/>
    <hyperlink ref="AW395" r:id="rId965" xr:uid="{9FE2A7A7-AEDF-4FB2-95B5-A6FA8F5E3224}"/>
    <hyperlink ref="AW396" r:id="rId966" xr:uid="{DFAB98E9-E742-4487-B7EF-289BCDD62B0E}"/>
    <hyperlink ref="AW397" r:id="rId967" xr:uid="{0289E29C-D0B3-4011-ADAB-E1ECD2AEC82B}"/>
    <hyperlink ref="AW398" r:id="rId968" xr:uid="{C563A446-6ED3-44F7-8381-E4001ED4EDEC}"/>
    <hyperlink ref="AW399" r:id="rId969" xr:uid="{6572E078-CC1A-4FB0-9D9C-9E2B61CEEDE9}"/>
    <hyperlink ref="AW400" r:id="rId970" xr:uid="{0DE192C0-DD56-47CE-96B6-558D9893E166}"/>
    <hyperlink ref="AW401" r:id="rId971" xr:uid="{ACDF66A1-E065-434C-9C21-BE17D611C84C}"/>
    <hyperlink ref="AW402" r:id="rId972" xr:uid="{13EC0F3C-6C0F-47CC-873F-592E1995103A}"/>
    <hyperlink ref="AW403" r:id="rId973" xr:uid="{11BE243E-3245-4364-8A9C-5DF2B90CD5A3}"/>
    <hyperlink ref="AW404" r:id="rId974" xr:uid="{39F79B82-CA0F-47D9-928B-DC84CF491647}"/>
    <hyperlink ref="AW405" r:id="rId975" xr:uid="{D07F3AEE-7487-47BC-A561-36E7F3E38CB0}"/>
    <hyperlink ref="AW406" r:id="rId976" xr:uid="{620CF217-D225-4EDB-9468-6769E41A6559}"/>
    <hyperlink ref="AW407" r:id="rId977" xr:uid="{4E0079BD-A2AD-473C-AE8A-E9F2EDB809C7}"/>
    <hyperlink ref="AW408" r:id="rId978" xr:uid="{207370E3-BCC8-4CF9-A6F9-C66E09B5E379}"/>
    <hyperlink ref="AW409" r:id="rId979" xr:uid="{A4041711-F46A-4C24-AB01-9C5B15290256}"/>
    <hyperlink ref="AW410" r:id="rId980" xr:uid="{041B1CEF-EB0B-4896-B85B-A947F6F6C18B}"/>
    <hyperlink ref="AW411" r:id="rId981" xr:uid="{BB084E0A-9C91-4374-BAFE-440D8C1C4D3D}"/>
    <hyperlink ref="AW412" r:id="rId982" xr:uid="{FE5C5F8B-871C-4EEC-8505-AB655CC8467B}"/>
    <hyperlink ref="AW413" r:id="rId983" xr:uid="{DD8B53C5-F8ED-409A-A1E1-67BA8910C65F}"/>
    <hyperlink ref="AW414" r:id="rId984" xr:uid="{8F108F97-0B27-49D1-B777-694E7E9DB89F}"/>
    <hyperlink ref="AW415" r:id="rId985" xr:uid="{B07A4EEF-DA5D-4EDD-AAAD-E534B276EA25}"/>
    <hyperlink ref="AW416" r:id="rId986" xr:uid="{5A1E5DE2-EF14-4ADE-8723-C2AC55DD633F}"/>
    <hyperlink ref="AW417" r:id="rId987" xr:uid="{3ECB1AC9-5070-45A4-809E-006FB926786D}"/>
    <hyperlink ref="AW418" r:id="rId988" xr:uid="{F3B18A7E-29D1-4BA3-B403-3F6D072E23FE}"/>
    <hyperlink ref="AW419" r:id="rId989" xr:uid="{349420BD-4ED8-44BD-AE02-F7B3EFEA2926}"/>
    <hyperlink ref="AW420" r:id="rId990" xr:uid="{5A353584-BABE-479E-83A7-7372706752E4}"/>
    <hyperlink ref="AW421" r:id="rId991" xr:uid="{FB8A84AB-2556-48FB-8AC7-0FAB9A7B69E3}"/>
    <hyperlink ref="AW422" r:id="rId992" xr:uid="{7294F437-8CC1-44F9-8943-ABBE3FBADBC0}"/>
    <hyperlink ref="AW423" r:id="rId993" xr:uid="{7BA06112-2B71-4490-AD1A-B713349D930C}"/>
    <hyperlink ref="AW424" r:id="rId994" xr:uid="{49DAF013-524E-412C-BCE1-AA73AB5B6A89}"/>
    <hyperlink ref="AW425" r:id="rId995" xr:uid="{AF379079-F223-4995-994A-DBB6AA7D99BB}"/>
    <hyperlink ref="AW426" r:id="rId996" xr:uid="{567B45F1-CE5F-448A-8630-C4CBEB4229F9}"/>
    <hyperlink ref="AW427" r:id="rId997" xr:uid="{0DE4B3E3-E69A-4825-994D-0BAC3E354245}"/>
    <hyperlink ref="AW428" r:id="rId998" xr:uid="{22A48A9F-174B-4768-8EF3-6E2036A691A1}"/>
    <hyperlink ref="AW429" r:id="rId999" xr:uid="{A3532B25-0CD1-47E8-A21F-E4561B2F4F2F}"/>
    <hyperlink ref="AW430" r:id="rId1000" xr:uid="{543F066B-278B-4E25-BA6F-26A41551E72C}"/>
    <hyperlink ref="AW431" r:id="rId1001" xr:uid="{584776AB-505E-4780-8111-8A88162C3B67}"/>
    <hyperlink ref="AW432" r:id="rId1002" xr:uid="{D7D04D12-3488-4C06-AA20-4725018F3630}"/>
    <hyperlink ref="AW433" r:id="rId1003" xr:uid="{6C47C079-F8C8-4F8A-94F9-853802685B70}"/>
    <hyperlink ref="AW434" r:id="rId1004" xr:uid="{EDFC8AA6-61D7-4129-AB83-F9A2B90286E3}"/>
    <hyperlink ref="AW435" r:id="rId1005" xr:uid="{18944C51-E94A-4878-9A44-878F6E43A9C8}"/>
    <hyperlink ref="AW436" r:id="rId1006" xr:uid="{391B8471-4761-46A4-BF41-E2D0515B82F0}"/>
    <hyperlink ref="AW437" r:id="rId1007" xr:uid="{0E72B72D-863A-4D1A-A2B4-1933C01961D1}"/>
    <hyperlink ref="AW438" r:id="rId1008" xr:uid="{CB8DD06F-A71A-4318-8C92-5717D786631B}"/>
    <hyperlink ref="AW439" r:id="rId1009" xr:uid="{12A95EA3-61CB-46B9-A22B-C1C12AC5B58E}"/>
    <hyperlink ref="AW440" r:id="rId1010" xr:uid="{83FDDD2D-EEB6-4C9C-A5A8-ECC360811CC1}"/>
    <hyperlink ref="AW441" r:id="rId1011" xr:uid="{92BBDDEF-F696-470B-94E2-8D653AF9B763}"/>
    <hyperlink ref="AW442" r:id="rId1012" xr:uid="{5C107673-7DB8-4E73-95B2-79262D40FE93}"/>
    <hyperlink ref="AW443" r:id="rId1013" xr:uid="{6793E379-69D2-4D82-998C-0F3D7D0E8A9A}"/>
    <hyperlink ref="AW444" r:id="rId1014" xr:uid="{2E78347E-FBF8-456D-984A-F297468C0F9A}"/>
    <hyperlink ref="AW445" r:id="rId1015" xr:uid="{2CF38A13-5D95-4C65-9665-2E6FF2E8AA80}"/>
    <hyperlink ref="AW446" r:id="rId1016" xr:uid="{E57E8DB0-E551-4AAB-A23D-3A3F412F47D1}"/>
    <hyperlink ref="AW447" r:id="rId1017" xr:uid="{A88050AF-9999-4950-BE82-77DB64CE37C4}"/>
    <hyperlink ref="AW448" r:id="rId1018" xr:uid="{F802182F-59DA-4B9D-A843-02F437A6EB5F}"/>
    <hyperlink ref="AW449" r:id="rId1019" xr:uid="{C3FC8DDC-F102-4A2A-9E97-1BDF4110732D}"/>
    <hyperlink ref="AW450" r:id="rId1020" xr:uid="{AE5470FB-3553-4A6D-BA27-35292AFD6B34}"/>
    <hyperlink ref="AW451" r:id="rId1021" xr:uid="{808BD275-3097-4E90-8D73-021F91C80BEA}"/>
    <hyperlink ref="AW452" r:id="rId1022" xr:uid="{F67EF04B-D693-4192-A3DF-9E021ACD6FC4}"/>
    <hyperlink ref="AW453" r:id="rId1023" xr:uid="{9279807C-DFA1-406D-82CB-D3FB42F49666}"/>
    <hyperlink ref="AW454" r:id="rId1024" xr:uid="{460E6AF2-DF4D-48F6-8CA5-86C46DC67B40}"/>
    <hyperlink ref="AW455" r:id="rId1025" xr:uid="{07A6D207-B7F4-4A14-9B93-02685612776E}"/>
    <hyperlink ref="AW456" r:id="rId1026" xr:uid="{5F5AF7D2-8F75-43F8-91F2-BA6021951082}"/>
    <hyperlink ref="AW457" r:id="rId1027" xr:uid="{46FDB23A-2668-4215-947E-FEF25A036850}"/>
    <hyperlink ref="AW458" r:id="rId1028" xr:uid="{9CD8C8A4-2B8A-45D0-B46C-5380386968E8}"/>
    <hyperlink ref="AW459" r:id="rId1029" xr:uid="{04C182B4-FE4A-49AA-A7E5-94A319100449}"/>
    <hyperlink ref="AW460" r:id="rId1030" xr:uid="{FFF336F8-BADA-469A-AFE6-1201F9508461}"/>
    <hyperlink ref="AW461" r:id="rId1031" xr:uid="{37E4E63A-C828-4A20-97FF-BFF1A2BC85E4}"/>
    <hyperlink ref="AW462" r:id="rId1032" xr:uid="{9D0AF55A-C1DB-472A-9F22-C8A018B6383B}"/>
    <hyperlink ref="AW463" r:id="rId1033" xr:uid="{B60AD3BD-2184-4F9C-9503-AE985AFDC511}"/>
    <hyperlink ref="AW464" r:id="rId1034" xr:uid="{7A034C47-8558-4CC7-A654-749A55DAA0FA}"/>
    <hyperlink ref="AW465" r:id="rId1035" xr:uid="{6DA62D89-ECDE-4DFA-B17F-A0AB50784757}"/>
    <hyperlink ref="AW466" r:id="rId1036" xr:uid="{98608892-30B3-475E-A7D9-106D1CE1F4E2}"/>
    <hyperlink ref="AW467" r:id="rId1037" xr:uid="{30FDC3AA-C91E-41B4-8791-54D671991CAA}"/>
    <hyperlink ref="AW468" r:id="rId1038" xr:uid="{F319FCE7-3B19-4DA7-BA0E-86021B59025A}"/>
    <hyperlink ref="AW469" r:id="rId1039" xr:uid="{E05FC207-017C-495A-A826-791153EE63B5}"/>
    <hyperlink ref="AW470" r:id="rId1040" xr:uid="{1F075BE5-3EB1-4BED-8E60-06EB90DC59FB}"/>
    <hyperlink ref="AW471" r:id="rId1041" xr:uid="{93EC44F1-C9D5-4FD9-83FB-7E9F3A4E4C74}"/>
    <hyperlink ref="AW472" r:id="rId1042" xr:uid="{6F54869B-9243-484E-B77B-F3A06B2C3424}"/>
    <hyperlink ref="AW473" r:id="rId1043" xr:uid="{C0E5484A-92E9-49EF-8ACA-7635A1BABCC3}"/>
    <hyperlink ref="AW474" r:id="rId1044" xr:uid="{818F342F-81D0-47A8-A32E-C2BB5A961E01}"/>
    <hyperlink ref="AW475" r:id="rId1045" xr:uid="{48127503-DB08-445A-9909-9851EF711D87}"/>
    <hyperlink ref="AW476" r:id="rId1046" xr:uid="{08375C93-AC00-456D-8162-115DA0C607E5}"/>
    <hyperlink ref="AW477" r:id="rId1047" xr:uid="{E9CF2D28-A21A-44B2-942B-CA4FEEB9533B}"/>
    <hyperlink ref="AW478" r:id="rId1048" xr:uid="{07F63E44-8366-4F5F-A874-BE28F1F1CBF2}"/>
    <hyperlink ref="AW479" r:id="rId1049" xr:uid="{F891A9D1-A44A-44E8-AB8F-167C8FCEACDC}"/>
    <hyperlink ref="AW480" r:id="rId1050" xr:uid="{3ADD0EC7-D2E6-4760-9320-FE898C5EFD46}"/>
    <hyperlink ref="AW481" r:id="rId1051" xr:uid="{8443D3B9-E0EF-40DB-8488-E3DA915A23CC}"/>
    <hyperlink ref="AW482" r:id="rId1052" xr:uid="{D7BDB817-CB70-4A12-B1B0-E73B01DF8EAC}"/>
    <hyperlink ref="AW483" r:id="rId1053" xr:uid="{C067B4D8-459E-4A0E-859C-072CB56AD9AB}"/>
    <hyperlink ref="AW484" r:id="rId1054" xr:uid="{CECD593B-64FC-413C-91D8-6AD736AE7A57}"/>
    <hyperlink ref="AW485" r:id="rId1055" xr:uid="{C52C8E6C-603D-4329-8568-4A527B878D9C}"/>
    <hyperlink ref="AW486" r:id="rId1056" xr:uid="{340AC012-48AA-4D74-9384-3AB235ED1DC9}"/>
    <hyperlink ref="AW487" r:id="rId1057" xr:uid="{8A8BD62B-AD44-4BF5-B2EA-618885A13699}"/>
    <hyperlink ref="AW488" r:id="rId1058" xr:uid="{AF1114A0-3748-4F46-BD2C-4730FB624B14}"/>
    <hyperlink ref="AW489" r:id="rId1059" xr:uid="{A788FA45-1710-4F19-8A92-91FA0D6ACB44}"/>
    <hyperlink ref="AW490" r:id="rId1060" xr:uid="{6DD4328E-247D-4219-929A-8B0AC46526AD}"/>
    <hyperlink ref="AW491" r:id="rId1061" xr:uid="{5C1AE300-A13D-4937-A3F1-F16A4AA5404B}"/>
    <hyperlink ref="AW492" r:id="rId1062" xr:uid="{72E0D16F-8EF2-4F46-96CE-B23EB352B615}"/>
    <hyperlink ref="AW493" r:id="rId1063" xr:uid="{DA1A6E95-C349-40C4-B33D-9266A5CD28D4}"/>
    <hyperlink ref="AW494" r:id="rId1064" xr:uid="{7F32B269-DE69-47D4-BA72-3B3717841067}"/>
    <hyperlink ref="AW495" r:id="rId1065" xr:uid="{4288B74C-C015-48B8-99B9-B888068AEF32}"/>
    <hyperlink ref="AW496" r:id="rId1066" xr:uid="{ABDEBEDE-8488-4153-82FD-8178CCA7D392}"/>
    <hyperlink ref="AW497" r:id="rId1067" xr:uid="{78A97CDC-42E8-44FA-962E-D4E5356B043B}"/>
    <hyperlink ref="AW498" r:id="rId1068" xr:uid="{F788A4A1-E5CD-4E80-89FA-A602C3184297}"/>
    <hyperlink ref="AW499" r:id="rId1069" xr:uid="{201CF3CC-CE68-4C05-B0AF-FBB06CE526E5}"/>
    <hyperlink ref="AW500" r:id="rId1070" xr:uid="{D2398104-98B1-4833-9908-C8457F0DA698}"/>
    <hyperlink ref="AW501" r:id="rId1071" xr:uid="{BAA78AB6-8A1D-46F2-9376-4251DE402B3A}"/>
    <hyperlink ref="AW502" r:id="rId1072" xr:uid="{73C55EFB-2796-40D6-BF86-743E7FDDE7FC}"/>
    <hyperlink ref="AW503" r:id="rId1073" xr:uid="{210CEB7E-C240-4F15-8124-6C668FD1EED0}"/>
    <hyperlink ref="AW504" r:id="rId1074" xr:uid="{03578095-97A6-44EA-91E7-FB50AE9A7214}"/>
    <hyperlink ref="AW505" r:id="rId1075" xr:uid="{DCF54872-1926-4CC7-87A5-C6CA51C61A36}"/>
    <hyperlink ref="AW506" r:id="rId1076" xr:uid="{9CCE908A-EAAB-4D5E-BB8C-88E4B99CEEFA}"/>
    <hyperlink ref="AW507" r:id="rId1077" xr:uid="{9A714D7F-10F4-4D05-86CC-7499216772C4}"/>
    <hyperlink ref="AW508" r:id="rId1078" xr:uid="{D5445C08-72D7-446A-9790-AC24CE8B1A1F}"/>
    <hyperlink ref="AW509" r:id="rId1079" xr:uid="{BCAD3B57-0B81-4C6B-9799-EA64EADE7888}"/>
    <hyperlink ref="AW510" r:id="rId1080" xr:uid="{5274B202-2D27-435A-A0A8-79488AF27A10}"/>
    <hyperlink ref="AW511" r:id="rId1081" xr:uid="{F615CC7D-9A7F-4742-A742-1F5535486F57}"/>
    <hyperlink ref="AW512" r:id="rId1082" xr:uid="{F306F54F-8680-4E05-8FDA-D69FD6F1A6C7}"/>
    <hyperlink ref="AW513" r:id="rId1083" xr:uid="{776B512A-A8FD-40A3-9C77-879BED081DF0}"/>
    <hyperlink ref="AW514" r:id="rId1084" xr:uid="{B8BAF0EC-DE16-4DA5-9E63-CFB655FA7DEF}"/>
    <hyperlink ref="AW515" r:id="rId1085" xr:uid="{12BDD53E-7A6E-428C-84BA-4321D2F2B545}"/>
    <hyperlink ref="AW516" r:id="rId1086" xr:uid="{09EAB439-02C1-4D2F-91D4-45DEDA149ADC}"/>
    <hyperlink ref="AW517" r:id="rId1087" xr:uid="{19035A0C-29AD-4717-A80A-C9C479DD3687}"/>
    <hyperlink ref="AW518" r:id="rId1088" xr:uid="{B00C0BC0-58E9-4D22-A5BC-9D90F02FDD88}"/>
    <hyperlink ref="AW519" r:id="rId1089" xr:uid="{772C1CF9-5E09-4833-AD5C-C3DAC49BEF55}"/>
    <hyperlink ref="AW520" r:id="rId1090" xr:uid="{1FCD8447-EB86-464D-A5FC-776E3005FB31}"/>
    <hyperlink ref="AW521" r:id="rId1091" xr:uid="{CB80D2B2-D958-419B-AC72-7E8EB3D393F4}"/>
    <hyperlink ref="AW522" r:id="rId1092" xr:uid="{A4762620-1291-4101-89DE-14DC7E599AA5}"/>
    <hyperlink ref="AW523" r:id="rId1093" xr:uid="{4F199CFC-EEE4-4147-B5D8-41A0F95E1E55}"/>
    <hyperlink ref="AW524" r:id="rId1094" xr:uid="{DBBFBD41-01BA-4335-89C1-B810B89B60D5}"/>
    <hyperlink ref="AW525" r:id="rId1095" xr:uid="{F4C152CE-9F85-4BFA-84E6-B490077BD372}"/>
    <hyperlink ref="AW526" r:id="rId1096" xr:uid="{7BF27861-A63C-49D8-97D9-B38920104D70}"/>
    <hyperlink ref="AW527" r:id="rId1097" xr:uid="{C9BB83B5-90F4-47FD-B801-2FEFFC10AB54}"/>
    <hyperlink ref="AW528" r:id="rId1098" xr:uid="{4E2D3B5F-B8E9-4D2D-A5C1-34F3E99D069E}"/>
    <hyperlink ref="AW529" r:id="rId1099" xr:uid="{48C0572C-EC8D-420C-A918-985064611B36}"/>
    <hyperlink ref="AW530" r:id="rId1100" xr:uid="{82D1CAE6-A82E-454D-8463-571E4011CE64}"/>
    <hyperlink ref="AW531" r:id="rId1101" xr:uid="{7D8782BF-FC12-4757-8D9B-16EAFFACBB0F}"/>
    <hyperlink ref="AW532" r:id="rId1102" xr:uid="{3A244608-F964-4B4D-9FB5-D89FD765541B}"/>
    <hyperlink ref="AW533" r:id="rId1103" xr:uid="{4EF036C0-B674-406F-A849-158185E86C09}"/>
    <hyperlink ref="AW534" r:id="rId1104" xr:uid="{C04C9BA9-BA83-4109-AEA9-8C5CFD8E4416}"/>
    <hyperlink ref="AW535" r:id="rId1105" xr:uid="{E0A2AA5B-0B62-414E-99CB-864851BB8DDC}"/>
    <hyperlink ref="AW536" r:id="rId1106" xr:uid="{BF9198C5-53CA-4090-9F82-A6592C0DAA2C}"/>
    <hyperlink ref="AW537" r:id="rId1107" xr:uid="{85FA1528-8C84-4DC4-B9E1-FC4E5B3DC5E0}"/>
    <hyperlink ref="AW538" r:id="rId1108" xr:uid="{50AA566E-13B9-42A5-8309-11E7080FFDED}"/>
    <hyperlink ref="AW539" r:id="rId1109" xr:uid="{54EFDD68-0487-41A2-A9E8-05DE27EFB35C}"/>
    <hyperlink ref="AW540" r:id="rId1110" xr:uid="{7AE66CAD-66B9-4472-888E-66A4DDE1224C}"/>
    <hyperlink ref="AW541" r:id="rId1111" xr:uid="{B0100C3E-1E5C-4D45-8AE3-0053BF46E760}"/>
    <hyperlink ref="AW542" r:id="rId1112" xr:uid="{67535F12-85C6-4EAB-94FE-F790C9944BBB}"/>
    <hyperlink ref="AW543" r:id="rId1113" xr:uid="{A998A40C-13A1-4AC9-B1D5-6B2C5634619F}"/>
    <hyperlink ref="AW544" r:id="rId1114" xr:uid="{1C5C1BAD-AFF9-4041-8E03-D4C58BC739C6}"/>
    <hyperlink ref="AW545" r:id="rId1115" xr:uid="{0F4A6C29-5DF9-47AC-9005-91C0FF5823B9}"/>
    <hyperlink ref="AW546" r:id="rId1116" xr:uid="{50797B0C-975B-4498-AD09-7BF0DCF706B4}"/>
    <hyperlink ref="AW547" r:id="rId1117" xr:uid="{69495B50-03BF-41BF-B636-C8155921A034}"/>
    <hyperlink ref="AW548" r:id="rId1118" xr:uid="{60B53EEE-6911-4EC7-9355-C5B51B713809}"/>
    <hyperlink ref="AW549" r:id="rId1119" xr:uid="{7AE23969-E874-4AE0-8B5B-E8CEA096424C}"/>
    <hyperlink ref="AW550" r:id="rId1120" xr:uid="{C36BDABC-67C9-416A-8F43-94156F03281A}"/>
    <hyperlink ref="AW551" r:id="rId1121" xr:uid="{26100CE0-79FF-4445-A478-0E963491563F}"/>
    <hyperlink ref="AW552" r:id="rId1122" xr:uid="{C4290ADA-270F-43C1-BCFA-C00EF233BD69}"/>
    <hyperlink ref="AW553" r:id="rId1123" xr:uid="{B775AFA4-3689-4F43-ACE7-AB2F30D123E2}"/>
    <hyperlink ref="AW554" r:id="rId1124" xr:uid="{579EA27F-7142-4F52-BD1F-E77137289A69}"/>
    <hyperlink ref="AW555" r:id="rId1125" xr:uid="{F1EFB83C-1EFA-4F04-9F00-9964D7F0010D}"/>
    <hyperlink ref="AW556" r:id="rId1126" xr:uid="{C33EBA7E-3B81-4FED-BE96-6C79F344F916}"/>
    <hyperlink ref="AW557" r:id="rId1127" xr:uid="{D5FC381E-F31E-45C9-9A2B-DF37EE80502C}"/>
    <hyperlink ref="AW558" r:id="rId1128" xr:uid="{F5E474AC-9287-45E2-B15B-104BD3B878EB}"/>
    <hyperlink ref="AW559" r:id="rId1129" xr:uid="{10C16770-F779-4BF3-AAB1-ACDC1F950CAD}"/>
    <hyperlink ref="AW560" r:id="rId1130" xr:uid="{C1746774-A41E-41C3-B990-706D08A6E6C4}"/>
    <hyperlink ref="AW561" r:id="rId1131" xr:uid="{0F3B411B-8E5C-4C5B-BD6A-12563450C52A}"/>
    <hyperlink ref="AW562" r:id="rId1132" xr:uid="{7D8098C7-348A-4A68-A05A-E3F39582D34D}"/>
    <hyperlink ref="AW563" r:id="rId1133" xr:uid="{8EE9C4E6-BBF9-4E5B-9E44-47F1F4435DD8}"/>
    <hyperlink ref="AW564" r:id="rId1134" xr:uid="{25ECDC92-8612-466F-B1AD-B3DEA57BFB66}"/>
    <hyperlink ref="AW565" r:id="rId1135" xr:uid="{F4455119-65C1-4476-A575-18CB2F4303AB}"/>
    <hyperlink ref="AW566" r:id="rId1136" xr:uid="{7419230C-5517-4079-839F-C6119E26CD8B}"/>
    <hyperlink ref="AW567" r:id="rId1137" xr:uid="{A3C0A6BC-BA0B-4A53-9BF2-B73423AB50DA}"/>
    <hyperlink ref="AW568" r:id="rId1138" xr:uid="{3CC78815-3EC9-487E-A48E-60B994AF0097}"/>
    <hyperlink ref="AW569" r:id="rId1139" xr:uid="{27BF02D7-13C1-415F-9A48-3678FA450034}"/>
    <hyperlink ref="AW570" r:id="rId1140" xr:uid="{7B2BDC79-2DF1-47F5-B040-51C0253FC850}"/>
    <hyperlink ref="AW571" r:id="rId1141" xr:uid="{BF7D1826-CD3D-42D1-A9B3-1DC71A30ED19}"/>
    <hyperlink ref="AW572" r:id="rId1142" xr:uid="{E63A91C2-95B5-47D9-9012-3892A61215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2026-10-28T04:22:19Z</dcterms:created>
  <dcterms:modified xsi:type="dcterms:W3CDTF">2026-10-28T04:40:08Z</dcterms:modified>
</cp:coreProperties>
</file>
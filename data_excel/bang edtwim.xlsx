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13_ncr:1_{A5AE3647-6E82-4720-A7D7-8D810507CC94}" xr6:coauthVersionLast="47" xr6:coauthVersionMax="47" xr10:uidLastSave="{00000000-0000-0000-0000-000000000000}"/>
  <bookViews>
    <workbookView xWindow="-120" yWindow="-120" windowWidth="29040" windowHeight="15720" xr2:uid="{F68E9F41-5DB9-4821-8571-0C4B383CD4F8}"/>
  </bookViews>
  <sheets>
    <sheet name="Sheet1" sheetId="1" r:id="rId1"/>
  </sheets>
  <definedNames>
    <definedName name="_xlnm._FilterDatabase" localSheetId="0" hidden="1">Sheet1!$A$1:$BG$522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29" i="1" l="1"/>
  <c r="AB59" i="1"/>
  <c r="AB3" i="1"/>
  <c r="AB4" i="1"/>
  <c r="AB5" i="1"/>
  <c r="AB6" i="1"/>
  <c r="AB7" i="1"/>
  <c r="AB8" i="1"/>
  <c r="AB9" i="1"/>
  <c r="AB10" i="1"/>
  <c r="AB11" i="1"/>
  <c r="AB12" i="1"/>
  <c r="AS12" i="1" s="1"/>
  <c r="AB13" i="1"/>
  <c r="AS13" i="1" s="1"/>
  <c r="AB14" i="1"/>
  <c r="AS14" i="1" s="1"/>
  <c r="AB15" i="1"/>
  <c r="AB16" i="1"/>
  <c r="AS16" i="1" s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AR88" i="1" s="1"/>
  <c r="Z89" i="1"/>
  <c r="AR89" i="1" s="1"/>
  <c r="Z90" i="1"/>
  <c r="AR90" i="1" s="1"/>
  <c r="Z91" i="1"/>
  <c r="AR91" i="1" s="1"/>
  <c r="Z92" i="1"/>
  <c r="AR92" i="1" s="1"/>
  <c r="Z93" i="1"/>
  <c r="AR93" i="1" s="1"/>
  <c r="Z94" i="1"/>
  <c r="AR94" i="1" s="1"/>
  <c r="Z95" i="1"/>
  <c r="AR95" i="1" s="1"/>
  <c r="Z96" i="1"/>
  <c r="AR96" i="1" s="1"/>
  <c r="Z97" i="1"/>
  <c r="AR97" i="1" s="1"/>
  <c r="Z98" i="1"/>
  <c r="AR98" i="1" s="1"/>
  <c r="Z99" i="1"/>
  <c r="AR99" i="1" s="1"/>
  <c r="Z100" i="1"/>
  <c r="AR100" i="1" s="1"/>
  <c r="Z101" i="1"/>
  <c r="AR101" i="1" s="1"/>
  <c r="Z102" i="1"/>
  <c r="AR102" i="1" s="1"/>
  <c r="Z103" i="1"/>
  <c r="AR103" i="1" s="1"/>
  <c r="Z104" i="1"/>
  <c r="AR104" i="1" s="1"/>
  <c r="Z105" i="1"/>
  <c r="AR105" i="1" s="1"/>
  <c r="Z106" i="1"/>
  <c r="AR106" i="1" s="1"/>
  <c r="Z107" i="1"/>
  <c r="AR107" i="1" s="1"/>
  <c r="Z108" i="1"/>
  <c r="AR108" i="1" s="1"/>
  <c r="Z109" i="1"/>
  <c r="AR109" i="1" s="1"/>
  <c r="Z110" i="1"/>
  <c r="AR110" i="1" s="1"/>
  <c r="Z111" i="1"/>
  <c r="AR111" i="1" s="1"/>
  <c r="Z112" i="1"/>
  <c r="AR112" i="1" s="1"/>
  <c r="Z113" i="1"/>
  <c r="AR113" i="1" s="1"/>
  <c r="Z114" i="1"/>
  <c r="AR114" i="1" s="1"/>
  <c r="Z115" i="1"/>
  <c r="AR115" i="1" s="1"/>
  <c r="Z116" i="1"/>
  <c r="AR116" i="1" s="1"/>
  <c r="Z117" i="1"/>
  <c r="AR117" i="1" s="1"/>
  <c r="Z118" i="1"/>
  <c r="AR118" i="1" s="1"/>
  <c r="Z119" i="1"/>
  <c r="AR119" i="1" s="1"/>
  <c r="Z120" i="1"/>
  <c r="AR120" i="1" s="1"/>
  <c r="Z121" i="1"/>
  <c r="AR121" i="1" s="1"/>
  <c r="Z122" i="1"/>
  <c r="AR122" i="1" s="1"/>
  <c r="Z123" i="1"/>
  <c r="AR123" i="1" s="1"/>
  <c r="Z124" i="1"/>
  <c r="AR124" i="1" s="1"/>
  <c r="Z125" i="1"/>
  <c r="AR125" i="1" s="1"/>
  <c r="Z126" i="1"/>
  <c r="AR126" i="1" s="1"/>
  <c r="Z127" i="1"/>
  <c r="AR127" i="1" s="1"/>
  <c r="Z128" i="1"/>
  <c r="AR128" i="1" s="1"/>
  <c r="Z129" i="1"/>
  <c r="AR129" i="1" s="1"/>
  <c r="Z130" i="1"/>
  <c r="AR130" i="1" s="1"/>
  <c r="Z131" i="1"/>
  <c r="AR131" i="1" s="1"/>
  <c r="Z132" i="1"/>
  <c r="AR132" i="1" s="1"/>
  <c r="Z133" i="1"/>
  <c r="AR133" i="1" s="1"/>
  <c r="Z134" i="1"/>
  <c r="AR134" i="1" s="1"/>
  <c r="Z135" i="1"/>
  <c r="AR135" i="1" s="1"/>
  <c r="Z136" i="1"/>
  <c r="AR136" i="1" s="1"/>
  <c r="Z137" i="1"/>
  <c r="AR137" i="1" s="1"/>
  <c r="Z138" i="1"/>
  <c r="AR138" i="1" s="1"/>
  <c r="Z139" i="1"/>
  <c r="AR139" i="1" s="1"/>
  <c r="Z140" i="1"/>
  <c r="AR140" i="1" s="1"/>
  <c r="Z141" i="1"/>
  <c r="AR141" i="1" s="1"/>
  <c r="Z142" i="1"/>
  <c r="AR142" i="1" s="1"/>
  <c r="Z143" i="1"/>
  <c r="AR143" i="1" s="1"/>
  <c r="Z144" i="1"/>
  <c r="AR144" i="1" s="1"/>
  <c r="Z145" i="1"/>
  <c r="AR145" i="1" s="1"/>
  <c r="Z146" i="1"/>
  <c r="AR146" i="1" s="1"/>
  <c r="Z147" i="1"/>
  <c r="AR147" i="1" s="1"/>
  <c r="Z148" i="1"/>
  <c r="AR148" i="1" s="1"/>
  <c r="Z149" i="1"/>
  <c r="AR149" i="1" s="1"/>
  <c r="Z150" i="1"/>
  <c r="AR150" i="1" s="1"/>
  <c r="Z151" i="1"/>
  <c r="AR151" i="1" s="1"/>
  <c r="Z152" i="1"/>
  <c r="AR152" i="1" s="1"/>
  <c r="Z153" i="1"/>
  <c r="AR153" i="1" s="1"/>
  <c r="Z154" i="1"/>
  <c r="AR154" i="1" s="1"/>
  <c r="Z155" i="1"/>
  <c r="AR155" i="1" s="1"/>
  <c r="Z156" i="1"/>
  <c r="AR156" i="1" s="1"/>
  <c r="Z157" i="1"/>
  <c r="AR157" i="1" s="1"/>
  <c r="Z158" i="1"/>
  <c r="AR158" i="1" s="1"/>
  <c r="Z159" i="1"/>
  <c r="AR159" i="1" s="1"/>
  <c r="Z160" i="1"/>
  <c r="AR160" i="1" s="1"/>
  <c r="Z161" i="1"/>
  <c r="AR161" i="1" s="1"/>
  <c r="Z162" i="1"/>
  <c r="AR162" i="1" s="1"/>
  <c r="Z163" i="1"/>
  <c r="AR163" i="1" s="1"/>
  <c r="Z164" i="1"/>
  <c r="AR164" i="1" s="1"/>
  <c r="Z165" i="1"/>
  <c r="AR165" i="1" s="1"/>
  <c r="Z166" i="1"/>
  <c r="AR166" i="1" s="1"/>
  <c r="Z167" i="1"/>
  <c r="AR167" i="1" s="1"/>
  <c r="Z168" i="1"/>
  <c r="AR168" i="1" s="1"/>
  <c r="Z169" i="1"/>
  <c r="AR169" i="1" s="1"/>
  <c r="Z170" i="1"/>
  <c r="AR170" i="1" s="1"/>
  <c r="Z171" i="1"/>
  <c r="AR171" i="1" s="1"/>
  <c r="Z172" i="1"/>
  <c r="AR172" i="1" s="1"/>
  <c r="Z173" i="1"/>
  <c r="AR173" i="1" s="1"/>
  <c r="Z174" i="1"/>
  <c r="AR174" i="1" s="1"/>
  <c r="Z175" i="1"/>
  <c r="AR175" i="1" s="1"/>
  <c r="Z176" i="1"/>
  <c r="AR176" i="1" s="1"/>
  <c r="Z177" i="1"/>
  <c r="AR177" i="1" s="1"/>
  <c r="Z178" i="1"/>
  <c r="AR178" i="1" s="1"/>
  <c r="Z179" i="1"/>
  <c r="AR179" i="1" s="1"/>
  <c r="Z180" i="1"/>
  <c r="AR180" i="1" s="1"/>
  <c r="Z181" i="1"/>
  <c r="AR181" i="1" s="1"/>
  <c r="Z182" i="1"/>
  <c r="AR182" i="1" s="1"/>
  <c r="Z183" i="1"/>
  <c r="AR183" i="1" s="1"/>
  <c r="Z184" i="1"/>
  <c r="AR184" i="1" s="1"/>
  <c r="Z185" i="1"/>
  <c r="AR185" i="1" s="1"/>
  <c r="Z186" i="1"/>
  <c r="AR186" i="1" s="1"/>
  <c r="Z187" i="1"/>
  <c r="AR187" i="1" s="1"/>
  <c r="Z188" i="1"/>
  <c r="AR188" i="1" s="1"/>
  <c r="Z189" i="1"/>
  <c r="AR189" i="1" s="1"/>
  <c r="Z190" i="1"/>
  <c r="AR190" i="1" s="1"/>
  <c r="Z191" i="1"/>
  <c r="AR191" i="1" s="1"/>
  <c r="Z192" i="1"/>
  <c r="AR192" i="1" s="1"/>
  <c r="Z193" i="1"/>
  <c r="AR193" i="1" s="1"/>
  <c r="Z194" i="1"/>
  <c r="AR194" i="1" s="1"/>
  <c r="Z195" i="1"/>
  <c r="AR195" i="1" s="1"/>
  <c r="Z196" i="1"/>
  <c r="AR196" i="1" s="1"/>
  <c r="Z197" i="1"/>
  <c r="AR197" i="1" s="1"/>
  <c r="Z198" i="1"/>
  <c r="AR198" i="1" s="1"/>
  <c r="Z199" i="1"/>
  <c r="AR199" i="1" s="1"/>
  <c r="Z200" i="1"/>
  <c r="AR200" i="1" s="1"/>
  <c r="Z201" i="1"/>
  <c r="AR201" i="1" s="1"/>
  <c r="Z202" i="1"/>
  <c r="AR202" i="1" s="1"/>
  <c r="Z203" i="1"/>
  <c r="AR203" i="1" s="1"/>
  <c r="Z204" i="1"/>
  <c r="AR204" i="1" s="1"/>
  <c r="Z205" i="1"/>
  <c r="AR205" i="1" s="1"/>
  <c r="Z206" i="1"/>
  <c r="AR206" i="1" s="1"/>
  <c r="Z207" i="1"/>
  <c r="AR207" i="1" s="1"/>
  <c r="Z208" i="1"/>
  <c r="AR208" i="1" s="1"/>
  <c r="Z209" i="1"/>
  <c r="AR209" i="1" s="1"/>
  <c r="Z210" i="1"/>
  <c r="AR210" i="1" s="1"/>
  <c r="Z211" i="1"/>
  <c r="AR211" i="1" s="1"/>
  <c r="Z212" i="1"/>
  <c r="AR212" i="1" s="1"/>
  <c r="Z213" i="1"/>
  <c r="AR213" i="1" s="1"/>
  <c r="Z214" i="1"/>
  <c r="AR214" i="1" s="1"/>
  <c r="Z215" i="1"/>
  <c r="AR215" i="1" s="1"/>
  <c r="Z216" i="1"/>
  <c r="AR216" i="1" s="1"/>
  <c r="Z217" i="1"/>
  <c r="AR217" i="1" s="1"/>
  <c r="Z218" i="1"/>
  <c r="AR218" i="1" s="1"/>
  <c r="Z219" i="1"/>
  <c r="AR219" i="1" s="1"/>
  <c r="Z220" i="1"/>
  <c r="AR220" i="1" s="1"/>
  <c r="Z221" i="1"/>
  <c r="AR221" i="1" s="1"/>
  <c r="Z222" i="1"/>
  <c r="AR222" i="1" s="1"/>
  <c r="Z223" i="1"/>
  <c r="AR223" i="1" s="1"/>
  <c r="Z224" i="1"/>
  <c r="AR224" i="1" s="1"/>
  <c r="Z225" i="1"/>
  <c r="AR225" i="1" s="1"/>
  <c r="Z226" i="1"/>
  <c r="AR226" i="1" s="1"/>
  <c r="Z227" i="1"/>
  <c r="AR227" i="1" s="1"/>
  <c r="Z228" i="1"/>
  <c r="AR228" i="1" s="1"/>
  <c r="Z229" i="1"/>
  <c r="AR229" i="1" s="1"/>
  <c r="Z230" i="1"/>
  <c r="AR230" i="1" s="1"/>
  <c r="Z231" i="1"/>
  <c r="AR231" i="1" s="1"/>
  <c r="Z232" i="1"/>
  <c r="AR232" i="1" s="1"/>
  <c r="Z233" i="1"/>
  <c r="AR233" i="1" s="1"/>
  <c r="Z234" i="1"/>
  <c r="AR234" i="1" s="1"/>
  <c r="Z235" i="1"/>
  <c r="AR235" i="1" s="1"/>
  <c r="Z236" i="1"/>
  <c r="AR236" i="1" s="1"/>
  <c r="Z237" i="1"/>
  <c r="AR237" i="1" s="1"/>
  <c r="Z238" i="1"/>
  <c r="AR238" i="1" s="1"/>
  <c r="Z239" i="1"/>
  <c r="AR239" i="1" s="1"/>
  <c r="Z240" i="1"/>
  <c r="AR240" i="1" s="1"/>
  <c r="Z241" i="1"/>
  <c r="AR241" i="1" s="1"/>
  <c r="Z242" i="1"/>
  <c r="AR242" i="1" s="1"/>
  <c r="Z243" i="1"/>
  <c r="AR243" i="1" s="1"/>
  <c r="Z244" i="1"/>
  <c r="AR244" i="1" s="1"/>
  <c r="Z245" i="1"/>
  <c r="AR245" i="1" s="1"/>
  <c r="Z246" i="1"/>
  <c r="AR246" i="1" s="1"/>
  <c r="Z247" i="1"/>
  <c r="AR247" i="1" s="1"/>
  <c r="Z248" i="1"/>
  <c r="AR248" i="1" s="1"/>
  <c r="Z249" i="1"/>
  <c r="AR249" i="1" s="1"/>
  <c r="Z250" i="1"/>
  <c r="AR250" i="1" s="1"/>
  <c r="Z251" i="1"/>
  <c r="AR251" i="1" s="1"/>
  <c r="Z252" i="1"/>
  <c r="AR252" i="1" s="1"/>
  <c r="Z253" i="1"/>
  <c r="AR253" i="1" s="1"/>
  <c r="Z254" i="1"/>
  <c r="AR254" i="1" s="1"/>
  <c r="Z255" i="1"/>
  <c r="AR255" i="1" s="1"/>
  <c r="Z256" i="1"/>
  <c r="AR256" i="1" s="1"/>
  <c r="Z257" i="1"/>
  <c r="AR257" i="1" s="1"/>
  <c r="Z258" i="1"/>
  <c r="AR258" i="1" s="1"/>
  <c r="Z259" i="1"/>
  <c r="AR259" i="1" s="1"/>
  <c r="Z260" i="1"/>
  <c r="AR260" i="1" s="1"/>
  <c r="Z261" i="1"/>
  <c r="AR261" i="1" s="1"/>
  <c r="Z262" i="1"/>
  <c r="AR262" i="1" s="1"/>
  <c r="Z263" i="1"/>
  <c r="AR263" i="1" s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2" i="1"/>
  <c r="AR2" i="1" s="1"/>
  <c r="AS3" i="1" l="1"/>
  <c r="AS5" i="1"/>
  <c r="AS7" i="1"/>
  <c r="AS10" i="1"/>
  <c r="AS11" i="1"/>
  <c r="AS138" i="1"/>
  <c r="AS152" i="1"/>
  <c r="AS186" i="1"/>
  <c r="AS192" i="1"/>
  <c r="AS194" i="1"/>
  <c r="AS199" i="1"/>
  <c r="AS210" i="1"/>
  <c r="AS211" i="1"/>
  <c r="AS216" i="1"/>
  <c r="AS218" i="1"/>
  <c r="AS221" i="1"/>
  <c r="AS224" i="1"/>
  <c r="AS225" i="1"/>
  <c r="AS233" i="1"/>
  <c r="AS235" i="1"/>
  <c r="AS239" i="1"/>
  <c r="AS242" i="1"/>
  <c r="AS247" i="1"/>
  <c r="AS248" i="1"/>
  <c r="AS250" i="1"/>
  <c r="AS252" i="1"/>
  <c r="AS254" i="1"/>
  <c r="AS259" i="1"/>
  <c r="AS261" i="1"/>
  <c r="AS262" i="1"/>
  <c r="AS269" i="1"/>
  <c r="AS275" i="1"/>
  <c r="AS279" i="1"/>
  <c r="AS280" i="1"/>
  <c r="AS284" i="1"/>
  <c r="AS286" i="1"/>
  <c r="AS295" i="1"/>
  <c r="AS506" i="1"/>
  <c r="AS516" i="1"/>
  <c r="AS160" i="1"/>
  <c r="AS161" i="1"/>
  <c r="AS162" i="1"/>
  <c r="AS163" i="1"/>
  <c r="AS165" i="1"/>
  <c r="AS167" i="1"/>
  <c r="AS168" i="1"/>
  <c r="AS169" i="1"/>
  <c r="AS170" i="1"/>
  <c r="AS174" i="1"/>
  <c r="AS176" i="1"/>
  <c r="AS177" i="1"/>
  <c r="AS178" i="1"/>
  <c r="AS190" i="1"/>
  <c r="AS195" i="1"/>
  <c r="AS200" i="1"/>
  <c r="AS209" i="1"/>
  <c r="AS213" i="1"/>
  <c r="AS215" i="1"/>
  <c r="AS217" i="1"/>
  <c r="AS220" i="1"/>
  <c r="AS222" i="1"/>
  <c r="AS234" i="1"/>
  <c r="AS236" i="1"/>
  <c r="AS240" i="1"/>
  <c r="AS243" i="1"/>
  <c r="AS270" i="1"/>
  <c r="AS273" i="1"/>
  <c r="AS278" i="1"/>
  <c r="AS281" i="1"/>
  <c r="AS285" i="1"/>
  <c r="AS288" i="1"/>
  <c r="AS294" i="1"/>
  <c r="AS510" i="1"/>
  <c r="AS197" i="1"/>
  <c r="AS198" i="1"/>
  <c r="AS219" i="1"/>
  <c r="AS223" i="1"/>
  <c r="AS237" i="1"/>
  <c r="AS241" i="1"/>
  <c r="AS246" i="1"/>
  <c r="AS249" i="1"/>
  <c r="AS251" i="1"/>
  <c r="AS253" i="1"/>
  <c r="AS260" i="1"/>
  <c r="AS263" i="1"/>
  <c r="AS265" i="1"/>
  <c r="AS266" i="1"/>
  <c r="AS272" i="1"/>
  <c r="AS277" i="1"/>
  <c r="AS282" i="1"/>
  <c r="AS290" i="1"/>
  <c r="AS231" i="1"/>
  <c r="AS276" i="1"/>
  <c r="AS289" i="1"/>
  <c r="AS292" i="1"/>
  <c r="AS511" i="1"/>
  <c r="AS522" i="1"/>
  <c r="AS296" i="1"/>
  <c r="AS297" i="1"/>
  <c r="AS298" i="1"/>
  <c r="AS299" i="1"/>
  <c r="AS300" i="1"/>
  <c r="AS301" i="1"/>
  <c r="AS302" i="1"/>
  <c r="AS303" i="1"/>
  <c r="AS305" i="1"/>
  <c r="AS306" i="1"/>
  <c r="AS512" i="1"/>
  <c r="AS520" i="1"/>
  <c r="AS508" i="1"/>
  <c r="AS509" i="1"/>
  <c r="AS264" i="1"/>
  <c r="AS244" i="1"/>
  <c r="AS191" i="1"/>
  <c r="AE88" i="1"/>
  <c r="AT88" i="1" s="1"/>
  <c r="AU88" i="1" s="1"/>
  <c r="AZ88" i="1" s="1"/>
  <c r="AY88" i="1" s="1"/>
  <c r="AE89" i="1"/>
  <c r="AT89" i="1" s="1"/>
  <c r="AU89" i="1" s="1"/>
  <c r="AZ89" i="1" s="1"/>
  <c r="AY89" i="1" s="1"/>
  <c r="AE90" i="1"/>
  <c r="AT90" i="1" s="1"/>
  <c r="AU90" i="1" s="1"/>
  <c r="AZ90" i="1" s="1"/>
  <c r="AY90" i="1" s="1"/>
  <c r="AE91" i="1"/>
  <c r="AT91" i="1" s="1"/>
  <c r="AU91" i="1" s="1"/>
  <c r="AZ91" i="1" s="1"/>
  <c r="AY91" i="1" s="1"/>
  <c r="AE92" i="1"/>
  <c r="AT92" i="1" s="1"/>
  <c r="AU92" i="1" s="1"/>
  <c r="AZ92" i="1" s="1"/>
  <c r="AY92" i="1" s="1"/>
  <c r="AE93" i="1"/>
  <c r="AT93" i="1" s="1"/>
  <c r="AU93" i="1" s="1"/>
  <c r="AZ93" i="1" s="1"/>
  <c r="AY93" i="1" s="1"/>
  <c r="AE94" i="1"/>
  <c r="AT94" i="1" s="1"/>
  <c r="AU94" i="1" s="1"/>
  <c r="AE95" i="1"/>
  <c r="AT95" i="1" s="1"/>
  <c r="AU95" i="1" s="1"/>
  <c r="AE96" i="1"/>
  <c r="AT96" i="1" s="1"/>
  <c r="AU96" i="1" s="1"/>
  <c r="AE97" i="1"/>
  <c r="AT97" i="1" s="1"/>
  <c r="AU97" i="1" s="1"/>
  <c r="AE98" i="1"/>
  <c r="AT98" i="1" s="1"/>
  <c r="AU98" i="1" s="1"/>
  <c r="AE99" i="1"/>
  <c r="AT99" i="1" s="1"/>
  <c r="AU99" i="1" s="1"/>
  <c r="AZ99" i="1" s="1"/>
  <c r="AY99" i="1" s="1"/>
  <c r="AE100" i="1"/>
  <c r="AT100" i="1" s="1"/>
  <c r="AU100" i="1" s="1"/>
  <c r="AZ100" i="1" s="1"/>
  <c r="AY100" i="1" s="1"/>
  <c r="AE101" i="1"/>
  <c r="AT101" i="1" s="1"/>
  <c r="AU101" i="1" s="1"/>
  <c r="AZ101" i="1" s="1"/>
  <c r="AY101" i="1" s="1"/>
  <c r="AE102" i="1"/>
  <c r="AT102" i="1" s="1"/>
  <c r="AU102" i="1" s="1"/>
  <c r="AZ102" i="1" s="1"/>
  <c r="AY102" i="1" s="1"/>
  <c r="AE103" i="1"/>
  <c r="AT103" i="1" s="1"/>
  <c r="AU103" i="1" s="1"/>
  <c r="AZ103" i="1" s="1"/>
  <c r="AY103" i="1" s="1"/>
  <c r="AE104" i="1"/>
  <c r="AT104" i="1" s="1"/>
  <c r="AU104" i="1" s="1"/>
  <c r="AZ104" i="1" s="1"/>
  <c r="AY104" i="1" s="1"/>
  <c r="AE105" i="1"/>
  <c r="AT105" i="1" s="1"/>
  <c r="AU105" i="1" s="1"/>
  <c r="AZ105" i="1" s="1"/>
  <c r="AY105" i="1" s="1"/>
  <c r="AE106" i="1"/>
  <c r="AT106" i="1" s="1"/>
  <c r="AU106" i="1" s="1"/>
  <c r="AZ106" i="1" s="1"/>
  <c r="AY106" i="1" s="1"/>
  <c r="AE107" i="1"/>
  <c r="AT107" i="1" s="1"/>
  <c r="AU107" i="1" s="1"/>
  <c r="AZ107" i="1" s="1"/>
  <c r="AY107" i="1" s="1"/>
  <c r="AE108" i="1"/>
  <c r="AT108" i="1" s="1"/>
  <c r="AU108" i="1" s="1"/>
  <c r="AZ108" i="1" s="1"/>
  <c r="AY108" i="1" s="1"/>
  <c r="AE109" i="1"/>
  <c r="AT109" i="1" s="1"/>
  <c r="AU109" i="1" s="1"/>
  <c r="AE110" i="1"/>
  <c r="AT110" i="1" s="1"/>
  <c r="AU110" i="1" s="1"/>
  <c r="AZ110" i="1" s="1"/>
  <c r="AY110" i="1" s="1"/>
  <c r="AE111" i="1"/>
  <c r="AT111" i="1" s="1"/>
  <c r="AU111" i="1" s="1"/>
  <c r="AZ111" i="1" s="1"/>
  <c r="AY111" i="1" s="1"/>
  <c r="AE112" i="1"/>
  <c r="AT112" i="1" s="1"/>
  <c r="AU112" i="1" s="1"/>
  <c r="AZ112" i="1" s="1"/>
  <c r="AY112" i="1" s="1"/>
  <c r="AE113" i="1"/>
  <c r="AT113" i="1" s="1"/>
  <c r="AU113" i="1" s="1"/>
  <c r="AZ113" i="1" s="1"/>
  <c r="AY113" i="1" s="1"/>
  <c r="AE114" i="1"/>
  <c r="AT114" i="1" s="1"/>
  <c r="AU114" i="1" s="1"/>
  <c r="AZ114" i="1" s="1"/>
  <c r="AY114" i="1" s="1"/>
  <c r="AE115" i="1"/>
  <c r="AT115" i="1" s="1"/>
  <c r="AU115" i="1" s="1"/>
  <c r="AZ115" i="1" s="1"/>
  <c r="AY115" i="1" s="1"/>
  <c r="AE116" i="1"/>
  <c r="AT116" i="1" s="1"/>
  <c r="AU116" i="1" s="1"/>
  <c r="AZ116" i="1" s="1"/>
  <c r="AY116" i="1" s="1"/>
  <c r="AE117" i="1"/>
  <c r="AT117" i="1" s="1"/>
  <c r="AU117" i="1" s="1"/>
  <c r="AZ117" i="1" s="1"/>
  <c r="AY117" i="1" s="1"/>
  <c r="AE118" i="1"/>
  <c r="AT118" i="1" s="1"/>
  <c r="AU118" i="1" s="1"/>
  <c r="AZ118" i="1" s="1"/>
  <c r="AY118" i="1" s="1"/>
  <c r="AE119" i="1"/>
  <c r="AT119" i="1" s="1"/>
  <c r="AU119" i="1" s="1"/>
  <c r="AZ119" i="1" s="1"/>
  <c r="AY119" i="1" s="1"/>
  <c r="AE120" i="1"/>
  <c r="AT120" i="1" s="1"/>
  <c r="AU120" i="1" s="1"/>
  <c r="AZ120" i="1" s="1"/>
  <c r="AY120" i="1" s="1"/>
  <c r="AE121" i="1"/>
  <c r="AT121" i="1" s="1"/>
  <c r="AU121" i="1" s="1"/>
  <c r="AZ121" i="1" s="1"/>
  <c r="AY121" i="1" s="1"/>
  <c r="AE122" i="1"/>
  <c r="AT122" i="1" s="1"/>
  <c r="AU122" i="1" s="1"/>
  <c r="AZ122" i="1" s="1"/>
  <c r="AY122" i="1" s="1"/>
  <c r="AE123" i="1"/>
  <c r="AT123" i="1" s="1"/>
  <c r="AU123" i="1" s="1"/>
  <c r="AZ123" i="1" s="1"/>
  <c r="AY123" i="1" s="1"/>
  <c r="AE124" i="1"/>
  <c r="AT124" i="1" s="1"/>
  <c r="AU124" i="1" s="1"/>
  <c r="AZ124" i="1" s="1"/>
  <c r="AY124" i="1" s="1"/>
  <c r="AE125" i="1"/>
  <c r="AT125" i="1" s="1"/>
  <c r="AU125" i="1" s="1"/>
  <c r="AZ125" i="1" s="1"/>
  <c r="AY125" i="1" s="1"/>
  <c r="AE126" i="1"/>
  <c r="AT126" i="1" s="1"/>
  <c r="AU126" i="1" s="1"/>
  <c r="AZ126" i="1" s="1"/>
  <c r="AY126" i="1" s="1"/>
  <c r="AE127" i="1"/>
  <c r="AT127" i="1" s="1"/>
  <c r="AU127" i="1" s="1"/>
  <c r="AZ127" i="1" s="1"/>
  <c r="AY127" i="1" s="1"/>
  <c r="AE128" i="1"/>
  <c r="AT128" i="1" s="1"/>
  <c r="AU128" i="1" s="1"/>
  <c r="AZ128" i="1" s="1"/>
  <c r="AY128" i="1" s="1"/>
  <c r="AE129" i="1"/>
  <c r="AT129" i="1" s="1"/>
  <c r="AU129" i="1" s="1"/>
  <c r="AZ129" i="1" s="1"/>
  <c r="AY129" i="1" s="1"/>
  <c r="AE130" i="1"/>
  <c r="AT130" i="1" s="1"/>
  <c r="AU130" i="1" s="1"/>
  <c r="AZ130" i="1" s="1"/>
  <c r="AY130" i="1" s="1"/>
  <c r="AE131" i="1"/>
  <c r="AT131" i="1" s="1"/>
  <c r="AU131" i="1" s="1"/>
  <c r="AZ131" i="1" s="1"/>
  <c r="AY131" i="1" s="1"/>
  <c r="AE132" i="1"/>
  <c r="AT132" i="1" s="1"/>
  <c r="AU132" i="1" s="1"/>
  <c r="AZ132" i="1" s="1"/>
  <c r="AY132" i="1" s="1"/>
  <c r="AE133" i="1"/>
  <c r="AT133" i="1" s="1"/>
  <c r="AU133" i="1" s="1"/>
  <c r="AZ133" i="1" s="1"/>
  <c r="AY133" i="1" s="1"/>
  <c r="AE134" i="1"/>
  <c r="AT134" i="1" s="1"/>
  <c r="AU134" i="1" s="1"/>
  <c r="AZ134" i="1" s="1"/>
  <c r="AY134" i="1" s="1"/>
  <c r="AE135" i="1"/>
  <c r="AT135" i="1" s="1"/>
  <c r="AU135" i="1" s="1"/>
  <c r="AZ135" i="1" s="1"/>
  <c r="AY135" i="1" s="1"/>
  <c r="AE136" i="1"/>
  <c r="AT136" i="1" s="1"/>
  <c r="AU136" i="1" s="1"/>
  <c r="AZ136" i="1" s="1"/>
  <c r="AY136" i="1" s="1"/>
  <c r="AE137" i="1"/>
  <c r="AT137" i="1" s="1"/>
  <c r="AU137" i="1" s="1"/>
  <c r="AZ137" i="1" s="1"/>
  <c r="AY137" i="1" s="1"/>
  <c r="AE138" i="1"/>
  <c r="AT138" i="1" s="1"/>
  <c r="AU138" i="1" s="1"/>
  <c r="AZ138" i="1" s="1"/>
  <c r="AY138" i="1" s="1"/>
  <c r="AE139" i="1"/>
  <c r="AT139" i="1" s="1"/>
  <c r="AU139" i="1" s="1"/>
  <c r="AZ139" i="1" s="1"/>
  <c r="AY139" i="1" s="1"/>
  <c r="AE140" i="1"/>
  <c r="AT140" i="1" s="1"/>
  <c r="AU140" i="1" s="1"/>
  <c r="AZ140" i="1" s="1"/>
  <c r="AY140" i="1" s="1"/>
  <c r="AE141" i="1"/>
  <c r="AT141" i="1" s="1"/>
  <c r="AU141" i="1" s="1"/>
  <c r="AZ141" i="1" s="1"/>
  <c r="AY141" i="1" s="1"/>
  <c r="AE142" i="1"/>
  <c r="AT142" i="1" s="1"/>
  <c r="AU142" i="1" s="1"/>
  <c r="AZ142" i="1" s="1"/>
  <c r="AY142" i="1" s="1"/>
  <c r="AE143" i="1"/>
  <c r="AT143" i="1" s="1"/>
  <c r="AU143" i="1" s="1"/>
  <c r="AZ143" i="1" s="1"/>
  <c r="AY143" i="1" s="1"/>
  <c r="AE144" i="1"/>
  <c r="AT144" i="1" s="1"/>
  <c r="AU144" i="1" s="1"/>
  <c r="AZ144" i="1" s="1"/>
  <c r="AY144" i="1" s="1"/>
  <c r="AE145" i="1"/>
  <c r="AT145" i="1" s="1"/>
  <c r="AU145" i="1" s="1"/>
  <c r="AZ145" i="1" s="1"/>
  <c r="AY145" i="1" s="1"/>
  <c r="AE146" i="1"/>
  <c r="AT146" i="1" s="1"/>
  <c r="AU146" i="1" s="1"/>
  <c r="AZ146" i="1" s="1"/>
  <c r="AY146" i="1" s="1"/>
  <c r="AE147" i="1"/>
  <c r="AT147" i="1" s="1"/>
  <c r="AU147" i="1" s="1"/>
  <c r="AZ147" i="1" s="1"/>
  <c r="AY147" i="1" s="1"/>
  <c r="AE148" i="1"/>
  <c r="AT148" i="1" s="1"/>
  <c r="AU148" i="1" s="1"/>
  <c r="AZ148" i="1" s="1"/>
  <c r="AY148" i="1" s="1"/>
  <c r="AE149" i="1"/>
  <c r="AT149" i="1" s="1"/>
  <c r="AU149" i="1" s="1"/>
  <c r="AZ149" i="1" s="1"/>
  <c r="AY149" i="1" s="1"/>
  <c r="AE150" i="1"/>
  <c r="AT150" i="1" s="1"/>
  <c r="AU150" i="1" s="1"/>
  <c r="AZ150" i="1" s="1"/>
  <c r="AY150" i="1" s="1"/>
  <c r="AE151" i="1"/>
  <c r="AT151" i="1" s="1"/>
  <c r="AU151" i="1" s="1"/>
  <c r="AZ151" i="1" s="1"/>
  <c r="AY151" i="1" s="1"/>
  <c r="AE152" i="1"/>
  <c r="AT152" i="1" s="1"/>
  <c r="AU152" i="1" s="1"/>
  <c r="AE153" i="1"/>
  <c r="AT153" i="1" s="1"/>
  <c r="AU153" i="1" s="1"/>
  <c r="AE154" i="1"/>
  <c r="AT154" i="1" s="1"/>
  <c r="AU154" i="1" s="1"/>
  <c r="AE155" i="1"/>
  <c r="AT155" i="1" s="1"/>
  <c r="AU155" i="1" s="1"/>
  <c r="AE156" i="1"/>
  <c r="AT156" i="1" s="1"/>
  <c r="AU156" i="1" s="1"/>
  <c r="AE157" i="1"/>
  <c r="AT157" i="1" s="1"/>
  <c r="AU157" i="1" s="1"/>
  <c r="AE158" i="1"/>
  <c r="AT158" i="1" s="1"/>
  <c r="AU158" i="1" s="1"/>
  <c r="AZ158" i="1" s="1"/>
  <c r="AY158" i="1" s="1"/>
  <c r="AE159" i="1"/>
  <c r="AT159" i="1" s="1"/>
  <c r="AU159" i="1" s="1"/>
  <c r="AZ159" i="1" s="1"/>
  <c r="AY159" i="1" s="1"/>
  <c r="AE160" i="1"/>
  <c r="AT160" i="1" s="1"/>
  <c r="AU160" i="1" s="1"/>
  <c r="AE161" i="1"/>
  <c r="AT161" i="1" s="1"/>
  <c r="AU161" i="1" s="1"/>
  <c r="AZ161" i="1" s="1"/>
  <c r="AY161" i="1" s="1"/>
  <c r="AE162" i="1"/>
  <c r="AT162" i="1" s="1"/>
  <c r="AU162" i="1" s="1"/>
  <c r="AZ162" i="1" s="1"/>
  <c r="AY162" i="1" s="1"/>
  <c r="AE163" i="1"/>
  <c r="AT163" i="1" s="1"/>
  <c r="AU163" i="1" s="1"/>
  <c r="AZ163" i="1" s="1"/>
  <c r="AY163" i="1" s="1"/>
  <c r="AE164" i="1"/>
  <c r="AT164" i="1" s="1"/>
  <c r="AU164" i="1" s="1"/>
  <c r="AZ164" i="1" s="1"/>
  <c r="AY164" i="1" s="1"/>
  <c r="AE165" i="1"/>
  <c r="AT165" i="1" s="1"/>
  <c r="AU165" i="1" s="1"/>
  <c r="AZ165" i="1" s="1"/>
  <c r="AY165" i="1" s="1"/>
  <c r="AE166" i="1"/>
  <c r="AT166" i="1" s="1"/>
  <c r="AU166" i="1" s="1"/>
  <c r="AZ166" i="1" s="1"/>
  <c r="AY166" i="1" s="1"/>
  <c r="AE167" i="1"/>
  <c r="AT167" i="1" s="1"/>
  <c r="AU167" i="1" s="1"/>
  <c r="AZ167" i="1" s="1"/>
  <c r="AY167" i="1" s="1"/>
  <c r="AE168" i="1"/>
  <c r="AT168" i="1" s="1"/>
  <c r="AU168" i="1" s="1"/>
  <c r="AZ168" i="1" s="1"/>
  <c r="AY168" i="1" s="1"/>
  <c r="AE169" i="1"/>
  <c r="AT169" i="1" s="1"/>
  <c r="AU169" i="1" s="1"/>
  <c r="AZ169" i="1" s="1"/>
  <c r="AY169" i="1" s="1"/>
  <c r="AE170" i="1"/>
  <c r="AT170" i="1" s="1"/>
  <c r="AU170" i="1" s="1"/>
  <c r="AZ170" i="1" s="1"/>
  <c r="AY170" i="1" s="1"/>
  <c r="AE171" i="1"/>
  <c r="AT171" i="1" s="1"/>
  <c r="AU171" i="1" s="1"/>
  <c r="AZ171" i="1" s="1"/>
  <c r="AY171" i="1" s="1"/>
  <c r="AE172" i="1"/>
  <c r="AT172" i="1" s="1"/>
  <c r="AU172" i="1" s="1"/>
  <c r="AZ172" i="1" s="1"/>
  <c r="AY172" i="1" s="1"/>
  <c r="AE173" i="1"/>
  <c r="AT173" i="1" s="1"/>
  <c r="AU173" i="1" s="1"/>
  <c r="AZ173" i="1" s="1"/>
  <c r="AY173" i="1" s="1"/>
  <c r="AE174" i="1"/>
  <c r="AT174" i="1" s="1"/>
  <c r="AU174" i="1" s="1"/>
  <c r="AZ174" i="1" s="1"/>
  <c r="AY174" i="1" s="1"/>
  <c r="AE175" i="1"/>
  <c r="AT175" i="1" s="1"/>
  <c r="AU175" i="1" s="1"/>
  <c r="AZ175" i="1" s="1"/>
  <c r="AY175" i="1" s="1"/>
  <c r="AE176" i="1"/>
  <c r="AT176" i="1" s="1"/>
  <c r="AU176" i="1" s="1"/>
  <c r="AZ176" i="1" s="1"/>
  <c r="AY176" i="1" s="1"/>
  <c r="AE177" i="1"/>
  <c r="AT177" i="1" s="1"/>
  <c r="AU177" i="1" s="1"/>
  <c r="AZ177" i="1" s="1"/>
  <c r="AY177" i="1" s="1"/>
  <c r="AE178" i="1"/>
  <c r="AT178" i="1" s="1"/>
  <c r="AU178" i="1" s="1"/>
  <c r="AZ178" i="1" s="1"/>
  <c r="AY178" i="1" s="1"/>
  <c r="AE179" i="1"/>
  <c r="AT179" i="1" s="1"/>
  <c r="AU179" i="1" s="1"/>
  <c r="AZ179" i="1" s="1"/>
  <c r="AY179" i="1" s="1"/>
  <c r="AE180" i="1"/>
  <c r="AT180" i="1" s="1"/>
  <c r="AU180" i="1" s="1"/>
  <c r="AZ180" i="1" s="1"/>
  <c r="AY180" i="1" s="1"/>
  <c r="AE181" i="1"/>
  <c r="AT181" i="1" s="1"/>
  <c r="AU181" i="1" s="1"/>
  <c r="AZ181" i="1" s="1"/>
  <c r="AY181" i="1" s="1"/>
  <c r="AE182" i="1"/>
  <c r="AT182" i="1" s="1"/>
  <c r="AU182" i="1" s="1"/>
  <c r="AZ182" i="1" s="1"/>
  <c r="AY182" i="1" s="1"/>
  <c r="AE183" i="1"/>
  <c r="AT183" i="1" s="1"/>
  <c r="AU183" i="1" s="1"/>
  <c r="AZ183" i="1" s="1"/>
  <c r="AY183" i="1" s="1"/>
  <c r="AE184" i="1"/>
  <c r="AT184" i="1" s="1"/>
  <c r="AU184" i="1" s="1"/>
  <c r="AZ184" i="1" s="1"/>
  <c r="AY184" i="1" s="1"/>
  <c r="AE185" i="1"/>
  <c r="AT185" i="1" s="1"/>
  <c r="AU185" i="1" s="1"/>
  <c r="AZ185" i="1" s="1"/>
  <c r="AY185" i="1" s="1"/>
  <c r="AE186" i="1"/>
  <c r="AT186" i="1" s="1"/>
  <c r="AU186" i="1" s="1"/>
  <c r="AZ186" i="1" s="1"/>
  <c r="AY186" i="1" s="1"/>
  <c r="AE187" i="1"/>
  <c r="AT187" i="1" s="1"/>
  <c r="AU187" i="1" s="1"/>
  <c r="AZ187" i="1" s="1"/>
  <c r="AY187" i="1" s="1"/>
  <c r="AE188" i="1"/>
  <c r="AT188" i="1" s="1"/>
  <c r="AU188" i="1" s="1"/>
  <c r="AZ188" i="1" s="1"/>
  <c r="AY188" i="1" s="1"/>
  <c r="AE189" i="1"/>
  <c r="AT189" i="1" s="1"/>
  <c r="AU189" i="1" s="1"/>
  <c r="AZ189" i="1" s="1"/>
  <c r="AY189" i="1" s="1"/>
  <c r="AE190" i="1"/>
  <c r="AT190" i="1" s="1"/>
  <c r="AU190" i="1" s="1"/>
  <c r="AZ190" i="1" s="1"/>
  <c r="AY190" i="1" s="1"/>
  <c r="AE191" i="1"/>
  <c r="AT191" i="1" s="1"/>
  <c r="AU191" i="1" s="1"/>
  <c r="AZ191" i="1" s="1"/>
  <c r="AY191" i="1" s="1"/>
  <c r="AE192" i="1"/>
  <c r="AT192" i="1" s="1"/>
  <c r="AU192" i="1" s="1"/>
  <c r="AZ192" i="1" s="1"/>
  <c r="AY192" i="1" s="1"/>
  <c r="AE193" i="1"/>
  <c r="AT193" i="1" s="1"/>
  <c r="AU193" i="1" s="1"/>
  <c r="AZ193" i="1" s="1"/>
  <c r="AY193" i="1" s="1"/>
  <c r="AE194" i="1"/>
  <c r="AT194" i="1" s="1"/>
  <c r="AU194" i="1" s="1"/>
  <c r="AZ194" i="1" s="1"/>
  <c r="AY194" i="1" s="1"/>
  <c r="AE195" i="1"/>
  <c r="AT195" i="1" s="1"/>
  <c r="AU195" i="1" s="1"/>
  <c r="AZ195" i="1" s="1"/>
  <c r="AY195" i="1" s="1"/>
  <c r="AE196" i="1"/>
  <c r="AT196" i="1" s="1"/>
  <c r="AU196" i="1" s="1"/>
  <c r="AZ196" i="1" s="1"/>
  <c r="AY196" i="1" s="1"/>
  <c r="AE197" i="1"/>
  <c r="AT197" i="1" s="1"/>
  <c r="AU197" i="1" s="1"/>
  <c r="AZ197" i="1" s="1"/>
  <c r="AY197" i="1" s="1"/>
  <c r="AE198" i="1"/>
  <c r="AT198" i="1" s="1"/>
  <c r="AU198" i="1" s="1"/>
  <c r="AZ198" i="1" s="1"/>
  <c r="AY198" i="1" s="1"/>
  <c r="AE199" i="1"/>
  <c r="AT199" i="1" s="1"/>
  <c r="AU199" i="1" s="1"/>
  <c r="AZ199" i="1" s="1"/>
  <c r="AY199" i="1" s="1"/>
  <c r="AE200" i="1"/>
  <c r="AT200" i="1" s="1"/>
  <c r="AU200" i="1" s="1"/>
  <c r="AZ200" i="1" s="1"/>
  <c r="AY200" i="1" s="1"/>
  <c r="AE201" i="1"/>
  <c r="AT201" i="1" s="1"/>
  <c r="AU201" i="1" s="1"/>
  <c r="AZ201" i="1" s="1"/>
  <c r="AY201" i="1" s="1"/>
  <c r="AE202" i="1"/>
  <c r="AT202" i="1" s="1"/>
  <c r="AU202" i="1" s="1"/>
  <c r="AZ202" i="1" s="1"/>
  <c r="AY202" i="1" s="1"/>
  <c r="AE203" i="1"/>
  <c r="AT203" i="1" s="1"/>
  <c r="AU203" i="1" s="1"/>
  <c r="AZ203" i="1" s="1"/>
  <c r="AY203" i="1" s="1"/>
  <c r="AE204" i="1"/>
  <c r="AT204" i="1" s="1"/>
  <c r="AU204" i="1" s="1"/>
  <c r="AZ204" i="1" s="1"/>
  <c r="AY204" i="1" s="1"/>
  <c r="AE205" i="1"/>
  <c r="AT205" i="1" s="1"/>
  <c r="AU205" i="1" s="1"/>
  <c r="AZ205" i="1" s="1"/>
  <c r="AY205" i="1" s="1"/>
  <c r="AE206" i="1"/>
  <c r="AT206" i="1" s="1"/>
  <c r="AU206" i="1" s="1"/>
  <c r="AZ206" i="1" s="1"/>
  <c r="AY206" i="1" s="1"/>
  <c r="AE207" i="1"/>
  <c r="AT207" i="1" s="1"/>
  <c r="AU207" i="1" s="1"/>
  <c r="AE208" i="1"/>
  <c r="AT208" i="1" s="1"/>
  <c r="AU208" i="1" s="1"/>
  <c r="AZ208" i="1" s="1"/>
  <c r="AY208" i="1" s="1"/>
  <c r="AE209" i="1"/>
  <c r="AT209" i="1" s="1"/>
  <c r="AU209" i="1" s="1"/>
  <c r="AE210" i="1"/>
  <c r="AT210" i="1" s="1"/>
  <c r="AU210" i="1" s="1"/>
  <c r="AZ210" i="1" s="1"/>
  <c r="AY210" i="1" s="1"/>
  <c r="AE211" i="1"/>
  <c r="AT211" i="1" s="1"/>
  <c r="AU211" i="1" s="1"/>
  <c r="AZ211" i="1" s="1"/>
  <c r="AY211" i="1" s="1"/>
  <c r="AE212" i="1"/>
  <c r="AT212" i="1" s="1"/>
  <c r="AU212" i="1" s="1"/>
  <c r="AZ212" i="1" s="1"/>
  <c r="AY212" i="1" s="1"/>
  <c r="AE213" i="1"/>
  <c r="AT213" i="1" s="1"/>
  <c r="AU213" i="1" s="1"/>
  <c r="AZ213" i="1" s="1"/>
  <c r="AY213" i="1" s="1"/>
  <c r="AE214" i="1"/>
  <c r="AT214" i="1" s="1"/>
  <c r="AU214" i="1" s="1"/>
  <c r="AZ214" i="1" s="1"/>
  <c r="AY214" i="1" s="1"/>
  <c r="AE215" i="1"/>
  <c r="AT215" i="1" s="1"/>
  <c r="AU215" i="1" s="1"/>
  <c r="AZ215" i="1" s="1"/>
  <c r="AY215" i="1" s="1"/>
  <c r="AE216" i="1"/>
  <c r="AT216" i="1" s="1"/>
  <c r="AU216" i="1" s="1"/>
  <c r="AZ216" i="1" s="1"/>
  <c r="AY216" i="1" s="1"/>
  <c r="AE217" i="1"/>
  <c r="AT217" i="1" s="1"/>
  <c r="AU217" i="1" s="1"/>
  <c r="AZ217" i="1" s="1"/>
  <c r="AY217" i="1" s="1"/>
  <c r="AE218" i="1"/>
  <c r="AT218" i="1" s="1"/>
  <c r="AU218" i="1" s="1"/>
  <c r="AZ218" i="1" s="1"/>
  <c r="AY218" i="1" s="1"/>
  <c r="AE219" i="1"/>
  <c r="AT219" i="1" s="1"/>
  <c r="AU219" i="1" s="1"/>
  <c r="AZ219" i="1" s="1"/>
  <c r="AY219" i="1" s="1"/>
  <c r="AE220" i="1"/>
  <c r="AT220" i="1" s="1"/>
  <c r="AU220" i="1" s="1"/>
  <c r="AZ220" i="1" s="1"/>
  <c r="AY220" i="1" s="1"/>
  <c r="AE221" i="1"/>
  <c r="AT221" i="1" s="1"/>
  <c r="AU221" i="1" s="1"/>
  <c r="AZ221" i="1" s="1"/>
  <c r="AY221" i="1" s="1"/>
  <c r="AE222" i="1"/>
  <c r="AT222" i="1" s="1"/>
  <c r="AU222" i="1" s="1"/>
  <c r="AZ222" i="1" s="1"/>
  <c r="AY222" i="1" s="1"/>
  <c r="AE223" i="1"/>
  <c r="AT223" i="1" s="1"/>
  <c r="AU223" i="1" s="1"/>
  <c r="AZ223" i="1" s="1"/>
  <c r="AY223" i="1" s="1"/>
  <c r="AE224" i="1"/>
  <c r="AT224" i="1" s="1"/>
  <c r="AU224" i="1" s="1"/>
  <c r="AZ224" i="1" s="1"/>
  <c r="AY224" i="1" s="1"/>
  <c r="AE225" i="1"/>
  <c r="AT225" i="1" s="1"/>
  <c r="AU225" i="1" s="1"/>
  <c r="AZ225" i="1" s="1"/>
  <c r="AY225" i="1" s="1"/>
  <c r="AE226" i="1"/>
  <c r="AT226" i="1" s="1"/>
  <c r="AU226" i="1" s="1"/>
  <c r="AZ226" i="1" s="1"/>
  <c r="AY226" i="1" s="1"/>
  <c r="AE227" i="1"/>
  <c r="AT227" i="1" s="1"/>
  <c r="AU227" i="1" s="1"/>
  <c r="AZ227" i="1" s="1"/>
  <c r="AY227" i="1" s="1"/>
  <c r="AE228" i="1"/>
  <c r="AT228" i="1" s="1"/>
  <c r="AU228" i="1" s="1"/>
  <c r="AZ228" i="1" s="1"/>
  <c r="AY228" i="1" s="1"/>
  <c r="AE229" i="1"/>
  <c r="AT229" i="1" s="1"/>
  <c r="AU229" i="1" s="1"/>
  <c r="AZ229" i="1" s="1"/>
  <c r="AY229" i="1" s="1"/>
  <c r="AE230" i="1"/>
  <c r="AT230" i="1" s="1"/>
  <c r="AU230" i="1" s="1"/>
  <c r="AZ230" i="1" s="1"/>
  <c r="AY230" i="1" s="1"/>
  <c r="AE231" i="1"/>
  <c r="AT231" i="1" s="1"/>
  <c r="AU231" i="1" s="1"/>
  <c r="AZ231" i="1" s="1"/>
  <c r="AY231" i="1" s="1"/>
  <c r="AE232" i="1"/>
  <c r="AT232" i="1" s="1"/>
  <c r="AU232" i="1" s="1"/>
  <c r="AZ232" i="1" s="1"/>
  <c r="AY232" i="1" s="1"/>
  <c r="AE233" i="1"/>
  <c r="AT233" i="1" s="1"/>
  <c r="AU233" i="1" s="1"/>
  <c r="AZ233" i="1" s="1"/>
  <c r="AY233" i="1" s="1"/>
  <c r="AE234" i="1"/>
  <c r="AT234" i="1" s="1"/>
  <c r="AU234" i="1" s="1"/>
  <c r="AZ234" i="1" s="1"/>
  <c r="AY234" i="1" s="1"/>
  <c r="AE235" i="1"/>
  <c r="AT235" i="1" s="1"/>
  <c r="AU235" i="1" s="1"/>
  <c r="AZ235" i="1" s="1"/>
  <c r="AY235" i="1" s="1"/>
  <c r="AE236" i="1"/>
  <c r="AT236" i="1" s="1"/>
  <c r="AU236" i="1" s="1"/>
  <c r="AZ236" i="1" s="1"/>
  <c r="AY236" i="1" s="1"/>
  <c r="AE237" i="1"/>
  <c r="AT237" i="1" s="1"/>
  <c r="AU237" i="1" s="1"/>
  <c r="AE238" i="1"/>
  <c r="AT238" i="1" s="1"/>
  <c r="AU238" i="1" s="1"/>
  <c r="AZ238" i="1" s="1"/>
  <c r="AY238" i="1" s="1"/>
  <c r="AE239" i="1"/>
  <c r="AT239" i="1" s="1"/>
  <c r="AU239" i="1" s="1"/>
  <c r="AZ239" i="1" s="1"/>
  <c r="AY239" i="1" s="1"/>
  <c r="AE240" i="1"/>
  <c r="AT240" i="1" s="1"/>
  <c r="AU240" i="1" s="1"/>
  <c r="AZ240" i="1" s="1"/>
  <c r="AY240" i="1" s="1"/>
  <c r="AE241" i="1"/>
  <c r="AT241" i="1" s="1"/>
  <c r="AU241" i="1" s="1"/>
  <c r="AZ241" i="1" s="1"/>
  <c r="AY241" i="1" s="1"/>
  <c r="AE242" i="1"/>
  <c r="AT242" i="1" s="1"/>
  <c r="AU242" i="1" s="1"/>
  <c r="AZ242" i="1" s="1"/>
  <c r="AY242" i="1" s="1"/>
  <c r="AE243" i="1"/>
  <c r="AT243" i="1" s="1"/>
  <c r="AU243" i="1" s="1"/>
  <c r="AZ243" i="1" s="1"/>
  <c r="AY243" i="1" s="1"/>
  <c r="AE244" i="1"/>
  <c r="AT244" i="1" s="1"/>
  <c r="AU244" i="1" s="1"/>
  <c r="AE245" i="1"/>
  <c r="AT245" i="1" s="1"/>
  <c r="AU245" i="1" s="1"/>
  <c r="AZ245" i="1" s="1"/>
  <c r="AY245" i="1" s="1"/>
  <c r="AE246" i="1"/>
  <c r="AT246" i="1" s="1"/>
  <c r="AU246" i="1" s="1"/>
  <c r="AZ246" i="1" s="1"/>
  <c r="AY246" i="1" s="1"/>
  <c r="AE247" i="1"/>
  <c r="AT247" i="1" s="1"/>
  <c r="AU247" i="1" s="1"/>
  <c r="AZ247" i="1" s="1"/>
  <c r="AY247" i="1" s="1"/>
  <c r="AE248" i="1"/>
  <c r="AT248" i="1" s="1"/>
  <c r="AU248" i="1" s="1"/>
  <c r="AZ248" i="1" s="1"/>
  <c r="AY248" i="1" s="1"/>
  <c r="AE249" i="1"/>
  <c r="AT249" i="1" s="1"/>
  <c r="AU249" i="1" s="1"/>
  <c r="AZ249" i="1" s="1"/>
  <c r="AY249" i="1" s="1"/>
  <c r="AE250" i="1"/>
  <c r="AT250" i="1" s="1"/>
  <c r="AU250" i="1" s="1"/>
  <c r="AZ250" i="1" s="1"/>
  <c r="AY250" i="1" s="1"/>
  <c r="AE251" i="1"/>
  <c r="AT251" i="1" s="1"/>
  <c r="AU251" i="1" s="1"/>
  <c r="AZ251" i="1" s="1"/>
  <c r="AY251" i="1" s="1"/>
  <c r="AE252" i="1"/>
  <c r="AT252" i="1" s="1"/>
  <c r="AU252" i="1" s="1"/>
  <c r="AZ252" i="1" s="1"/>
  <c r="AY252" i="1" s="1"/>
  <c r="AE253" i="1"/>
  <c r="AT253" i="1" s="1"/>
  <c r="AU253" i="1" s="1"/>
  <c r="AZ253" i="1" s="1"/>
  <c r="AY253" i="1" s="1"/>
  <c r="AE254" i="1"/>
  <c r="AT254" i="1" s="1"/>
  <c r="AU254" i="1" s="1"/>
  <c r="AZ254" i="1" s="1"/>
  <c r="AY254" i="1" s="1"/>
  <c r="AE255" i="1"/>
  <c r="AT255" i="1" s="1"/>
  <c r="AU255" i="1" s="1"/>
  <c r="AZ255" i="1" s="1"/>
  <c r="AY255" i="1" s="1"/>
  <c r="AE256" i="1"/>
  <c r="AT256" i="1" s="1"/>
  <c r="AU256" i="1" s="1"/>
  <c r="AZ256" i="1" s="1"/>
  <c r="AY256" i="1" s="1"/>
  <c r="AE257" i="1"/>
  <c r="AT257" i="1" s="1"/>
  <c r="AU257" i="1" s="1"/>
  <c r="AZ257" i="1" s="1"/>
  <c r="AY257" i="1" s="1"/>
  <c r="AE258" i="1"/>
  <c r="AT258" i="1" s="1"/>
  <c r="AU258" i="1" s="1"/>
  <c r="AZ258" i="1" s="1"/>
  <c r="AY258" i="1" s="1"/>
  <c r="AE259" i="1"/>
  <c r="AT259" i="1" s="1"/>
  <c r="AU259" i="1" s="1"/>
  <c r="AZ259" i="1" s="1"/>
  <c r="AY259" i="1" s="1"/>
  <c r="AE260" i="1"/>
  <c r="AT260" i="1" s="1"/>
  <c r="AU260" i="1" s="1"/>
  <c r="AZ260" i="1" s="1"/>
  <c r="AY260" i="1" s="1"/>
  <c r="AE261" i="1"/>
  <c r="AT261" i="1" s="1"/>
  <c r="AU261" i="1" s="1"/>
  <c r="AZ261" i="1" s="1"/>
  <c r="AY261" i="1" s="1"/>
  <c r="AE262" i="1"/>
  <c r="AT262" i="1" s="1"/>
  <c r="AU262" i="1" s="1"/>
  <c r="AZ262" i="1" s="1"/>
  <c r="AY262" i="1" s="1"/>
  <c r="AE263" i="1"/>
  <c r="AT263" i="1" s="1"/>
  <c r="AU263" i="1" s="1"/>
  <c r="AZ263" i="1" s="1"/>
  <c r="AY263" i="1" s="1"/>
  <c r="AS4" i="1"/>
  <c r="AU4" i="1"/>
  <c r="AZ4" i="1" s="1"/>
  <c r="AY4" i="1" s="1"/>
  <c r="AU6" i="1"/>
  <c r="AZ6" i="1" s="1"/>
  <c r="AY6" i="1" s="1"/>
  <c r="AS6" i="1"/>
  <c r="AS8" i="1"/>
  <c r="AS9" i="1"/>
  <c r="AS15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3" i="1"/>
  <c r="AS154" i="1"/>
  <c r="AS155" i="1"/>
  <c r="AS156" i="1"/>
  <c r="AS157" i="1"/>
  <c r="AS158" i="1"/>
  <c r="AS159" i="1"/>
  <c r="AS164" i="1"/>
  <c r="AS166" i="1"/>
  <c r="AS171" i="1"/>
  <c r="AS172" i="1"/>
  <c r="AS173" i="1"/>
  <c r="AS175" i="1"/>
  <c r="AS179" i="1"/>
  <c r="AS180" i="1"/>
  <c r="AS181" i="1"/>
  <c r="AS182" i="1"/>
  <c r="AS183" i="1"/>
  <c r="AS184" i="1"/>
  <c r="AS185" i="1"/>
  <c r="AS187" i="1"/>
  <c r="AS188" i="1"/>
  <c r="AS189" i="1"/>
  <c r="AS193" i="1"/>
  <c r="AS196" i="1"/>
  <c r="AS201" i="1"/>
  <c r="AS202" i="1"/>
  <c r="AS203" i="1"/>
  <c r="AS204" i="1"/>
  <c r="AS205" i="1"/>
  <c r="AS206" i="1"/>
  <c r="AS207" i="1"/>
  <c r="AS208" i="1"/>
  <c r="AS212" i="1"/>
  <c r="AS214" i="1"/>
  <c r="AS226" i="1"/>
  <c r="AS227" i="1"/>
  <c r="AS228" i="1"/>
  <c r="AS229" i="1"/>
  <c r="AS230" i="1"/>
  <c r="AS232" i="1"/>
  <c r="AS238" i="1"/>
  <c r="AS245" i="1"/>
  <c r="AS255" i="1"/>
  <c r="AS256" i="1"/>
  <c r="AS257" i="1"/>
  <c r="AS258" i="1"/>
  <c r="AS267" i="1"/>
  <c r="AS268" i="1"/>
  <c r="AS271" i="1"/>
  <c r="AS274" i="1"/>
  <c r="AS283" i="1"/>
  <c r="AS287" i="1"/>
  <c r="AS291" i="1"/>
  <c r="AS293" i="1"/>
  <c r="AS304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7" i="1"/>
  <c r="AS513" i="1"/>
  <c r="AS514" i="1"/>
  <c r="AS515" i="1"/>
  <c r="AS517" i="1"/>
  <c r="AS518" i="1"/>
  <c r="AS519" i="1"/>
  <c r="AS521" i="1"/>
  <c r="AE3" i="1"/>
  <c r="AT3" i="1" s="1"/>
  <c r="AU3" i="1" s="1"/>
  <c r="AZ3" i="1" s="1"/>
  <c r="AY3" i="1" s="1"/>
  <c r="AR3" i="1"/>
  <c r="AE4" i="1"/>
  <c r="AT4" i="1" s="1"/>
  <c r="AR4" i="1"/>
  <c r="AE5" i="1"/>
  <c r="AT5" i="1" s="1"/>
  <c r="AU5" i="1" s="1"/>
  <c r="AZ5" i="1" s="1"/>
  <c r="AY5" i="1" s="1"/>
  <c r="AR5" i="1"/>
  <c r="AE6" i="1"/>
  <c r="AT6" i="1" s="1"/>
  <c r="AR6" i="1"/>
  <c r="AE7" i="1"/>
  <c r="AT7" i="1" s="1"/>
  <c r="AU7" i="1" s="1"/>
  <c r="AZ7" i="1" s="1"/>
  <c r="AY7" i="1" s="1"/>
  <c r="AR7" i="1"/>
  <c r="AE8" i="1"/>
  <c r="AT8" i="1" s="1"/>
  <c r="AU8" i="1" s="1"/>
  <c r="AR8" i="1"/>
  <c r="AE9" i="1"/>
  <c r="AT9" i="1" s="1"/>
  <c r="AU9" i="1" s="1"/>
  <c r="AR9" i="1"/>
  <c r="AE10" i="1"/>
  <c r="AT10" i="1" s="1"/>
  <c r="AU10" i="1" s="1"/>
  <c r="AR10" i="1"/>
  <c r="AE11" i="1"/>
  <c r="AT11" i="1" s="1"/>
  <c r="AU11" i="1" s="1"/>
  <c r="AR11" i="1"/>
  <c r="AE12" i="1"/>
  <c r="AT12" i="1" s="1"/>
  <c r="AU12" i="1" s="1"/>
  <c r="AZ12" i="1" s="1"/>
  <c r="AY12" i="1" s="1"/>
  <c r="AR12" i="1"/>
  <c r="AE13" i="1"/>
  <c r="AT13" i="1" s="1"/>
  <c r="AU13" i="1" s="1"/>
  <c r="AZ13" i="1" s="1"/>
  <c r="AY13" i="1" s="1"/>
  <c r="AR13" i="1"/>
  <c r="AE14" i="1"/>
  <c r="AT14" i="1" s="1"/>
  <c r="AU14" i="1" s="1"/>
  <c r="AZ14" i="1" s="1"/>
  <c r="AY14" i="1" s="1"/>
  <c r="AR14" i="1"/>
  <c r="AE15" i="1"/>
  <c r="AT15" i="1" s="1"/>
  <c r="AU15" i="1" s="1"/>
  <c r="AR15" i="1"/>
  <c r="AE16" i="1"/>
  <c r="AT16" i="1" s="1"/>
  <c r="AU16" i="1" s="1"/>
  <c r="AZ16" i="1" s="1"/>
  <c r="AY16" i="1" s="1"/>
  <c r="AR16" i="1"/>
  <c r="AE17" i="1"/>
  <c r="AT17" i="1" s="1"/>
  <c r="AU17" i="1" s="1"/>
  <c r="AR17" i="1"/>
  <c r="AE18" i="1"/>
  <c r="AT18" i="1" s="1"/>
  <c r="AU18" i="1" s="1"/>
  <c r="AR18" i="1"/>
  <c r="AE19" i="1"/>
  <c r="AT19" i="1" s="1"/>
  <c r="AU19" i="1" s="1"/>
  <c r="AR19" i="1"/>
  <c r="AE20" i="1"/>
  <c r="AT20" i="1" s="1"/>
  <c r="AU20" i="1" s="1"/>
  <c r="AR20" i="1"/>
  <c r="AE21" i="1"/>
  <c r="AT21" i="1" s="1"/>
  <c r="AU21" i="1" s="1"/>
  <c r="AZ21" i="1" s="1"/>
  <c r="AY21" i="1" s="1"/>
  <c r="AR21" i="1"/>
  <c r="AE22" i="1"/>
  <c r="AT22" i="1" s="1"/>
  <c r="AU22" i="1" s="1"/>
  <c r="AZ22" i="1" s="1"/>
  <c r="AY22" i="1" s="1"/>
  <c r="AR22" i="1"/>
  <c r="AE23" i="1"/>
  <c r="AT23" i="1" s="1"/>
  <c r="AU23" i="1" s="1"/>
  <c r="AZ23" i="1" s="1"/>
  <c r="AY23" i="1" s="1"/>
  <c r="AR23" i="1"/>
  <c r="AE24" i="1"/>
  <c r="AT24" i="1" s="1"/>
  <c r="AU24" i="1" s="1"/>
  <c r="AZ24" i="1" s="1"/>
  <c r="AY24" i="1" s="1"/>
  <c r="AR24" i="1"/>
  <c r="AE25" i="1"/>
  <c r="AT25" i="1" s="1"/>
  <c r="AU25" i="1" s="1"/>
  <c r="AZ25" i="1" s="1"/>
  <c r="AY25" i="1" s="1"/>
  <c r="AR25" i="1"/>
  <c r="AE26" i="1"/>
  <c r="AT26" i="1" s="1"/>
  <c r="AU26" i="1" s="1"/>
  <c r="AZ26" i="1" s="1"/>
  <c r="AY26" i="1" s="1"/>
  <c r="AR26" i="1"/>
  <c r="AE27" i="1"/>
  <c r="AT27" i="1" s="1"/>
  <c r="AU27" i="1" s="1"/>
  <c r="AZ27" i="1" s="1"/>
  <c r="AY27" i="1" s="1"/>
  <c r="AR27" i="1"/>
  <c r="AE28" i="1"/>
  <c r="AT28" i="1" s="1"/>
  <c r="AU28" i="1" s="1"/>
  <c r="AZ28" i="1" s="1"/>
  <c r="AY28" i="1" s="1"/>
  <c r="AR28" i="1"/>
  <c r="AE29" i="1"/>
  <c r="AT29" i="1" s="1"/>
  <c r="AU29" i="1" s="1"/>
  <c r="AZ29" i="1" s="1"/>
  <c r="AY29" i="1" s="1"/>
  <c r="AR29" i="1"/>
  <c r="AE30" i="1"/>
  <c r="AT30" i="1" s="1"/>
  <c r="AU30" i="1" s="1"/>
  <c r="AZ30" i="1" s="1"/>
  <c r="AY30" i="1" s="1"/>
  <c r="AR30" i="1"/>
  <c r="AE31" i="1"/>
  <c r="AT31" i="1" s="1"/>
  <c r="AU31" i="1" s="1"/>
  <c r="AZ31" i="1" s="1"/>
  <c r="AY31" i="1" s="1"/>
  <c r="AR31" i="1"/>
  <c r="AE32" i="1"/>
  <c r="AT32" i="1" s="1"/>
  <c r="AU32" i="1" s="1"/>
  <c r="AZ32" i="1" s="1"/>
  <c r="AY32" i="1" s="1"/>
  <c r="AR32" i="1"/>
  <c r="AE33" i="1"/>
  <c r="AT33" i="1" s="1"/>
  <c r="AU33" i="1" s="1"/>
  <c r="AZ33" i="1" s="1"/>
  <c r="AY33" i="1" s="1"/>
  <c r="AR33" i="1"/>
  <c r="AE34" i="1"/>
  <c r="AT34" i="1" s="1"/>
  <c r="AU34" i="1" s="1"/>
  <c r="AZ34" i="1" s="1"/>
  <c r="AY34" i="1" s="1"/>
  <c r="AR34" i="1"/>
  <c r="AE35" i="1"/>
  <c r="AT35" i="1" s="1"/>
  <c r="AU35" i="1" s="1"/>
  <c r="AZ35" i="1" s="1"/>
  <c r="AY35" i="1" s="1"/>
  <c r="AR35" i="1"/>
  <c r="AE36" i="1"/>
  <c r="AT36" i="1" s="1"/>
  <c r="AU36" i="1" s="1"/>
  <c r="AZ36" i="1" s="1"/>
  <c r="AY36" i="1" s="1"/>
  <c r="AR36" i="1"/>
  <c r="AE37" i="1"/>
  <c r="AT37" i="1" s="1"/>
  <c r="AU37" i="1" s="1"/>
  <c r="AZ37" i="1" s="1"/>
  <c r="AY37" i="1" s="1"/>
  <c r="AR37" i="1"/>
  <c r="AE38" i="1"/>
  <c r="AT38" i="1" s="1"/>
  <c r="AU38" i="1" s="1"/>
  <c r="AZ38" i="1" s="1"/>
  <c r="AY38" i="1" s="1"/>
  <c r="AR38" i="1"/>
  <c r="AE39" i="1"/>
  <c r="AT39" i="1" s="1"/>
  <c r="AU39" i="1" s="1"/>
  <c r="AZ39" i="1" s="1"/>
  <c r="AY39" i="1" s="1"/>
  <c r="AR39" i="1"/>
  <c r="AE40" i="1"/>
  <c r="AT40" i="1" s="1"/>
  <c r="AU40" i="1" s="1"/>
  <c r="AZ40" i="1" s="1"/>
  <c r="AY40" i="1" s="1"/>
  <c r="AR40" i="1"/>
  <c r="AE41" i="1"/>
  <c r="AT41" i="1" s="1"/>
  <c r="AU41" i="1" s="1"/>
  <c r="AZ41" i="1" s="1"/>
  <c r="AY41" i="1" s="1"/>
  <c r="AR41" i="1"/>
  <c r="AE42" i="1"/>
  <c r="AT42" i="1" s="1"/>
  <c r="AU42" i="1" s="1"/>
  <c r="AZ42" i="1" s="1"/>
  <c r="AY42" i="1" s="1"/>
  <c r="AR42" i="1"/>
  <c r="AE43" i="1"/>
  <c r="AT43" i="1" s="1"/>
  <c r="AU43" i="1" s="1"/>
  <c r="AR43" i="1"/>
  <c r="AE44" i="1"/>
  <c r="AT44" i="1" s="1"/>
  <c r="AU44" i="1" s="1"/>
  <c r="AZ44" i="1" s="1"/>
  <c r="AY44" i="1" s="1"/>
  <c r="AR44" i="1"/>
  <c r="AE45" i="1"/>
  <c r="AT45" i="1" s="1"/>
  <c r="AU45" i="1" s="1"/>
  <c r="AZ45" i="1" s="1"/>
  <c r="AY45" i="1" s="1"/>
  <c r="AR45" i="1"/>
  <c r="AE46" i="1"/>
  <c r="AT46" i="1" s="1"/>
  <c r="AU46" i="1" s="1"/>
  <c r="AZ46" i="1" s="1"/>
  <c r="AY46" i="1" s="1"/>
  <c r="AR46" i="1"/>
  <c r="AE47" i="1"/>
  <c r="AT47" i="1" s="1"/>
  <c r="AU47" i="1" s="1"/>
  <c r="AZ47" i="1" s="1"/>
  <c r="AY47" i="1" s="1"/>
  <c r="AR47" i="1"/>
  <c r="AE48" i="1"/>
  <c r="AT48" i="1" s="1"/>
  <c r="AU48" i="1" s="1"/>
  <c r="AZ48" i="1" s="1"/>
  <c r="AY48" i="1" s="1"/>
  <c r="AR48" i="1"/>
  <c r="AE49" i="1"/>
  <c r="AT49" i="1" s="1"/>
  <c r="AU49" i="1" s="1"/>
  <c r="AZ49" i="1" s="1"/>
  <c r="AY49" i="1" s="1"/>
  <c r="AR49" i="1"/>
  <c r="AE50" i="1"/>
  <c r="AT50" i="1" s="1"/>
  <c r="AU50" i="1" s="1"/>
  <c r="AZ50" i="1" s="1"/>
  <c r="AY50" i="1" s="1"/>
  <c r="AR50" i="1"/>
  <c r="AE51" i="1"/>
  <c r="AT51" i="1" s="1"/>
  <c r="AU51" i="1" s="1"/>
  <c r="AZ51" i="1" s="1"/>
  <c r="AY51" i="1" s="1"/>
  <c r="AR51" i="1"/>
  <c r="AE52" i="1"/>
  <c r="AT52" i="1" s="1"/>
  <c r="AU52" i="1" s="1"/>
  <c r="AZ52" i="1" s="1"/>
  <c r="AY52" i="1" s="1"/>
  <c r="AR52" i="1"/>
  <c r="AE53" i="1"/>
  <c r="AT53" i="1" s="1"/>
  <c r="AU53" i="1" s="1"/>
  <c r="AZ53" i="1" s="1"/>
  <c r="AY53" i="1" s="1"/>
  <c r="AR53" i="1"/>
  <c r="AE54" i="1"/>
  <c r="AT54" i="1" s="1"/>
  <c r="AU54" i="1" s="1"/>
  <c r="AZ54" i="1" s="1"/>
  <c r="AY54" i="1" s="1"/>
  <c r="AR54" i="1"/>
  <c r="AE55" i="1"/>
  <c r="AT55" i="1" s="1"/>
  <c r="AU55" i="1" s="1"/>
  <c r="AZ55" i="1" s="1"/>
  <c r="AY55" i="1" s="1"/>
  <c r="AR55" i="1"/>
  <c r="AE56" i="1"/>
  <c r="AT56" i="1" s="1"/>
  <c r="AU56" i="1" s="1"/>
  <c r="AZ56" i="1" s="1"/>
  <c r="AY56" i="1" s="1"/>
  <c r="AR56" i="1"/>
  <c r="AE57" i="1"/>
  <c r="AT57" i="1" s="1"/>
  <c r="AU57" i="1" s="1"/>
  <c r="AZ57" i="1" s="1"/>
  <c r="AY57" i="1" s="1"/>
  <c r="AR57" i="1"/>
  <c r="AE58" i="1"/>
  <c r="AT58" i="1" s="1"/>
  <c r="AU58" i="1" s="1"/>
  <c r="AZ58" i="1" s="1"/>
  <c r="AY58" i="1" s="1"/>
  <c r="AR58" i="1"/>
  <c r="AE59" i="1"/>
  <c r="AT59" i="1" s="1"/>
  <c r="AU59" i="1" s="1"/>
  <c r="AZ59" i="1" s="1"/>
  <c r="AY59" i="1" s="1"/>
  <c r="AR59" i="1"/>
  <c r="AE60" i="1"/>
  <c r="AT60" i="1" s="1"/>
  <c r="AU60" i="1" s="1"/>
  <c r="AZ60" i="1" s="1"/>
  <c r="AY60" i="1" s="1"/>
  <c r="AR60" i="1"/>
  <c r="AE61" i="1"/>
  <c r="AT61" i="1" s="1"/>
  <c r="AU61" i="1" s="1"/>
  <c r="AZ61" i="1" s="1"/>
  <c r="AY61" i="1" s="1"/>
  <c r="AR61" i="1"/>
  <c r="AE62" i="1"/>
  <c r="AT62" i="1" s="1"/>
  <c r="AU62" i="1" s="1"/>
  <c r="AZ62" i="1" s="1"/>
  <c r="AY62" i="1" s="1"/>
  <c r="AR62" i="1"/>
  <c r="AE63" i="1"/>
  <c r="AT63" i="1" s="1"/>
  <c r="AU63" i="1" s="1"/>
  <c r="AZ63" i="1" s="1"/>
  <c r="AY63" i="1" s="1"/>
  <c r="AR63" i="1"/>
  <c r="AE64" i="1"/>
  <c r="AT64" i="1" s="1"/>
  <c r="AU64" i="1" s="1"/>
  <c r="AZ64" i="1" s="1"/>
  <c r="AY64" i="1" s="1"/>
  <c r="AR64" i="1"/>
  <c r="AE65" i="1"/>
  <c r="AT65" i="1" s="1"/>
  <c r="AU65" i="1" s="1"/>
  <c r="AZ65" i="1" s="1"/>
  <c r="AY65" i="1" s="1"/>
  <c r="AR65" i="1"/>
  <c r="AE66" i="1"/>
  <c r="AT66" i="1" s="1"/>
  <c r="AU66" i="1" s="1"/>
  <c r="AZ66" i="1" s="1"/>
  <c r="AY66" i="1" s="1"/>
  <c r="AR66" i="1"/>
  <c r="AE67" i="1"/>
  <c r="AT67" i="1" s="1"/>
  <c r="AU67" i="1" s="1"/>
  <c r="AZ67" i="1" s="1"/>
  <c r="AY67" i="1" s="1"/>
  <c r="AR67" i="1"/>
  <c r="AE68" i="1"/>
  <c r="AT68" i="1" s="1"/>
  <c r="AU68" i="1" s="1"/>
  <c r="AZ68" i="1" s="1"/>
  <c r="AY68" i="1" s="1"/>
  <c r="AR68" i="1"/>
  <c r="AE69" i="1"/>
  <c r="AT69" i="1" s="1"/>
  <c r="AU69" i="1" s="1"/>
  <c r="AZ69" i="1" s="1"/>
  <c r="AY69" i="1" s="1"/>
  <c r="AR69" i="1"/>
  <c r="AE70" i="1"/>
  <c r="AT70" i="1" s="1"/>
  <c r="AU70" i="1" s="1"/>
  <c r="AZ70" i="1" s="1"/>
  <c r="AY70" i="1" s="1"/>
  <c r="AR70" i="1"/>
  <c r="AE71" i="1"/>
  <c r="AT71" i="1" s="1"/>
  <c r="AU71" i="1" s="1"/>
  <c r="AZ71" i="1" s="1"/>
  <c r="AY71" i="1" s="1"/>
  <c r="AR71" i="1"/>
  <c r="AE72" i="1"/>
  <c r="AT72" i="1" s="1"/>
  <c r="AU72" i="1" s="1"/>
  <c r="AZ72" i="1" s="1"/>
  <c r="AY72" i="1" s="1"/>
  <c r="AR72" i="1"/>
  <c r="AE73" i="1"/>
  <c r="AT73" i="1" s="1"/>
  <c r="AU73" i="1" s="1"/>
  <c r="AZ73" i="1" s="1"/>
  <c r="AY73" i="1" s="1"/>
  <c r="AR73" i="1"/>
  <c r="AE74" i="1"/>
  <c r="AT74" i="1" s="1"/>
  <c r="AU74" i="1" s="1"/>
  <c r="AZ74" i="1" s="1"/>
  <c r="AY74" i="1" s="1"/>
  <c r="AR74" i="1"/>
  <c r="AE75" i="1"/>
  <c r="AT75" i="1" s="1"/>
  <c r="AU75" i="1" s="1"/>
  <c r="AZ75" i="1" s="1"/>
  <c r="AY75" i="1" s="1"/>
  <c r="AR75" i="1"/>
  <c r="AE76" i="1"/>
  <c r="AT76" i="1" s="1"/>
  <c r="AU76" i="1" s="1"/>
  <c r="AZ76" i="1" s="1"/>
  <c r="AY76" i="1" s="1"/>
  <c r="AR76" i="1"/>
  <c r="AE77" i="1"/>
  <c r="AT77" i="1" s="1"/>
  <c r="AU77" i="1" s="1"/>
  <c r="AZ77" i="1" s="1"/>
  <c r="AY77" i="1" s="1"/>
  <c r="AR77" i="1"/>
  <c r="AE78" i="1"/>
  <c r="AT78" i="1" s="1"/>
  <c r="AU78" i="1" s="1"/>
  <c r="AZ78" i="1" s="1"/>
  <c r="AY78" i="1" s="1"/>
  <c r="AR78" i="1"/>
  <c r="AE79" i="1"/>
  <c r="AT79" i="1" s="1"/>
  <c r="AU79" i="1" s="1"/>
  <c r="AZ79" i="1" s="1"/>
  <c r="AY79" i="1" s="1"/>
  <c r="AR79" i="1"/>
  <c r="AE80" i="1"/>
  <c r="AT80" i="1" s="1"/>
  <c r="AU80" i="1" s="1"/>
  <c r="AZ80" i="1" s="1"/>
  <c r="AY80" i="1" s="1"/>
  <c r="AR80" i="1"/>
  <c r="AE81" i="1"/>
  <c r="AT81" i="1" s="1"/>
  <c r="AU81" i="1" s="1"/>
  <c r="AZ81" i="1" s="1"/>
  <c r="AY81" i="1" s="1"/>
  <c r="AR81" i="1"/>
  <c r="AE82" i="1"/>
  <c r="AT82" i="1" s="1"/>
  <c r="AU82" i="1" s="1"/>
  <c r="AZ82" i="1" s="1"/>
  <c r="AY82" i="1" s="1"/>
  <c r="AR82" i="1"/>
  <c r="AE83" i="1"/>
  <c r="AT83" i="1" s="1"/>
  <c r="AU83" i="1" s="1"/>
  <c r="AZ83" i="1" s="1"/>
  <c r="AY83" i="1" s="1"/>
  <c r="AR83" i="1"/>
  <c r="AE84" i="1"/>
  <c r="AT84" i="1" s="1"/>
  <c r="AU84" i="1" s="1"/>
  <c r="AZ84" i="1" s="1"/>
  <c r="AY84" i="1" s="1"/>
  <c r="AR84" i="1"/>
  <c r="AE85" i="1"/>
  <c r="AT85" i="1" s="1"/>
  <c r="AU85" i="1" s="1"/>
  <c r="AZ85" i="1" s="1"/>
  <c r="AY85" i="1" s="1"/>
  <c r="AR85" i="1"/>
  <c r="AE86" i="1"/>
  <c r="AT86" i="1" s="1"/>
  <c r="AU86" i="1" s="1"/>
  <c r="AZ86" i="1" s="1"/>
  <c r="AY86" i="1" s="1"/>
  <c r="AR86" i="1"/>
  <c r="AE87" i="1"/>
  <c r="AT87" i="1" s="1"/>
  <c r="AU87" i="1" s="1"/>
  <c r="AZ87" i="1" s="1"/>
  <c r="AY87" i="1" s="1"/>
  <c r="AR87" i="1"/>
  <c r="AR264" i="1"/>
  <c r="AE264" i="1"/>
  <c r="AT264" i="1" s="1"/>
  <c r="AU264" i="1" s="1"/>
  <c r="AZ264" i="1" s="1"/>
  <c r="AY264" i="1" s="1"/>
  <c r="AR265" i="1"/>
  <c r="AE265" i="1"/>
  <c r="AT265" i="1" s="1"/>
  <c r="AU265" i="1" s="1"/>
  <c r="AZ265" i="1" s="1"/>
  <c r="AY265" i="1" s="1"/>
  <c r="AR266" i="1"/>
  <c r="AE266" i="1"/>
  <c r="AT266" i="1" s="1"/>
  <c r="AU266" i="1" s="1"/>
  <c r="AZ266" i="1" s="1"/>
  <c r="AY266" i="1" s="1"/>
  <c r="AR267" i="1"/>
  <c r="AE267" i="1"/>
  <c r="AT267" i="1" s="1"/>
  <c r="AU267" i="1" s="1"/>
  <c r="AZ267" i="1" s="1"/>
  <c r="AY267" i="1" s="1"/>
  <c r="AR268" i="1"/>
  <c r="AE268" i="1"/>
  <c r="AT268" i="1" s="1"/>
  <c r="AU268" i="1" s="1"/>
  <c r="AZ268" i="1" s="1"/>
  <c r="AY268" i="1" s="1"/>
  <c r="AR269" i="1"/>
  <c r="AE269" i="1"/>
  <c r="AT269" i="1" s="1"/>
  <c r="AU269" i="1" s="1"/>
  <c r="AZ269" i="1" s="1"/>
  <c r="AY269" i="1" s="1"/>
  <c r="AR270" i="1"/>
  <c r="AE270" i="1"/>
  <c r="AT270" i="1" s="1"/>
  <c r="AU270" i="1" s="1"/>
  <c r="AZ270" i="1" s="1"/>
  <c r="AY270" i="1" s="1"/>
  <c r="AR271" i="1"/>
  <c r="AE271" i="1"/>
  <c r="AT271" i="1" s="1"/>
  <c r="AU271" i="1" s="1"/>
  <c r="AZ271" i="1" s="1"/>
  <c r="AY271" i="1" s="1"/>
  <c r="AR272" i="1"/>
  <c r="AE272" i="1"/>
  <c r="AT272" i="1" s="1"/>
  <c r="AU272" i="1" s="1"/>
  <c r="AZ272" i="1" s="1"/>
  <c r="AY272" i="1" s="1"/>
  <c r="AE273" i="1"/>
  <c r="AT273" i="1" s="1"/>
  <c r="AU273" i="1" s="1"/>
  <c r="AZ273" i="1" s="1"/>
  <c r="AY273" i="1" s="1"/>
  <c r="AR273" i="1"/>
  <c r="AR274" i="1"/>
  <c r="AE274" i="1"/>
  <c r="AT274" i="1" s="1"/>
  <c r="AU274" i="1" s="1"/>
  <c r="AZ274" i="1" s="1"/>
  <c r="AY274" i="1" s="1"/>
  <c r="AR275" i="1"/>
  <c r="AE275" i="1"/>
  <c r="AT275" i="1" s="1"/>
  <c r="AU275" i="1" s="1"/>
  <c r="AZ275" i="1" s="1"/>
  <c r="AY275" i="1" s="1"/>
  <c r="AR276" i="1"/>
  <c r="AE276" i="1"/>
  <c r="AT276" i="1" s="1"/>
  <c r="AU276" i="1" s="1"/>
  <c r="AZ276" i="1" s="1"/>
  <c r="AY276" i="1" s="1"/>
  <c r="AR277" i="1"/>
  <c r="AE277" i="1"/>
  <c r="AT277" i="1" s="1"/>
  <c r="AU277" i="1" s="1"/>
  <c r="AZ277" i="1" s="1"/>
  <c r="AY277" i="1" s="1"/>
  <c r="AR278" i="1"/>
  <c r="AE278" i="1"/>
  <c r="AT278" i="1" s="1"/>
  <c r="AU278" i="1" s="1"/>
  <c r="AZ278" i="1" s="1"/>
  <c r="AY278" i="1" s="1"/>
  <c r="AR279" i="1"/>
  <c r="AE279" i="1"/>
  <c r="AT279" i="1" s="1"/>
  <c r="AU279" i="1" s="1"/>
  <c r="AZ279" i="1" s="1"/>
  <c r="AY279" i="1" s="1"/>
  <c r="AR280" i="1"/>
  <c r="AE280" i="1"/>
  <c r="AT280" i="1" s="1"/>
  <c r="AU280" i="1" s="1"/>
  <c r="AZ280" i="1" s="1"/>
  <c r="AY280" i="1" s="1"/>
  <c r="AR281" i="1"/>
  <c r="AE281" i="1"/>
  <c r="AT281" i="1" s="1"/>
  <c r="AU281" i="1" s="1"/>
  <c r="AZ281" i="1" s="1"/>
  <c r="AY281" i="1" s="1"/>
  <c r="AR282" i="1"/>
  <c r="AE282" i="1"/>
  <c r="AT282" i="1" s="1"/>
  <c r="AU282" i="1" s="1"/>
  <c r="AR283" i="1"/>
  <c r="AE283" i="1"/>
  <c r="AT283" i="1" s="1"/>
  <c r="AU283" i="1" s="1"/>
  <c r="AR284" i="1"/>
  <c r="AE284" i="1"/>
  <c r="AT284" i="1" s="1"/>
  <c r="AU284" i="1" s="1"/>
  <c r="AZ284" i="1" s="1"/>
  <c r="AY284" i="1" s="1"/>
  <c r="AR285" i="1"/>
  <c r="AE285" i="1"/>
  <c r="AT285" i="1" s="1"/>
  <c r="AU285" i="1" s="1"/>
  <c r="AZ285" i="1" s="1"/>
  <c r="AY285" i="1" s="1"/>
  <c r="AR286" i="1"/>
  <c r="AE286" i="1"/>
  <c r="AT286" i="1" s="1"/>
  <c r="AU286" i="1" s="1"/>
  <c r="AZ286" i="1" s="1"/>
  <c r="AY286" i="1" s="1"/>
  <c r="AR287" i="1"/>
  <c r="AE287" i="1"/>
  <c r="AT287" i="1" s="1"/>
  <c r="AU287" i="1" s="1"/>
  <c r="AR288" i="1"/>
  <c r="AE288" i="1"/>
  <c r="AT288" i="1" s="1"/>
  <c r="AU288" i="1" s="1"/>
  <c r="AZ288" i="1" s="1"/>
  <c r="AY288" i="1" s="1"/>
  <c r="AR289" i="1"/>
  <c r="AE289" i="1"/>
  <c r="AT289" i="1" s="1"/>
  <c r="AU289" i="1" s="1"/>
  <c r="AZ289" i="1" s="1"/>
  <c r="AY289" i="1" s="1"/>
  <c r="AR290" i="1"/>
  <c r="AE290" i="1"/>
  <c r="AT290" i="1" s="1"/>
  <c r="AU290" i="1" s="1"/>
  <c r="AZ290" i="1" s="1"/>
  <c r="AY290" i="1" s="1"/>
  <c r="AR291" i="1"/>
  <c r="AE291" i="1"/>
  <c r="AT291" i="1" s="1"/>
  <c r="AU291" i="1" s="1"/>
  <c r="AZ291" i="1" s="1"/>
  <c r="AY291" i="1" s="1"/>
  <c r="AR292" i="1"/>
  <c r="AE292" i="1"/>
  <c r="AT292" i="1" s="1"/>
  <c r="AU292" i="1" s="1"/>
  <c r="AZ292" i="1" s="1"/>
  <c r="AY292" i="1" s="1"/>
  <c r="AR293" i="1"/>
  <c r="AE293" i="1"/>
  <c r="AT293" i="1" s="1"/>
  <c r="AU293" i="1" s="1"/>
  <c r="AZ293" i="1" s="1"/>
  <c r="AY293" i="1" s="1"/>
  <c r="AR294" i="1"/>
  <c r="AE294" i="1"/>
  <c r="AT294" i="1" s="1"/>
  <c r="AU294" i="1" s="1"/>
  <c r="AZ294" i="1" s="1"/>
  <c r="AY294" i="1" s="1"/>
  <c r="AE295" i="1"/>
  <c r="AT295" i="1" s="1"/>
  <c r="AU295" i="1" s="1"/>
  <c r="AZ295" i="1" s="1"/>
  <c r="AY295" i="1" s="1"/>
  <c r="AR295" i="1"/>
  <c r="AR296" i="1"/>
  <c r="AE296" i="1"/>
  <c r="AT296" i="1" s="1"/>
  <c r="AU296" i="1" s="1"/>
  <c r="AZ296" i="1" s="1"/>
  <c r="AY296" i="1" s="1"/>
  <c r="AR297" i="1"/>
  <c r="AE297" i="1"/>
  <c r="AT297" i="1" s="1"/>
  <c r="AU297" i="1" s="1"/>
  <c r="AZ297" i="1" s="1"/>
  <c r="AY297" i="1" s="1"/>
  <c r="AR298" i="1"/>
  <c r="AE298" i="1"/>
  <c r="AT298" i="1" s="1"/>
  <c r="AU298" i="1" s="1"/>
  <c r="AZ298" i="1" s="1"/>
  <c r="AY298" i="1" s="1"/>
  <c r="AE299" i="1"/>
  <c r="AT299" i="1" s="1"/>
  <c r="AU299" i="1" s="1"/>
  <c r="AZ299" i="1" s="1"/>
  <c r="AY299" i="1" s="1"/>
  <c r="AR299" i="1"/>
  <c r="AR300" i="1"/>
  <c r="AE300" i="1"/>
  <c r="AT300" i="1" s="1"/>
  <c r="AU300" i="1" s="1"/>
  <c r="AZ300" i="1" s="1"/>
  <c r="AY300" i="1" s="1"/>
  <c r="AE301" i="1"/>
  <c r="AT301" i="1" s="1"/>
  <c r="AU301" i="1" s="1"/>
  <c r="AZ301" i="1" s="1"/>
  <c r="AY301" i="1" s="1"/>
  <c r="AR301" i="1"/>
  <c r="AE302" i="1"/>
  <c r="AT302" i="1" s="1"/>
  <c r="AU302" i="1" s="1"/>
  <c r="AZ302" i="1" s="1"/>
  <c r="AY302" i="1" s="1"/>
  <c r="AR302" i="1"/>
  <c r="AR303" i="1"/>
  <c r="AE303" i="1"/>
  <c r="AT303" i="1" s="1"/>
  <c r="AU303" i="1" s="1"/>
  <c r="AZ303" i="1" s="1"/>
  <c r="AY303" i="1" s="1"/>
  <c r="AR304" i="1"/>
  <c r="AE304" i="1"/>
  <c r="AT304" i="1" s="1"/>
  <c r="AU304" i="1" s="1"/>
  <c r="AZ304" i="1" s="1"/>
  <c r="AY304" i="1" s="1"/>
  <c r="AR305" i="1"/>
  <c r="AE305" i="1"/>
  <c r="AT305" i="1" s="1"/>
  <c r="AU305" i="1" s="1"/>
  <c r="AZ305" i="1" s="1"/>
  <c r="AY305" i="1" s="1"/>
  <c r="AE306" i="1"/>
  <c r="AT306" i="1" s="1"/>
  <c r="AU306" i="1" s="1"/>
  <c r="AZ306" i="1" s="1"/>
  <c r="AY306" i="1" s="1"/>
  <c r="AR306" i="1"/>
  <c r="AE307" i="1"/>
  <c r="AT307" i="1" s="1"/>
  <c r="AU307" i="1" s="1"/>
  <c r="AZ307" i="1" s="1"/>
  <c r="AY307" i="1" s="1"/>
  <c r="AR307" i="1"/>
  <c r="AE308" i="1"/>
  <c r="AT308" i="1" s="1"/>
  <c r="AU308" i="1" s="1"/>
  <c r="AZ308" i="1" s="1"/>
  <c r="AY308" i="1" s="1"/>
  <c r="AR308" i="1"/>
  <c r="AR309" i="1"/>
  <c r="AE309" i="1"/>
  <c r="AT309" i="1" s="1"/>
  <c r="AU309" i="1" s="1"/>
  <c r="AZ309" i="1" s="1"/>
  <c r="AY309" i="1" s="1"/>
  <c r="AR310" i="1"/>
  <c r="AE310" i="1"/>
  <c r="AT310" i="1" s="1"/>
  <c r="AU310" i="1" s="1"/>
  <c r="AZ310" i="1" s="1"/>
  <c r="AY310" i="1" s="1"/>
  <c r="AE311" i="1"/>
  <c r="AT311" i="1" s="1"/>
  <c r="AU311" i="1" s="1"/>
  <c r="AZ311" i="1" s="1"/>
  <c r="AY311" i="1" s="1"/>
  <c r="AR311" i="1"/>
  <c r="AR312" i="1"/>
  <c r="AE312" i="1"/>
  <c r="AT312" i="1" s="1"/>
  <c r="AU312" i="1" s="1"/>
  <c r="AZ312" i="1" s="1"/>
  <c r="AY312" i="1" s="1"/>
  <c r="AR313" i="1"/>
  <c r="AE313" i="1"/>
  <c r="AT313" i="1" s="1"/>
  <c r="AU313" i="1" s="1"/>
  <c r="AZ313" i="1" s="1"/>
  <c r="AY313" i="1" s="1"/>
  <c r="AE314" i="1"/>
  <c r="AT314" i="1" s="1"/>
  <c r="AU314" i="1" s="1"/>
  <c r="AZ314" i="1" s="1"/>
  <c r="AY314" i="1" s="1"/>
  <c r="AR314" i="1"/>
  <c r="AE315" i="1"/>
  <c r="AT315" i="1" s="1"/>
  <c r="AU315" i="1" s="1"/>
  <c r="AZ315" i="1" s="1"/>
  <c r="AY315" i="1" s="1"/>
  <c r="AR315" i="1"/>
  <c r="AR316" i="1"/>
  <c r="AE316" i="1"/>
  <c r="AT316" i="1" s="1"/>
  <c r="AU316" i="1" s="1"/>
  <c r="AZ316" i="1" s="1"/>
  <c r="AY316" i="1" s="1"/>
  <c r="AR317" i="1"/>
  <c r="AE317" i="1"/>
  <c r="AT317" i="1" s="1"/>
  <c r="AU317" i="1" s="1"/>
  <c r="AZ317" i="1" s="1"/>
  <c r="AY317" i="1" s="1"/>
  <c r="AR318" i="1"/>
  <c r="AE318" i="1"/>
  <c r="AT318" i="1" s="1"/>
  <c r="AU318" i="1" s="1"/>
  <c r="AZ318" i="1" s="1"/>
  <c r="AY318" i="1" s="1"/>
  <c r="AE319" i="1"/>
  <c r="AT319" i="1" s="1"/>
  <c r="AU319" i="1" s="1"/>
  <c r="AZ319" i="1" s="1"/>
  <c r="AY319" i="1" s="1"/>
  <c r="AR319" i="1"/>
  <c r="AR320" i="1"/>
  <c r="AE320" i="1"/>
  <c r="AT320" i="1" s="1"/>
  <c r="AU320" i="1" s="1"/>
  <c r="AZ320" i="1" s="1"/>
  <c r="AY320" i="1" s="1"/>
  <c r="AR321" i="1"/>
  <c r="AE321" i="1"/>
  <c r="AT321" i="1" s="1"/>
  <c r="AU321" i="1" s="1"/>
  <c r="AZ321" i="1" s="1"/>
  <c r="AY321" i="1" s="1"/>
  <c r="AR322" i="1"/>
  <c r="AE322" i="1"/>
  <c r="AT322" i="1" s="1"/>
  <c r="AU322" i="1" s="1"/>
  <c r="AZ322" i="1" s="1"/>
  <c r="AY322" i="1" s="1"/>
  <c r="AR323" i="1"/>
  <c r="AE323" i="1"/>
  <c r="AT323" i="1" s="1"/>
  <c r="AU323" i="1" s="1"/>
  <c r="AZ323" i="1" s="1"/>
  <c r="AY323" i="1" s="1"/>
  <c r="AR324" i="1"/>
  <c r="AE324" i="1"/>
  <c r="AT324" i="1" s="1"/>
  <c r="AU324" i="1" s="1"/>
  <c r="AZ324" i="1" s="1"/>
  <c r="AY324" i="1" s="1"/>
  <c r="AR325" i="1"/>
  <c r="AE325" i="1"/>
  <c r="AT325" i="1" s="1"/>
  <c r="AU325" i="1" s="1"/>
  <c r="AZ325" i="1" s="1"/>
  <c r="AY325" i="1" s="1"/>
  <c r="AE326" i="1"/>
  <c r="AT326" i="1" s="1"/>
  <c r="AU326" i="1" s="1"/>
  <c r="AZ326" i="1" s="1"/>
  <c r="AY326" i="1" s="1"/>
  <c r="AR326" i="1"/>
  <c r="AE327" i="1"/>
  <c r="AT327" i="1" s="1"/>
  <c r="AU327" i="1" s="1"/>
  <c r="AZ327" i="1" s="1"/>
  <c r="AY327" i="1" s="1"/>
  <c r="AR327" i="1"/>
  <c r="AE328" i="1"/>
  <c r="AT328" i="1" s="1"/>
  <c r="AU328" i="1" s="1"/>
  <c r="AZ328" i="1" s="1"/>
  <c r="AY328" i="1" s="1"/>
  <c r="AR328" i="1"/>
  <c r="AR329" i="1"/>
  <c r="AE329" i="1"/>
  <c r="AT329" i="1" s="1"/>
  <c r="AU329" i="1" s="1"/>
  <c r="AZ329" i="1" s="1"/>
  <c r="AY329" i="1" s="1"/>
  <c r="AE330" i="1"/>
  <c r="AT330" i="1" s="1"/>
  <c r="AU330" i="1" s="1"/>
  <c r="AZ330" i="1" s="1"/>
  <c r="AY330" i="1" s="1"/>
  <c r="AR330" i="1"/>
  <c r="AR331" i="1"/>
  <c r="AE331" i="1"/>
  <c r="AT331" i="1" s="1"/>
  <c r="AU331" i="1" s="1"/>
  <c r="AZ331" i="1" s="1"/>
  <c r="AY331" i="1" s="1"/>
  <c r="AE332" i="1"/>
  <c r="AT332" i="1" s="1"/>
  <c r="AU332" i="1" s="1"/>
  <c r="AZ332" i="1" s="1"/>
  <c r="AY332" i="1" s="1"/>
  <c r="AR332" i="1"/>
  <c r="AR333" i="1"/>
  <c r="AE333" i="1"/>
  <c r="AT333" i="1" s="1"/>
  <c r="AU333" i="1" s="1"/>
  <c r="AZ333" i="1" s="1"/>
  <c r="AY333" i="1" s="1"/>
  <c r="AR334" i="1"/>
  <c r="AE334" i="1"/>
  <c r="AT334" i="1" s="1"/>
  <c r="AU334" i="1" s="1"/>
  <c r="AE335" i="1"/>
  <c r="AT335" i="1" s="1"/>
  <c r="AU335" i="1" s="1"/>
  <c r="AZ335" i="1" s="1"/>
  <c r="AY335" i="1" s="1"/>
  <c r="AR335" i="1"/>
  <c r="AE336" i="1"/>
  <c r="AT336" i="1" s="1"/>
  <c r="AU336" i="1" s="1"/>
  <c r="AZ336" i="1" s="1"/>
  <c r="AY336" i="1" s="1"/>
  <c r="AR336" i="1"/>
  <c r="AE337" i="1"/>
  <c r="AT337" i="1" s="1"/>
  <c r="AU337" i="1" s="1"/>
  <c r="AZ337" i="1" s="1"/>
  <c r="AY337" i="1" s="1"/>
  <c r="AR337" i="1"/>
  <c r="AR338" i="1"/>
  <c r="AE338" i="1"/>
  <c r="AT338" i="1" s="1"/>
  <c r="AU338" i="1" s="1"/>
  <c r="AZ338" i="1" s="1"/>
  <c r="AY338" i="1" s="1"/>
  <c r="AE339" i="1"/>
  <c r="AT339" i="1" s="1"/>
  <c r="AU339" i="1" s="1"/>
  <c r="AZ339" i="1" s="1"/>
  <c r="AY339" i="1" s="1"/>
  <c r="AR339" i="1"/>
  <c r="AE340" i="1"/>
  <c r="AT340" i="1" s="1"/>
  <c r="AU340" i="1" s="1"/>
  <c r="AZ340" i="1" s="1"/>
  <c r="AY340" i="1" s="1"/>
  <c r="AR340" i="1"/>
  <c r="AR341" i="1"/>
  <c r="AE341" i="1"/>
  <c r="AT341" i="1" s="1"/>
  <c r="AU341" i="1" s="1"/>
  <c r="AZ341" i="1" s="1"/>
  <c r="AY341" i="1" s="1"/>
  <c r="AR342" i="1"/>
  <c r="AE342" i="1"/>
  <c r="AT342" i="1" s="1"/>
  <c r="AU342" i="1" s="1"/>
  <c r="AZ342" i="1" s="1"/>
  <c r="AY342" i="1" s="1"/>
  <c r="AR343" i="1"/>
  <c r="AE343" i="1"/>
  <c r="AT343" i="1" s="1"/>
  <c r="AU343" i="1" s="1"/>
  <c r="AZ343" i="1" s="1"/>
  <c r="AY343" i="1" s="1"/>
  <c r="AE344" i="1"/>
  <c r="AT344" i="1" s="1"/>
  <c r="AU344" i="1" s="1"/>
  <c r="AZ344" i="1" s="1"/>
  <c r="AY344" i="1" s="1"/>
  <c r="AR344" i="1"/>
  <c r="AE345" i="1"/>
  <c r="AT345" i="1" s="1"/>
  <c r="AU345" i="1" s="1"/>
  <c r="AZ345" i="1" s="1"/>
  <c r="AY345" i="1" s="1"/>
  <c r="AR345" i="1"/>
  <c r="AE346" i="1"/>
  <c r="AT346" i="1" s="1"/>
  <c r="AU346" i="1" s="1"/>
  <c r="AZ346" i="1" s="1"/>
  <c r="AY346" i="1" s="1"/>
  <c r="AR346" i="1"/>
  <c r="AE347" i="1"/>
  <c r="AT347" i="1" s="1"/>
  <c r="AU347" i="1" s="1"/>
  <c r="AZ347" i="1" s="1"/>
  <c r="AY347" i="1" s="1"/>
  <c r="AR347" i="1"/>
  <c r="AE348" i="1"/>
  <c r="AT348" i="1" s="1"/>
  <c r="AU348" i="1" s="1"/>
  <c r="AZ348" i="1" s="1"/>
  <c r="AY348" i="1" s="1"/>
  <c r="AR348" i="1"/>
  <c r="AE349" i="1"/>
  <c r="AT349" i="1" s="1"/>
  <c r="AU349" i="1" s="1"/>
  <c r="AZ349" i="1" s="1"/>
  <c r="AY349" i="1" s="1"/>
  <c r="AR349" i="1"/>
  <c r="AE350" i="1"/>
  <c r="AT350" i="1" s="1"/>
  <c r="AU350" i="1" s="1"/>
  <c r="AZ350" i="1" s="1"/>
  <c r="AY350" i="1" s="1"/>
  <c r="AR350" i="1"/>
  <c r="AR351" i="1"/>
  <c r="AE351" i="1"/>
  <c r="AT351" i="1" s="1"/>
  <c r="AU351" i="1" s="1"/>
  <c r="AZ351" i="1" s="1"/>
  <c r="AY351" i="1" s="1"/>
  <c r="AE352" i="1"/>
  <c r="AT352" i="1" s="1"/>
  <c r="AU352" i="1" s="1"/>
  <c r="AZ352" i="1" s="1"/>
  <c r="AY352" i="1" s="1"/>
  <c r="AR352" i="1"/>
  <c r="AR353" i="1"/>
  <c r="AE353" i="1"/>
  <c r="AT353" i="1" s="1"/>
  <c r="AU353" i="1" s="1"/>
  <c r="AR354" i="1"/>
  <c r="AE354" i="1"/>
  <c r="AT354" i="1" s="1"/>
  <c r="AU354" i="1" s="1"/>
  <c r="AR355" i="1"/>
  <c r="AE355" i="1"/>
  <c r="AT355" i="1" s="1"/>
  <c r="AU355" i="1" s="1"/>
  <c r="AR356" i="1"/>
  <c r="AE356" i="1"/>
  <c r="AT356" i="1" s="1"/>
  <c r="AU356" i="1" s="1"/>
  <c r="AR357" i="1"/>
  <c r="AE357" i="1"/>
  <c r="AT357" i="1" s="1"/>
  <c r="AU357" i="1" s="1"/>
  <c r="AE358" i="1"/>
  <c r="AT358" i="1" s="1"/>
  <c r="AU358" i="1" s="1"/>
  <c r="AR358" i="1"/>
  <c r="AR359" i="1"/>
  <c r="AE359" i="1"/>
  <c r="AT359" i="1" s="1"/>
  <c r="AU359" i="1" s="1"/>
  <c r="AR360" i="1"/>
  <c r="AE360" i="1"/>
  <c r="AT360" i="1" s="1"/>
  <c r="AU360" i="1" s="1"/>
  <c r="AR361" i="1"/>
  <c r="AE361" i="1"/>
  <c r="AT361" i="1" s="1"/>
  <c r="AU361" i="1" s="1"/>
  <c r="AE362" i="1"/>
  <c r="AT362" i="1" s="1"/>
  <c r="AU362" i="1" s="1"/>
  <c r="AR362" i="1"/>
  <c r="AE363" i="1"/>
  <c r="AT363" i="1" s="1"/>
  <c r="AU363" i="1" s="1"/>
  <c r="AR363" i="1"/>
  <c r="AR364" i="1"/>
  <c r="AE364" i="1"/>
  <c r="AT364" i="1" s="1"/>
  <c r="AU364" i="1" s="1"/>
  <c r="AE365" i="1"/>
  <c r="AT365" i="1" s="1"/>
  <c r="AU365" i="1" s="1"/>
  <c r="AR365" i="1"/>
  <c r="AR366" i="1"/>
  <c r="AE366" i="1"/>
  <c r="AT366" i="1" s="1"/>
  <c r="AU366" i="1" s="1"/>
  <c r="AR367" i="1"/>
  <c r="AE367" i="1"/>
  <c r="AT367" i="1" s="1"/>
  <c r="AU367" i="1" s="1"/>
  <c r="AR368" i="1"/>
  <c r="AE368" i="1"/>
  <c r="AT368" i="1" s="1"/>
  <c r="AU368" i="1" s="1"/>
  <c r="AR369" i="1"/>
  <c r="AE369" i="1"/>
  <c r="AT369" i="1" s="1"/>
  <c r="AU369" i="1" s="1"/>
  <c r="AZ369" i="1" s="1"/>
  <c r="AY369" i="1" s="1"/>
  <c r="AR370" i="1"/>
  <c r="AE370" i="1"/>
  <c r="AT370" i="1" s="1"/>
  <c r="AU370" i="1" s="1"/>
  <c r="AZ370" i="1" s="1"/>
  <c r="AY370" i="1" s="1"/>
  <c r="AR371" i="1"/>
  <c r="AE371" i="1"/>
  <c r="AT371" i="1" s="1"/>
  <c r="AU371" i="1" s="1"/>
  <c r="AZ371" i="1" s="1"/>
  <c r="AY371" i="1" s="1"/>
  <c r="AE372" i="1"/>
  <c r="AT372" i="1" s="1"/>
  <c r="AU372" i="1" s="1"/>
  <c r="AZ372" i="1" s="1"/>
  <c r="AY372" i="1" s="1"/>
  <c r="AR372" i="1"/>
  <c r="AR373" i="1"/>
  <c r="AE373" i="1"/>
  <c r="AT373" i="1" s="1"/>
  <c r="AU373" i="1" s="1"/>
  <c r="AZ373" i="1" s="1"/>
  <c r="AY373" i="1" s="1"/>
  <c r="AR374" i="1"/>
  <c r="AE374" i="1"/>
  <c r="AT374" i="1" s="1"/>
  <c r="AU374" i="1" s="1"/>
  <c r="AZ374" i="1" s="1"/>
  <c r="AY374" i="1" s="1"/>
  <c r="AR375" i="1"/>
  <c r="AE375" i="1"/>
  <c r="AT375" i="1" s="1"/>
  <c r="AU375" i="1" s="1"/>
  <c r="AZ375" i="1" s="1"/>
  <c r="AY375" i="1" s="1"/>
  <c r="AR376" i="1"/>
  <c r="AE376" i="1"/>
  <c r="AT376" i="1" s="1"/>
  <c r="AU376" i="1" s="1"/>
  <c r="AZ376" i="1" s="1"/>
  <c r="AY376" i="1" s="1"/>
  <c r="AE377" i="1"/>
  <c r="AT377" i="1" s="1"/>
  <c r="AU377" i="1" s="1"/>
  <c r="AZ377" i="1" s="1"/>
  <c r="AY377" i="1" s="1"/>
  <c r="AR377" i="1"/>
  <c r="AE378" i="1"/>
  <c r="AT378" i="1" s="1"/>
  <c r="AU378" i="1" s="1"/>
  <c r="AZ378" i="1" s="1"/>
  <c r="AY378" i="1" s="1"/>
  <c r="AR378" i="1"/>
  <c r="AR379" i="1"/>
  <c r="AE379" i="1"/>
  <c r="AT379" i="1" s="1"/>
  <c r="AU379" i="1" s="1"/>
  <c r="AZ379" i="1" s="1"/>
  <c r="AY379" i="1" s="1"/>
  <c r="AE380" i="1"/>
  <c r="AT380" i="1" s="1"/>
  <c r="AU380" i="1" s="1"/>
  <c r="AZ380" i="1" s="1"/>
  <c r="AY380" i="1" s="1"/>
  <c r="AR380" i="1"/>
  <c r="AE381" i="1"/>
  <c r="AT381" i="1" s="1"/>
  <c r="AU381" i="1" s="1"/>
  <c r="AZ381" i="1" s="1"/>
  <c r="AY381" i="1" s="1"/>
  <c r="AR381" i="1"/>
  <c r="AR382" i="1"/>
  <c r="AE382" i="1"/>
  <c r="AT382" i="1" s="1"/>
  <c r="AU382" i="1" s="1"/>
  <c r="AZ382" i="1" s="1"/>
  <c r="AY382" i="1" s="1"/>
  <c r="AR383" i="1"/>
  <c r="AE383" i="1"/>
  <c r="AT383" i="1" s="1"/>
  <c r="AU383" i="1" s="1"/>
  <c r="AZ383" i="1" s="1"/>
  <c r="AY383" i="1" s="1"/>
  <c r="AR384" i="1"/>
  <c r="AE384" i="1"/>
  <c r="AT384" i="1" s="1"/>
  <c r="AU384" i="1" s="1"/>
  <c r="AZ384" i="1" s="1"/>
  <c r="AY384" i="1" s="1"/>
  <c r="AR385" i="1"/>
  <c r="AE385" i="1"/>
  <c r="AT385" i="1" s="1"/>
  <c r="AU385" i="1" s="1"/>
  <c r="AZ385" i="1" s="1"/>
  <c r="AY385" i="1" s="1"/>
  <c r="AR386" i="1"/>
  <c r="AE386" i="1"/>
  <c r="AT386" i="1" s="1"/>
  <c r="AU386" i="1" s="1"/>
  <c r="AZ386" i="1" s="1"/>
  <c r="AY386" i="1" s="1"/>
  <c r="AR387" i="1"/>
  <c r="AE387" i="1"/>
  <c r="AT387" i="1" s="1"/>
  <c r="AU387" i="1" s="1"/>
  <c r="AZ387" i="1" s="1"/>
  <c r="AY387" i="1" s="1"/>
  <c r="AR388" i="1"/>
  <c r="AE388" i="1"/>
  <c r="AT388" i="1" s="1"/>
  <c r="AU388" i="1" s="1"/>
  <c r="AZ388" i="1" s="1"/>
  <c r="AY388" i="1" s="1"/>
  <c r="AE389" i="1"/>
  <c r="AT389" i="1" s="1"/>
  <c r="AU389" i="1" s="1"/>
  <c r="AZ389" i="1" s="1"/>
  <c r="AY389" i="1" s="1"/>
  <c r="AR389" i="1"/>
  <c r="AR390" i="1"/>
  <c r="AE390" i="1"/>
  <c r="AT390" i="1" s="1"/>
  <c r="AU390" i="1" s="1"/>
  <c r="AZ390" i="1" s="1"/>
  <c r="AY390" i="1" s="1"/>
  <c r="AR391" i="1"/>
  <c r="AE391" i="1"/>
  <c r="AT391" i="1" s="1"/>
  <c r="AU391" i="1" s="1"/>
  <c r="AZ391" i="1" s="1"/>
  <c r="AY391" i="1" s="1"/>
  <c r="AE392" i="1"/>
  <c r="AT392" i="1" s="1"/>
  <c r="AU392" i="1" s="1"/>
  <c r="AZ392" i="1" s="1"/>
  <c r="AY392" i="1" s="1"/>
  <c r="AR392" i="1"/>
  <c r="AR393" i="1"/>
  <c r="AE393" i="1"/>
  <c r="AT393" i="1" s="1"/>
  <c r="AU393" i="1" s="1"/>
  <c r="AZ393" i="1" s="1"/>
  <c r="AY393" i="1" s="1"/>
  <c r="AR394" i="1"/>
  <c r="AE394" i="1"/>
  <c r="AT394" i="1" s="1"/>
  <c r="AU394" i="1" s="1"/>
  <c r="AZ394" i="1" s="1"/>
  <c r="AY394" i="1" s="1"/>
  <c r="AE395" i="1"/>
  <c r="AT395" i="1" s="1"/>
  <c r="AU395" i="1" s="1"/>
  <c r="AZ395" i="1" s="1"/>
  <c r="AY395" i="1" s="1"/>
  <c r="AR395" i="1"/>
  <c r="AE396" i="1"/>
  <c r="AT396" i="1" s="1"/>
  <c r="AU396" i="1" s="1"/>
  <c r="AZ396" i="1" s="1"/>
  <c r="AY396" i="1" s="1"/>
  <c r="AR396" i="1"/>
  <c r="AE397" i="1"/>
  <c r="AT397" i="1" s="1"/>
  <c r="AU397" i="1" s="1"/>
  <c r="AZ397" i="1" s="1"/>
  <c r="AY397" i="1" s="1"/>
  <c r="AR397" i="1"/>
  <c r="AR398" i="1"/>
  <c r="AE398" i="1"/>
  <c r="AT398" i="1" s="1"/>
  <c r="AU398" i="1" s="1"/>
  <c r="AZ398" i="1" s="1"/>
  <c r="AY398" i="1" s="1"/>
  <c r="AE399" i="1"/>
  <c r="AT399" i="1" s="1"/>
  <c r="AU399" i="1" s="1"/>
  <c r="AZ399" i="1" s="1"/>
  <c r="AY399" i="1" s="1"/>
  <c r="AR399" i="1"/>
  <c r="AR400" i="1"/>
  <c r="AE400" i="1"/>
  <c r="AT400" i="1" s="1"/>
  <c r="AU400" i="1" s="1"/>
  <c r="AE401" i="1"/>
  <c r="AT401" i="1" s="1"/>
  <c r="AU401" i="1" s="1"/>
  <c r="AZ401" i="1" s="1"/>
  <c r="AY401" i="1" s="1"/>
  <c r="AR401" i="1"/>
  <c r="AE402" i="1"/>
  <c r="AT402" i="1" s="1"/>
  <c r="AU402" i="1" s="1"/>
  <c r="AZ402" i="1" s="1"/>
  <c r="AY402" i="1" s="1"/>
  <c r="AR402" i="1"/>
  <c r="AE403" i="1"/>
  <c r="AT403" i="1" s="1"/>
  <c r="AU403" i="1" s="1"/>
  <c r="AZ403" i="1" s="1"/>
  <c r="AY403" i="1" s="1"/>
  <c r="AR403" i="1"/>
  <c r="AE404" i="1"/>
  <c r="AT404" i="1" s="1"/>
  <c r="AU404" i="1" s="1"/>
  <c r="AR404" i="1"/>
  <c r="AE405" i="1"/>
  <c r="AT405" i="1" s="1"/>
  <c r="AU405" i="1" s="1"/>
  <c r="AZ405" i="1" s="1"/>
  <c r="AY405" i="1" s="1"/>
  <c r="AR405" i="1"/>
  <c r="AR406" i="1"/>
  <c r="AE406" i="1"/>
  <c r="AT406" i="1" s="1"/>
  <c r="AU406" i="1" s="1"/>
  <c r="AZ406" i="1" s="1"/>
  <c r="AY406" i="1" s="1"/>
  <c r="AR407" i="1"/>
  <c r="AE407" i="1"/>
  <c r="AT407" i="1" s="1"/>
  <c r="AU407" i="1" s="1"/>
  <c r="AZ407" i="1" s="1"/>
  <c r="AY407" i="1" s="1"/>
  <c r="AR408" i="1"/>
  <c r="AE408" i="1"/>
  <c r="AT408" i="1" s="1"/>
  <c r="AU408" i="1" s="1"/>
  <c r="AZ408" i="1" s="1"/>
  <c r="AY408" i="1" s="1"/>
  <c r="AE409" i="1"/>
  <c r="AT409" i="1" s="1"/>
  <c r="AU409" i="1" s="1"/>
  <c r="AZ409" i="1" s="1"/>
  <c r="AY409" i="1" s="1"/>
  <c r="AR409" i="1"/>
  <c r="AR410" i="1"/>
  <c r="AE410" i="1"/>
  <c r="AT410" i="1" s="1"/>
  <c r="AU410" i="1" s="1"/>
  <c r="AZ410" i="1" s="1"/>
  <c r="AY410" i="1" s="1"/>
  <c r="AR411" i="1"/>
  <c r="AE411" i="1"/>
  <c r="AT411" i="1" s="1"/>
  <c r="AU411" i="1" s="1"/>
  <c r="AZ411" i="1" s="1"/>
  <c r="AY411" i="1" s="1"/>
  <c r="AE412" i="1"/>
  <c r="AT412" i="1" s="1"/>
  <c r="AU412" i="1" s="1"/>
  <c r="AZ412" i="1" s="1"/>
  <c r="AY412" i="1" s="1"/>
  <c r="AR412" i="1"/>
  <c r="AR413" i="1"/>
  <c r="AE413" i="1"/>
  <c r="AT413" i="1" s="1"/>
  <c r="AU413" i="1" s="1"/>
  <c r="AZ413" i="1" s="1"/>
  <c r="AY413" i="1" s="1"/>
  <c r="AE414" i="1"/>
  <c r="AT414" i="1" s="1"/>
  <c r="AU414" i="1" s="1"/>
  <c r="AZ414" i="1" s="1"/>
  <c r="AY414" i="1" s="1"/>
  <c r="AR414" i="1"/>
  <c r="AR415" i="1"/>
  <c r="AE415" i="1"/>
  <c r="AT415" i="1" s="1"/>
  <c r="AU415" i="1" s="1"/>
  <c r="AZ415" i="1" s="1"/>
  <c r="AY415" i="1" s="1"/>
  <c r="AR416" i="1"/>
  <c r="AE416" i="1"/>
  <c r="AT416" i="1" s="1"/>
  <c r="AU416" i="1" s="1"/>
  <c r="AZ416" i="1" s="1"/>
  <c r="AY416" i="1" s="1"/>
  <c r="AR417" i="1"/>
  <c r="AE417" i="1"/>
  <c r="AT417" i="1" s="1"/>
  <c r="AU417" i="1" s="1"/>
  <c r="AZ417" i="1" s="1"/>
  <c r="AY417" i="1" s="1"/>
  <c r="AR418" i="1"/>
  <c r="AE418" i="1"/>
  <c r="AT418" i="1" s="1"/>
  <c r="AU418" i="1" s="1"/>
  <c r="AZ418" i="1" s="1"/>
  <c r="AY418" i="1" s="1"/>
  <c r="AR419" i="1"/>
  <c r="AE419" i="1"/>
  <c r="AT419" i="1" s="1"/>
  <c r="AU419" i="1" s="1"/>
  <c r="AZ419" i="1" s="1"/>
  <c r="AY419" i="1" s="1"/>
  <c r="AE420" i="1"/>
  <c r="AT420" i="1" s="1"/>
  <c r="AU420" i="1" s="1"/>
  <c r="AR420" i="1"/>
  <c r="AE421" i="1"/>
  <c r="AT421" i="1" s="1"/>
  <c r="AU421" i="1" s="1"/>
  <c r="AZ421" i="1" s="1"/>
  <c r="AY421" i="1" s="1"/>
  <c r="AR421" i="1"/>
  <c r="AR422" i="1"/>
  <c r="AE422" i="1"/>
  <c r="AT422" i="1" s="1"/>
  <c r="AU422" i="1" s="1"/>
  <c r="AZ422" i="1" s="1"/>
  <c r="AY422" i="1" s="1"/>
  <c r="AE423" i="1"/>
  <c r="AT423" i="1" s="1"/>
  <c r="AU423" i="1" s="1"/>
  <c r="AZ423" i="1" s="1"/>
  <c r="AY423" i="1" s="1"/>
  <c r="AR423" i="1"/>
  <c r="AE424" i="1"/>
  <c r="AT424" i="1" s="1"/>
  <c r="AU424" i="1" s="1"/>
  <c r="AZ424" i="1" s="1"/>
  <c r="AY424" i="1" s="1"/>
  <c r="AR424" i="1"/>
  <c r="AE425" i="1"/>
  <c r="AT425" i="1" s="1"/>
  <c r="AU425" i="1" s="1"/>
  <c r="AZ425" i="1" s="1"/>
  <c r="AY425" i="1" s="1"/>
  <c r="AR425" i="1"/>
  <c r="AR426" i="1"/>
  <c r="AE426" i="1"/>
  <c r="AT426" i="1" s="1"/>
  <c r="AU426" i="1" s="1"/>
  <c r="AE427" i="1"/>
  <c r="AT427" i="1" s="1"/>
  <c r="AU427" i="1" s="1"/>
  <c r="AR427" i="1"/>
  <c r="AE428" i="1"/>
  <c r="AT428" i="1" s="1"/>
  <c r="AU428" i="1" s="1"/>
  <c r="AR428" i="1"/>
  <c r="AE429" i="1"/>
  <c r="AT429" i="1" s="1"/>
  <c r="AU429" i="1" s="1"/>
  <c r="AZ429" i="1" s="1"/>
  <c r="AY429" i="1" s="1"/>
  <c r="AR429" i="1"/>
  <c r="AR430" i="1"/>
  <c r="AE430" i="1"/>
  <c r="AT430" i="1" s="1"/>
  <c r="AU430" i="1" s="1"/>
  <c r="AZ430" i="1" s="1"/>
  <c r="AY430" i="1" s="1"/>
  <c r="AE431" i="1"/>
  <c r="AT431" i="1" s="1"/>
  <c r="AU431" i="1" s="1"/>
  <c r="AZ431" i="1" s="1"/>
  <c r="AY431" i="1" s="1"/>
  <c r="AR431" i="1"/>
  <c r="AE432" i="1"/>
  <c r="AT432" i="1" s="1"/>
  <c r="AU432" i="1" s="1"/>
  <c r="AZ432" i="1" s="1"/>
  <c r="AY432" i="1" s="1"/>
  <c r="AR432" i="1"/>
  <c r="AE433" i="1"/>
  <c r="AT433" i="1" s="1"/>
  <c r="AU433" i="1" s="1"/>
  <c r="AZ433" i="1" s="1"/>
  <c r="AY433" i="1" s="1"/>
  <c r="AR433" i="1"/>
  <c r="AR434" i="1"/>
  <c r="AE434" i="1"/>
  <c r="AT434" i="1" s="1"/>
  <c r="AU434" i="1" s="1"/>
  <c r="AZ434" i="1" s="1"/>
  <c r="AY434" i="1" s="1"/>
  <c r="AR435" i="1"/>
  <c r="AE435" i="1"/>
  <c r="AT435" i="1" s="1"/>
  <c r="AU435" i="1" s="1"/>
  <c r="AZ435" i="1" s="1"/>
  <c r="AY435" i="1" s="1"/>
  <c r="AR436" i="1"/>
  <c r="AE436" i="1"/>
  <c r="AT436" i="1" s="1"/>
  <c r="AU436" i="1" s="1"/>
  <c r="AZ436" i="1" s="1"/>
  <c r="AY436" i="1" s="1"/>
  <c r="AR437" i="1"/>
  <c r="AE437" i="1"/>
  <c r="AT437" i="1" s="1"/>
  <c r="AU437" i="1" s="1"/>
  <c r="AZ437" i="1" s="1"/>
  <c r="AY437" i="1" s="1"/>
  <c r="AR438" i="1"/>
  <c r="AE438" i="1"/>
  <c r="AT438" i="1" s="1"/>
  <c r="AU438" i="1" s="1"/>
  <c r="AZ438" i="1" s="1"/>
  <c r="AY438" i="1" s="1"/>
  <c r="AE439" i="1"/>
  <c r="AT439" i="1" s="1"/>
  <c r="AU439" i="1" s="1"/>
  <c r="AZ439" i="1" s="1"/>
  <c r="AY439" i="1" s="1"/>
  <c r="AR439" i="1"/>
  <c r="AE440" i="1"/>
  <c r="AT440" i="1" s="1"/>
  <c r="AU440" i="1" s="1"/>
  <c r="AZ440" i="1" s="1"/>
  <c r="AY440" i="1" s="1"/>
  <c r="AR440" i="1"/>
  <c r="AE441" i="1"/>
  <c r="AT441" i="1" s="1"/>
  <c r="AU441" i="1" s="1"/>
  <c r="AZ441" i="1" s="1"/>
  <c r="AY441" i="1" s="1"/>
  <c r="AR441" i="1"/>
  <c r="AR442" i="1"/>
  <c r="AE442" i="1"/>
  <c r="AT442" i="1" s="1"/>
  <c r="AU442" i="1" s="1"/>
  <c r="AZ442" i="1" s="1"/>
  <c r="AY442" i="1" s="1"/>
  <c r="AE443" i="1"/>
  <c r="AT443" i="1" s="1"/>
  <c r="AU443" i="1" s="1"/>
  <c r="AZ443" i="1" s="1"/>
  <c r="AY443" i="1" s="1"/>
  <c r="AR443" i="1"/>
  <c r="AR444" i="1"/>
  <c r="AE444" i="1"/>
  <c r="AT444" i="1" s="1"/>
  <c r="AU444" i="1" s="1"/>
  <c r="AZ444" i="1" s="1"/>
  <c r="AY444" i="1" s="1"/>
  <c r="AR445" i="1"/>
  <c r="AE445" i="1"/>
  <c r="AT445" i="1" s="1"/>
  <c r="AU445" i="1" s="1"/>
  <c r="AZ445" i="1" s="1"/>
  <c r="AY445" i="1" s="1"/>
  <c r="AR446" i="1"/>
  <c r="AE446" i="1"/>
  <c r="AT446" i="1" s="1"/>
  <c r="AU446" i="1" s="1"/>
  <c r="AR447" i="1"/>
  <c r="AE447" i="1"/>
  <c r="AT447" i="1" s="1"/>
  <c r="AU447" i="1" s="1"/>
  <c r="AZ447" i="1" s="1"/>
  <c r="AY447" i="1" s="1"/>
  <c r="AE448" i="1"/>
  <c r="AT448" i="1" s="1"/>
  <c r="AU448" i="1" s="1"/>
  <c r="AZ448" i="1" s="1"/>
  <c r="AY448" i="1" s="1"/>
  <c r="AR448" i="1"/>
  <c r="AR449" i="1"/>
  <c r="AE449" i="1"/>
  <c r="AT449" i="1" s="1"/>
  <c r="AU449" i="1" s="1"/>
  <c r="AZ449" i="1" s="1"/>
  <c r="AY449" i="1" s="1"/>
  <c r="AR450" i="1"/>
  <c r="AE450" i="1"/>
  <c r="AT450" i="1" s="1"/>
  <c r="AU450" i="1" s="1"/>
  <c r="AZ450" i="1" s="1"/>
  <c r="AY450" i="1" s="1"/>
  <c r="AR451" i="1"/>
  <c r="AE451" i="1"/>
  <c r="AT451" i="1" s="1"/>
  <c r="AU451" i="1" s="1"/>
  <c r="AZ451" i="1" s="1"/>
  <c r="AY451" i="1" s="1"/>
  <c r="AR452" i="1"/>
  <c r="AE452" i="1"/>
  <c r="AT452" i="1" s="1"/>
  <c r="AU452" i="1" s="1"/>
  <c r="AZ452" i="1" s="1"/>
  <c r="AY452" i="1" s="1"/>
  <c r="AR453" i="1"/>
  <c r="AE453" i="1"/>
  <c r="AT453" i="1" s="1"/>
  <c r="AU453" i="1" s="1"/>
  <c r="AZ453" i="1" s="1"/>
  <c r="AY453" i="1" s="1"/>
  <c r="AR454" i="1"/>
  <c r="AE454" i="1"/>
  <c r="AT454" i="1" s="1"/>
  <c r="AU454" i="1" s="1"/>
  <c r="AZ454" i="1" s="1"/>
  <c r="AY454" i="1" s="1"/>
  <c r="AE455" i="1"/>
  <c r="AT455" i="1" s="1"/>
  <c r="AU455" i="1" s="1"/>
  <c r="AZ455" i="1" s="1"/>
  <c r="AY455" i="1" s="1"/>
  <c r="AR455" i="1"/>
  <c r="AR456" i="1"/>
  <c r="AE456" i="1"/>
  <c r="AT456" i="1" s="1"/>
  <c r="AU456" i="1" s="1"/>
  <c r="AZ456" i="1" s="1"/>
  <c r="AY456" i="1" s="1"/>
  <c r="AE457" i="1"/>
  <c r="AT457" i="1" s="1"/>
  <c r="AU457" i="1" s="1"/>
  <c r="AZ457" i="1" s="1"/>
  <c r="AY457" i="1" s="1"/>
  <c r="AR457" i="1"/>
  <c r="AE458" i="1"/>
  <c r="AT458" i="1" s="1"/>
  <c r="AU458" i="1" s="1"/>
  <c r="AZ458" i="1" s="1"/>
  <c r="AY458" i="1" s="1"/>
  <c r="AR458" i="1"/>
  <c r="AE459" i="1"/>
  <c r="AT459" i="1" s="1"/>
  <c r="AU459" i="1" s="1"/>
  <c r="AZ459" i="1" s="1"/>
  <c r="AY459" i="1" s="1"/>
  <c r="AR459" i="1"/>
  <c r="AR460" i="1"/>
  <c r="AE460" i="1"/>
  <c r="AT460" i="1" s="1"/>
  <c r="AU460" i="1" s="1"/>
  <c r="AZ460" i="1" s="1"/>
  <c r="AY460" i="1" s="1"/>
  <c r="AR461" i="1"/>
  <c r="AE461" i="1"/>
  <c r="AT461" i="1" s="1"/>
  <c r="AU461" i="1" s="1"/>
  <c r="AZ461" i="1" s="1"/>
  <c r="AY461" i="1" s="1"/>
  <c r="AR462" i="1"/>
  <c r="AE462" i="1"/>
  <c r="AT462" i="1" s="1"/>
  <c r="AU462" i="1" s="1"/>
  <c r="AZ462" i="1" s="1"/>
  <c r="AY462" i="1" s="1"/>
  <c r="AR463" i="1"/>
  <c r="AE463" i="1"/>
  <c r="AT463" i="1" s="1"/>
  <c r="AU463" i="1" s="1"/>
  <c r="AZ463" i="1" s="1"/>
  <c r="AY463" i="1" s="1"/>
  <c r="AR464" i="1"/>
  <c r="AE464" i="1"/>
  <c r="AT464" i="1" s="1"/>
  <c r="AU464" i="1" s="1"/>
  <c r="AZ464" i="1" s="1"/>
  <c r="AY464" i="1" s="1"/>
  <c r="AR465" i="1"/>
  <c r="AE465" i="1"/>
  <c r="AT465" i="1" s="1"/>
  <c r="AU465" i="1" s="1"/>
  <c r="AZ465" i="1" s="1"/>
  <c r="AY465" i="1" s="1"/>
  <c r="AR466" i="1"/>
  <c r="AE466" i="1"/>
  <c r="AT466" i="1" s="1"/>
  <c r="AU466" i="1" s="1"/>
  <c r="AR467" i="1"/>
  <c r="AE467" i="1"/>
  <c r="AT467" i="1" s="1"/>
  <c r="AU467" i="1" s="1"/>
  <c r="AZ467" i="1" s="1"/>
  <c r="AY467" i="1" s="1"/>
  <c r="AR468" i="1"/>
  <c r="AE468" i="1"/>
  <c r="AT468" i="1" s="1"/>
  <c r="AU468" i="1" s="1"/>
  <c r="AZ468" i="1" s="1"/>
  <c r="AY468" i="1" s="1"/>
  <c r="AR469" i="1"/>
  <c r="AE469" i="1"/>
  <c r="AT469" i="1" s="1"/>
  <c r="AU469" i="1" s="1"/>
  <c r="AZ469" i="1" s="1"/>
  <c r="AY469" i="1" s="1"/>
  <c r="AR470" i="1"/>
  <c r="AE470" i="1"/>
  <c r="AT470" i="1" s="1"/>
  <c r="AU470" i="1" s="1"/>
  <c r="AZ470" i="1" s="1"/>
  <c r="AY470" i="1" s="1"/>
  <c r="AR471" i="1"/>
  <c r="AE471" i="1"/>
  <c r="AT471" i="1" s="1"/>
  <c r="AU471" i="1" s="1"/>
  <c r="AZ471" i="1" s="1"/>
  <c r="AY471" i="1" s="1"/>
  <c r="AR472" i="1"/>
  <c r="AE472" i="1"/>
  <c r="AT472" i="1" s="1"/>
  <c r="AU472" i="1" s="1"/>
  <c r="AZ472" i="1" s="1"/>
  <c r="AY472" i="1" s="1"/>
  <c r="AR473" i="1"/>
  <c r="AE473" i="1"/>
  <c r="AT473" i="1" s="1"/>
  <c r="AU473" i="1" s="1"/>
  <c r="AZ473" i="1" s="1"/>
  <c r="AY473" i="1" s="1"/>
  <c r="AR474" i="1"/>
  <c r="AE474" i="1"/>
  <c r="AT474" i="1" s="1"/>
  <c r="AU474" i="1" s="1"/>
  <c r="AZ474" i="1" s="1"/>
  <c r="AY474" i="1" s="1"/>
  <c r="AR475" i="1"/>
  <c r="AE475" i="1"/>
  <c r="AT475" i="1" s="1"/>
  <c r="AU475" i="1" s="1"/>
  <c r="AZ475" i="1" s="1"/>
  <c r="AY475" i="1" s="1"/>
  <c r="AR476" i="1"/>
  <c r="AE476" i="1"/>
  <c r="AT476" i="1" s="1"/>
  <c r="AU476" i="1" s="1"/>
  <c r="AZ476" i="1" s="1"/>
  <c r="AY476" i="1" s="1"/>
  <c r="AR477" i="1"/>
  <c r="AE477" i="1"/>
  <c r="AT477" i="1" s="1"/>
  <c r="AU477" i="1" s="1"/>
  <c r="AZ477" i="1" s="1"/>
  <c r="AY477" i="1" s="1"/>
  <c r="AR478" i="1"/>
  <c r="AE478" i="1"/>
  <c r="AT478" i="1" s="1"/>
  <c r="AU478" i="1" s="1"/>
  <c r="AZ478" i="1" s="1"/>
  <c r="AY478" i="1" s="1"/>
  <c r="AR479" i="1"/>
  <c r="AE479" i="1"/>
  <c r="AT479" i="1" s="1"/>
  <c r="AU479" i="1" s="1"/>
  <c r="AZ479" i="1" s="1"/>
  <c r="AY479" i="1" s="1"/>
  <c r="AR480" i="1"/>
  <c r="AE480" i="1"/>
  <c r="AT480" i="1" s="1"/>
  <c r="AU480" i="1" s="1"/>
  <c r="AZ480" i="1" s="1"/>
  <c r="AY480" i="1" s="1"/>
  <c r="AR481" i="1"/>
  <c r="AE481" i="1"/>
  <c r="AT481" i="1" s="1"/>
  <c r="AU481" i="1" s="1"/>
  <c r="AR482" i="1"/>
  <c r="AE482" i="1"/>
  <c r="AT482" i="1" s="1"/>
  <c r="AU482" i="1" s="1"/>
  <c r="AR483" i="1"/>
  <c r="AE483" i="1"/>
  <c r="AT483" i="1" s="1"/>
  <c r="AU483" i="1" s="1"/>
  <c r="AZ483" i="1" s="1"/>
  <c r="AY483" i="1" s="1"/>
  <c r="AR484" i="1"/>
  <c r="AE484" i="1"/>
  <c r="AT484" i="1" s="1"/>
  <c r="AU484" i="1" s="1"/>
  <c r="AZ484" i="1" s="1"/>
  <c r="AY484" i="1" s="1"/>
  <c r="AR485" i="1"/>
  <c r="AE485" i="1"/>
  <c r="AT485" i="1" s="1"/>
  <c r="AU485" i="1" s="1"/>
  <c r="AZ485" i="1" s="1"/>
  <c r="AY485" i="1" s="1"/>
  <c r="AR486" i="1"/>
  <c r="AE486" i="1"/>
  <c r="AT486" i="1" s="1"/>
  <c r="AU486" i="1" s="1"/>
  <c r="AZ486" i="1" s="1"/>
  <c r="AY486" i="1" s="1"/>
  <c r="AR487" i="1"/>
  <c r="AE487" i="1"/>
  <c r="AT487" i="1" s="1"/>
  <c r="AU487" i="1" s="1"/>
  <c r="AZ487" i="1" s="1"/>
  <c r="AY487" i="1" s="1"/>
  <c r="AR488" i="1"/>
  <c r="AE488" i="1"/>
  <c r="AT488" i="1" s="1"/>
  <c r="AU488" i="1" s="1"/>
  <c r="AZ488" i="1" s="1"/>
  <c r="AY488" i="1" s="1"/>
  <c r="AR489" i="1"/>
  <c r="AE489" i="1"/>
  <c r="AT489" i="1" s="1"/>
  <c r="AU489" i="1" s="1"/>
  <c r="AZ489" i="1" s="1"/>
  <c r="AY489" i="1" s="1"/>
  <c r="AE490" i="1"/>
  <c r="AT490" i="1" s="1"/>
  <c r="AU490" i="1" s="1"/>
  <c r="AZ490" i="1" s="1"/>
  <c r="AY490" i="1" s="1"/>
  <c r="AR490" i="1"/>
  <c r="AE491" i="1"/>
  <c r="AT491" i="1" s="1"/>
  <c r="AU491" i="1" s="1"/>
  <c r="AZ491" i="1" s="1"/>
  <c r="AY491" i="1" s="1"/>
  <c r="AR491" i="1"/>
  <c r="AE492" i="1"/>
  <c r="AT492" i="1" s="1"/>
  <c r="AU492" i="1" s="1"/>
  <c r="AZ492" i="1" s="1"/>
  <c r="AY492" i="1" s="1"/>
  <c r="AR492" i="1"/>
  <c r="AE493" i="1"/>
  <c r="AT493" i="1" s="1"/>
  <c r="AU493" i="1" s="1"/>
  <c r="AR493" i="1"/>
  <c r="AE494" i="1"/>
  <c r="AT494" i="1" s="1"/>
  <c r="AU494" i="1" s="1"/>
  <c r="AZ494" i="1" s="1"/>
  <c r="AY494" i="1" s="1"/>
  <c r="AR494" i="1"/>
  <c r="AE495" i="1"/>
  <c r="AT495" i="1" s="1"/>
  <c r="AU495" i="1" s="1"/>
  <c r="AZ495" i="1" s="1"/>
  <c r="AY495" i="1" s="1"/>
  <c r="AR495" i="1"/>
  <c r="AE496" i="1"/>
  <c r="AT496" i="1" s="1"/>
  <c r="AU496" i="1" s="1"/>
  <c r="AZ496" i="1" s="1"/>
  <c r="AY496" i="1" s="1"/>
  <c r="AR496" i="1"/>
  <c r="AE497" i="1"/>
  <c r="AT497" i="1" s="1"/>
  <c r="AU497" i="1" s="1"/>
  <c r="AR497" i="1"/>
  <c r="AE498" i="1"/>
  <c r="AT498" i="1" s="1"/>
  <c r="AU498" i="1" s="1"/>
  <c r="AZ498" i="1" s="1"/>
  <c r="AY498" i="1" s="1"/>
  <c r="AR498" i="1"/>
  <c r="AR499" i="1"/>
  <c r="AE499" i="1"/>
  <c r="AT499" i="1" s="1"/>
  <c r="AU499" i="1" s="1"/>
  <c r="AZ499" i="1" s="1"/>
  <c r="AY499" i="1" s="1"/>
  <c r="AE500" i="1"/>
  <c r="AT500" i="1" s="1"/>
  <c r="AU500" i="1" s="1"/>
  <c r="AZ500" i="1" s="1"/>
  <c r="AY500" i="1" s="1"/>
  <c r="AR500" i="1"/>
  <c r="AR501" i="1"/>
  <c r="AE501" i="1"/>
  <c r="AT501" i="1" s="1"/>
  <c r="AU501" i="1" s="1"/>
  <c r="AZ501" i="1" s="1"/>
  <c r="AY501" i="1" s="1"/>
  <c r="AE502" i="1"/>
  <c r="AT502" i="1" s="1"/>
  <c r="AU502" i="1" s="1"/>
  <c r="AZ502" i="1" s="1"/>
  <c r="AY502" i="1" s="1"/>
  <c r="AR502" i="1"/>
  <c r="AE503" i="1"/>
  <c r="AT503" i="1" s="1"/>
  <c r="AU503" i="1" s="1"/>
  <c r="AZ503" i="1" s="1"/>
  <c r="AY503" i="1" s="1"/>
  <c r="AR503" i="1"/>
  <c r="AE504" i="1"/>
  <c r="AT504" i="1" s="1"/>
  <c r="AU504" i="1" s="1"/>
  <c r="AZ504" i="1" s="1"/>
  <c r="AY504" i="1" s="1"/>
  <c r="AR504" i="1"/>
  <c r="AE505" i="1"/>
  <c r="AT505" i="1" s="1"/>
  <c r="AU505" i="1" s="1"/>
  <c r="AZ505" i="1" s="1"/>
  <c r="AY505" i="1" s="1"/>
  <c r="AR505" i="1"/>
  <c r="AR506" i="1"/>
  <c r="AE506" i="1"/>
  <c r="AT506" i="1" s="1"/>
  <c r="AU506" i="1" s="1"/>
  <c r="AR507" i="1"/>
  <c r="AE507" i="1"/>
  <c r="AT507" i="1" s="1"/>
  <c r="AU507" i="1" s="1"/>
  <c r="AZ507" i="1" s="1"/>
  <c r="AY507" i="1" s="1"/>
  <c r="AR508" i="1"/>
  <c r="AE508" i="1"/>
  <c r="AT508" i="1" s="1"/>
  <c r="AU508" i="1" s="1"/>
  <c r="AZ508" i="1" s="1"/>
  <c r="AY508" i="1" s="1"/>
  <c r="AR509" i="1"/>
  <c r="AE509" i="1"/>
  <c r="AT509" i="1" s="1"/>
  <c r="AU509" i="1" s="1"/>
  <c r="AZ509" i="1" s="1"/>
  <c r="AY509" i="1" s="1"/>
  <c r="AR510" i="1"/>
  <c r="AE510" i="1"/>
  <c r="AT510" i="1" s="1"/>
  <c r="AU510" i="1" s="1"/>
  <c r="AZ510" i="1" s="1"/>
  <c r="AY510" i="1" s="1"/>
  <c r="AR511" i="1"/>
  <c r="AE511" i="1"/>
  <c r="AT511" i="1" s="1"/>
  <c r="AU511" i="1" s="1"/>
  <c r="AZ511" i="1" s="1"/>
  <c r="AY511" i="1" s="1"/>
  <c r="AE512" i="1"/>
  <c r="AT512" i="1" s="1"/>
  <c r="AU512" i="1" s="1"/>
  <c r="AZ512" i="1" s="1"/>
  <c r="AY512" i="1" s="1"/>
  <c r="AR512" i="1"/>
  <c r="AR513" i="1"/>
  <c r="AE513" i="1"/>
  <c r="AT513" i="1" s="1"/>
  <c r="AU513" i="1" s="1"/>
  <c r="AZ513" i="1" s="1"/>
  <c r="AY513" i="1" s="1"/>
  <c r="AR514" i="1"/>
  <c r="AE514" i="1"/>
  <c r="AT514" i="1" s="1"/>
  <c r="AU514" i="1" s="1"/>
  <c r="AZ514" i="1" s="1"/>
  <c r="AY514" i="1" s="1"/>
  <c r="AR515" i="1"/>
  <c r="AE515" i="1"/>
  <c r="AT515" i="1" s="1"/>
  <c r="AU515" i="1" s="1"/>
  <c r="AZ515" i="1" s="1"/>
  <c r="AY515" i="1" s="1"/>
  <c r="AR516" i="1"/>
  <c r="AE516" i="1"/>
  <c r="AT516" i="1" s="1"/>
  <c r="AU516" i="1" s="1"/>
  <c r="AZ516" i="1" s="1"/>
  <c r="AY516" i="1" s="1"/>
  <c r="AR517" i="1"/>
  <c r="AE517" i="1"/>
  <c r="AT517" i="1" s="1"/>
  <c r="AU517" i="1" s="1"/>
  <c r="AZ517" i="1" s="1"/>
  <c r="AY517" i="1" s="1"/>
  <c r="AR518" i="1"/>
  <c r="AE518" i="1"/>
  <c r="AT518" i="1" s="1"/>
  <c r="AU518" i="1" s="1"/>
  <c r="AZ518" i="1" s="1"/>
  <c r="AY518" i="1" s="1"/>
  <c r="AR519" i="1"/>
  <c r="AE519" i="1"/>
  <c r="AT519" i="1" s="1"/>
  <c r="AU519" i="1" s="1"/>
  <c r="AZ519" i="1" s="1"/>
  <c r="AY519" i="1" s="1"/>
  <c r="AR520" i="1"/>
  <c r="AE520" i="1"/>
  <c r="AT520" i="1" s="1"/>
  <c r="AU520" i="1" s="1"/>
  <c r="AZ520" i="1" s="1"/>
  <c r="AY520" i="1" s="1"/>
  <c r="AR521" i="1"/>
  <c r="AE521" i="1"/>
  <c r="AT521" i="1" s="1"/>
  <c r="AU521" i="1" s="1"/>
  <c r="AZ521" i="1" s="1"/>
  <c r="AY521" i="1" s="1"/>
  <c r="AR522" i="1"/>
  <c r="AE522" i="1"/>
  <c r="AT522" i="1" s="1"/>
  <c r="AU522" i="1" s="1"/>
  <c r="AZ522" i="1" s="1"/>
  <c r="AY522" i="1" s="1"/>
  <c r="AE2" i="1"/>
  <c r="AT2" i="1" s="1"/>
  <c r="AU2" i="1" s="1"/>
  <c r="AS2" i="1"/>
  <c r="AZ94" i="1" l="1"/>
  <c r="AY94" i="1" s="1"/>
  <c r="AZ95" i="1"/>
  <c r="AY95" i="1" s="1"/>
  <c r="AZ96" i="1"/>
  <c r="AY96" i="1" s="1"/>
  <c r="AZ97" i="1"/>
  <c r="AY97" i="1" s="1"/>
  <c r="AZ98" i="1"/>
  <c r="AY98" i="1" s="1"/>
  <c r="AZ152" i="1"/>
  <c r="AY152" i="1" s="1"/>
  <c r="AZ153" i="1"/>
  <c r="AY153" i="1" s="1"/>
  <c r="AZ154" i="1"/>
  <c r="AY154" i="1" s="1"/>
  <c r="AZ155" i="1"/>
  <c r="AY155" i="1" s="1"/>
  <c r="AZ156" i="1"/>
  <c r="AY156" i="1" s="1"/>
  <c r="AZ157" i="1"/>
  <c r="AY157" i="1" s="1"/>
  <c r="AZ160" i="1"/>
  <c r="AY160" i="1" s="1"/>
  <c r="AZ8" i="1"/>
  <c r="AY8" i="1" s="1"/>
  <c r="AZ9" i="1"/>
  <c r="AY9" i="1" s="1"/>
  <c r="AZ10" i="1"/>
  <c r="AY10" i="1" s="1"/>
  <c r="AZ11" i="1"/>
  <c r="AY11" i="1" s="1"/>
  <c r="AZ15" i="1"/>
  <c r="AY15" i="1" s="1"/>
  <c r="AZ17" i="1"/>
  <c r="AY17" i="1" s="1"/>
  <c r="AZ18" i="1"/>
  <c r="AY18" i="1" s="1"/>
  <c r="AZ19" i="1"/>
  <c r="AY19" i="1" s="1"/>
  <c r="AZ20" i="1"/>
  <c r="AY20" i="1" s="1"/>
  <c r="AZ282" i="1"/>
  <c r="AY282" i="1" s="1"/>
  <c r="AZ283" i="1"/>
  <c r="AY283" i="1" s="1"/>
  <c r="AZ287" i="1"/>
  <c r="AY287" i="1" s="1"/>
  <c r="AZ353" i="1"/>
  <c r="AY353" i="1" s="1"/>
  <c r="AZ354" i="1"/>
  <c r="AY354" i="1" s="1"/>
  <c r="AZ355" i="1"/>
  <c r="AY355" i="1" s="1"/>
  <c r="AZ356" i="1"/>
  <c r="AY356" i="1" s="1"/>
  <c r="AZ357" i="1"/>
  <c r="AY357" i="1" s="1"/>
  <c r="AZ358" i="1"/>
  <c r="AY358" i="1" s="1"/>
  <c r="AZ359" i="1"/>
  <c r="AY359" i="1" s="1"/>
  <c r="AZ361" i="1"/>
  <c r="AY361" i="1" s="1"/>
  <c r="AZ362" i="1"/>
  <c r="AY362" i="1" s="1"/>
  <c r="AZ363" i="1"/>
  <c r="AY363" i="1" s="1"/>
  <c r="AZ364" i="1"/>
  <c r="AY364" i="1" s="1"/>
  <c r="AZ365" i="1"/>
  <c r="AY365" i="1" s="1"/>
  <c r="AZ366" i="1"/>
  <c r="AY366" i="1" s="1"/>
  <c r="AZ367" i="1"/>
  <c r="AY367" i="1" s="1"/>
  <c r="AZ368" i="1"/>
  <c r="AY368" i="1" s="1"/>
  <c r="AZ426" i="1"/>
  <c r="AY426" i="1" s="1"/>
  <c r="AZ427" i="1"/>
  <c r="AY427" i="1" s="1"/>
  <c r="AZ244" i="1"/>
  <c r="AY244" i="1" s="1"/>
  <c r="AZ207" i="1"/>
  <c r="AY207" i="1" s="1"/>
  <c r="AZ109" i="1"/>
  <c r="AY109" i="1" s="1"/>
  <c r="AZ43" i="1"/>
  <c r="AY43" i="1" s="1"/>
  <c r="AZ209" i="1"/>
  <c r="AY209" i="1"/>
  <c r="AZ237" i="1"/>
  <c r="AY237" i="1"/>
  <c r="AZ334" i="1"/>
  <c r="AY334" i="1"/>
  <c r="AZ360" i="1"/>
  <c r="AY360" i="1" s="1"/>
  <c r="AZ400" i="1"/>
  <c r="AY400" i="1" s="1"/>
  <c r="AZ404" i="1"/>
  <c r="AY404" i="1"/>
  <c r="AZ420" i="1"/>
  <c r="AY420" i="1" s="1"/>
  <c r="AZ428" i="1"/>
  <c r="AY428" i="1"/>
  <c r="AZ446" i="1"/>
  <c r="AY446" i="1" s="1"/>
  <c r="AZ466" i="1"/>
  <c r="AY466" i="1" s="1"/>
  <c r="AZ481" i="1"/>
  <c r="AY481" i="1"/>
  <c r="AZ482" i="1"/>
  <c r="AY482" i="1" s="1"/>
  <c r="AZ493" i="1"/>
  <c r="AY493" i="1"/>
  <c r="AZ497" i="1"/>
  <c r="AY497" i="1" s="1"/>
  <c r="AZ506" i="1"/>
  <c r="AY506" i="1" s="1"/>
  <c r="AZ2" i="1"/>
  <c r="AY2" i="1" s="1"/>
</calcChain>
</file>

<file path=xl/sharedStrings.xml><?xml version="1.0" encoding="utf-8"?>
<sst xmlns="http://schemas.openxmlformats.org/spreadsheetml/2006/main" count="7844" uniqueCount="2371">
  <si>
    <t>assignment_id</t>
  </si>
  <si>
    <t>index1</t>
  </si>
  <si>
    <t>assignment_status_id</t>
  </si>
  <si>
    <t>assignment_status_alias</t>
  </si>
  <si>
    <t>assignment_date_modified</t>
  </si>
  <si>
    <t>assignment_id_timestamp</t>
  </si>
  <si>
    <t>survey_period_id</t>
  </si>
  <si>
    <t>level_1_full_code</t>
  </si>
  <si>
    <t>level_1_name</t>
  </si>
  <si>
    <t>level_2_full_code</t>
  </si>
  <si>
    <t>level_2_name</t>
  </si>
  <si>
    <t>level_3_full_code</t>
  </si>
  <si>
    <t>level_4_full_code</t>
  </si>
  <si>
    <t>kategori</t>
  </si>
  <si>
    <t>kode_kbli</t>
  </si>
  <si>
    <t>nama_usaha</t>
  </si>
  <si>
    <t>metrik_tenaga_kerja</t>
  </si>
  <si>
    <t>metrik_upah_gaji</t>
  </si>
  <si>
    <t>metrik_biaya_produksi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</si>
  <si>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</si>
  <si>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</si>
  <si>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</si>
  <si>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</si>
  <si>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</si>
  <si>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</si>
  <si>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</si>
  <si>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</si>
  <si>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</si>
  <si>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rasio_biaya_pembelian_barang_terhadap_omzet</t>
  </si>
  <si>
    <t>reklasifikasi_skala_usaha</t>
  </si>
  <si>
    <t>rasio_ntb</t>
  </si>
  <si>
    <t>produktivitas</t>
  </si>
  <si>
    <t>flag_rasio_1_output_aset</t>
  </si>
  <si>
    <t>flag_rasio_2_upah_ntb</t>
  </si>
  <si>
    <t>flag_rasio_3_ntb_output</t>
  </si>
  <si>
    <t>link_fasih_sm</t>
  </si>
  <si>
    <t>is_remark_sesuai_lapangan</t>
  </si>
  <si>
    <t>is_remark_diperbaiki</t>
  </si>
  <si>
    <t>tahun_operasi</t>
  </si>
  <si>
    <t>tk_dibayar</t>
  </si>
  <si>
    <t>tk_tdk_dibayar</t>
  </si>
  <si>
    <t>Kode Remark</t>
  </si>
  <si>
    <t>Tindak Lanjut Fasih</t>
  </si>
  <si>
    <t>9cb0a9cc-1b9d-4d3a-96d3-8ed69d0e387f</t>
  </si>
  <si>
    <t>APPROVED BY Pengawas</t>
  </si>
  <si>
    <t>9cb0a9cc-1b9d-4d3a-96d3-8ed69d0e387f_1791202787523</t>
  </si>
  <si>
    <t>fd68e454-ba45-4b85-8205-f3bf777ded24</t>
  </si>
  <si>
    <t>NUSA TENGGARA TIMUR</t>
  </si>
  <si>
    <t>FLORES TIMUR</t>
  </si>
  <si>
    <t>G</t>
  </si>
  <si>
    <t>UPT PERKEBUNAN KEMIRI</t>
  </si>
  <si>
    <t>Mikro</t>
  </si>
  <si>
    <t>0,8</t>
  </si>
  <si>
    <t>https://fasih-sm.bps.go.id/app/assignment/fd68e454-ba45-4b85-8205-f3bf777ded24/9cb0a9cc-1b9d-4d3a-96d3-8ed69d0e387f</t>
  </si>
  <si>
    <t>#1</t>
  </si>
  <si>
    <t>bc8ea871-c8c6-4f12-8b05-abaea7866465</t>
  </si>
  <si>
    <t>EDITED BY Admin Kabupaten</t>
  </si>
  <si>
    <t>bc8ea871-c8c6-4f12-8b05-abaea7866465_1791357604938</t>
  </si>
  <si>
    <t>KEBUN KEMIRI</t>
  </si>
  <si>
    <t>https://fasih-sm.bps.go.id/app/assignment/fd68e454-ba45-4b85-8205-f3bf777ded24/bc8ea871-c8c6-4f12-8b05-abaea7866465</t>
  </si>
  <si>
    <t>COMPLETED BY Admin Kabupaten</t>
  </si>
  <si>
    <t>cd889a40-93fd-4f5b-8bdb-0de1313db386</t>
  </si>
  <si>
    <t>cd889a40-93fd-4f5b-8bdb-0de1313db386_1789598899836</t>
  </si>
  <si>
    <t>PERKEBUNAN PORANG</t>
  </si>
  <si>
    <t>https://fasih-sm.bps.go.id/app/assignment/fd68e454-ba45-4b85-8205-f3bf777ded24/cd889a40-93fd-4f5b-8bdb-0de1313db386</t>
  </si>
  <si>
    <t>ebb3c929-270d-4e08-8cc6-bfe4a258c9de</t>
  </si>
  <si>
    <t>ebb3c929-270d-4e08-8cc6-bfe4a258c9de_1790063078006</t>
  </si>
  <si>
    <t>UTP PERKEBUNAN</t>
  </si>
  <si>
    <t>https://fasih-sm.bps.go.id/app/assignment/fd68e454-ba45-4b85-8205-f3bf777ded24/ebb3c929-270d-4e08-8cc6-bfe4a258c9de</t>
  </si>
  <si>
    <t>f016c163-50bc-4188-a87d-ef56d4570872</t>
  </si>
  <si>
    <t>f016c163-50bc-4188-a87d-ef56d4570872_1789714422152</t>
  </si>
  <si>
    <t>0,9</t>
  </si>
  <si>
    <t>https://fasih-sm.bps.go.id/app/assignment/fd68e454-ba45-4b85-8205-f3bf777ded24/f016c163-50bc-4188-a87d-ef56d4570872</t>
  </si>
  <si>
    <t>f292e662-0681-450b-8476-e7dcb9701238</t>
  </si>
  <si>
    <t>f292e662-0681-450b-8476-e7dcb9701238_1790085301386</t>
  </si>
  <si>
    <t>TANAMAN KEMIRI</t>
  </si>
  <si>
    <t>0,84</t>
  </si>
  <si>
    <t>https://fasih-sm.bps.go.id/app/assignment/fd68e454-ba45-4b85-8205-f3bf777ded24/f292e662-0681-450b-8476-e7dcb9701238</t>
  </si>
  <si>
    <t>f3f7f889-35a6-4453-9c98-1c67a45115dd</t>
  </si>
  <si>
    <t>f3f7f889-35a6-4453-9c98-1c67a45115dd_1790065154993</t>
  </si>
  <si>
    <t>UTP PERKEBUNAN (ANTONIUS M. NERUK DANGA)</t>
  </si>
  <si>
    <t>https://fasih-sm.bps.go.id/app/assignment/fd68e454-ba45-4b85-8205-f3bf777ded24/f3f7f889-35a6-4453-9c98-1c67a45115dd</t>
  </si>
  <si>
    <t>03089b39-d7ee-4a7e-8cde-0462109dee42</t>
  </si>
  <si>
    <t>-</t>
  </si>
  <si>
    <t>03089b39-d7ee-4a7e-8cde-0462109dee42_1788859218766</t>
  </si>
  <si>
    <t>37526b20-81c8-42f5-a895-6190137d7394</t>
  </si>
  <si>
    <t>PERDAGANGAN KOPRA ,JONI</t>
  </si>
  <si>
    <t>0,709677</t>
  </si>
  <si>
    <t>UMK</t>
  </si>
  <si>
    <t>https://fasih-sm.bps.go.id/app/assignment/fd68e454-ba45-4b85-8205-f3bf777ded24/03089b39-d7ee-4a7e-8cde-0462109dee42</t>
  </si>
  <si>
    <t>0,625</t>
  </si>
  <si>
    <t>0,909091</t>
  </si>
  <si>
    <t>0,454545</t>
  </si>
  <si>
    <t>0,5</t>
  </si>
  <si>
    <t>0,777778</t>
  </si>
  <si>
    <t>fcf846ad-cfb5-4b0d-b48e-b9fd04c50496</t>
  </si>
  <si>
    <t>fcf846ad-cfb5-4b0d-b48e-b9fd04c50496_1783490436530</t>
  </si>
  <si>
    <t>JUAL TANAMAN BONSAI( Y.M.VIANNEY DADU LEIN)</t>
  </si>
  <si>
    <t>0,196078</t>
  </si>
  <si>
    <t>https://fasih-sm.bps.go.id/app/assignment/fd68e454-ba45-4b85-8205-f3bf777ded24/fcf846ad-cfb5-4b0d-b48e-b9fd04c50496</t>
  </si>
  <si>
    <t>0,6</t>
  </si>
  <si>
    <t>0,25</t>
  </si>
  <si>
    <t>0,666667</t>
  </si>
  <si>
    <t>80af4909-885c-4c4c-ae41-8af291f501ea</t>
  </si>
  <si>
    <t>80af4909-885c-4c4c-ae41-8af291f501ea_1791182301030</t>
  </si>
  <si>
    <t>Kehutanan</t>
  </si>
  <si>
    <t>0,075</t>
  </si>
  <si>
    <t>https://fasih-sm.bps.go.id/app/assignment/fd68e454-ba45-4b85-8205-f3bf777ded24/80af4909-885c-4c4c-ae41-8af291f501ea</t>
  </si>
  <si>
    <t>cf8f8312-7915-4a6c-a393-f05d4f4894f1</t>
  </si>
  <si>
    <t>cf8f8312-7915-4a6c-a393-f05d4f4894f1_1792045796577</t>
  </si>
  <si>
    <t>TUKANG SENSOR KAYU &lt;FINSI&gt;</t>
  </si>
  <si>
    <t>0,95</t>
  </si>
  <si>
    <t>https://fasih-sm.bps.go.id/app/assignment/fd68e454-ba45-4b85-8205-f3bf777ded24/cf8f8312-7915-4a6c-a393-f05d4f4894f1</t>
  </si>
  <si>
    <t>f67188a7-a70e-40ea-99e2-6521d05bf000</t>
  </si>
  <si>
    <t>f67188a7-a70e-40ea-99e2-6521d05bf000_1792213560873</t>
  </si>
  <si>
    <t>USAHA TANAMAN JATI (KLODEN)</t>
  </si>
  <si>
    <t>https://fasih-sm.bps.go.id/app/assignment/fd68e454-ba45-4b85-8205-f3bf777ded24/f67188a7-a70e-40ea-99e2-6521d05bf000</t>
  </si>
  <si>
    <t>0,555556</t>
  </si>
  <si>
    <t>a352dc06-b399-443f-bdc5-b53811814c2e</t>
  </si>
  <si>
    <t>a352dc06-b399-443f-bdc5-b53811814c2e_1791206485770</t>
  </si>
  <si>
    <t>KANTOR DESA PATISIRAWALANG</t>
  </si>
  <si>
    <t>26666666,67</t>
  </si>
  <si>
    <t>https://fasih-sm.bps.go.id/app/assignment/fd68e454-ba45-4b85-8205-f3bf777ded24/a352dc06-b399-443f-bdc5-b53811814c2e</t>
  </si>
  <si>
    <t>5972ccee-0254-4130-93e3-bdce0677230c</t>
  </si>
  <si>
    <t>5972ccee-0254-4130-93e3-bdce0677230c_1791120672259</t>
  </si>
  <si>
    <t>USAHA KELILING (MARTINUS)</t>
  </si>
  <si>
    <t>0,104167</t>
  </si>
  <si>
    <t>https://fasih-sm.bps.go.id/app/assignment/fd68e454-ba45-4b85-8205-f3bf777ded24/5972ccee-0254-4130-93e3-bdce0677230c</t>
  </si>
  <si>
    <t>0470f905-47b8-4a76-905b-779f4c1053ae</t>
  </si>
  <si>
    <t>0470f905-47b8-4a76-905b-779f4c1053ae_1791052508074</t>
  </si>
  <si>
    <t>USAHA PERDAGANGAN SAYUR(MARIA LELU SUBAN)</t>
  </si>
  <si>
    <t>0,852679</t>
  </si>
  <si>
    <t>https://fasih-sm.bps.go.id/app/assignment/fd68e454-ba45-4b85-8205-f3bf777ded24/0470f905-47b8-4a76-905b-779f4c1053ae</t>
  </si>
  <si>
    <t>2c70054d-76a5-4cc0-bf4a-17e62a19a610</t>
  </si>
  <si>
    <t>2c70054d-76a5-4cc0-bf4a-17e62a19a610_1791073569185</t>
  </si>
  <si>
    <t>PENJUAL SAYUR (FLORENTINA TUPE INA)</t>
  </si>
  <si>
    <t>https://fasih-sm.bps.go.id/app/assignment/fd68e454-ba45-4b85-8205-f3bf777ded24/2c70054d-76a5-4cc0-bf4a-17e62a19a610</t>
  </si>
  <si>
    <t>6d0d4a6f-0450-4071-b0ec-636edd61a462</t>
  </si>
  <si>
    <t>6d0d4a6f-0450-4071-b0ec-636edd61a462_1791172720331</t>
  </si>
  <si>
    <t>UTP USAHA JUAL SAYUR (YASINTA LIPAT SUBA)</t>
  </si>
  <si>
    <t>https://fasih-sm.bps.go.id/app/assignment/fd68e454-ba45-4b85-8205-f3bf777ded24/6d0d4a6f-0450-4071-b0ec-636edd61a462</t>
  </si>
  <si>
    <t>9cba1f4c-637a-4a97-b173-0b8b6ed718d7</t>
  </si>
  <si>
    <t>9cba1f4c-637a-4a97-b173-0b8b6ed718d7_1791202916379</t>
  </si>
  <si>
    <t>JUAL BAWANG JR</t>
  </si>
  <si>
    <t>0,571429</t>
  </si>
  <si>
    <t>https://fasih-sm.bps.go.id/app/assignment/fd68e454-ba45-4b85-8205-f3bf777ded24/9cba1f4c-637a-4a97-b173-0b8b6ed718d7</t>
  </si>
  <si>
    <t>b16c8f85-1eb0-4d0e-bdf7-f85f7d0cfbc2</t>
  </si>
  <si>
    <t>b16c8f85-1eb0-4d0e-bdf7-f85f7d0cfbc2_1791257982469</t>
  </si>
  <si>
    <t>UTP PEDAGANG SAYUR (ROSALIA DERAN NAMA)</t>
  </si>
  <si>
    <t>0,61149</t>
  </si>
  <si>
    <t>https://fasih-sm.bps.go.id/app/assignment/fd68e454-ba45-4b85-8205-f3bf777ded24/b16c8f85-1eb0-4d0e-bdf7-f85f7d0cfbc2</t>
  </si>
  <si>
    <t>b1996660-f354-4b17-b2ac-269ec4d7db25</t>
  </si>
  <si>
    <t>b1996660-f354-4b17-b2ac-269ec4d7db25_1791258090285</t>
  </si>
  <si>
    <t>PENJUAL SAYUR (MARIA)</t>
  </si>
  <si>
    <t>0,045045</t>
  </si>
  <si>
    <t>https://fasih-sm.bps.go.id/app/assignment/fd68e454-ba45-4b85-8205-f3bf777ded24/b1996660-f354-4b17-b2ac-269ec4d7db25</t>
  </si>
  <si>
    <t>c65e9441-fb49-4646-b4e0-eb760b929607</t>
  </si>
  <si>
    <t>c65e9441-fb49-4646-b4e0-eb760b929607_1789295155435</t>
  </si>
  <si>
    <t>USAHA JUAL SAYUR(ANA PAI TUKAN)</t>
  </si>
  <si>
    <t>https://fasih-sm.bps.go.id/app/assignment/fd68e454-ba45-4b85-8205-f3bf777ded24/c65e9441-fb49-4646-b4e0-eb760b929607</t>
  </si>
  <si>
    <t>e634b6ba-027d-4536-84c7-3ca21c5109d0</t>
  </si>
  <si>
    <t>e634b6ba-027d-4536-84c7-3ca21c5109d0_1790374139616</t>
  </si>
  <si>
    <t>KIOS SAYUR ANGGA</t>
  </si>
  <si>
    <t>https://fasih-sm.bps.go.id/app/assignment/fd68e454-ba45-4b85-8205-f3bf777ded24/e634b6ba-027d-4536-84c7-3ca21c5109d0</t>
  </si>
  <si>
    <t>e8b99b3b-942a-44a9-9078-4ef07b08b589</t>
  </si>
  <si>
    <t>e8b99b3b-942a-44a9-9078-4ef07b08b589_1788329997962</t>
  </si>
  <si>
    <t>JUAL SAYUR&lt;LUSIA OSANG KESIN&gt;</t>
  </si>
  <si>
    <t>0,4</t>
  </si>
  <si>
    <t>https://fasih-sm.bps.go.id/app/assignment/fd68e454-ba45-4b85-8205-f3bf777ded24/e8b99b3b-942a-44a9-9078-4ef07b08b589</t>
  </si>
  <si>
    <t>ffaf74a0-399c-426b-8959-99ea8f52cacd</t>
  </si>
  <si>
    <t>ffaf74a0-399c-426b-8959-99ea8f52cacd_1789662157820</t>
  </si>
  <si>
    <t>JUAL IKAN KELILING</t>
  </si>
  <si>
    <t>0,333333</t>
  </si>
  <si>
    <t>https://fasih-sm.bps.go.id/app/assignment/fd68e454-ba45-4b85-8205-f3bf777ded24/ffaf74a0-399c-426b-8959-99ea8f52cacd</t>
  </si>
  <si>
    <t>14f6c782-fc84-4fc7-9aed-ced4147a2a1b</t>
  </si>
  <si>
    <t>14f6c782-fc84-4fc7-9aed-ced4147a2a1b_1791061215664</t>
  </si>
  <si>
    <t>USAHA PERDAGANGAN (KATARINA SOGEN)</t>
  </si>
  <si>
    <t>0,315789</t>
  </si>
  <si>
    <t>https://fasih-sm.bps.go.id/app/assignment/fd68e454-ba45-4b85-8205-f3bf777ded24/14f6c782-fc84-4fc7-9aed-ced4147a2a1b</t>
  </si>
  <si>
    <t>7c249487-172b-4e18-bc8e-e622321670b1</t>
  </si>
  <si>
    <t>7c249487-172b-4e18-bc8e-e622321670b1_1791180294417</t>
  </si>
  <si>
    <t>USAHA PERDAGANGAN (NORTIANA KEWA NAREK)</t>
  </si>
  <si>
    <t>0,394737</t>
  </si>
  <si>
    <t>https://fasih-sm.bps.go.id/app/assignment/fd68e454-ba45-4b85-8205-f3bf777ded24/7c249487-172b-4e18-bc8e-e622321670b1</t>
  </si>
  <si>
    <t>8da1f35e-ece1-4c68-9139-334810e47dc1</t>
  </si>
  <si>
    <t>8da1f35e-ece1-4c68-9139-334810e47dc1_1791194907466</t>
  </si>
  <si>
    <t>PENJUAL IKAN ABU (ABU AJUN)</t>
  </si>
  <si>
    <t>0,62963</t>
  </si>
  <si>
    <t>https://fasih-sm.bps.go.id/app/assignment/fd68e454-ba45-4b85-8205-f3bf777ded24/8da1f35e-ece1-4c68-9139-334810e47dc1</t>
  </si>
  <si>
    <t>c49b625c-c755-4d0d-a304-28155d55d701</t>
  </si>
  <si>
    <t>c49b625c-c755-4d0d-a304-28155d55d701_1786061718246</t>
  </si>
  <si>
    <t>USAHA PERDAGANGAN (HELENA KOLIN)</t>
  </si>
  <si>
    <t>0,833333</t>
  </si>
  <si>
    <t>https://fasih-sm.bps.go.id/app/assignment/fd68e454-ba45-4b85-8205-f3bf777ded24/c49b625c-c755-4d0d-a304-28155d55d701</t>
  </si>
  <si>
    <t>4f911881-7662-4a78-8c0d-6b8656126f9b</t>
  </si>
  <si>
    <t>4f911881-7662-4a78-8c0d-6b8656126f9b_1791115482330</t>
  </si>
  <si>
    <t>USAHA AYAM PETELUR ALEKSANDER TODO DIKEN</t>
  </si>
  <si>
    <t>0,611111</t>
  </si>
  <si>
    <t>https://fasih-sm.bps.go.id/app/assignment/fd68e454-ba45-4b85-8205-f3bf777ded24/4f911881-7662-4a78-8c0d-6b8656126f9b</t>
  </si>
  <si>
    <t>1a30d2c8-23de-4fd3-9a18-eeb1c9efdaeb</t>
  </si>
  <si>
    <t>1a30d2c8-23de-4fd3-9a18-eeb1c9efdaeb_1791063949565</t>
  </si>
  <si>
    <t>USAHA MADU HUTAN FLORES TIMUR</t>
  </si>
  <si>
    <t>0,05</t>
  </si>
  <si>
    <t>https://fasih-sm.bps.go.id/app/assignment/fd68e454-ba45-4b85-8205-f3bf777ded24/1a30d2c8-23de-4fd3-9a18-eeb1c9efdaeb</t>
  </si>
  <si>
    <t>38df85f1-4448-47bd-b0c6-6efc86365756</t>
  </si>
  <si>
    <t>38df85f1-4448-47bd-b0c6-6efc86365756_1791080254798</t>
  </si>
  <si>
    <t>UTP perkebunan(Aloysius)</t>
  </si>
  <si>
    <t>https://fasih-sm.bps.go.id/app/assignment/fd68e454-ba45-4b85-8205-f3bf777ded24/38df85f1-4448-47bd-b0c6-6efc86365756</t>
  </si>
  <si>
    <t>3fd5c539-46b9-4bf2-9184-973e90e6226c</t>
  </si>
  <si>
    <t>3fd5c539-46b9-4bf2-9184-973e90e6226c_1791083748491</t>
  </si>
  <si>
    <t>USAHA MADU</t>
  </si>
  <si>
    <t>0,875</t>
  </si>
  <si>
    <t>https://fasih-sm.bps.go.id/app/assignment/fd68e454-ba45-4b85-8205-f3bf777ded24/3fd5c539-46b9-4bf2-9184-973e90e6226c</t>
  </si>
  <si>
    <t>4202dab7-1d36-480e-9678-82beb70fac84</t>
  </si>
  <si>
    <t>4202dab7-1d36-480e-9678-82beb70fac84_1792390650524</t>
  </si>
  <si>
    <t>UTP PETERNAKAN ( NADUS)</t>
  </si>
  <si>
    <t>https://fasih-sm.bps.go.id/app/assignment/fd68e454-ba45-4b85-8205-f3bf777ded24/4202dab7-1d36-480e-9678-82beb70fac84</t>
  </si>
  <si>
    <t>4802dd64-2bea-41e1-aecf-85ff0ca38279</t>
  </si>
  <si>
    <t>4802dd64-2bea-41e1-aecf-85ff0ca38279_1791111519703</t>
  </si>
  <si>
    <t>Penjualan ikan keliling</t>
  </si>
  <si>
    <t>0,888889</t>
  </si>
  <si>
    <t>https://fasih-sm.bps.go.id/app/assignment/fd68e454-ba45-4b85-8205-f3bf777ded24/4802dd64-2bea-41e1-aecf-85ff0ca38279</t>
  </si>
  <si>
    <t>650dfa12-c07c-4c53-9257-6e0180d088a1</t>
  </si>
  <si>
    <t>650dfa12-c07c-4c53-9257-6e0180d088a1_1791126174084</t>
  </si>
  <si>
    <t>UTP PETERNAKAN BABI(NIKOLAUS KOPONG PATI)</t>
  </si>
  <si>
    <t>https://fasih-sm.bps.go.id/app/assignment/fd68e454-ba45-4b85-8205-f3bf777ded24/650dfa12-c07c-4c53-9257-6e0180d088a1</t>
  </si>
  <si>
    <t>aa8f0a32-e8de-4b2f-9ff2-ceb93da3ed8f</t>
  </si>
  <si>
    <t>aa8f0a32-e8de-4b2f-9ff2-ceb93da3ed8f_1791209653117</t>
  </si>
  <si>
    <t>WARUNG SATE MADURA AHMAD RIZAL</t>
  </si>
  <si>
    <t>https://fasih-sm.bps.go.id/app/assignment/fd68e454-ba45-4b85-8205-f3bf777ded24/aa8f0a32-e8de-4b2f-9ff2-ceb93da3ed8f</t>
  </si>
  <si>
    <t>c1c7b572-1218-4871-99ce-0836c8557956</t>
  </si>
  <si>
    <t>c1c7b572-1218-4871-99ce-0836c8557956_1792564581606</t>
  </si>
  <si>
    <t>IKAN LELE (YOHANA ANGELANURAN</t>
  </si>
  <si>
    <t>0,2</t>
  </si>
  <si>
    <t>https://fasih-sm.bps.go.id/app/assignment/fd68e454-ba45-4b85-8205-f3bf777ded24/c1c7b572-1218-4871-99ce-0836c8557956</t>
  </si>
  <si>
    <t>d0844879-c23e-4c76-8bee-2ac630e748b6</t>
  </si>
  <si>
    <t>d0844879-c23e-4c76-8bee-2ac630e748b6_1789634117353</t>
  </si>
  <si>
    <t>UTP PENGEPUL PISANG(TADEUS SEMUS PAYONG HURIT)</t>
  </si>
  <si>
    <t>https://fasih-sm.bps.go.id/app/assignment/fd68e454-ba45-4b85-8205-f3bf777ded24/d0844879-c23e-4c76-8bee-2ac630e748b6</t>
  </si>
  <si>
    <t>3a5fb3df-69a3-41a8-902f-ee5a0b71ae99</t>
  </si>
  <si>
    <t>3a5fb3df-69a3-41a8-902f-ee5a0b71ae99_1791081005408</t>
  </si>
  <si>
    <t>TOKO ROYAL</t>
  </si>
  <si>
    <t>https://fasih-sm.bps.go.id/app/assignment/fd68e454-ba45-4b85-8205-f3bf777ded24/3a5fb3df-69a3-41a8-902f-ee5a0b71ae99</t>
  </si>
  <si>
    <t>2316cad4-a9be-4822-bb18-be0aa3bcf8c8</t>
  </si>
  <si>
    <t>2316cad4-a9be-4822-bb18-be0aa3bcf8c8_1791068594861</t>
  </si>
  <si>
    <t>JUAL ES BATU (BAHRIA)</t>
  </si>
  <si>
    <t>0,422535</t>
  </si>
  <si>
    <t>https://fasih-sm.bps.go.id/app/assignment/fd68e454-ba45-4b85-8205-f3bf777ded24/2316cad4-a9be-4822-bb18-be0aa3bcf8c8</t>
  </si>
  <si>
    <t>27f80337-e5c9-4921-9893-31cccfe93cc3</t>
  </si>
  <si>
    <t>27f80337-e5c9-4921-9893-31cccfe93cc3_1791071139010</t>
  </si>
  <si>
    <t>UTP PENYEDIA MAKANAN DAN MINUMAN (ANJELINA ENA)</t>
  </si>
  <si>
    <t>https://fasih-sm.bps.go.id/app/assignment/fd68e454-ba45-4b85-8205-f3bf777ded24/27f80337-e5c9-4921-9893-31cccfe93cc3</t>
  </si>
  <si>
    <t>ca1681d8-2e7e-4090-b71f-388d4e688ebd</t>
  </si>
  <si>
    <t>ca1681d8-2e7e-4090-b71f-388d4e688ebd_1790373049410</t>
  </si>
  <si>
    <t>JUAL ES CENDOL (DAHLIA)</t>
  </si>
  <si>
    <t>0,75</t>
  </si>
  <si>
    <t>https://fasih-sm.bps.go.id/app/assignment/fd68e454-ba45-4b85-8205-f3bf777ded24/ca1681d8-2e7e-4090-b71f-388d4e688ebd</t>
  </si>
  <si>
    <t>fd70a967-aa00-4795-b28e-5ca6eb2d30cb</t>
  </si>
  <si>
    <t>fd70a967-aa00-4795-b28e-5ca6eb2d30cb_1792562126197</t>
  </si>
  <si>
    <t>FORT DISTRO</t>
  </si>
  <si>
    <t>0,416667</t>
  </si>
  <si>
    <t>https://fasih-sm.bps.go.id/app/assignment/fd68e454-ba45-4b85-8205-f3bf777ded24/fd70a967-aa00-4795-b28e-5ca6eb2d30cb</t>
  </si>
  <si>
    <t>38637d0c-94fb-4c47-8d1d-f6f334287a86</t>
  </si>
  <si>
    <t>38637d0c-94fb-4c47-8d1d-f6f334287a86_1791079877212</t>
  </si>
  <si>
    <t>MENJUAL ANEKA SEMBAKO ECERAN (ELISABET)</t>
  </si>
  <si>
    <t>https://fasih-sm.bps.go.id/app/assignment/fd68e454-ba45-4b85-8205-f3bf777ded24/38637d0c-94fb-4c47-8d1d-f6f334287a86</t>
  </si>
  <si>
    <t>4eeb24e9-cabd-4058-85ae-7702460cc70b</t>
  </si>
  <si>
    <t>4eeb24e9-cabd-4058-85ae-7702460cc70b_1791115154652</t>
  </si>
  <si>
    <t>KIOS SARAH (MUNIRAH)</t>
  </si>
  <si>
    <t>0,746269</t>
  </si>
  <si>
    <t>https://fasih-sm.bps.go.id/app/assignment/fd68e454-ba45-4b85-8205-f3bf777ded24/4eeb24e9-cabd-4058-85ae-7702460cc70b</t>
  </si>
  <si>
    <t>51ed7036-2df4-4d3c-8d48-690fa9d10397</t>
  </si>
  <si>
    <t>51ed7036-2df4-4d3c-8d48-690fa9d10397_1791116735750</t>
  </si>
  <si>
    <t>UTP KIOS (SIMON SILI OSAN)</t>
  </si>
  <si>
    <t>https://fasih-sm.bps.go.id/app/assignment/fd68e454-ba45-4b85-8205-f3bf777ded24/51ed7036-2df4-4d3c-8d48-690fa9d10397</t>
  </si>
  <si>
    <t>5572f786-8a5c-417e-bef0-a2aee1b6c3e2</t>
  </si>
  <si>
    <t>5572f786-8a5c-417e-bef0-a2aee1b6c3e2_1791118559909</t>
  </si>
  <si>
    <t>KIOS (KAROLINA TULIT RAPOK)</t>
  </si>
  <si>
    <t>https://fasih-sm.bps.go.id/app/assignment/fd68e454-ba45-4b85-8205-f3bf777ded24/5572f786-8a5c-417e-bef0-a2aee1b6c3e2</t>
  </si>
  <si>
    <t>56e36c76-5b1c-4222-bdcb-028355152b71</t>
  </si>
  <si>
    <t>56e36c76-5b1c-4222-bdcb-028355152b71_1791119302415</t>
  </si>
  <si>
    <t>KIOS FATHIR FARHAN</t>
  </si>
  <si>
    <t>https://fasih-sm.bps.go.id/app/assignment/fd68e454-ba45-4b85-8205-f3bf777ded24/56e36c76-5b1c-4222-bdcb-028355152b71</t>
  </si>
  <si>
    <t>6ae7c1b5-f0cb-4fea-8742-03ea5a394f44</t>
  </si>
  <si>
    <t>6ae7c1b5-f0cb-4fea-8742-03ea5a394f44_1791171790249</t>
  </si>
  <si>
    <t>AJ MART</t>
  </si>
  <si>
    <t>0,166667</t>
  </si>
  <si>
    <t>https://fasih-sm.bps.go.id/app/assignment/fd68e454-ba45-4b85-8205-f3bf777ded24/6ae7c1b5-f0cb-4fea-8742-03ea5a394f44</t>
  </si>
  <si>
    <t>6af5ddc6-f4b8-4286-ae66-f364d0834c47</t>
  </si>
  <si>
    <t>6af5ddc6-f4b8-4286-ae66-f364d0834c47_1791171817733</t>
  </si>
  <si>
    <t>KIOS AISYAH</t>
  </si>
  <si>
    <t>0,770028</t>
  </si>
  <si>
    <t>https://fasih-sm.bps.go.id/app/assignment/fd68e454-ba45-4b85-8205-f3bf777ded24/6af5ddc6-f4b8-4286-ae66-f364d0834c47</t>
  </si>
  <si>
    <t>94437398-49ed-4ed4-a568-bf658f388532</t>
  </si>
  <si>
    <t>94437398-49ed-4ed4-a568-bf658f388532_1791198361302</t>
  </si>
  <si>
    <t>KIOS MARIETA</t>
  </si>
  <si>
    <t>0,428571</t>
  </si>
  <si>
    <t>https://fasih-sm.bps.go.id/app/assignment/fd68e454-ba45-4b85-8205-f3bf777ded24/94437398-49ed-4ed4-a568-bf658f388532</t>
  </si>
  <si>
    <t>9a0c961d-451b-4855-bb50-d1c74c86793a</t>
  </si>
  <si>
    <t>9a0c961d-451b-4855-bb50-d1c74c86793a_1791201459695</t>
  </si>
  <si>
    <t>KIOS ARELA</t>
  </si>
  <si>
    <t>https://fasih-sm.bps.go.id/app/assignment/fd68e454-ba45-4b85-8205-f3bf777ded24/9a0c961d-451b-4855-bb50-d1c74c86793a</t>
  </si>
  <si>
    <t>ac3307b7-0c2c-4a15-a9bb-f43d7c19a4c7</t>
  </si>
  <si>
    <t>ac3307b7-0c2c-4a15-a9bb-f43d7c19a4c7_1791210494610</t>
  </si>
  <si>
    <t>KIOS JOGUEZD</t>
  </si>
  <si>
    <t>0,133333</t>
  </si>
  <si>
    <t>https://fasih-sm.bps.go.id/app/assignment/fd68e454-ba45-4b85-8205-f3bf777ded24/ac3307b7-0c2c-4a15-a9bb-f43d7c19a4c7</t>
  </si>
  <si>
    <t>b622bf92-00f0-46b9-be0d-6de2579f6e63</t>
  </si>
  <si>
    <t>b622bf92-00f0-46b9-be0d-6de2579f6e63_1791260410632</t>
  </si>
  <si>
    <t>KEDAI KOPI DAN GORENGAN BENADETH</t>
  </si>
  <si>
    <t>0,1</t>
  </si>
  <si>
    <t>https://fasih-sm.bps.go.id/app/assignment/fd68e454-ba45-4b85-8205-f3bf777ded24/b622bf92-00f0-46b9-be0d-6de2579f6e63</t>
  </si>
  <si>
    <t>baa5b26c-ca3d-4f6e-82ed-56ebe1a1579a</t>
  </si>
  <si>
    <t>baa5b26c-ca3d-4f6e-82ed-56ebe1a1579a_1787674956698</t>
  </si>
  <si>
    <t>UTP KIOS (ADE RIAN)</t>
  </si>
  <si>
    <t>0,411765</t>
  </si>
  <si>
    <t>https://fasih-sm.bps.go.id/app/assignment/fd68e454-ba45-4b85-8205-f3bf777ded24/baa5b26c-ca3d-4f6e-82ed-56ebe1a1579a</t>
  </si>
  <si>
    <t>c65d692e-64b5-4f65-9f49-c609376d2602</t>
  </si>
  <si>
    <t>c65d692e-64b5-4f65-9f49-c609376d2602_1790078359002</t>
  </si>
  <si>
    <t>IMA TUTO LABA(RAHIMA TUTO LABA)</t>
  </si>
  <si>
    <t>0,32</t>
  </si>
  <si>
    <t>https://fasih-sm.bps.go.id/app/assignment/fd68e454-ba45-4b85-8205-f3bf777ded24/c65d692e-64b5-4f65-9f49-c609376d2602</t>
  </si>
  <si>
    <t>d2abc33f-1eb3-4417-8f52-b37a312dceca</t>
  </si>
  <si>
    <t>d2abc33f-1eb3-4417-8f52-b37a312dceca_1788778960532</t>
  </si>
  <si>
    <t>JUALAN NASI KUNING ( MARIA M TUKAN )</t>
  </si>
  <si>
    <t>0,018519</t>
  </si>
  <si>
    <t>https://fasih-sm.bps.go.id/app/assignment/fd68e454-ba45-4b85-8205-f3bf777ded24/d2abc33f-1eb3-4417-8f52-b37a312dceca</t>
  </si>
  <si>
    <t>f922caaf-afe9-4911-b0ad-ea6375320331</t>
  </si>
  <si>
    <t>f922caaf-afe9-4911-b0ad-ea6375320331_1790576758724</t>
  </si>
  <si>
    <t>GRAND MP</t>
  </si>
  <si>
    <t>https://fasih-sm.bps.go.id/app/assignment/fd68e454-ba45-4b85-8205-f3bf777ded24/f922caaf-afe9-4911-b0ad-ea6375320331</t>
  </si>
  <si>
    <t>8cec8b38-888f-4da8-a977-8a6a8dc22251</t>
  </si>
  <si>
    <t>8cec8b38-888f-4da8-a977-8a6a8dc22251_1791771979401</t>
  </si>
  <si>
    <t>USAHA JUALAN KAIN TENUN (YOSEP PETEN WATI)</t>
  </si>
  <si>
    <t>https://fasih-sm.bps.go.id/app/assignment/fd68e454-ba45-4b85-8205-f3bf777ded24/8cec8b38-888f-4da8-a977-8a6a8dc22251</t>
  </si>
  <si>
    <t>71018bb8-e189-4586-80bb-986481103f69</t>
  </si>
  <si>
    <t>71018bb8-e189-4586-80bb-986481103f69_1791174497383</t>
  </si>
  <si>
    <t>KIOS ELKA</t>
  </si>
  <si>
    <t>https://fasih-sm.bps.go.id/app/assignment/fd68e454-ba45-4b85-8205-f3bf777ded24/71018bb8-e189-4586-80bb-986481103f69</t>
  </si>
  <si>
    <t>e11ec15c-033c-4229-a37f-d11cbda15871</t>
  </si>
  <si>
    <t>e11ec15c-033c-4229-a37f-d11cbda15871_1784721862264</t>
  </si>
  <si>
    <t>BENGKEL MOTOR.</t>
  </si>
  <si>
    <t>0,027397</t>
  </si>
  <si>
    <t>https://fasih-sm.bps.go.id/app/assignment/fd68e454-ba45-4b85-8205-f3bf777ded24/e11ec15c-033c-4229-a37f-d11cbda15871</t>
  </si>
  <si>
    <t>fb609150-f005-420a-946f-594fef87e117</t>
  </si>
  <si>
    <t>fb609150-f005-420a-946f-594fef87e117_1790374139254</t>
  </si>
  <si>
    <t>JUAL MOTOR BEKAS</t>
  </si>
  <si>
    <t>0,388889</t>
  </si>
  <si>
    <t>https://fasih-sm.bps.go.id/app/assignment/fd68e454-ba45-4b85-8205-f3bf777ded24/fb609150-f005-420a-946f-594fef87e117</t>
  </si>
  <si>
    <t>41746c29-8b12-4e2d-b891-20e6ff57adb9</t>
  </si>
  <si>
    <t>41746c29-8b12-4e2d-b891-20e6ff57adb9_1791084472663</t>
  </si>
  <si>
    <t>BUSET SARI MOTOR &lt;PIUS PAJI LEIN&gt;</t>
  </si>
  <si>
    <t>https://fasih-sm.bps.go.id/app/assignment/fd68e454-ba45-4b85-8205-f3bf777ded24/41746c29-8b12-4e2d-b891-20e6ff57adb9</t>
  </si>
  <si>
    <t>82fcd4fa-5a96-4f7b-b471-7c5acbe7e4fb</t>
  </si>
  <si>
    <t>82fcd4fa-5a96-4f7b-b471-7c5acbe7e4fb_1791183304105</t>
  </si>
  <si>
    <t>PERTAMINA PATRA NIAGA,PT FUEL TERMINAL</t>
  </si>
  <si>
    <t>https://fasih-sm.bps.go.id/app/assignment/fd68e454-ba45-4b85-8205-f3bf777ded24/82fcd4fa-5a96-4f7b-b471-7c5acbe7e4fb</t>
  </si>
  <si>
    <t>a2cfbce2-25c0-427f-810b-d950d68eb26e</t>
  </si>
  <si>
    <t>a2cfbce2-25c0-427f-810b-d950d68eb26e_1791206246777</t>
  </si>
  <si>
    <t>KONTRUKSI BATU BATA</t>
  </si>
  <si>
    <t>0,189189</t>
  </si>
  <si>
    <t>https://fasih-sm.bps.go.id/app/assignment/fd68e454-ba45-4b85-8205-f3bf777ded24/a2cfbce2-25c0-427f-810b-d950d68eb26e</t>
  </si>
  <si>
    <t>74be78d3-f523-462b-bde8-d658724aa215</t>
  </si>
  <si>
    <t>74be78d3-f523-462b-bde8-d658724aa215_1791176370988</t>
  </si>
  <si>
    <t>TOKO METRO(SUN FRANSISKUS RIVENDI PAREIRA)</t>
  </si>
  <si>
    <t>0,342857</t>
  </si>
  <si>
    <t>https://fasih-sm.bps.go.id/app/assignment/fd68e454-ba45-4b85-8205-f3bf777ded24/74be78d3-f523-462b-bde8-d658724aa215</t>
  </si>
  <si>
    <t>7770ee2f-3061-44df-8186-425d635871c2</t>
  </si>
  <si>
    <t>7770ee2f-3061-44df-8186-425d635871c2_1787443326028</t>
  </si>
  <si>
    <t>DUMP TRUCK PASIR PIONEER</t>
  </si>
  <si>
    <t>0,177253</t>
  </si>
  <si>
    <t>https://fasih-sm.bps.go.id/app/assignment/fd68e454-ba45-4b85-8205-f3bf777ded24/7770ee2f-3061-44df-8186-425d635871c2</t>
  </si>
  <si>
    <t>b38e30b6-b530-4476-9cee-1fa698e49af5</t>
  </si>
  <si>
    <t>b38e30b6-b530-4476-9cee-1fa698e49af5_1791258987856</t>
  </si>
  <si>
    <t>TITI BATU</t>
  </si>
  <si>
    <t>0,583333</t>
  </si>
  <si>
    <t>https://fasih-sm.bps.go.id/app/assignment/fd68e454-ba45-4b85-8205-f3bf777ded24/b38e30b6-b530-4476-9cee-1fa698e49af5</t>
  </si>
  <si>
    <t>cae28d01-4dea-40f8-ab56-900ceaac25fe</t>
  </si>
  <si>
    <t>cae28d01-4dea-40f8-ab56-900ceaac25fe_1784268886336</t>
  </si>
  <si>
    <t>UTP PERDAGANGAN (YOSEP NIRON)</t>
  </si>
  <si>
    <t>https://fasih-sm.bps.go.id/app/assignment/fd68e454-ba45-4b85-8205-f3bf777ded24/cae28d01-4dea-40f8-ab56-900ceaac25fe</t>
  </si>
  <si>
    <t>cb3bd155-03e1-4eb8-92ad-da4d73f6104b</t>
  </si>
  <si>
    <t>cb3bd155-03e1-4eb8-92ad-da4d73f6104b_1790562542691</t>
  </si>
  <si>
    <t>GUDANG SEMEN ( MIKAEL SUSA BOLENG)</t>
  </si>
  <si>
    <t>0,808824</t>
  </si>
  <si>
    <t>https://fasih-sm.bps.go.id/app/assignment/fd68e454-ba45-4b85-8205-f3bf777ded24/cb3bd155-03e1-4eb8-92ad-da4d73f6104b</t>
  </si>
  <si>
    <t>2e8fe46f-b5c3-407c-80f5-30c5b5fc9592</t>
  </si>
  <si>
    <t>2e8fe46f-b5c3-407c-80f5-30c5b5fc9592_1791074678562</t>
  </si>
  <si>
    <t>TOKO GARUDA</t>
  </si>
  <si>
    <t>83333333,33</t>
  </si>
  <si>
    <t>https://fasih-sm.bps.go.id/app/assignment/fd68e454-ba45-4b85-8205-f3bf777ded24/2e8fe46f-b5c3-407c-80f5-30c5b5fc9592</t>
  </si>
  <si>
    <t>369ff27a-56ba-47ed-bb29-3e15a2f19b17</t>
  </si>
  <si>
    <t>369ff27a-56ba-47ed-bb29-3e15a2f19b17_1791078929933</t>
  </si>
  <si>
    <t>TOKO BANGUNAN (ALI SONGGE)</t>
  </si>
  <si>
    <t>0,761905</t>
  </si>
  <si>
    <t>0,48</t>
  </si>
  <si>
    <t>https://fasih-sm.bps.go.id/app/assignment/fd68e454-ba45-4b85-8205-f3bf777ded24/369ff27a-56ba-47ed-bb29-3e15a2f19b17</t>
  </si>
  <si>
    <t>b4b49daa-3ddc-46bc-96fa-2f3368ec6a37</t>
  </si>
  <si>
    <t>b4b49daa-3ddc-46bc-96fa-2f3368ec6a37_1791259652587</t>
  </si>
  <si>
    <t>TOKO INA SAYANG MARIA IVONE BHOTA</t>
  </si>
  <si>
    <t>38571428,57</t>
  </si>
  <si>
    <t>https://fasih-sm.bps.go.id/app/assignment/fd68e454-ba45-4b85-8205-f3bf777ded24/b4b49daa-3ddc-46bc-96fa-2f3368ec6a37</t>
  </si>
  <si>
    <t>c3499b44-8c3c-464a-bd5f-106bd43fa325</t>
  </si>
  <si>
    <t>c3499b44-8c3c-464a-bd5f-106bd43fa325_1787589482894</t>
  </si>
  <si>
    <t>USAHA JUALAN BAHAN BANGUNAN (GERGORIUS TUKAN URAN)</t>
  </si>
  <si>
    <t>0,480916</t>
  </si>
  <si>
    <t>https://fasih-sm.bps.go.id/app/assignment/fd68e454-ba45-4b85-8205-f3bf777ded24/c3499b44-8c3c-464a-bd5f-106bd43fa325</t>
  </si>
  <si>
    <t>ff9d1b35-ae6c-4797-86dc-9374027fbf25</t>
  </si>
  <si>
    <t>ff9d1b35-ae6c-4797-86dc-9374027fbf25_1790374140274</t>
  </si>
  <si>
    <t>TOKO SARANA BANGUNAN (RISWANTO WONG)</t>
  </si>
  <si>
    <t>0,37037</t>
  </si>
  <si>
    <t>https://fasih-sm.bps.go.id/app/assignment/fd68e454-ba45-4b85-8205-f3bf777ded24/ff9d1b35-ae6c-4797-86dc-9374027fbf25</t>
  </si>
  <si>
    <t>c6d45ba1-040f-4870-b761-c9af8259e2e9</t>
  </si>
  <si>
    <t>c6d45ba1-040f-4870-b761-c9af8259e2e9_1788994093132</t>
  </si>
  <si>
    <t>PERDAGANGAN GROSIR DAN ECERAN</t>
  </si>
  <si>
    <t>0,452368</t>
  </si>
  <si>
    <t>https://fasih-sm.bps.go.id/app/assignment/fd68e454-ba45-4b85-8205-f3bf777ded24/c6d45ba1-040f-4870-b761-c9af8259e2e9</t>
  </si>
  <si>
    <t>71b4b86c-c13a-4770-945a-33c80e6a5f02</t>
  </si>
  <si>
    <t>71b4b86c-c13a-4770-945a-33c80e6a5f02_1791174829539</t>
  </si>
  <si>
    <t>USAHA BESI TUA (REZA JULIANTO)</t>
  </si>
  <si>
    <t>0,784314</t>
  </si>
  <si>
    <t>https://fasih-sm.bps.go.id/app/assignment/fd68e454-ba45-4b85-8205-f3bf777ded24/71b4b86c-c13a-4770-945a-33c80e6a5f02</t>
  </si>
  <si>
    <t>a8e153fd-6f87-41e8-ad79-37997cf82ea7</t>
  </si>
  <si>
    <t>a8e153fd-6f87-41e8-ad79-37997cf82ea7_1791209130652</t>
  </si>
  <si>
    <t>PENGEPUL BESI (IDHAM)</t>
  </si>
  <si>
    <t>0,285714</t>
  </si>
  <si>
    <t>https://fasih-sm.bps.go.id/app/assignment/fd68e454-ba45-4b85-8205-f3bf777ded24/a8e153fd-6f87-41e8-ad79-37997cf82ea7</t>
  </si>
  <si>
    <t>fe0ba516-8145-415a-a7c8-8561a2172f42</t>
  </si>
  <si>
    <t>fe0ba516-8145-415a-a7c8-8561a2172f42_1790374134857</t>
  </si>
  <si>
    <t>TIMBANGAN BESI (SUATNO)</t>
  </si>
  <si>
    <t>73333333,33</t>
  </si>
  <si>
    <t>https://fasih-sm.bps.go.id/app/assignment/fd68e454-ba45-4b85-8205-f3bf777ded24/fe0ba516-8145-415a-a7c8-8561a2172f42</t>
  </si>
  <si>
    <t>f7a93793-d4af-4e38-bcbf-90b363329a73</t>
  </si>
  <si>
    <t>f7a93793-d4af-4e38-bcbf-90b363329a73_1790374137769</t>
  </si>
  <si>
    <t>JATI JAYA MEUBEL</t>
  </si>
  <si>
    <t>0,52</t>
  </si>
  <si>
    <t>https://fasih-sm.bps.go.id/app/assignment/fd68e454-ba45-4b85-8205-f3bf777ded24/f7a93793-d4af-4e38-bcbf-90b363329a73</t>
  </si>
  <si>
    <t>31c36422-4331-46b6-8532-8ebef32bea74</t>
  </si>
  <si>
    <t>31c36422-4331-46b6-8532-8ebef32bea74_1791076414439</t>
  </si>
  <si>
    <t>TOKO SURIA MARSELINA XAVERIANA LILIMANAK</t>
  </si>
  <si>
    <t>0,809524</t>
  </si>
  <si>
    <t>https://fasih-sm.bps.go.id/app/assignment/fd68e454-ba45-4b85-8205-f3bf777ded24/31c36422-4331-46b6-8532-8ebef32bea74</t>
  </si>
  <si>
    <t>850aa7c8-8aef-40e7-8e86-251867aaa234</t>
  </si>
  <si>
    <t>850aa7c8-8aef-40e7-8e86-251867aaa234_1792454045990</t>
  </si>
  <si>
    <t>TOKO SEMBAKO PAUL</t>
  </si>
  <si>
    <t>0,675676</t>
  </si>
  <si>
    <t>https://fasih-sm.bps.go.id/app/assignment/fd68e454-ba45-4b85-8205-f3bf777ded24/850aa7c8-8aef-40e7-8e86-251867aaa234</t>
  </si>
  <si>
    <t>0023e5ef-e11f-4b9e-9e3c-a6ffea87ce23</t>
  </si>
  <si>
    <t>0023e5ef-e11f-4b9e-9e3c-a6ffea87ce23_1792476358283</t>
  </si>
  <si>
    <t>KIOS SEMBAKO</t>
  </si>
  <si>
    <t>https://fasih-sm.bps.go.id/app/assignment/fd68e454-ba45-4b85-8205-f3bf777ded24/0023e5ef-e11f-4b9e-9e3c-a6ffea87ce23</t>
  </si>
  <si>
    <t>00998f57-cd64-49f1-8a60-3d31e7ebc9b8</t>
  </si>
  <si>
    <t>00998f57-cd64-49f1-8a60-3d31e7ebc9b8_1786377801971</t>
  </si>
  <si>
    <t>USAHA KIOS (FRANSISKA KEDANG)</t>
  </si>
  <si>
    <t>0,714286</t>
  </si>
  <si>
    <t>https://fasih-sm.bps.go.id/app/assignment/fd68e454-ba45-4b85-8205-f3bf777ded24/00998f57-cd64-49f1-8a60-3d31e7ebc9b8</t>
  </si>
  <si>
    <t>026ad39b-0786-4de6-bb95-6f342c3ea9cb</t>
  </si>
  <si>
    <t>026ad39b-0786-4de6-bb95-6f342c3ea9cb_1791051436781</t>
  </si>
  <si>
    <t>KIOS SEMBAKO ( PETRUS LEGA DULI)</t>
  </si>
  <si>
    <t>https://fasih-sm.bps.go.id/app/assignment/fd68e454-ba45-4b85-8205-f3bf777ded24/026ad39b-0786-4de6-bb95-6f342c3ea9cb</t>
  </si>
  <si>
    <t>04ba4abc-1b54-4672-8266-0eb79969c285</t>
  </si>
  <si>
    <t>04ba4abc-1b54-4672-8266-0eb79969c285_1791052638091</t>
  </si>
  <si>
    <t>KIOS RANI</t>
  </si>
  <si>
    <t>https://fasih-sm.bps.go.id/app/assignment/fd68e454-ba45-4b85-8205-f3bf777ded24/04ba4abc-1b54-4672-8266-0eb79969c285</t>
  </si>
  <si>
    <t>06597b68-aff5-4660-86d1-ec8b7c6345df</t>
  </si>
  <si>
    <t>06597b68-aff5-4660-86d1-ec8b7c6345df_1791053500047</t>
  </si>
  <si>
    <t>MONIKA DERAN SILI</t>
  </si>
  <si>
    <t>https://fasih-sm.bps.go.id/app/assignment/fd68e454-ba45-4b85-8205-f3bf777ded24/06597b68-aff5-4660-86d1-ec8b7c6345df</t>
  </si>
  <si>
    <t>0f394aa5-9051-4172-83de-45b19770a5f4</t>
  </si>
  <si>
    <t>0f394aa5-9051-4172-83de-45b19770a5f4_1791058092574</t>
  </si>
  <si>
    <t>KUOS AFRILIA (HERMANUS BEDA MASAN)</t>
  </si>
  <si>
    <t>36666666,67</t>
  </si>
  <si>
    <t>https://fasih-sm.bps.go.id/app/assignment/fd68e454-ba45-4b85-8205-f3bf777ded24/0f394aa5-9051-4172-83de-45b19770a5f4</t>
  </si>
  <si>
    <t>0ff1e300-d0a0-4235-81e4-aed9062efab1</t>
  </si>
  <si>
    <t>0ff1e300-d0a0-4235-81e4-aed9062efab1_1791058439063</t>
  </si>
  <si>
    <t>LAMAHALA MART</t>
  </si>
  <si>
    <t>https://fasih-sm.bps.go.id/app/assignment/fd68e454-ba45-4b85-8205-f3bf777ded24/0ff1e300-d0a0-4235-81e4-aed9062efab1</t>
  </si>
  <si>
    <t>1031504e-d05d-40fd-8b22-b8dd4b468752</t>
  </si>
  <si>
    <t>1031504e-d05d-40fd-8b22-b8dd4b468752_1791058660385</t>
  </si>
  <si>
    <t>KIOS (MARTINA KESE)</t>
  </si>
  <si>
    <t>https://fasih-sm.bps.go.id/app/assignment/fd68e454-ba45-4b85-8205-f3bf777ded24/1031504e-d05d-40fd-8b22-b8dd4b468752</t>
  </si>
  <si>
    <t>114f7748-2a5c-4562-adee-f887a2ba9832</t>
  </si>
  <si>
    <t>114f7748-2a5c-4562-adee-f887a2ba9832_1791059177152</t>
  </si>
  <si>
    <t>MURING BOLENG</t>
  </si>
  <si>
    <t>0,865504</t>
  </si>
  <si>
    <t>https://fasih-sm.bps.go.id/app/assignment/fd68e454-ba45-4b85-8205-f3bf777ded24/114f7748-2a5c-4562-adee-f887a2ba9832</t>
  </si>
  <si>
    <t>144c0e92-14a8-42c0-836b-263842739302</t>
  </si>
  <si>
    <t>144c0e92-14a8-42c0-836b-263842739302_1791060798173</t>
  </si>
  <si>
    <t>https://fasih-sm.bps.go.id/app/assignment/fd68e454-ba45-4b85-8205-f3bf777ded24/144c0e92-14a8-42c0-836b-263842739302</t>
  </si>
  <si>
    <t>1689bdd4-8e9e-4f61-983f-d77db1878167</t>
  </si>
  <si>
    <t>1689bdd4-8e9e-4f61-983f-d77db1878167_1791061934759</t>
  </si>
  <si>
    <t>KIOS YUIANA ATI SREMA</t>
  </si>
  <si>
    <t>0,367167</t>
  </si>
  <si>
    <t>https://fasih-sm.bps.go.id/app/assignment/fd68e454-ba45-4b85-8205-f3bf777ded24/1689bdd4-8e9e-4f61-983f-d77db1878167</t>
  </si>
  <si>
    <t>16e6cef3-7939-4d14-8a93-78a222646360</t>
  </si>
  <si>
    <t>16e6cef3-7939-4d14-8a93-78a222646360_1791062238477</t>
  </si>
  <si>
    <t>KIOS (MARIA GORETI DAI OLA)</t>
  </si>
  <si>
    <t>0,444444</t>
  </si>
  <si>
    <t>https://fasih-sm.bps.go.id/app/assignment/fd68e454-ba45-4b85-8205-f3bf777ded24/16e6cef3-7939-4d14-8a93-78a222646360</t>
  </si>
  <si>
    <t>184e14f9-8db8-4639-9864-6251cd4fd4b3</t>
  </si>
  <si>
    <t>184e14f9-8db8-4639-9864-6251cd4fd4b3_1791062937768</t>
  </si>
  <si>
    <t>USAHA KIOS SEMBAKO (MURNI DIKE)</t>
  </si>
  <si>
    <t>0,62069</t>
  </si>
  <si>
    <t>https://fasih-sm.bps.go.id/app/assignment/fd68e454-ba45-4b85-8205-f3bf777ded24/184e14f9-8db8-4639-9864-6251cd4fd4b3</t>
  </si>
  <si>
    <t>1a8071ea-8223-46a8-b423-4cd7ae806f91</t>
  </si>
  <si>
    <t>1a8071ea-8223-46a8-b423-4cd7ae806f91_1791064087587</t>
  </si>
  <si>
    <t>Kios (Yudit surat tadon)</t>
  </si>
  <si>
    <t>https://fasih-sm.bps.go.id/app/assignment/fd68e454-ba45-4b85-8205-f3bf777ded24/1a8071ea-8223-46a8-b423-4cd7ae806f91</t>
  </si>
  <si>
    <t>1b3a7b60-d84a-4e42-8493-27c06746deac</t>
  </si>
  <si>
    <t>1b3a7b60-d84a-4e42-8493-27c06746deac_1791064463600</t>
  </si>
  <si>
    <t>KIOS SEMBAKO &lt;PETRONELA ARE&gt;</t>
  </si>
  <si>
    <t>0,4375</t>
  </si>
  <si>
    <t>https://fasih-sm.bps.go.id/app/assignment/fd68e454-ba45-4b85-8205-f3bf777ded24/1b3a7b60-d84a-4e42-8493-27c06746deac</t>
  </si>
  <si>
    <t>22915a4e-0665-41af-a671-c23caf72428d</t>
  </si>
  <si>
    <t>22915a4e-0665-41af-a671-c23caf72428d_1791067620219</t>
  </si>
  <si>
    <t>USAHA KIOS SEMBAKO</t>
  </si>
  <si>
    <t>0,3</t>
  </si>
  <si>
    <t>https://fasih-sm.bps.go.id/app/assignment/fd68e454-ba45-4b85-8205-f3bf777ded24/22915a4e-0665-41af-a671-c23caf72428d</t>
  </si>
  <si>
    <t>279a9092-238d-4449-956d-445392fcb4a2</t>
  </si>
  <si>
    <t>279a9092-238d-4449-956d-445392fcb4a2_1791070938102</t>
  </si>
  <si>
    <t>KIOS HIDAYAH (TRY SUNARTI SUTRISNO)</t>
  </si>
  <si>
    <t>0,545455</t>
  </si>
  <si>
    <t>https://fasih-sm.bps.go.id/app/assignment/fd68e454-ba45-4b85-8205-f3bf777ded24/279a9092-238d-4449-956d-445392fcb4a2</t>
  </si>
  <si>
    <t>27ccf637-70b1-43b1-8f13-58fa698d5163</t>
  </si>
  <si>
    <t>27ccf637-70b1-43b1-8f13-58fa698d5163_1791071030716</t>
  </si>
  <si>
    <t>TOP MART</t>
  </si>
  <si>
    <t>https://fasih-sm.bps.go.id/app/assignment/fd68e454-ba45-4b85-8205-f3bf777ded24/27ccf637-70b1-43b1-8f13-58fa698d5163</t>
  </si>
  <si>
    <t>2bdad3ae-d379-44e1-8ec8-11155bb987d7</t>
  </si>
  <si>
    <t>2bdad3ae-d379-44e1-8ec8-11155bb987d7_1791073223891</t>
  </si>
  <si>
    <t>USAHA JUAL SEMBAKO JAHURA USMAN</t>
  </si>
  <si>
    <t>https://fasih-sm.bps.go.id/app/assignment/fd68e454-ba45-4b85-8205-f3bf777ded24/2bdad3ae-d379-44e1-8ec8-11155bb987d7</t>
  </si>
  <si>
    <t>2ee6458a-eb08-49c9-bfd9-7149ce0c2a2e</t>
  </si>
  <si>
    <t>2ee6458a-eb08-49c9-bfd9-7149ce0c2a2e_1791074865504</t>
  </si>
  <si>
    <t>JUALAN SEMBAKO ANDERAS LANGUWILAN</t>
  </si>
  <si>
    <t>https://fasih-sm.bps.go.id/app/assignment/fd68e454-ba45-4b85-8205-f3bf777ded24/2ee6458a-eb08-49c9-bfd9-7149ce0c2a2e</t>
  </si>
  <si>
    <t>33c8f7db-d227-44b5-9b37-b7655e0461cf</t>
  </si>
  <si>
    <t>33c8f7db-d227-44b5-9b37-b7655e0461cf_1791077512972</t>
  </si>
  <si>
    <t>KIOS (EMERENSIANA PALANG BOLEN)</t>
  </si>
  <si>
    <t>https://fasih-sm.bps.go.id/app/assignment/fd68e454-ba45-4b85-8205-f3bf777ded24/33c8f7db-d227-44b5-9b37-b7655e0461cf</t>
  </si>
  <si>
    <t>3541927f-4218-4ced-af87-acbd88c70096</t>
  </si>
  <si>
    <t>3541927f-4218-4ced-af87-acbd88c70096_1791078233142</t>
  </si>
  <si>
    <t>KIOS PUTRA BELOLO (ROSALINA TULIT MASAN)</t>
  </si>
  <si>
    <t>https://fasih-sm.bps.go.id/app/assignment/fd68e454-ba45-4b85-8205-f3bf777ded24/3541927f-4218-4ced-af87-acbd88c70096</t>
  </si>
  <si>
    <t>35c92328-ea10-4349-b88c-c8b0e7f6153b</t>
  </si>
  <si>
    <t>35c92328-ea10-4349-b88c-c8b0e7f6153b_1791078545299</t>
  </si>
  <si>
    <t>KIOS (PAULINA SUPARTINI)</t>
  </si>
  <si>
    <t>https://fasih-sm.bps.go.id/app/assignment/fd68e454-ba45-4b85-8205-f3bf777ded24/35c92328-ea10-4349-b88c-c8b0e7f6153b</t>
  </si>
  <si>
    <t>36777236-2f4e-4e9d-939a-75fe9eacbfe5</t>
  </si>
  <si>
    <t>36777236-2f4e-4e9d-939a-75fe9eacbfe5_1791078907690</t>
  </si>
  <si>
    <t>KIOS SAPUTRA (JUMAIDAH BAHRUDIN)</t>
  </si>
  <si>
    <t>https://fasih-sm.bps.go.id/app/assignment/fd68e454-ba45-4b85-8205-f3bf777ded24/36777236-2f4e-4e9d-939a-75fe9eacbfe5</t>
  </si>
  <si>
    <t>36c1f1d4-14ea-437f-8c9c-84bdb252f250</t>
  </si>
  <si>
    <t>36c1f1d4-14ea-437f-8c9c-84bdb252f250_1791079138083</t>
  </si>
  <si>
    <t>KIOS (ANJELINA KEDANG)</t>
  </si>
  <si>
    <t>0,911765</t>
  </si>
  <si>
    <t>https://fasih-sm.bps.go.id/app/assignment/fd68e454-ba45-4b85-8205-f3bf777ded24/36c1f1d4-14ea-437f-8c9c-84bdb252f250</t>
  </si>
  <si>
    <t>36c67618-a20d-4d83-9dac-b3097ae1a634</t>
  </si>
  <si>
    <t>36c67618-a20d-4d83-9dac-b3097ae1a634_1791079108742</t>
  </si>
  <si>
    <t>KIOS (PETRUS PAYONG KIA)</t>
  </si>
  <si>
    <t>https://fasih-sm.bps.go.id/app/assignment/fd68e454-ba45-4b85-8205-f3bf777ded24/36c67618-a20d-4d83-9dac-b3097ae1a634</t>
  </si>
  <si>
    <t>3c69cbcc-c0df-4716-8cb5-f774db615dfe</t>
  </si>
  <si>
    <t>3c69cbcc-c0df-4716-8cb5-f774db615dfe_1791082035274</t>
  </si>
  <si>
    <t>KIOS (MARIA GORETI ANU SILI)</t>
  </si>
  <si>
    <t>https://fasih-sm.bps.go.id/app/assignment/fd68e454-ba45-4b85-8205-f3bf777ded24/3c69cbcc-c0df-4716-8cb5-f774db615dfe</t>
  </si>
  <si>
    <t>42d04dec-5792-4baa-85ca-f212e41b4d63</t>
  </si>
  <si>
    <t>42d04dec-5792-4baa-85ca-f212e41b4d63_1791085087818</t>
  </si>
  <si>
    <t>USAHA SEMBAKO MONIKA TUPEN WAYON</t>
  </si>
  <si>
    <t>0,512195</t>
  </si>
  <si>
    <t>https://fasih-sm.bps.go.id/app/assignment/fd68e454-ba45-4b85-8205-f3bf777ded24/42d04dec-5792-4baa-85ca-f212e41b4d63</t>
  </si>
  <si>
    <t>43635ee9-202b-4b74-9ac7-238fe6d78777</t>
  </si>
  <si>
    <t>43635ee9-202b-4b74-9ac7-238fe6d78777_1791085218223</t>
  </si>
  <si>
    <t>KIOS (TRESIA TUTO)</t>
  </si>
  <si>
    <t>https://fasih-sm.bps.go.id/app/assignment/fd68e454-ba45-4b85-8205-f3bf777ded24/43635ee9-202b-4b74-9ac7-238fe6d78777</t>
  </si>
  <si>
    <t>44759a55-f63a-4e68-a671-5cf7d7cf806f</t>
  </si>
  <si>
    <t>44759a55-f63a-4e68-a671-5cf7d7cf806f_1791085908829</t>
  </si>
  <si>
    <t>KIOS ECERAN(ANASTASIA UBA DONI)</t>
  </si>
  <si>
    <t>https://fasih-sm.bps.go.id/app/assignment/fd68e454-ba45-4b85-8205-f3bf777ded24/44759a55-f63a-4e68-a671-5cf7d7cf806f</t>
  </si>
  <si>
    <t>4603e617-b7f8-4a5f-a30a-a81317eb438a</t>
  </si>
  <si>
    <t>4603e617-b7f8-4a5f-a30a-a81317eb438a_1791110419574</t>
  </si>
  <si>
    <t>KIOS (YULIANA PERADA KIWAN)</t>
  </si>
  <si>
    <t>https://fasih-sm.bps.go.id/app/assignment/fd68e454-ba45-4b85-8205-f3bf777ded24/4603e617-b7f8-4a5f-a30a-a81317eb438a</t>
  </si>
  <si>
    <t>48c142ad-a9ca-4490-951a-9a25d580f479</t>
  </si>
  <si>
    <t>48c142ad-a9ca-4490-951a-9a25d580f479_1791111916256</t>
  </si>
  <si>
    <t>PERDAGANGAN ECERAN SEMBAKO (VERONIKA TUTO BORE)</t>
  </si>
  <si>
    <t>0,287591</t>
  </si>
  <si>
    <t>https://fasih-sm.bps.go.id/app/assignment/fd68e454-ba45-4b85-8205-f3bf777ded24/48c142ad-a9ca-4490-951a-9a25d580f479</t>
  </si>
  <si>
    <t>4a9d8012-be46-4263-9602-8ccae405d340</t>
  </si>
  <si>
    <t>4a9d8012-be46-4263-9602-8ccae405d340_1791112888461</t>
  </si>
  <si>
    <t>KIOS ELSA(MARIA FATIMA LACINA)</t>
  </si>
  <si>
    <t>0,266242</t>
  </si>
  <si>
    <t>https://fasih-sm.bps.go.id/app/assignment/fd68e454-ba45-4b85-8205-f3bf777ded24/4a9d8012-be46-4263-9602-8ccae405d340</t>
  </si>
  <si>
    <t>4c3874c2-0ba3-423a-ae58-faeea5ad5005</t>
  </si>
  <si>
    <t>4c3874c2-0ba3-423a-ae58-faeea5ad5005_1791113741595</t>
  </si>
  <si>
    <t>https://fasih-sm.bps.go.id/app/assignment/fd68e454-ba45-4b85-8205-f3bf777ded24/4c3874c2-0ba3-423a-ae58-faeea5ad5005</t>
  </si>
  <si>
    <t>4d4bee02-eb46-4a5f-b59a-908562d1a64c</t>
  </si>
  <si>
    <t>4d4bee02-eb46-4a5f-b59a-908562d1a64c_1791114262808</t>
  </si>
  <si>
    <t>HOPE MART</t>
  </si>
  <si>
    <t>https://fasih-sm.bps.go.id/app/assignment/fd68e454-ba45-4b85-8205-f3bf777ded24/4d4bee02-eb46-4a5f-b59a-908562d1a64c</t>
  </si>
  <si>
    <t>4fce3584-4f00-4c81-9a11-62b6f1bdc241</t>
  </si>
  <si>
    <t>4fce3584-4f00-4c81-9a11-62b6f1bdc241_1791115606781</t>
  </si>
  <si>
    <t>USAHA KIOS (MARIA ILMENSI HOA KELEN)</t>
  </si>
  <si>
    <t>0,561622</t>
  </si>
  <si>
    <t>https://fasih-sm.bps.go.id/app/assignment/fd68e454-ba45-4b85-8205-f3bf777ded24/4fce3584-4f00-4c81-9a11-62b6f1bdc241</t>
  </si>
  <si>
    <t>505c9d86-43e9-4d26-a371-6517457ba333</t>
  </si>
  <si>
    <t>505c9d86-43e9-4d26-a371-6517457ba333_1791115898083</t>
  </si>
  <si>
    <t>USAHA KIOS &lt;DOMINIKA GELU&gt;</t>
  </si>
  <si>
    <t>https://fasih-sm.bps.go.id/app/assignment/fd68e454-ba45-4b85-8205-f3bf777ded24/505c9d86-43e9-4d26-a371-6517457ba333</t>
  </si>
  <si>
    <t>516c7aa7-b1d7-4ece-9491-df81295beab9</t>
  </si>
  <si>
    <t>516c7aa7-b1d7-4ece-9491-df81295beab9_1791116406952</t>
  </si>
  <si>
    <t>USAHA (ANI LASAR)</t>
  </si>
  <si>
    <t>https://fasih-sm.bps.go.id/app/assignment/fd68e454-ba45-4b85-8205-f3bf777ded24/516c7aa7-b1d7-4ece-9491-df81295beab9</t>
  </si>
  <si>
    <t>51709fcb-b49a-45f1-93af-b5589f6b853e</t>
  </si>
  <si>
    <t>51709fcb-b49a-45f1-93af-b5589f6b853e_1791116397200</t>
  </si>
  <si>
    <t>KIOS PUTRI TUNGAL (MARIA KILING KWUTA)</t>
  </si>
  <si>
    <t>https://fasih-sm.bps.go.id/app/assignment/fd68e454-ba45-4b85-8205-f3bf777ded24/51709fcb-b49a-45f1-93af-b5589f6b853e</t>
  </si>
  <si>
    <t>520804a2-1a2d-4603-a6ca-b8cac9579195</t>
  </si>
  <si>
    <t>520804a2-1a2d-4603-a6ca-b8cac9579195_1791116708212</t>
  </si>
  <si>
    <t>UD KIOS (AMINAH KADIR)</t>
  </si>
  <si>
    <t>https://fasih-sm.bps.go.id/app/assignment/fd68e454-ba45-4b85-8205-f3bf777ded24/520804a2-1a2d-4603-a6ca-b8cac9579195</t>
  </si>
  <si>
    <t>54dc4365-1d78-4373-93a9-3a634cb86618</t>
  </si>
  <si>
    <t>54dc4365-1d78-4373-93a9-3a634cb86618_1791118244058</t>
  </si>
  <si>
    <t>PEDAGANG ECERAN &lt;TAHIRA TULIT&gt;</t>
  </si>
  <si>
    <t>0,537931</t>
  </si>
  <si>
    <t>https://fasih-sm.bps.go.id/app/assignment/fd68e454-ba45-4b85-8205-f3bf777ded24/54dc4365-1d78-4373-93a9-3a634cb86618</t>
  </si>
  <si>
    <t>54ec53da-2056-4bfe-b16c-f5c9f36ff6e9</t>
  </si>
  <si>
    <t>54ec53da-2056-4bfe-b16c-f5c9f36ff6e9_1791118216960</t>
  </si>
  <si>
    <t>KIOS TERESIA (TERESIA LETI KAPITAN)</t>
  </si>
  <si>
    <t>0,566667</t>
  </si>
  <si>
    <t>https://fasih-sm.bps.go.id/app/assignment/fd68e454-ba45-4b85-8205-f3bf777ded24/54ec53da-2056-4bfe-b16c-f5c9f36ff6e9</t>
  </si>
  <si>
    <t>5573d058-9ff3-4ab0-a515-fde14975ee24</t>
  </si>
  <si>
    <t>5573d058-9ff3-4ab0-a515-fde14975ee24_1791118476934</t>
  </si>
  <si>
    <t>KIOS (SUKRI)</t>
  </si>
  <si>
    <t>https://fasih-sm.bps.go.id/app/assignment/fd68e454-ba45-4b85-8205-f3bf777ded24/5573d058-9ff3-4ab0-a515-fde14975ee24</t>
  </si>
  <si>
    <t>60082e65-7903-4fb0-b73f-cbd07223e18a</t>
  </si>
  <si>
    <t>60082e65-7903-4fb0-b73f-cbd07223e18a_1791124171512</t>
  </si>
  <si>
    <t>JUAL BENSIN&lt;KRISTINA MASI KIAN&gt;</t>
  </si>
  <si>
    <t>https://fasih-sm.bps.go.id/app/assignment/fd68e454-ba45-4b85-8205-f3bf777ded24/60082e65-7903-4fb0-b73f-cbd07223e18a</t>
  </si>
  <si>
    <t>651b8b5f-5e9a-4a8d-b7aa-ac56ef8f37a3</t>
  </si>
  <si>
    <t>651b8b5f-5e9a-4a8d-b7aa-ac56ef8f37a3_1791126296615</t>
  </si>
  <si>
    <t>USAHA KIOS &lt;THERESIA BUNGA HELAN&gt;</t>
  </si>
  <si>
    <t>0,652174</t>
  </si>
  <si>
    <t>https://fasih-sm.bps.go.id/app/assignment/fd68e454-ba45-4b85-8205-f3bf777ded24/651b8b5f-5e9a-4a8d-b7aa-ac56ef8f37a3</t>
  </si>
  <si>
    <t>68c8ae63-6439-4342-a532-17fde5cd4b94</t>
  </si>
  <si>
    <t>68c8ae63-6439-4342-a532-17fde5cd4b94_1791170939221</t>
  </si>
  <si>
    <t>UPT SEMBAKO MAHMUD</t>
  </si>
  <si>
    <t>https://fasih-sm.bps.go.id/app/assignment/fd68e454-ba45-4b85-8205-f3bf777ded24/68c8ae63-6439-4342-a532-17fde5cd4b94</t>
  </si>
  <si>
    <t>701b1574-1b3a-40a0-a07c-d9d4174809be</t>
  </si>
  <si>
    <t>701b1574-1b3a-40a0-a07c-d9d4174809be_1791174097018</t>
  </si>
  <si>
    <t>KIOS RISMA</t>
  </si>
  <si>
    <t>0,718391</t>
  </si>
  <si>
    <t>https://fasih-sm.bps.go.id/app/assignment/fd68e454-ba45-4b85-8205-f3bf777ded24/701b1574-1b3a-40a0-a07c-d9d4174809be</t>
  </si>
  <si>
    <t>75a86870-0466-482d-aebf-6c06cb630e3e</t>
  </si>
  <si>
    <t>75a86870-0466-482d-aebf-6c06cb630e3e_1791176817236</t>
  </si>
  <si>
    <t>PENJUAL ECERAN SEMBAKO (MATEUS KOPONG WERANG)</t>
  </si>
  <si>
    <t>https://fasih-sm.bps.go.id/app/assignment/fd68e454-ba45-4b85-8205-f3bf777ded24/75a86870-0466-482d-aebf-6c06cb630e3e</t>
  </si>
  <si>
    <t>760b9241-2933-4bad-93cf-a4ab1252458b</t>
  </si>
  <si>
    <t>760b9241-2933-4bad-93cf-a4ab1252458b_1791177036892</t>
  </si>
  <si>
    <t>KIOS DOREN (EMERENSIANA GINA RITAN)</t>
  </si>
  <si>
    <t>https://fasih-sm.bps.go.id/app/assignment/fd68e454-ba45-4b85-8205-f3bf777ded24/760b9241-2933-4bad-93cf-a4ab1252458b</t>
  </si>
  <si>
    <t>7e1a13d6-b2e8-4f03-b9e7-bdabbfd53413</t>
  </si>
  <si>
    <t>7e1a13d6-b2e8-4f03-b9e7-bdabbfd53413_1792569282651</t>
  </si>
  <si>
    <t>TOKO KELONTONG</t>
  </si>
  <si>
    <t>https://fasih-sm.bps.go.id/app/assignment/fd68e454-ba45-4b85-8205-f3bf777ded24/7e1a13d6-b2e8-4f03-b9e7-bdabbfd53413</t>
  </si>
  <si>
    <t>7f6eb45e-ff0c-4169-9ea5-2a27b0646958</t>
  </si>
  <si>
    <t>7f6eb45e-ff0c-4169-9ea5-2a27b0646958_1791181732590</t>
  </si>
  <si>
    <t>USAHA JUAL DI KANTIN(YOCE AMINA LESITONA)</t>
  </si>
  <si>
    <t>0,041667</t>
  </si>
  <si>
    <t>https://fasih-sm.bps.go.id/app/assignment/fd68e454-ba45-4b85-8205-f3bf777ded24/7f6eb45e-ff0c-4169-9ea5-2a27b0646958</t>
  </si>
  <si>
    <t>8a284492-0437-48d9-90a7-8fd1c1ec0644</t>
  </si>
  <si>
    <t>8a284492-0437-48d9-90a7-8fd1c1ec0644_1784086292701</t>
  </si>
  <si>
    <t>USAHA KIOS (FERDINAN KOTAK BAYEN)</t>
  </si>
  <si>
    <t>0,769231</t>
  </si>
  <si>
    <t>https://fasih-sm.bps.go.id/app/assignment/fd68e454-ba45-4b85-8205-f3bf777ded24/8a284492-0437-48d9-90a7-8fd1c1ec0644</t>
  </si>
  <si>
    <t>8b097225-7294-4f0a-ad33-9efac706c3a3</t>
  </si>
  <si>
    <t>8b097225-7294-4f0a-ad33-9efac706c3a3_1789050991368</t>
  </si>
  <si>
    <t>KIOS SEMBAKO (FATIMA ALI)</t>
  </si>
  <si>
    <t>https://fasih-sm.bps.go.id/app/assignment/fd68e454-ba45-4b85-8205-f3bf777ded24/8b097225-7294-4f0a-ad33-9efac706c3a3</t>
  </si>
  <si>
    <t>8fb46abd-61f8-4631-983c-8b76cbe09a19</t>
  </si>
  <si>
    <t>8fb46abd-61f8-4631-983c-8b76cbe09a19_1791195997223</t>
  </si>
  <si>
    <t>0,486486</t>
  </si>
  <si>
    <t>https://fasih-sm.bps.go.id/app/assignment/fd68e454-ba45-4b85-8205-f3bf777ded24/8fb46abd-61f8-4631-983c-8b76cbe09a19</t>
  </si>
  <si>
    <t>915f4d54-1632-4938-9907-c6f1822665c3</t>
  </si>
  <si>
    <t>915f4d54-1632-4938-9907-c6f1822665c3_1791196861997</t>
  </si>
  <si>
    <t>SUMBER PELITA WAIWERANG, CV</t>
  </si>
  <si>
    <t>https://fasih-sm.bps.go.id/app/assignment/fd68e454-ba45-4b85-8205-f3bf777ded24/915f4d54-1632-4938-9907-c6f1822665c3</t>
  </si>
  <si>
    <t>932ff7d7-643e-4e7a-8cfa-b94c6ff53e31</t>
  </si>
  <si>
    <t>932ff7d7-643e-4e7a-8cfa-b94c6ff53e31_1791197845960</t>
  </si>
  <si>
    <t>KIOS AG (TEODORUS DELUIS)</t>
  </si>
  <si>
    <t>0,193548</t>
  </si>
  <si>
    <t>https://fasih-sm.bps.go.id/app/assignment/fd68e454-ba45-4b85-8205-f3bf777ded24/932ff7d7-643e-4e7a-8cfa-b94c6ff53e31</t>
  </si>
  <si>
    <t>95eef9bc-406f-4152-8dc1-2c8ef40e3a19</t>
  </si>
  <si>
    <t>95eef9bc-406f-4152-8dc1-2c8ef40e3a19_1791199206422</t>
  </si>
  <si>
    <t>PEDAGANG ECERAN&lt;RAMLAH ISMAIL&gt;</t>
  </si>
  <si>
    <t>https://fasih-sm.bps.go.id/app/assignment/fd68e454-ba45-4b85-8205-f3bf777ded24/95eef9bc-406f-4152-8dc1-2c8ef40e3a19</t>
  </si>
  <si>
    <t>983404e3-f9bd-4680-b2af-0a1f56dad545</t>
  </si>
  <si>
    <t>983404e3-f9bd-4680-b2af-0a1f56dad545_1792639377592</t>
  </si>
  <si>
    <t>PEDAGANG ECERAN</t>
  </si>
  <si>
    <t>https://fasih-sm.bps.go.id/app/assignment/fd68e454-ba45-4b85-8205-f3bf777ded24/983404e3-f9bd-4680-b2af-0a1f56dad545</t>
  </si>
  <si>
    <t>9998aa1b-cac1-4298-9bd2-8c1edeffb8f5</t>
  </si>
  <si>
    <t>9998aa1b-cac1-4298-9bd2-8c1edeffb8f5_1791201190773</t>
  </si>
  <si>
    <t>KIOS (SUPARTI BENGA SANGA)</t>
  </si>
  <si>
    <t>https://fasih-sm.bps.go.id/app/assignment/fd68e454-ba45-4b85-8205-f3bf777ded24/9998aa1b-cac1-4298-9bd2-8c1edeffb8f5</t>
  </si>
  <si>
    <t>9bf84321-3525-4582-9457-133e39762b8c</t>
  </si>
  <si>
    <t>9bf84321-3525-4582-9457-133e39762b8c_1791202376786</t>
  </si>
  <si>
    <t>MENJUAL SEMBAKO</t>
  </si>
  <si>
    <t>0,390244</t>
  </si>
  <si>
    <t>https://fasih-sm.bps.go.id/app/assignment/fd68e454-ba45-4b85-8205-f3bf777ded24/9bf84321-3525-4582-9457-133e39762b8c</t>
  </si>
  <si>
    <t>9e73654e-ee6e-405a-87ab-f867abaa31f7</t>
  </si>
  <si>
    <t>9e73654e-ee6e-405a-87ab-f867abaa31f7_1791203879946</t>
  </si>
  <si>
    <t>KIOS ALVENZA</t>
  </si>
  <si>
    <t>https://fasih-sm.bps.go.id/app/assignment/fd68e454-ba45-4b85-8205-f3bf777ded24/9e73654e-ee6e-405a-87ab-f867abaa31f7</t>
  </si>
  <si>
    <t>9e7a7c2b-f0fd-4617-aa73-c835070df5ae</t>
  </si>
  <si>
    <t>9e7a7c2b-f0fd-4617-aa73-c835070df5ae_1792565586861</t>
  </si>
  <si>
    <t>USAHA KIOS MAKAN RINGAN</t>
  </si>
  <si>
    <t>0,956522</t>
  </si>
  <si>
    <t>https://fasih-sm.bps.go.id/app/assignment/fd68e454-ba45-4b85-8205-f3bf777ded24/9e7a7c2b-f0fd-4617-aa73-c835070df5ae</t>
  </si>
  <si>
    <t>a12ba5cc-5696-41ad-9b2d-4d298ed5144b</t>
  </si>
  <si>
    <t>a12ba5cc-5696-41ad-9b2d-4d298ed5144b_1791205337185</t>
  </si>
  <si>
    <t>KIOS (STEFANIA LIPAT WALI)</t>
  </si>
  <si>
    <t>https://fasih-sm.bps.go.id/app/assignment/fd68e454-ba45-4b85-8205-f3bf777ded24/a12ba5cc-5696-41ad-9b2d-4d298ed5144b</t>
  </si>
  <si>
    <t>a5b7d15c-634a-4a92-870d-0c1429e30011</t>
  </si>
  <si>
    <t>a5b7d15c-634a-4a92-870d-0c1429e30011_1791207806937</t>
  </si>
  <si>
    <t>KIOS ARIFIN&lt;ARIFIN&gt;</t>
  </si>
  <si>
    <t>https://fasih-sm.bps.go.id/app/assignment/fd68e454-ba45-4b85-8205-f3bf777ded24/a5b7d15c-634a-4a92-870d-0c1429e30011</t>
  </si>
  <si>
    <t>a6d3120b-7b3c-4072-84a8-7748b5c384f1</t>
  </si>
  <si>
    <t>a6d3120b-7b3c-4072-84a8-7748b5c384f1_1791208201270</t>
  </si>
  <si>
    <t>KIOS HUSNI</t>
  </si>
  <si>
    <t>0,615385</t>
  </si>
  <si>
    <t>https://fasih-sm.bps.go.id/app/assignment/fd68e454-ba45-4b85-8205-f3bf777ded24/a6d3120b-7b3c-4072-84a8-7748b5c384f1</t>
  </si>
  <si>
    <t>a97de013-542f-463a-9f50-94808dbb93ff</t>
  </si>
  <si>
    <t>a97de013-542f-463a-9f50-94808dbb93ff_1792569182291</t>
  </si>
  <si>
    <t>KIOS DEMIOR</t>
  </si>
  <si>
    <t>https://fasih-sm.bps.go.id/app/assignment/fd68e454-ba45-4b85-8205-f3bf777ded24/a97de013-542f-463a-9f50-94808dbb93ff</t>
  </si>
  <si>
    <t>abfea6af-2530-47d7-b272-2eb1d34ed6f7</t>
  </si>
  <si>
    <t>abfea6af-2530-47d7-b272-2eb1d34ed6f7_1791210246916</t>
  </si>
  <si>
    <t>BOBA LINA</t>
  </si>
  <si>
    <t>0,375</t>
  </si>
  <si>
    <t>https://fasih-sm.bps.go.id/app/assignment/fd68e454-ba45-4b85-8205-f3bf777ded24/abfea6af-2530-47d7-b272-2eb1d34ed6f7</t>
  </si>
  <si>
    <t>ae3b216e-696e-4e4f-b07c-eaa064827313</t>
  </si>
  <si>
    <t>ae3b216e-696e-4e4f-b07c-eaa064827313_1791211379078</t>
  </si>
  <si>
    <t>KIOS (MARIA MENU TOKAN)</t>
  </si>
  <si>
    <t>https://fasih-sm.bps.go.id/app/assignment/fd68e454-ba45-4b85-8205-f3bf777ded24/ae3b216e-696e-4e4f-b07c-eaa064827313</t>
  </si>
  <si>
    <t>ae4d7cfc-a9e3-49ec-811e-414842421a2c</t>
  </si>
  <si>
    <t>ae4d7cfc-a9e3-49ec-811e-414842421a2c_1791211312275</t>
  </si>
  <si>
    <t>KIOS &lt;FLORA&gt;</t>
  </si>
  <si>
    <t>https://fasih-sm.bps.go.id/app/assignment/fd68e454-ba45-4b85-8205-f3bf777ded24/ae4d7cfc-a9e3-49ec-811e-414842421a2c</t>
  </si>
  <si>
    <t>b04f83c7-7dbc-4212-af08-6c11d3668235</t>
  </si>
  <si>
    <t>b04f83c7-7dbc-4212-af08-6c11d3668235_1791257369467</t>
  </si>
  <si>
    <t>KIOS REDEMPTUS TUPEN GAWE</t>
  </si>
  <si>
    <t>0,530303</t>
  </si>
  <si>
    <t>https://fasih-sm.bps.go.id/app/assignment/fd68e454-ba45-4b85-8205-f3bf777ded24/b04f83c7-7dbc-4212-af08-6c11d3668235</t>
  </si>
  <si>
    <t>b0d2c78b-8895-48ac-a63c-97b667d22bee</t>
  </si>
  <si>
    <t>b0d2c78b-8895-48ac-a63c-97b667d22bee_1791257647068</t>
  </si>
  <si>
    <t>KIOS AGUNG &lt;ANTONIA ABON TERON&gt;</t>
  </si>
  <si>
    <t>0,194444</t>
  </si>
  <si>
    <t>https://fasih-sm.bps.go.id/app/assignment/fd68e454-ba45-4b85-8205-f3bf777ded24/b0d2c78b-8895-48ac-a63c-97b667d22bee</t>
  </si>
  <si>
    <t>b6f28988-a7f5-4ec4-9956-b1530bf7556f</t>
  </si>
  <si>
    <t>b6f28988-a7f5-4ec4-9956-b1530bf7556f_1791260834071</t>
  </si>
  <si>
    <t>KIOS (SERFINA SOMI PAYONG)</t>
  </si>
  <si>
    <t>https://fasih-sm.bps.go.id/app/assignment/fd68e454-ba45-4b85-8205-f3bf777ded24/b6f28988-a7f5-4ec4-9956-b1530bf7556f</t>
  </si>
  <si>
    <t>b8561ba0-6f83-41cb-982e-332a34bc08b3</t>
  </si>
  <si>
    <t>b8561ba0-6f83-41cb-982e-332a34bc08b3_1791261439125</t>
  </si>
  <si>
    <t>KIOS (BENEDIKTA KENEKA WERANG)</t>
  </si>
  <si>
    <t>https://fasih-sm.bps.go.id/app/assignment/fd68e454-ba45-4b85-8205-f3bf777ded24/b8561ba0-6f83-41cb-982e-332a34bc08b3</t>
  </si>
  <si>
    <t>b8a07d32-90be-4684-9963-ce1e41c405bc</t>
  </si>
  <si>
    <t>b8a07d32-90be-4684-9963-ce1e41c405bc_1791261573797</t>
  </si>
  <si>
    <t>FRANSMART</t>
  </si>
  <si>
    <t>0,510204</t>
  </si>
  <si>
    <t>https://fasih-sm.bps.go.id/app/assignment/fd68e454-ba45-4b85-8205-f3bf777ded24/b8a07d32-90be-4684-9963-ce1e41c405bc</t>
  </si>
  <si>
    <t>bccaa92d-4982-4ff0-98e5-022912327087</t>
  </si>
  <si>
    <t>bccaa92d-4982-4ff0-98e5-022912327087_1788177771542</t>
  </si>
  <si>
    <t>KIOS (SUBAN SULI)</t>
  </si>
  <si>
    <t>https://fasih-sm.bps.go.id/app/assignment/fd68e454-ba45-4b85-8205-f3bf777ded24/bccaa92d-4982-4ff0-98e5-022912327087</t>
  </si>
  <si>
    <t>be77fba2-06cb-43ec-becd-0d7f27f99da8</t>
  </si>
  <si>
    <t>be77fba2-06cb-43ec-becd-0d7f27f99da8_1783082361211</t>
  </si>
  <si>
    <t>KIOS ENDI BERKAT BUNDA</t>
  </si>
  <si>
    <t>0,436364</t>
  </si>
  <si>
    <t>https://fasih-sm.bps.go.id/app/assignment/fd68e454-ba45-4b85-8205-f3bf777ded24/be77fba2-06cb-43ec-becd-0d7f27f99da8</t>
  </si>
  <si>
    <t>be833b25-e046-4b28-975b-04abb64efb0b</t>
  </si>
  <si>
    <t>be833b25-e046-4b28-975b-04abb64efb0b_1787589818996</t>
  </si>
  <si>
    <t>FRANSISKA PHILOMENA DORA LAMOREN</t>
  </si>
  <si>
    <t>0,674157</t>
  </si>
  <si>
    <t>https://fasih-sm.bps.go.id/app/assignment/fd68e454-ba45-4b85-8205-f3bf777ded24/be833b25-e046-4b28-975b-04abb64efb0b</t>
  </si>
  <si>
    <t>bedc8177-794c-4a48-a4bc-a7350efc7c36</t>
  </si>
  <si>
    <t>bedc8177-794c-4a48-a4bc-a7350efc7c36_1789232461963</t>
  </si>
  <si>
    <t>KIOS SEMBAKO (ENY)</t>
  </si>
  <si>
    <t>https://fasih-sm.bps.go.id/app/assignment/fd68e454-ba45-4b85-8205-f3bf777ded24/bedc8177-794c-4a48-a4bc-a7350efc7c36</t>
  </si>
  <si>
    <t>c0f342ce-8765-426f-bac8-48c1c7c4b756</t>
  </si>
  <si>
    <t>c0f342ce-8765-426f-bac8-48c1c7c4b756_1789598774805</t>
  </si>
  <si>
    <t>KIOS VANIA</t>
  </si>
  <si>
    <t>0,642857</t>
  </si>
  <si>
    <t>https://fasih-sm.bps.go.id/app/assignment/fd68e454-ba45-4b85-8205-f3bf777ded24/c0f342ce-8765-426f-bac8-48c1c7c4b756</t>
  </si>
  <si>
    <t>c57dbc3a-1eb0-4a8b-bbc1-b21e996d6b28</t>
  </si>
  <si>
    <t>c57dbc3a-1eb0-4a8b-bbc1-b21e996d6b28_1785761770844</t>
  </si>
  <si>
    <t>KIOS ALOYSIUS &lt;ALOYSIUS WIJU WAZ&gt;</t>
  </si>
  <si>
    <t>https://fasih-sm.bps.go.id/app/assignment/fd68e454-ba45-4b85-8205-f3bf777ded24/c57dbc3a-1eb0-4a8b-bbc1-b21e996d6b28</t>
  </si>
  <si>
    <t>cb4a7cf2-3c9d-49f0-963a-ed8f03b386c1</t>
  </si>
  <si>
    <t>cb4a7cf2-3c9d-49f0-963a-ed8f03b386c1_1790374132164</t>
  </si>
  <si>
    <t>ES NUSRA</t>
  </si>
  <si>
    <t>0,157143</t>
  </si>
  <si>
    <t>https://fasih-sm.bps.go.id/app/assignment/fd68e454-ba45-4b85-8205-f3bf777ded24/cb4a7cf2-3c9d-49f0-963a-ed8f03b386c1</t>
  </si>
  <si>
    <t>ccaae76d-33da-42ec-a247-faf91600e254</t>
  </si>
  <si>
    <t>ccaae76d-33da-42ec-a247-faf91600e254_1789598892907</t>
  </si>
  <si>
    <t>Kios wandi (maimunah ahmad)</t>
  </si>
  <si>
    <t>https://fasih-sm.bps.go.id/app/assignment/fd68e454-ba45-4b85-8205-f3bf777ded24/ccaae76d-33da-42ec-a247-faf91600e254</t>
  </si>
  <si>
    <t>cd40eb38-9289-429f-aa62-89922f8c76ee</t>
  </si>
  <si>
    <t>cd40eb38-9289-429f-aa62-89922f8c76ee_1789326752302</t>
  </si>
  <si>
    <t>KIOS TIGA BERSAUDARA (URSULA KEWA TUPEN)</t>
  </si>
  <si>
    <t>0,662983</t>
  </si>
  <si>
    <t>https://fasih-sm.bps.go.id/app/assignment/fd68e454-ba45-4b85-8205-f3bf777ded24/cd40eb38-9289-429f-aa62-89922f8c76ee</t>
  </si>
  <si>
    <t>cf256a2f-7716-4084-a012-dafb4359e529</t>
  </si>
  <si>
    <t>cf256a2f-7716-4084-a012-dafb4359e529_1790374131211</t>
  </si>
  <si>
    <t>KIOS ( EMA SITI PARMIN )</t>
  </si>
  <si>
    <t>https://fasih-sm.bps.go.id/app/assignment/fd68e454-ba45-4b85-8205-f3bf777ded24/cf256a2f-7716-4084-a012-dafb4359e529</t>
  </si>
  <si>
    <t>d2229aad-6970-4def-997e-43bd311b9a6c</t>
  </si>
  <si>
    <t>d2229aad-6970-4def-997e-43bd311b9a6c_1789296269454</t>
  </si>
  <si>
    <t>KIOS SEMBAKO (MARTA BULU DEMON)</t>
  </si>
  <si>
    <t>https://fasih-sm.bps.go.id/app/assignment/fd68e454-ba45-4b85-8205-f3bf777ded24/d2229aad-6970-4def-997e-43bd311b9a6c</t>
  </si>
  <si>
    <t>d255c57b-2c78-4abc-9b54-b7c77ddbd27a</t>
  </si>
  <si>
    <t>d255c57b-2c78-4abc-9b54-b7c77ddbd27a_1790374132567</t>
  </si>
  <si>
    <t>TOKO SUMBER REJEKI</t>
  </si>
  <si>
    <t>0,735294</t>
  </si>
  <si>
    <t>51428571,43</t>
  </si>
  <si>
    <t>https://fasih-sm.bps.go.id/app/assignment/fd68e454-ba45-4b85-8205-f3bf777ded24/d255c57b-2c78-4abc-9b54-b7c77ddbd27a</t>
  </si>
  <si>
    <t>d3b0d9e2-7640-46d7-9f0f-b83ffb8c5d67</t>
  </si>
  <si>
    <t>d3b0d9e2-7640-46d7-9f0f-b83ffb8c5d67_1784904479702</t>
  </si>
  <si>
    <t>KIOS VARINI (SUSANA SABU KIWAN)</t>
  </si>
  <si>
    <t>0,232558</t>
  </si>
  <si>
    <t>https://fasih-sm.bps.go.id/app/assignment/fd68e454-ba45-4b85-8205-f3bf777ded24/d3b0d9e2-7640-46d7-9f0f-b83ffb8c5d67</t>
  </si>
  <si>
    <t>d8ee0804-2eb6-4ffa-8af2-0ed3fb7d456f</t>
  </si>
  <si>
    <t>d8ee0804-2eb6-4ffa-8af2-0ed3fb7d456f_1789722588062</t>
  </si>
  <si>
    <t>KIOS SUMBER REJEKI &lt;THERESIA D.A. FILA SELO&gt;</t>
  </si>
  <si>
    <t>https://fasih-sm.bps.go.id/app/assignment/fd68e454-ba45-4b85-8205-f3bf777ded24/d8ee0804-2eb6-4ffa-8af2-0ed3fb7d456f</t>
  </si>
  <si>
    <t>dbb1d7ea-c094-4131-ae8a-e7c9d70f09cd</t>
  </si>
  <si>
    <t>dbb1d7ea-c094-4131-ae8a-e7c9d70f09cd_1787158572545</t>
  </si>
  <si>
    <t>KIOS AYU PERTIWI</t>
  </si>
  <si>
    <t>https://fasih-sm.bps.go.id/app/assignment/fd68e454-ba45-4b85-8205-f3bf777ded24/dbb1d7ea-c094-4131-ae8a-e7c9d70f09cd</t>
  </si>
  <si>
    <t>dfc7fbb7-215f-485f-92da-532eab207aaf</t>
  </si>
  <si>
    <t>dfc7fbb7-215f-485f-92da-532eab207aaf_1790562541289</t>
  </si>
  <si>
    <t>KIOS SYALOM (RASEM LOKUNUHA)</t>
  </si>
  <si>
    <t>https://fasih-sm.bps.go.id/app/assignment/fd68e454-ba45-4b85-8205-f3bf777ded24/dfc7fbb7-215f-485f-92da-532eab207aaf</t>
  </si>
  <si>
    <t>e342d712-5391-4f3e-9b0c-8fa66992f117</t>
  </si>
  <si>
    <t>e342d712-5391-4f3e-9b0c-8fa66992f117_1789599110973</t>
  </si>
  <si>
    <t>KIOS (YOHANA BUKA DONI)</t>
  </si>
  <si>
    <t>0,72</t>
  </si>
  <si>
    <t>https://fasih-sm.bps.go.id/app/assignment/fd68e454-ba45-4b85-8205-f3bf777ded24/e342d712-5391-4f3e-9b0c-8fa66992f117</t>
  </si>
  <si>
    <t>e6bc22a2-ae70-406a-9938-d713b598817d</t>
  </si>
  <si>
    <t>e6bc22a2-ae70-406a-9938-d713b598817d_1789635540260</t>
  </si>
  <si>
    <t>KIOS (MARIA TUTO OLA)</t>
  </si>
  <si>
    <t>0,533333</t>
  </si>
  <si>
    <t>https://fasih-sm.bps.go.id/app/assignment/fd68e454-ba45-4b85-8205-f3bf777ded24/e6bc22a2-ae70-406a-9938-d713b598817d</t>
  </si>
  <si>
    <t>e7c94e3d-ed7b-4de4-8bef-7b4a339e3365</t>
  </si>
  <si>
    <t>e7c94e3d-ed7b-4de4-8bef-7b4a339e3365_1789424650550</t>
  </si>
  <si>
    <t>https://fasih-sm.bps.go.id/app/assignment/fd68e454-ba45-4b85-8205-f3bf777ded24/e7c94e3d-ed7b-4de4-8bef-7b4a339e3365</t>
  </si>
  <si>
    <t>ec6c732e-a2a3-47bf-a2d8-1ec69a3697de</t>
  </si>
  <si>
    <t>ec6c732e-a2a3-47bf-a2d8-1ec69a3697de_1784417518200</t>
  </si>
  <si>
    <t>KIOS GABRIEL &lt;GETRUDIS MANDANAS&gt;</t>
  </si>
  <si>
    <t>0,310078</t>
  </si>
  <si>
    <t>https://fasih-sm.bps.go.id/app/assignment/fd68e454-ba45-4b85-8205-f3bf777ded24/ec6c732e-a2a3-47bf-a2d8-1ec69a3697de</t>
  </si>
  <si>
    <t>ed3b1c9a-7929-428b-a842-b16b56fbcc7c</t>
  </si>
  <si>
    <t>ed3b1c9a-7929-428b-a842-b16b56fbcc7c_1786576009550</t>
  </si>
  <si>
    <t>KIOS °HENDRIKA HAYATI KOTEN°</t>
  </si>
  <si>
    <t>https://fasih-sm.bps.go.id/app/assignment/fd68e454-ba45-4b85-8205-f3bf777ded24/ed3b1c9a-7929-428b-a842-b16b56fbcc7c</t>
  </si>
  <si>
    <t>f29136ff-8e10-438e-bf8f-57aab6a10bdf</t>
  </si>
  <si>
    <t>f29136ff-8e10-438e-bf8f-57aab6a10bdf_1789393459963</t>
  </si>
  <si>
    <t>KIOS 7 ELEVEN (AMBROSIUS KERON AMA)</t>
  </si>
  <si>
    <t>0,624113</t>
  </si>
  <si>
    <t>https://fasih-sm.bps.go.id/app/assignment/fd68e454-ba45-4b85-8205-f3bf777ded24/f29136ff-8e10-438e-bf8f-57aab6a10bdf</t>
  </si>
  <si>
    <t>f2c127f6-39e7-48f0-8cd3-006808886377</t>
  </si>
  <si>
    <t>f2c127f6-39e7-48f0-8cd3-006808886377_1788946629976</t>
  </si>
  <si>
    <t>JUALAN CEMILAN (SITI SALMA KIA)</t>
  </si>
  <si>
    <t>0,517241</t>
  </si>
  <si>
    <t>https://fasih-sm.bps.go.id/app/assignment/fd68e454-ba45-4b85-8205-f3bf777ded24/f2c127f6-39e7-48f0-8cd3-006808886377</t>
  </si>
  <si>
    <t>f32191fc-6f1c-49e0-bc7d-0900084fafe0</t>
  </si>
  <si>
    <t>f32191fc-6f1c-49e0-bc7d-0900084fafe0_1790071799582</t>
  </si>
  <si>
    <t>PEDAGANG ECERAN &lt;ST.NURJENNAH&gt;</t>
  </si>
  <si>
    <t>https://fasih-sm.bps.go.id/app/assignment/fd68e454-ba45-4b85-8205-f3bf777ded24/f32191fc-6f1c-49e0-bc7d-0900084fafe0</t>
  </si>
  <si>
    <t>f64c66d2-7b3a-4ade-b47a-b36308383a0b</t>
  </si>
  <si>
    <t>f64c66d2-7b3a-4ade-b47a-b36308383a0b_1786407078145</t>
  </si>
  <si>
    <t>KIOS FAMILIY TRANS</t>
  </si>
  <si>
    <t>0,556481</t>
  </si>
  <si>
    <t>https://fasih-sm.bps.go.id/app/assignment/fd68e454-ba45-4b85-8205-f3bf777ded24/f64c66d2-7b3a-4ade-b47a-b36308383a0b</t>
  </si>
  <si>
    <t>f68409d3-ab54-4a02-b88b-44f949bc9a98</t>
  </si>
  <si>
    <t>f68409d3-ab54-4a02-b88b-44f949bc9a98_1792299980696</t>
  </si>
  <si>
    <t>USAHA PERDAGANGAN (WILHELMUS MASANOPUN TUKAN)</t>
  </si>
  <si>
    <t>https://fasih-sm.bps.go.id/app/assignment/fd68e454-ba45-4b85-8205-f3bf777ded24/f68409d3-ab54-4a02-b88b-44f949bc9a98</t>
  </si>
  <si>
    <t>f8819d5b-850d-4af3-9a02-42b7f8513eb4</t>
  </si>
  <si>
    <t>f8819d5b-850d-4af3-9a02-42b7f8513eb4_1786500595330</t>
  </si>
  <si>
    <t>USAHA JUAL SEMBAKO AGUSTINA TULIT</t>
  </si>
  <si>
    <t>https://fasih-sm.bps.go.id/app/assignment/fd68e454-ba45-4b85-8205-f3bf777ded24/f8819d5b-850d-4af3-9a02-42b7f8513eb4</t>
  </si>
  <si>
    <t>f994c133-8e4d-4cb3-a4cc-2f562324da1d</t>
  </si>
  <si>
    <t>f994c133-8e4d-4cb3-a4cc-2f562324da1d_1787674823977</t>
  </si>
  <si>
    <t>UTP KIOS (MARIA UMINDA)</t>
  </si>
  <si>
    <t>https://fasih-sm.bps.go.id/app/assignment/fd68e454-ba45-4b85-8205-f3bf777ded24/f994c133-8e4d-4cb3-a4cc-2f562324da1d</t>
  </si>
  <si>
    <t>fb07ac62-664d-4d1d-a511-e723c0e70124</t>
  </si>
  <si>
    <t>fb07ac62-664d-4d1d-a511-e723c0e70124_1785925838047</t>
  </si>
  <si>
    <t>USAHA UB ONE TOU</t>
  </si>
  <si>
    <t>0,47619</t>
  </si>
  <si>
    <t>https://fasih-sm.bps.go.id/app/assignment/fd68e454-ba45-4b85-8205-f3bf777ded24/fb07ac62-664d-4d1d-a511-e723c0e70124</t>
  </si>
  <si>
    <t>fd0d53b9-4560-440e-b7ba-4e87da8292e7</t>
  </si>
  <si>
    <t>fd0d53b9-4560-440e-b7ba-4e87da8292e7_1785822486331</t>
  </si>
  <si>
    <t>USAHA WARUNG SEMBAKO</t>
  </si>
  <si>
    <t>https://fasih-sm.bps.go.id/app/assignment/fd68e454-ba45-4b85-8205-f3bf777ded24/fd0d53b9-4560-440e-b7ba-4e87da8292e7</t>
  </si>
  <si>
    <t>0021e17a-9f58-486b-b2e5-d1f0c2552160</t>
  </si>
  <si>
    <t>0021e17a-9f58-486b-b2e5-d1f0c2552160_1791050292312</t>
  </si>
  <si>
    <t>Kios sembako Baselius</t>
  </si>
  <si>
    <t>0,198276</t>
  </si>
  <si>
    <t>https://fasih-sm.bps.go.id/app/assignment/fd68e454-ba45-4b85-8205-f3bf777ded24/0021e17a-9f58-486b-b2e5-d1f0c2552160</t>
  </si>
  <si>
    <t>003ef3e8-55ac-4754-8e2a-d619abc4c60e</t>
  </si>
  <si>
    <t>003ef3e8-55ac-4754-8e2a-d619abc4c60e_1791788665034</t>
  </si>
  <si>
    <t>KIOS (ANITA TUTO NUGI)</t>
  </si>
  <si>
    <t>0,576923</t>
  </si>
  <si>
    <t>https://fasih-sm.bps.go.id/app/assignment/fd68e454-ba45-4b85-8205-f3bf777ded24/003ef3e8-55ac-4754-8e2a-d619abc4c60e</t>
  </si>
  <si>
    <t>00681c7f-0884-416d-887f-a8ea8bd0cab2</t>
  </si>
  <si>
    <t>00681c7f-0884-416d-887f-a8ea8bd0cab2_1791050424853</t>
  </si>
  <si>
    <t>KIOS JEKSON</t>
  </si>
  <si>
    <t>0,535714</t>
  </si>
  <si>
    <t>https://fasih-sm.bps.go.id/app/assignment/fd68e454-ba45-4b85-8205-f3bf777ded24/00681c7f-0884-416d-887f-a8ea8bd0cab2</t>
  </si>
  <si>
    <t>007ef92a-86a4-43d8-aa44-b612e5a57588</t>
  </si>
  <si>
    <t>007ef92a-86a4-43d8-aa44-b612e5a57588_1791050465906</t>
  </si>
  <si>
    <t>KIOS DUA PUTRI</t>
  </si>
  <si>
    <t>0,7</t>
  </si>
  <si>
    <t>https://fasih-sm.bps.go.id/app/assignment/fd68e454-ba45-4b85-8205-f3bf777ded24/007ef92a-86a4-43d8-aa44-b612e5a57588</t>
  </si>
  <si>
    <t>00d9a9b6-b46d-42e6-9646-7fb0ea9f35fd</t>
  </si>
  <si>
    <t>00d9a9b6-b46d-42e6-9646-7fb0ea9f35fd_1791050577054</t>
  </si>
  <si>
    <t>KIOS INDAH</t>
  </si>
  <si>
    <t>0,823529</t>
  </si>
  <si>
    <t>https://fasih-sm.bps.go.id/app/assignment/fd68e454-ba45-4b85-8205-f3bf777ded24/00d9a9b6-b46d-42e6-9646-7fb0ea9f35fd</t>
  </si>
  <si>
    <t>0133cc34-f09d-4ff6-a996-fd04f5ab6ef9</t>
  </si>
  <si>
    <t>0133cc34-f09d-4ff6-a996-fd04f5ab6ef9_1791050765823</t>
  </si>
  <si>
    <t>USAHA KIOS ECERAN ( INOSENSIUS DOPENG)</t>
  </si>
  <si>
    <t>0,583658</t>
  </si>
  <si>
    <t>https://fasih-sm.bps.go.id/app/assignment/fd68e454-ba45-4b85-8205-f3bf777ded24/0133cc34-f09d-4ff6-a996-fd04f5ab6ef9</t>
  </si>
  <si>
    <t>01602039-dd5f-420b-a91f-5aebb0c745d3</t>
  </si>
  <si>
    <t>01602039-dd5f-420b-a91f-5aebb0c745d3_1791050855234</t>
  </si>
  <si>
    <t>KIOS BAHRIA (BAHRIA MUKIN)</t>
  </si>
  <si>
    <t>0,692308</t>
  </si>
  <si>
    <t>https://fasih-sm.bps.go.id/app/assignment/fd68e454-ba45-4b85-8205-f3bf777ded24/01602039-dd5f-420b-a91f-5aebb0c745d3</t>
  </si>
  <si>
    <t>01639bff-4ec7-4e76-8913-f4d11c9af1b7</t>
  </si>
  <si>
    <t>01639bff-4ec7-4e76-8913-f4d11c9af1b7_1791050861489</t>
  </si>
  <si>
    <t>KIOS (MARIA DAWAN KWOHON)</t>
  </si>
  <si>
    <t>https://fasih-sm.bps.go.id/app/assignment/fd68e454-ba45-4b85-8205-f3bf777ded24/01639bff-4ec7-4e76-8913-f4d11c9af1b7</t>
  </si>
  <si>
    <t>01efe346-5814-4fb5-a473-f99322bf9f7d</t>
  </si>
  <si>
    <t>01efe346-5814-4fb5-a473-f99322bf9f7d_1791051154945</t>
  </si>
  <si>
    <t>KIOS (CAROLINA)</t>
  </si>
  <si>
    <t>https://fasih-sm.bps.go.id/app/assignment/fd68e454-ba45-4b85-8205-f3bf777ded24/01efe346-5814-4fb5-a473-f99322bf9f7d</t>
  </si>
  <si>
    <t>01fa102a-41a3-490f-acb4-bb90bba0ae55</t>
  </si>
  <si>
    <t>01fa102a-41a3-490f-acb4-bb90bba0ae55_1791051190116</t>
  </si>
  <si>
    <t>KIOS SAMPERA (SAMSUL SAMAN)</t>
  </si>
  <si>
    <t>https://fasih-sm.bps.go.id/app/assignment/fd68e454-ba45-4b85-8205-f3bf777ded24/01fa102a-41a3-490f-acb4-bb90bba0ae55</t>
  </si>
  <si>
    <t>0210e931-959f-4465-b69c-209e69ff5f6d</t>
  </si>
  <si>
    <t>0210e931-959f-4465-b69c-209e69ff5f6d_1791051238637</t>
  </si>
  <si>
    <t>USAHA PERDAGANGAN (MARTINA METIN KEBAN)</t>
  </si>
  <si>
    <t>0,819444</t>
  </si>
  <si>
    <t>https://fasih-sm.bps.go.id/app/assignment/fd68e454-ba45-4b85-8205-f3bf777ded24/0210e931-959f-4465-b69c-209e69ff5f6d</t>
  </si>
  <si>
    <t>029318a4-a8af-47a5-92d7-f51e480d3272</t>
  </si>
  <si>
    <t>029318a4-a8af-47a5-92d7-f51e480d3272_1791051511557</t>
  </si>
  <si>
    <t>KIOS TANIA</t>
  </si>
  <si>
    <t>https://fasih-sm.bps.go.id/app/assignment/fd68e454-ba45-4b85-8205-f3bf777ded24/029318a4-a8af-47a5-92d7-f51e480d3272</t>
  </si>
  <si>
    <t>02adda6f-bf3b-4aa2-925d-57ea2ee1c1f5</t>
  </si>
  <si>
    <t>02adda6f-bf3b-4aa2-925d-57ea2ee1c1f5_1791051572740</t>
  </si>
  <si>
    <t>JUAL ECERAN MAKANAN DAN MINUMAN (MASTURA ABDUL MUNIR)</t>
  </si>
  <si>
    <t>0,952381</t>
  </si>
  <si>
    <t>https://fasih-sm.bps.go.id/app/assignment/fd68e454-ba45-4b85-8205-f3bf777ded24/02adda6f-bf3b-4aa2-925d-57ea2ee1c1f5</t>
  </si>
  <si>
    <t>02b873f5-4045-4f09-a4f2-f372e212c2f7</t>
  </si>
  <si>
    <t>02b873f5-4045-4f09-a4f2-f372e212c2f7_1791051598410</t>
  </si>
  <si>
    <t>KIOS HELMIANA OLE</t>
  </si>
  <si>
    <t>0,083333</t>
  </si>
  <si>
    <t>https://fasih-sm.bps.go.id/app/assignment/fd68e454-ba45-4b85-8205-f3bf777ded24/02b873f5-4045-4f09-a4f2-f372e212c2f7</t>
  </si>
  <si>
    <t>02c156d4-b31e-4ae2-8d8d-32b72d8ea9d1</t>
  </si>
  <si>
    <t>02c156d4-b31e-4ae2-8d8d-32b72d8ea9d1_1791051622096</t>
  </si>
  <si>
    <t>USAHA KIOS (ELISABET LAU TUKAN)</t>
  </si>
  <si>
    <t>https://fasih-sm.bps.go.id/app/assignment/fd68e454-ba45-4b85-8205-f3bf777ded24/02c156d4-b31e-4ae2-8d8d-32b72d8ea9d1</t>
  </si>
  <si>
    <t>03358ec1-5721-4e31-8af1-93434b85253f</t>
  </si>
  <si>
    <t>03358ec1-5721-4e31-8af1-93434b85253f_1791187033162</t>
  </si>
  <si>
    <t>KIOS (SELVIANA MOOY)</t>
  </si>
  <si>
    <t>https://fasih-sm.bps.go.id/app/assignment/fd68e454-ba45-4b85-8205-f3bf777ded24/03358ec1-5721-4e31-8af1-93434b85253f</t>
  </si>
  <si>
    <t>034ae829-30d7-47f9-93fc-995b606a57fb</t>
  </si>
  <si>
    <t>034ae829-30d7-47f9-93fc-995b606a57fb_1791051888101</t>
  </si>
  <si>
    <t>KIOS ALFA ( MARIA AROVA )</t>
  </si>
  <si>
    <t>https://fasih-sm.bps.go.id/app/assignment/fd68e454-ba45-4b85-8205-f3bf777ded24/034ae829-30d7-47f9-93fc-995b606a57fb</t>
  </si>
  <si>
    <t>0362eaab-0f37-4bcc-aa3c-b614ee85864b</t>
  </si>
  <si>
    <t>0362eaab-0f37-4bcc-aa3c-b614ee85864b_1791051939065</t>
  </si>
  <si>
    <t>LAPAK EMA ESI DIAZ</t>
  </si>
  <si>
    <t>https://fasih-sm.bps.go.id/app/assignment/fd68e454-ba45-4b85-8205-f3bf777ded24/0362eaab-0f37-4bcc-aa3c-b614ee85864b</t>
  </si>
  <si>
    <t>0396688b-9b4c-4fe7-8650-9f6e381b675a</t>
  </si>
  <si>
    <t>0396688b-9b4c-4fe7-8650-9f6e381b675a_1791052050024</t>
  </si>
  <si>
    <t>KIOS DINI THERESIA RIBERU</t>
  </si>
  <si>
    <t>https://fasih-sm.bps.go.id/app/assignment/fd68e454-ba45-4b85-8205-f3bf777ded24/0396688b-9b4c-4fe7-8650-9f6e381b675a</t>
  </si>
  <si>
    <t>03a52846-3c85-4efb-bd93-29d6a217f021</t>
  </si>
  <si>
    <t>03a52846-3c85-4efb-bd93-29d6a217f021_1791052070250</t>
  </si>
  <si>
    <t>USAHA KIOS</t>
  </si>
  <si>
    <t>0,6875</t>
  </si>
  <si>
    <t>https://fasih-sm.bps.go.id/app/assignment/fd68e454-ba45-4b85-8205-f3bf777ded24/03a52846-3c85-4efb-bd93-29d6a217f021</t>
  </si>
  <si>
    <t>03ceaf88-31e5-4283-a559-736a46a43f3c</t>
  </si>
  <si>
    <t>03ceaf88-31e5-4283-a559-736a46a43f3c_1791052148765</t>
  </si>
  <si>
    <t>NOKA CELL</t>
  </si>
  <si>
    <t>14999999,5</t>
  </si>
  <si>
    <t>https://fasih-sm.bps.go.id/app/assignment/fd68e454-ba45-4b85-8205-f3bf777ded24/03ceaf88-31e5-4283-a559-736a46a43f3c</t>
  </si>
  <si>
    <t>03e49dce-febf-4215-a536-0b5b39049534</t>
  </si>
  <si>
    <t>03e49dce-febf-4215-a536-0b5b39049534_1791052217085</t>
  </si>
  <si>
    <t>KIOS (MANYE)</t>
  </si>
  <si>
    <t>https://fasih-sm.bps.go.id/app/assignment/fd68e454-ba45-4b85-8205-f3bf777ded24/03e49dce-febf-4215-a536-0b5b39049534</t>
  </si>
  <si>
    <t>03ec2de9-c4d3-4f62-ba9b-2bf732eee636</t>
  </si>
  <si>
    <t>03ec2de9-c4d3-4f62-ba9b-2bf732eee636_1791052219159</t>
  </si>
  <si>
    <t>USAHA KIOS IBU YOSEFINA YIFIN HURINT</t>
  </si>
  <si>
    <t>0,680272</t>
  </si>
  <si>
    <t>https://fasih-sm.bps.go.id/app/assignment/fd68e454-ba45-4b85-8205-f3bf777ded24/03ec2de9-c4d3-4f62-ba9b-2bf732eee636</t>
  </si>
  <si>
    <t>041b8f97-3825-4946-a728-a8f33a11776e</t>
  </si>
  <si>
    <t>041b8f97-3825-4946-a728-a8f33a11776e_1791052309298</t>
  </si>
  <si>
    <t>KOLI TUBHUN II</t>
  </si>
  <si>
    <t>0,885268</t>
  </si>
  <si>
    <t>https://fasih-sm.bps.go.id/app/assignment/fd68e454-ba45-4b85-8205-f3bf777ded24/041b8f97-3825-4946-a728-a8f33a11776e</t>
  </si>
  <si>
    <t>043001b3-df4a-41f6-a645-5cd5f9d1d577</t>
  </si>
  <si>
    <t>043001b3-df4a-41f6-a645-5cd5f9d1d577_1791052361918</t>
  </si>
  <si>
    <t>KIOS SEMBAKO (SUSANA)</t>
  </si>
  <si>
    <t>0,789474</t>
  </si>
  <si>
    <t>https://fasih-sm.bps.go.id/app/assignment/fd68e454-ba45-4b85-8205-f3bf777ded24/043001b3-df4a-41f6-a645-5cd5f9d1d577</t>
  </si>
  <si>
    <t>04361ffa-e3a4-4f2b-839b-df4214b20267</t>
  </si>
  <si>
    <t>04361ffa-e3a4-4f2b-839b-df4214b20267_1791052369715</t>
  </si>
  <si>
    <t>KIOS STARSHOP BANG ANIS</t>
  </si>
  <si>
    <t>0,755287</t>
  </si>
  <si>
    <t>0,617284</t>
  </si>
  <si>
    <t>https://fasih-sm.bps.go.id/app/assignment/fd68e454-ba45-4b85-8205-f3bf777ded24/04361ffa-e3a4-4f2b-839b-df4214b20267</t>
  </si>
  <si>
    <t>043fb895-3edb-4a08-abcd-887595296145</t>
  </si>
  <si>
    <t>043fb895-3edb-4a08-abcd-887595296145_1791052389058</t>
  </si>
  <si>
    <t>USAHA KIOS EKA SINLAE</t>
  </si>
  <si>
    <t>https://fasih-sm.bps.go.id/app/assignment/fd68e454-ba45-4b85-8205-f3bf777ded24/043fb895-3edb-4a08-abcd-887595296145</t>
  </si>
  <si>
    <t>0449ed3f-a436-4af4-9b48-b82403345fba</t>
  </si>
  <si>
    <t>0449ed3f-a436-4af4-9b48-b82403345fba_1791052414747</t>
  </si>
  <si>
    <t>https://fasih-sm.bps.go.id/app/assignment/fd68e454-ba45-4b85-8205-f3bf777ded24/0449ed3f-a436-4af4-9b48-b82403345fba</t>
  </si>
  <si>
    <t>0463eb4a-364f-4770-8431-14836861618a</t>
  </si>
  <si>
    <t>0463eb4a-364f-4770-8431-14836861618a_1791052462529</t>
  </si>
  <si>
    <t>KIOS KARUNIA ( MATEUS KOPONG WERANG )</t>
  </si>
  <si>
    <t>https://fasih-sm.bps.go.id/app/assignment/fd68e454-ba45-4b85-8205-f3bf777ded24/0463eb4a-364f-4770-8431-14836861618a</t>
  </si>
  <si>
    <t>0480fc92-d878-42e9-bfe3-570a2ca60fa8</t>
  </si>
  <si>
    <t>0480fc92-d878-42e9-bfe3-570a2ca60fa8_1791052539645</t>
  </si>
  <si>
    <t>KIOS HERMINA BLOLON</t>
  </si>
  <si>
    <t>https://fasih-sm.bps.go.id/app/assignment/fd68e454-ba45-4b85-8205-f3bf777ded24/0480fc92-d878-42e9-bfe3-570a2ca60fa8</t>
  </si>
  <si>
    <t>04d729dd-fee9-4cbc-bffd-273ddf998166</t>
  </si>
  <si>
    <t>04d729dd-fee9-4cbc-bffd-273ddf998166_1791052697931</t>
  </si>
  <si>
    <t>KIOS MONIKA NEBONG KWURE</t>
  </si>
  <si>
    <t>https://fasih-sm.bps.go.id/app/assignment/fd68e454-ba45-4b85-8205-f3bf777ded24/04d729dd-fee9-4cbc-bffd-273ddf998166</t>
  </si>
  <si>
    <t>04db1d5c-735c-48bc-8438-d47f4db4d99a</t>
  </si>
  <si>
    <t>04db1d5c-735c-48bc-8438-d47f4db4d99a_1791052696944</t>
  </si>
  <si>
    <t>USAHA KIOS SEMBAKO (GORIS LEIN)</t>
  </si>
  <si>
    <t>0,026042</t>
  </si>
  <si>
    <t>https://fasih-sm.bps.go.id/app/assignment/fd68e454-ba45-4b85-8205-f3bf777ded24/04db1d5c-735c-48bc-8438-d47f4db4d99a</t>
  </si>
  <si>
    <t>04f7c4c4-486b-40b6-9c28-78efc9427b07</t>
  </si>
  <si>
    <t>04f7c4c4-486b-40b6-9c28-78efc9427b07_1791052758560</t>
  </si>
  <si>
    <t>KIOS KELONTONG (TASLIM SYAMSUDIN)</t>
  </si>
  <si>
    <t>https://fasih-sm.bps.go.id/app/assignment/fd68e454-ba45-4b85-8205-f3bf777ded24/04f7c4c4-486b-40b6-9c28-78efc9427b07</t>
  </si>
  <si>
    <t>0551f03d-f0b6-42a8-9fe4-88ebff3610ad</t>
  </si>
  <si>
    <t>0551f03d-f0b6-42a8-9fe4-88ebff3610ad_1791052953017</t>
  </si>
  <si>
    <t>KIOS CAHYA PRANATA (SITI SAUDA)</t>
  </si>
  <si>
    <t>0,591837</t>
  </si>
  <si>
    <t>https://fasih-sm.bps.go.id/app/assignment/fd68e454-ba45-4b85-8205-f3bf777ded24/0551f03d-f0b6-42a8-9fe4-88ebff3610ad</t>
  </si>
  <si>
    <t>0567a4c8-63ce-4199-a027-5745383e8440</t>
  </si>
  <si>
    <t>0567a4c8-63ce-4199-a027-5745383e8440_1791052980967</t>
  </si>
  <si>
    <t>KIOS(HASNA)</t>
  </si>
  <si>
    <t>0,695652</t>
  </si>
  <si>
    <t>https://fasih-sm.bps.go.id/app/assignment/fd68e454-ba45-4b85-8205-f3bf777ded24/0567a4c8-63ce-4199-a027-5745383e8440</t>
  </si>
  <si>
    <t>056f99de-6014-4fdf-8fc5-9c1d899b2cb0</t>
  </si>
  <si>
    <t>056f99de-6014-4fdf-8fc5-9c1d899b2cb0_1791053030211</t>
  </si>
  <si>
    <t>USAHA PERDAGANGAN( FITRI BAHY)</t>
  </si>
  <si>
    <t>0,224359</t>
  </si>
  <si>
    <t>https://fasih-sm.bps.go.id/app/assignment/fd68e454-ba45-4b85-8205-f3bf777ded24/056f99de-6014-4fdf-8fc5-9c1d899b2cb0</t>
  </si>
  <si>
    <t>05cf3ce5-e5ea-419e-bfa0-624c37962454</t>
  </si>
  <si>
    <t>05cf3ce5-e5ea-419e-bfa0-624c37962454_1791053207962</t>
  </si>
  <si>
    <t>USAHA PERDAGANGAN( ALVISARI KEWA TEKA)</t>
  </si>
  <si>
    <t>0,514925</t>
  </si>
  <si>
    <t>https://fasih-sm.bps.go.id/app/assignment/fd68e454-ba45-4b85-8205-f3bf777ded24/05cf3ce5-e5ea-419e-bfa0-624c37962454</t>
  </si>
  <si>
    <t>05dbf2b5-f9df-4937-8459-963eb632ad43</t>
  </si>
  <si>
    <t>05dbf2b5-f9df-4937-8459-963eb632ad43_1791053229136</t>
  </si>
  <si>
    <t>KIOS ARINA (STEFANUS SEMARA WUJON)</t>
  </si>
  <si>
    <t>https://fasih-sm.bps.go.id/app/assignment/fd68e454-ba45-4b85-8205-f3bf777ded24/05dbf2b5-f9df-4937-8459-963eb632ad43</t>
  </si>
  <si>
    <t>05e195cd-a090-4def-b00c-97948a0297bf</t>
  </si>
  <si>
    <t>05e195cd-a090-4def-b00c-97948a0297bf_1791053234776</t>
  </si>
  <si>
    <t>KIOS SEMBAKO - MARTA LINGGEKA</t>
  </si>
  <si>
    <t>0,728745</t>
  </si>
  <si>
    <t>https://fasih-sm.bps.go.id/app/assignment/fd68e454-ba45-4b85-8205-f3bf777ded24/05e195cd-a090-4def-b00c-97948a0297bf</t>
  </si>
  <si>
    <t>062f46f4-92c8-4078-8c9e-e44fd486e9a4</t>
  </si>
  <si>
    <t>062f46f4-92c8-4078-8c9e-e44fd486e9a4_1791053427363</t>
  </si>
  <si>
    <t>KIOS °YUSPINA PAI KELEN°</t>
  </si>
  <si>
    <t>https://fasih-sm.bps.go.id/app/assignment/fd68e454-ba45-4b85-8205-f3bf777ded24/062f46f4-92c8-4078-8c9e-e44fd486e9a4</t>
  </si>
  <si>
    <t>064d9e7b-b4de-4207-9359-a66390826215</t>
  </si>
  <si>
    <t>064d9e7b-b4de-4207-9359-a66390826215_1791053447501</t>
  </si>
  <si>
    <t>KIOS (DOMINIKA DEROSARI)</t>
  </si>
  <si>
    <t>https://fasih-sm.bps.go.id/app/assignment/fd68e454-ba45-4b85-8205-f3bf777ded24/064d9e7b-b4de-4207-9359-a66390826215</t>
  </si>
  <si>
    <t>06573800-773f-4daf-90d1-87e31273c107</t>
  </si>
  <si>
    <t>06573800-773f-4daf-90d1-87e31273c107_1791053468068</t>
  </si>
  <si>
    <t>KIOS YOLAN PUKA (MAMA SABU)</t>
  </si>
  <si>
    <t>0,702703</t>
  </si>
  <si>
    <t>https://fasih-sm.bps.go.id/app/assignment/fd68e454-ba45-4b85-8205-f3bf777ded24/06573800-773f-4daf-90d1-87e31273c107</t>
  </si>
  <si>
    <t>068cc16f-4b75-43f1-8756-fe8529c86ec4</t>
  </si>
  <si>
    <t>068cc16f-4b75-43f1-8756-fe8529c86ec4_1791053576514</t>
  </si>
  <si>
    <t>KIOS ONCU KELARA WAITUAN LAMURY</t>
  </si>
  <si>
    <t>https://fasih-sm.bps.go.id/app/assignment/fd68e454-ba45-4b85-8205-f3bf777ded24/068cc16f-4b75-43f1-8756-fe8529c86ec4</t>
  </si>
  <si>
    <t>06b4e85c-6c5e-4528-9746-635d3a2d032d</t>
  </si>
  <si>
    <t>06b4e85c-6c5e-4528-9746-635d3a2d032d_1791053685439</t>
  </si>
  <si>
    <t>KIOS AQILA (ABDURRAHMAN KADIR)</t>
  </si>
  <si>
    <t>https://fasih-sm.bps.go.id/app/assignment/fd68e454-ba45-4b85-8205-f3bf777ded24/06b4e85c-6c5e-4528-9746-635d3a2d032d</t>
  </si>
  <si>
    <t>06e9d6ef-f450-4d86-b1eb-8b8f956788ff</t>
  </si>
  <si>
    <t>06e9d6ef-f450-4d86-b1eb-8b8f956788ff_1791053786115</t>
  </si>
  <si>
    <t>USAHA KIOS&lt;WELEM NEBUSA&gt;</t>
  </si>
  <si>
    <t>https://fasih-sm.bps.go.id/app/assignment/fd68e454-ba45-4b85-8205-f3bf777ded24/06e9d6ef-f450-4d86-b1eb-8b8f956788ff</t>
  </si>
  <si>
    <t>07150a0c-44a4-476c-a283-e57f48befb26</t>
  </si>
  <si>
    <t>07150a0c-44a4-476c-a283-e57f48befb26_1791053861457</t>
  </si>
  <si>
    <t>KIOS SEMBAKO (MARTHA OSE DATON)</t>
  </si>
  <si>
    <t>0,632653</t>
  </si>
  <si>
    <t>https://fasih-sm.bps.go.id/app/assignment/fd68e454-ba45-4b85-8205-f3bf777ded24/07150a0c-44a4-476c-a283-e57f48befb26</t>
  </si>
  <si>
    <t>073e3247-832c-4da8-bd26-3cacecbd0330</t>
  </si>
  <si>
    <t>073e3247-832c-4da8-bd26-3cacecbd0330_1792475485967</t>
  </si>
  <si>
    <t>Kios sembako</t>
  </si>
  <si>
    <t>https://fasih-sm.bps.go.id/app/assignment/fd68e454-ba45-4b85-8205-f3bf777ded24/073e3247-832c-4da8-bd26-3cacecbd0330</t>
  </si>
  <si>
    <t>074b8804-64af-45cd-9fb8-596ca6bd7342</t>
  </si>
  <si>
    <t>074b8804-64af-45cd-9fb8-596ca6bd7342_1791053974529</t>
  </si>
  <si>
    <t>Kios (Veronika Lelu)</t>
  </si>
  <si>
    <t>0,208333</t>
  </si>
  <si>
    <t>https://fasih-sm.bps.go.id/app/assignment/fd68e454-ba45-4b85-8205-f3bf777ded24/074b8804-64af-45cd-9fb8-596ca6bd7342</t>
  </si>
  <si>
    <t>07969a20-ec68-4c9d-9538-825d4ec1f4d7</t>
  </si>
  <si>
    <t>07969a20-ec68-4c9d-9538-825d4ec1f4d7_1791054138876</t>
  </si>
  <si>
    <t>Usaha sumiyati patak</t>
  </si>
  <si>
    <t>0,775862</t>
  </si>
  <si>
    <t>https://fasih-sm.bps.go.id/app/assignment/fd68e454-ba45-4b85-8205-f3bf777ded24/07969a20-ec68-4c9d-9538-825d4ec1f4d7</t>
  </si>
  <si>
    <t>079a2aa4-6745-4211-bf2b-571d888dfc1b</t>
  </si>
  <si>
    <t>079a2aa4-6745-4211-bf2b-571d888dfc1b_1791054133333</t>
  </si>
  <si>
    <t>https://fasih-sm.bps.go.id/app/assignment/fd68e454-ba45-4b85-8205-f3bf777ded24/079a2aa4-6745-4211-bf2b-571d888dfc1b</t>
  </si>
  <si>
    <t>07a4caa1-72f4-4f42-8cb8-e7e823507cdd</t>
  </si>
  <si>
    <t>07a4caa1-72f4-4f42-8cb8-e7e823507cdd_1791054116680</t>
  </si>
  <si>
    <t>KIOS DAN BRILINK RAYMOND &lt;LUSIA KEWA SUGI&gt;</t>
  </si>
  <si>
    <t>https://fasih-sm.bps.go.id/app/assignment/fd68e454-ba45-4b85-8205-f3bf777ded24/07a4caa1-72f4-4f42-8cb8-e7e823507cdd</t>
  </si>
  <si>
    <t>07a6feca-e406-40b2-8a41-b20456f9dc22</t>
  </si>
  <si>
    <t>07a6feca-e406-40b2-8a41-b20456f9dc22_1791054143369</t>
  </si>
  <si>
    <t>JASA PERDAGANGAN KIOS ECERAN(ROSMINI UMAR)</t>
  </si>
  <si>
    <t>0,81457</t>
  </si>
  <si>
    <t>https://fasih-sm.bps.go.id/app/assignment/fd68e454-ba45-4b85-8205-f3bf777ded24/07a6feca-e406-40b2-8a41-b20456f9dc22</t>
  </si>
  <si>
    <t>07bab1fa-92c8-448b-95cd-cfc3c925b7d8</t>
  </si>
  <si>
    <t>07bab1fa-92c8-448b-95cd-cfc3c925b7d8_1791054204926</t>
  </si>
  <si>
    <t>KIOS ECERAN (FATIMA HAMZAH)</t>
  </si>
  <si>
    <t>0,697674</t>
  </si>
  <si>
    <t>0,538462</t>
  </si>
  <si>
    <t>https://fasih-sm.bps.go.id/app/assignment/fd68e454-ba45-4b85-8205-f3bf777ded24/07bab1fa-92c8-448b-95cd-cfc3c925b7d8</t>
  </si>
  <si>
    <t>07dc6a53-2f9f-412f-9110-bd24708493bd</t>
  </si>
  <si>
    <t>07dc6a53-2f9f-412f-9110-bd24708493bd_1791054301003</t>
  </si>
  <si>
    <t>KIOS ECERAN</t>
  </si>
  <si>
    <t>0,46875</t>
  </si>
  <si>
    <t>https://fasih-sm.bps.go.id/app/assignment/fd68e454-ba45-4b85-8205-f3bf777ded24/07dc6a53-2f9f-412f-9110-bd24708493bd</t>
  </si>
  <si>
    <t>08364fee-7d29-444e-9cba-f9177eac2a97</t>
  </si>
  <si>
    <t>08364fee-7d29-444e-9cba-f9177eac2a97_1791054454504</t>
  </si>
  <si>
    <t>KIOS ERNI MUKIN(ERNI MUKIN)</t>
  </si>
  <si>
    <t>https://fasih-sm.bps.go.id/app/assignment/fd68e454-ba45-4b85-8205-f3bf777ded24/08364fee-7d29-444e-9cba-f9177eac2a97</t>
  </si>
  <si>
    <t>0844d1b2-10aa-45fc-8fe5-ba36cada8bec</t>
  </si>
  <si>
    <t>0844d1b2-10aa-45fc-8fe5-ba36cada8bec_1791054457010</t>
  </si>
  <si>
    <t>https://fasih-sm.bps.go.id/app/assignment/fd68e454-ba45-4b85-8205-f3bf777ded24/0844d1b2-10aa-45fc-8fe5-ba36cada8bec</t>
  </si>
  <si>
    <t>085475eb-3b89-4864-ad68-ca3824319035</t>
  </si>
  <si>
    <t>085475eb-3b89-4864-ad68-ca3824319035_1791054502002</t>
  </si>
  <si>
    <t>PERKIOSAN AGNES KEI WAIKELAK</t>
  </si>
  <si>
    <t>https://fasih-sm.bps.go.id/app/assignment/fd68e454-ba45-4b85-8205-f3bf777ded24/085475eb-3b89-4864-ad68-ca3824319035</t>
  </si>
  <si>
    <t>0859fc75-8f3c-4259-90fe-e6a78cef46d5</t>
  </si>
  <si>
    <t>0859fc75-8f3c-4259-90fe-e6a78cef46d5_1791054507531</t>
  </si>
  <si>
    <t>KIOS (SITI TUPAN)</t>
  </si>
  <si>
    <t>0,266667</t>
  </si>
  <si>
    <t>https://fasih-sm.bps.go.id/app/assignment/fd68e454-ba45-4b85-8205-f3bf777ded24/0859fc75-8f3c-4259-90fe-e6a78cef46d5</t>
  </si>
  <si>
    <t>086eba64-4a07-4826-9b70-b7339fd59a3c</t>
  </si>
  <si>
    <t>086eba64-4a07-4826-9b70-b7339fd59a3c_1791054594710</t>
  </si>
  <si>
    <t>https://fasih-sm.bps.go.id/app/assignment/fd68e454-ba45-4b85-8205-f3bf777ded24/086eba64-4a07-4826-9b70-b7339fd59a3c</t>
  </si>
  <si>
    <t>088172eb-5419-4258-aa48-33abe7149257</t>
  </si>
  <si>
    <t>088172eb-5419-4258-aa48-33abe7149257_1791054634843</t>
  </si>
  <si>
    <t>KIOS LODO HAU &lt;MELIANA DALI PAYON&gt;</t>
  </si>
  <si>
    <t>https://fasih-sm.bps.go.id/app/assignment/fd68e454-ba45-4b85-8205-f3bf777ded24/088172eb-5419-4258-aa48-33abe7149257</t>
  </si>
  <si>
    <t>08c99609-dd75-4988-b585-97677dcf97dd</t>
  </si>
  <si>
    <t>08c99609-dd75-4988-b585-97677dcf97dd_1791054781121</t>
  </si>
  <si>
    <t>0,428016</t>
  </si>
  <si>
    <t>https://fasih-sm.bps.go.id/app/assignment/fd68e454-ba45-4b85-8205-f3bf777ded24/08c99609-dd75-4988-b585-97677dcf97dd</t>
  </si>
  <si>
    <t>08fb39aa-9dec-4302-8aa2-8f3dc8ad6dd0</t>
  </si>
  <si>
    <t>08fb39aa-9dec-4302-8aa2-8f3dc8ad6dd0_1791054866584</t>
  </si>
  <si>
    <t>KIOS MARSYA(SUSANA BOLENG WEKING)</t>
  </si>
  <si>
    <t>https://fasih-sm.bps.go.id/app/assignment/fd68e454-ba45-4b85-8205-f3bf777ded24/08fb39aa-9dec-4302-8aa2-8f3dc8ad6dd0</t>
  </si>
  <si>
    <t>090b7fb5-dcd4-459d-9293-f9bb317c35d3</t>
  </si>
  <si>
    <t>090b7fb5-dcd4-459d-9293-f9bb317c35d3_1791054866348</t>
  </si>
  <si>
    <t>KIOS ECERAN (IDA)</t>
  </si>
  <si>
    <t>https://fasih-sm.bps.go.id/app/assignment/fd68e454-ba45-4b85-8205-f3bf777ded24/090b7fb5-dcd4-459d-9293-f9bb317c35d3</t>
  </si>
  <si>
    <t>09d5df99-a7fa-4ef8-8b32-cf0716d69f51</t>
  </si>
  <si>
    <t>09d5df99-a7fa-4ef8-8b32-cf0716d69f51_1791055273364</t>
  </si>
  <si>
    <t>0,679046</t>
  </si>
  <si>
    <t>https://fasih-sm.bps.go.id/app/assignment/fd68e454-ba45-4b85-8205-f3bf777ded24/09d5df99-a7fa-4ef8-8b32-cf0716d69f51</t>
  </si>
  <si>
    <t>0a09fa63-b30f-45e0-ad96-b78616d1e03b</t>
  </si>
  <si>
    <t>0a09fa63-b30f-45e0-ad96-b78616d1e03b_1792210471989</t>
  </si>
  <si>
    <t>KIOS LAMBERTUS LAMA</t>
  </si>
  <si>
    <t>https://fasih-sm.bps.go.id/app/assignment/fd68e454-ba45-4b85-8205-f3bf777ded24/0a09fa63-b30f-45e0-ad96-b78616d1e03b</t>
  </si>
  <si>
    <t>0a638d4e-bb8f-48cc-8fa4-245d6f731d4e</t>
  </si>
  <si>
    <t>0a638d4e-bb8f-48cc-8fa4-245d6f731d4e_1791055559575</t>
  </si>
  <si>
    <t>KIOS KK BAHI (HERLINA ABON BOLI)</t>
  </si>
  <si>
    <t>0,733333</t>
  </si>
  <si>
    <t>https://fasih-sm.bps.go.id/app/assignment/fd68e454-ba45-4b85-8205-f3bf777ded24/0a638d4e-bb8f-48cc-8fa4-245d6f731d4e</t>
  </si>
  <si>
    <t>0a6443fc-af61-4f60-88af-c1d71ddfed6e</t>
  </si>
  <si>
    <t>0a6443fc-af61-4f60-88af-c1d71ddfed6e_1791055542869</t>
  </si>
  <si>
    <t>KIOS IBU NOGO</t>
  </si>
  <si>
    <t>https://fasih-sm.bps.go.id/app/assignment/fd68e454-ba45-4b85-8205-f3bf777ded24/0a6443fc-af61-4f60-88af-c1d71ddfed6e</t>
  </si>
  <si>
    <t>0ab7b6c7-6846-49d1-aede-9430d635e19c</t>
  </si>
  <si>
    <t>0ab7b6c7-6846-49d1-aede-9430d635e19c_1791055741144</t>
  </si>
  <si>
    <t>KIOS SEMBAKO (MARIA DERAN BORO)</t>
  </si>
  <si>
    <t>0,772727</t>
  </si>
  <si>
    <t>https://fasih-sm.bps.go.id/app/assignment/fd68e454-ba45-4b85-8205-f3bf777ded24/0ab7b6c7-6846-49d1-aede-9430d635e19c</t>
  </si>
  <si>
    <t>0af79813-fdd8-422b-b2db-22f54a25247d</t>
  </si>
  <si>
    <t>0af79813-fdd8-422b-b2db-22f54a25247d_1791055842316</t>
  </si>
  <si>
    <t>KIOS MARIETA SURAT TUTO</t>
  </si>
  <si>
    <t>0,649485</t>
  </si>
  <si>
    <t>https://fasih-sm.bps.go.id/app/assignment/fd68e454-ba45-4b85-8205-f3bf777ded24/0af79813-fdd8-422b-b2db-22f54a25247d</t>
  </si>
  <si>
    <t>0b017a1e-29bd-457e-853c-143a59b5a2a1</t>
  </si>
  <si>
    <t>0b017a1e-29bd-457e-853c-143a59b5a2a1_1791055878952</t>
  </si>
  <si>
    <t>KIOS RINA ASSAN</t>
  </si>
  <si>
    <t>https://fasih-sm.bps.go.id/app/assignment/fd68e454-ba45-4b85-8205-f3bf777ded24/0b017a1e-29bd-457e-853c-143a59b5a2a1</t>
  </si>
  <si>
    <t>0b925cb9-a39c-4ff9-b60a-86fe8eb58aee</t>
  </si>
  <si>
    <t>0b925cb9-a39c-4ff9-b60a-86fe8eb58aee_1791056228787</t>
  </si>
  <si>
    <t>USAHA KIOS ( MARIA KATHARINA FERNANDEZ AIKOLI)</t>
  </si>
  <si>
    <t>https://fasih-sm.bps.go.id/app/assignment/fd68e454-ba45-4b85-8205-f3bf777ded24/0b925cb9-a39c-4ff9-b60a-86fe8eb58aee</t>
  </si>
  <si>
    <t>0bdd0626-4840-4012-99da-128fd7155e80</t>
  </si>
  <si>
    <t>0bdd0626-4840-4012-99da-128fd7155e80_1791056349858</t>
  </si>
  <si>
    <t>PENJUAL SAYUR (GETRUDIS HIPA)</t>
  </si>
  <si>
    <t>https://fasih-sm.bps.go.id/app/assignment/fd68e454-ba45-4b85-8205-f3bf777ded24/0bdd0626-4840-4012-99da-128fd7155e80</t>
  </si>
  <si>
    <t>0be3ec4e-07e7-4523-a139-08ef669ed09c</t>
  </si>
  <si>
    <t>0be3ec4e-07e7-4523-a139-08ef669ed09c_1791056373550</t>
  </si>
  <si>
    <t>PENJUAL ECERAN SEMBAKO (LAZARUS GULAOPUN HULER)</t>
  </si>
  <si>
    <t>https://fasih-sm.bps.go.id/app/assignment/fd68e454-ba45-4b85-8205-f3bf777ded24/0be3ec4e-07e7-4523-a139-08ef669ed09c</t>
  </si>
  <si>
    <t>0be7c2ff-59e1-499f-984f-1ea77f3c7ca8</t>
  </si>
  <si>
    <t>0be7c2ff-59e1-499f-984f-1ea77f3c7ca8_1791056353810</t>
  </si>
  <si>
    <t>KIOS SEMBAKO ,BERNADETE BULU MASAN</t>
  </si>
  <si>
    <t>https://fasih-sm.bps.go.id/app/assignment/fd68e454-ba45-4b85-8205-f3bf777ded24/0be7c2ff-59e1-499f-984f-1ea77f3c7ca8</t>
  </si>
  <si>
    <t>0bf0d7ce-2791-4682-923a-98e3e5b37ad2</t>
  </si>
  <si>
    <t>0bf0d7ce-2791-4682-923a-98e3e5b37ad2_1791056379068</t>
  </si>
  <si>
    <t>KIOS ECERAN (ERNA ELIAS)</t>
  </si>
  <si>
    <t>https://fasih-sm.bps.go.id/app/assignment/fd68e454-ba45-4b85-8205-f3bf777ded24/0bf0d7ce-2791-4682-923a-98e3e5b37ad2</t>
  </si>
  <si>
    <t>0bfa712f-5d43-460c-834c-fa9fcda95873</t>
  </si>
  <si>
    <t>0bfa712f-5d43-460c-834c-fa9fcda95873_1791056369541</t>
  </si>
  <si>
    <t>KIOS</t>
  </si>
  <si>
    <t>https://fasih-sm.bps.go.id/app/assignment/fd68e454-ba45-4b85-8205-f3bf777ded24/0bfa712f-5d43-460c-834c-fa9fcda95873</t>
  </si>
  <si>
    <t>0bface51-16ae-4075-83de-e5def1b02b78</t>
  </si>
  <si>
    <t>0bface51-16ae-4075-83de-e5def1b02b78_1791056438622</t>
  </si>
  <si>
    <t>https://fasih-sm.bps.go.id/app/assignment/fd68e454-ba45-4b85-8205-f3bf777ded24/0bface51-16ae-4075-83de-e5def1b02b78</t>
  </si>
  <si>
    <t>0bfce414-3e42-4f30-b0ce-0f2d145cc804</t>
  </si>
  <si>
    <t>0bfce414-3e42-4f30-b0ce-0f2d145cc804_1791056389258</t>
  </si>
  <si>
    <t>KIOS VIONA</t>
  </si>
  <si>
    <t>0,078947</t>
  </si>
  <si>
    <t>https://fasih-sm.bps.go.id/app/assignment/fd68e454-ba45-4b85-8205-f3bf777ded24/0bfce414-3e42-4f30-b0ce-0f2d145cc804</t>
  </si>
  <si>
    <t>0c338ae3-e425-4ac3-a0d7-72017b95b4f8</t>
  </si>
  <si>
    <t>0c338ae3-e425-4ac3-a0d7-72017b95b4f8_1791056567687</t>
  </si>
  <si>
    <t>PEDAGANG ECERAN ( THERESIA TUTO OLA )</t>
  </si>
  <si>
    <t>0,775</t>
  </si>
  <si>
    <t>https://fasih-sm.bps.go.id/app/assignment/fd68e454-ba45-4b85-8205-f3bf777ded24/0c338ae3-e425-4ac3-a0d7-72017b95b4f8</t>
  </si>
  <si>
    <t>0c68119d-dd5a-4470-9ec9-cf04a5ac74df</t>
  </si>
  <si>
    <t>0c68119d-dd5a-4470-9ec9-cf04a5ac74df_1791056653054</t>
  </si>
  <si>
    <t>BAROKAH JAYA</t>
  </si>
  <si>
    <t>https://fasih-sm.bps.go.id/app/assignment/fd68e454-ba45-4b85-8205-f3bf777ded24/0c68119d-dd5a-4470-9ec9-cf04a5ac74df</t>
  </si>
  <si>
    <t>0c88e7a2-bab4-49d3-939b-c480ec0a3098</t>
  </si>
  <si>
    <t>0c88e7a2-bab4-49d3-939b-c480ec0a3098_1791056700241</t>
  </si>
  <si>
    <t>KIOS ONCU</t>
  </si>
  <si>
    <t>https://fasih-sm.bps.go.id/app/assignment/fd68e454-ba45-4b85-8205-f3bf777ded24/0c88e7a2-bab4-49d3-939b-c480ec0a3098</t>
  </si>
  <si>
    <t>0ca4cdff-fc53-45f6-9e9e-8eec7d06267e</t>
  </si>
  <si>
    <t>0ca4cdff-fc53-45f6-9e9e-8eec7d06267e_1791056767531</t>
  </si>
  <si>
    <t>https://fasih-sm.bps.go.id/app/assignment/fd68e454-ba45-4b85-8205-f3bf777ded24/0ca4cdff-fc53-45f6-9e9e-8eec7d06267e</t>
  </si>
  <si>
    <t>0cce69f6-1e1e-4ddb-a0eb-e599be7a544f</t>
  </si>
  <si>
    <t>0cce69f6-1e1e-4ddb-a0eb-e599be7a544f_1791056867991</t>
  </si>
  <si>
    <t>KIOS(YANE TELSI MANUAIN)</t>
  </si>
  <si>
    <t>https://fasih-sm.bps.go.id/app/assignment/fd68e454-ba45-4b85-8205-f3bf777ded24/0cce69f6-1e1e-4ddb-a0eb-e599be7a544f</t>
  </si>
  <si>
    <t>0ce3b5cd-9fe3-46e9-a02b-f9d97a54212d</t>
  </si>
  <si>
    <t>0ce3b5cd-9fe3-46e9-a02b-f9d97a54212d_1791056893373</t>
  </si>
  <si>
    <t>KIOS (BIBIANA)</t>
  </si>
  <si>
    <t>https://fasih-sm.bps.go.id/app/assignment/fd68e454-ba45-4b85-8205-f3bf777ded24/0ce3b5cd-9fe3-46e9-a02b-f9d97a54212d</t>
  </si>
  <si>
    <t>0d1728cd-e3de-426c-8054-3185a58b90c8</t>
  </si>
  <si>
    <t>0d1728cd-e3de-426c-8054-3185a58b90c8_1792410450599</t>
  </si>
  <si>
    <t>PERDAGANGAN ECERAN (EMILIA JAWA LEPAN)</t>
  </si>
  <si>
    <t>https://fasih-sm.bps.go.id/app/assignment/fd68e454-ba45-4b85-8205-f3bf777ded24/0d1728cd-e3de-426c-8054-3185a58b90c8</t>
  </si>
  <si>
    <t>0d276313-3a4c-464a-baf2-cf7f3a1d0a38</t>
  </si>
  <si>
    <t>0d276313-3a4c-464a-baf2-cf7f3a1d0a38_1792372664733</t>
  </si>
  <si>
    <t>KIOS SEMBAKO &lt;PAULUS&gt;</t>
  </si>
  <si>
    <t>https://fasih-sm.bps.go.id/app/assignment/fd68e454-ba45-4b85-8205-f3bf777ded24/0d276313-3a4c-464a-baf2-cf7f3a1d0a38</t>
  </si>
  <si>
    <t>0d53e2c2-ba4e-41db-8fe1-64b70cbf2d87</t>
  </si>
  <si>
    <t>0d53e2c2-ba4e-41db-8fe1-64b70cbf2d87_1791057160337</t>
  </si>
  <si>
    <t>0,125</t>
  </si>
  <si>
    <t>https://fasih-sm.bps.go.id/app/assignment/fd68e454-ba45-4b85-8205-f3bf777ded24/0d53e2c2-ba4e-41db-8fe1-64b70cbf2d87</t>
  </si>
  <si>
    <t>0dcba9a8-1a97-4321-ac46-c49c38c469ed</t>
  </si>
  <si>
    <t>0dcba9a8-1a97-4321-ac46-c49c38c469ed_1791057385955</t>
  </si>
  <si>
    <t>USAHA KIOS ECERAN SEMBAKO</t>
  </si>
  <si>
    <t>0,338462</t>
  </si>
  <si>
    <t>https://fasih-sm.bps.go.id/app/assignment/fd68e454-ba45-4b85-8205-f3bf777ded24/0dcba9a8-1a97-4321-ac46-c49c38c469ed</t>
  </si>
  <si>
    <t>0dddbfd3-0b91-423c-9562-c59fcb0fadf6</t>
  </si>
  <si>
    <t>0dddbfd3-0b91-423c-9562-c59fcb0fadf6_1791057347030</t>
  </si>
  <si>
    <t>USAHA KIOS SEMBAKO MARIA</t>
  </si>
  <si>
    <t>https://fasih-sm.bps.go.id/app/assignment/fd68e454-ba45-4b85-8205-f3bf777ded24/0dddbfd3-0b91-423c-9562-c59fcb0fadf6</t>
  </si>
  <si>
    <t>0de9792b-bca4-4f8e-b1e2-7dc6e07369c0</t>
  </si>
  <si>
    <t>0de9792b-bca4-4f8e-b1e2-7dc6e07369c0_1791057452099</t>
  </si>
  <si>
    <t>KIOS ORIENS</t>
  </si>
  <si>
    <t>0,664063</t>
  </si>
  <si>
    <t>https://fasih-sm.bps.go.id/app/assignment/fd68e454-ba45-4b85-8205-f3bf777ded24/0de9792b-bca4-4f8e-b1e2-7dc6e07369c0</t>
  </si>
  <si>
    <t>0e185841-ab38-4705-b7be-5b3645135a3c</t>
  </si>
  <si>
    <t>0e185841-ab38-4705-b7be-5b3645135a3c_1791057466665</t>
  </si>
  <si>
    <t>KIOS BERKAH (OM MUNAWIR)</t>
  </si>
  <si>
    <t>0,595238</t>
  </si>
  <si>
    <t>https://fasih-sm.bps.go.id/app/assignment/fd68e454-ba45-4b85-8205-f3bf777ded24/0e185841-ab38-4705-b7be-5b3645135a3c</t>
  </si>
  <si>
    <t>0e2092ce-1a2c-4948-a6d1-0f5908b21912</t>
  </si>
  <si>
    <t>0e2092ce-1a2c-4948-a6d1-0f5908b21912_1791057532934</t>
  </si>
  <si>
    <t>KIOS FORTUNA (MARSELINA LETO HURINT)</t>
  </si>
  <si>
    <t>https://fasih-sm.bps.go.id/app/assignment/fd68e454-ba45-4b85-8205-f3bf777ded24/0e2092ce-1a2c-4948-a6d1-0f5908b21912</t>
  </si>
  <si>
    <t>0e47f7e3-300a-4b7f-b476-a2e435776d12</t>
  </si>
  <si>
    <t>0e47f7e3-300a-4b7f-b476-a2e435776d12_1791057632586</t>
  </si>
  <si>
    <t>KIOS ENCERAN (ANTONIUS KIA GEGA)</t>
  </si>
  <si>
    <t>0,636364</t>
  </si>
  <si>
    <t>https://fasih-sm.bps.go.id/app/assignment/fd68e454-ba45-4b85-8205-f3bf777ded24/0e47f7e3-300a-4b7f-b476-a2e435776d12</t>
  </si>
  <si>
    <t>0e6e7f13-a1b2-4f3c-b5e8-d2cc91441611</t>
  </si>
  <si>
    <t>0e6e7f13-a1b2-4f3c-b5e8-d2cc91441611_1791057734144</t>
  </si>
  <si>
    <t>KANTIN SEKOLAH ( FLORENTINA TULIT BLOLONG)</t>
  </si>
  <si>
    <t>https://fasih-sm.bps.go.id/app/assignment/fd68e454-ba45-4b85-8205-f3bf777ded24/0e6e7f13-a1b2-4f3c-b5e8-d2cc91441611</t>
  </si>
  <si>
    <t>0e7b93f7-17f1-4de9-a2fa-76609beeff13</t>
  </si>
  <si>
    <t>0e7b93f7-17f1-4de9-a2fa-76609beeff13_1791057746456</t>
  </si>
  <si>
    <t>KIOS YUDI (DARIUS TOLEK KELEN)</t>
  </si>
  <si>
    <t>https://fasih-sm.bps.go.id/app/assignment/fd68e454-ba45-4b85-8205-f3bf777ded24/0e7b93f7-17f1-4de9-a2fa-76609beeff13</t>
  </si>
  <si>
    <t>0e81649e-ecd4-4c74-8a1f-520dd8759a9b</t>
  </si>
  <si>
    <t>0e81649e-ecd4-4c74-8a1f-520dd8759a9b_1791057722450</t>
  </si>
  <si>
    <t>KIOS SINAR KABOR</t>
  </si>
  <si>
    <t>0,699555</t>
  </si>
  <si>
    <t>https://fasih-sm.bps.go.id/app/assignment/fd68e454-ba45-4b85-8205-f3bf777ded24/0e81649e-ecd4-4c74-8a1f-520dd8759a9b</t>
  </si>
  <si>
    <t>0e944276-8119-433b-8e19-b8cf284953e7</t>
  </si>
  <si>
    <t>0e944276-8119-433b-8e19-b8cf284953e7_1791057807309</t>
  </si>
  <si>
    <t>USAHA PERKIOSAN KECIL ( MARDIYAH MAS'UD )</t>
  </si>
  <si>
    <t>0,821918</t>
  </si>
  <si>
    <t>https://fasih-sm.bps.go.id/app/assignment/fd68e454-ba45-4b85-8205-f3bf777ded24/0e944276-8119-433b-8e19-b8cf284953e7</t>
  </si>
  <si>
    <t>0f3c53a6-9e67-46bd-b0fb-beabe5d24bd5</t>
  </si>
  <si>
    <t>0f3c53a6-9e67-46bd-b0fb-beabe5d24bd5_1791058175413</t>
  </si>
  <si>
    <t>USAHA KIOS&lt;HERMANUS SANGA PATI&gt;</t>
  </si>
  <si>
    <t>https://fasih-sm.bps.go.id/app/assignment/fd68e454-ba45-4b85-8205-f3bf777ded24/0f3c53a6-9e67-46bd-b0fb-beabe5d24bd5</t>
  </si>
  <si>
    <t>0f93742f-40a4-45d1-a80c-5860246f0f48</t>
  </si>
  <si>
    <t>0f93742f-40a4-45d1-a80c-5860246f0f48_1791058249346</t>
  </si>
  <si>
    <t>TOKO MENTARI</t>
  </si>
  <si>
    <t>18666666,67</t>
  </si>
  <si>
    <t>https://fasih-sm.bps.go.id/app/assignment/fd68e454-ba45-4b85-8205-f3bf777ded24/0f93742f-40a4-45d1-a80c-5860246f0f48</t>
  </si>
  <si>
    <t>0fd75b85-581c-416f-952c-23cb7bc511f3</t>
  </si>
  <si>
    <t>0fd75b85-581c-416f-952c-23cb7bc511f3_1791058477441</t>
  </si>
  <si>
    <t>KIOS SEMBAKO(LUDGARDIS ROJA LANGKAMAU)</t>
  </si>
  <si>
    <t>0,685714</t>
  </si>
  <si>
    <t>https://fasih-sm.bps.go.id/app/assignment/fd68e454-ba45-4b85-8205-f3bf777ded24/0fd75b85-581c-416f-952c-23cb7bc511f3</t>
  </si>
  <si>
    <t>0ffa0ebd-8e21-4e4b-afa6-d9b2972ac385</t>
  </si>
  <si>
    <t>0ffa0ebd-8e21-4e4b-afa6-d9b2972ac385_1792481505051</t>
  </si>
  <si>
    <t>USAHA KIOS SULIKAH</t>
  </si>
  <si>
    <t>33333333,33</t>
  </si>
  <si>
    <t>https://fasih-sm.bps.go.id/app/assignment/fd68e454-ba45-4b85-8205-f3bf777ded24/0ffa0ebd-8e21-4e4b-afa6-d9b2972ac385</t>
  </si>
  <si>
    <t>0ffd82a4-1b5a-4001-b83d-d7601ad986b8</t>
  </si>
  <si>
    <t>0ffd82a4-1b5a-4001-b83d-d7601ad986b8_1791058546191</t>
  </si>
  <si>
    <t>KIOS ECERAN ( LUSIA LIPAT JUAN)</t>
  </si>
  <si>
    <t>https://fasih-sm.bps.go.id/app/assignment/fd68e454-ba45-4b85-8205-f3bf777ded24/0ffd82a4-1b5a-4001-b83d-d7601ad986b8</t>
  </si>
  <si>
    <t>10307c41-40ab-4c6e-80a9-82b29205b7ac</t>
  </si>
  <si>
    <t>10307c41-40ab-4c6e-80a9-82b29205b7ac_1791058632286</t>
  </si>
  <si>
    <t>KIOS BERNADETA KETONA SADIPUN</t>
  </si>
  <si>
    <t>https://fasih-sm.bps.go.id/app/assignment/fd68e454-ba45-4b85-8205-f3bf777ded24/10307c41-40ab-4c6e-80a9-82b29205b7ac</t>
  </si>
  <si>
    <t>103b0e0b-98af-4955-bd79-9b97092b81ac</t>
  </si>
  <si>
    <t>103b0e0b-98af-4955-bd79-9b97092b81ac_1791058700067</t>
  </si>
  <si>
    <t>USAHA PERDAGANGANG (PETRUS KAYA GAMUR)</t>
  </si>
  <si>
    <t>0,841122</t>
  </si>
  <si>
    <t>https://fasih-sm.bps.go.id/app/assignment/fd68e454-ba45-4b85-8205-f3bf777ded24/103b0e0b-98af-4955-bd79-9b97092b81ac</t>
  </si>
  <si>
    <t>1046fdcd-a65e-4f7d-882e-02db13c46cb1</t>
  </si>
  <si>
    <t>1046fdcd-a65e-4f7d-882e-02db13c46cb1_1791058666184</t>
  </si>
  <si>
    <t>KIOS SEMBAKO (KALSUM KEWA SANGA)</t>
  </si>
  <si>
    <t>https://fasih-sm.bps.go.id/app/assignment/fd68e454-ba45-4b85-8205-f3bf777ded24/1046fdcd-a65e-4f7d-882e-02db13c46cb1</t>
  </si>
  <si>
    <t>10482eaf-0ec9-4447-b40a-0f6be8ee1281</t>
  </si>
  <si>
    <t>10482eaf-0ec9-4447-b40a-0f6be8ee1281_1791058669605</t>
  </si>
  <si>
    <t>USAHA KIOS (SITI RAJI NOTAN)</t>
  </si>
  <si>
    <t>https://fasih-sm.bps.go.id/app/assignment/fd68e454-ba45-4b85-8205-f3bf777ded24/10482eaf-0ec9-4447-b40a-0f6be8ee1281</t>
  </si>
  <si>
    <t>1091bd7c-7c60-4a93-b87b-97748cd1ecae</t>
  </si>
  <si>
    <t>1091bd7c-7c60-4a93-b87b-97748cd1ecae_1791058858141</t>
  </si>
  <si>
    <t>KIOS JPS</t>
  </si>
  <si>
    <t>https://fasih-sm.bps.go.id/app/assignment/fd68e454-ba45-4b85-8205-f3bf777ded24/1091bd7c-7c60-4a93-b87b-97748cd1ecae</t>
  </si>
  <si>
    <t>10a54dae-6dcc-4167-9892-e49e0ea352ef</t>
  </si>
  <si>
    <t>10a54dae-6dcc-4167-9892-e49e0ea352ef_1791058872305</t>
  </si>
  <si>
    <t>USAHA KIOS (SADIYA)</t>
  </si>
  <si>
    <t>https://fasih-sm.bps.go.id/app/assignment/fd68e454-ba45-4b85-8205-f3bf777ded24/10a54dae-6dcc-4167-9892-e49e0ea352ef</t>
  </si>
  <si>
    <t>10e01021-49cf-4dda-8427-0f0a4490d9e4</t>
  </si>
  <si>
    <t>10e01021-49cf-4dda-8427-0f0a4490d9e4_1791058953474</t>
  </si>
  <si>
    <t>KIOS ADRIANUS BUMI SUBAN</t>
  </si>
  <si>
    <t>0,12</t>
  </si>
  <si>
    <t>https://fasih-sm.bps.go.id/app/assignment/fd68e454-ba45-4b85-8205-f3bf777ded24/10e01021-49cf-4dda-8427-0f0a4490d9e4</t>
  </si>
  <si>
    <t>10ee8f68-c58d-4b13-9670-53cd2743b43c</t>
  </si>
  <si>
    <t>10ee8f68-c58d-4b13-9670-53cd2743b43c_1791059048157</t>
  </si>
  <si>
    <t>KIOS BANGJO</t>
  </si>
  <si>
    <t>0,526316</t>
  </si>
  <si>
    <t>https://fasih-sm.bps.go.id/app/assignment/fd68e454-ba45-4b85-8205-f3bf777ded24/10ee8f68-c58d-4b13-9670-53cd2743b43c</t>
  </si>
  <si>
    <t>11394846-eaab-4587-bd58-3e7020291018</t>
  </si>
  <si>
    <t>11394846-eaab-4587-bd58-3e7020291018_1791059184521</t>
  </si>
  <si>
    <t>KIOS ASNA &lt;ANSELMA AMELIANA PITA DURA&gt;</t>
  </si>
  <si>
    <t>0,152053</t>
  </si>
  <si>
    <t>https://fasih-sm.bps.go.id/app/assignment/fd68e454-ba45-4b85-8205-f3bf777ded24/11394846-eaab-4587-bd58-3e7020291018</t>
  </si>
  <si>
    <t>1140e6c9-df26-4c2e-9398-114bb483d326</t>
  </si>
  <si>
    <t>1140e6c9-df26-4c2e-9398-114bb483d326_1791059218924</t>
  </si>
  <si>
    <t>KIOS RASKA ( RATNAWATI KLIMBUANG)</t>
  </si>
  <si>
    <t>https://fasih-sm.bps.go.id/app/assignment/fd68e454-ba45-4b85-8205-f3bf777ded24/1140e6c9-df26-4c2e-9398-114bb483d326</t>
  </si>
  <si>
    <t>11ad1fb2-7ac3-4e46-9889-33e33825ea10</t>
  </si>
  <si>
    <t>11ad1fb2-7ac3-4e46-9889-33e33825ea10_1791059448683</t>
  </si>
  <si>
    <t>KIOS ECERAN (DAMIANUS ENGA URAN)</t>
  </si>
  <si>
    <t>0,701754</t>
  </si>
  <si>
    <t>https://fasih-sm.bps.go.id/app/assignment/fd68e454-ba45-4b85-8205-f3bf777ded24/11ad1fb2-7ac3-4e46-9889-33e33825ea10</t>
  </si>
  <si>
    <t>11bd68d6-e117-4093-aba3-ed2fd44b104a</t>
  </si>
  <si>
    <t>11bd68d6-e117-4093-aba3-ed2fd44b104a_1791059445515</t>
  </si>
  <si>
    <t>KIOS MARHAEN DUABLOLONG</t>
  </si>
  <si>
    <t>https://fasih-sm.bps.go.id/app/assignment/fd68e454-ba45-4b85-8205-f3bf777ded24/11bd68d6-e117-4093-aba3-ed2fd44b104a</t>
  </si>
  <si>
    <t>11c7eec9-76ab-44b0-ae0f-acb8bb1bac1f</t>
  </si>
  <si>
    <t>11c7eec9-76ab-44b0-ae0f-acb8bb1bac1f_1791059408846</t>
  </si>
  <si>
    <t>KIOS&lt;JAINAB HARINUNG&gt;</t>
  </si>
  <si>
    <t>https://fasih-sm.bps.go.id/app/assignment/fd68e454-ba45-4b85-8205-f3bf777ded24/11c7eec9-76ab-44b0-ae0f-acb8bb1bac1f</t>
  </si>
  <si>
    <t>11cb0a38-f580-4df1-b6ed-58891b03ddee</t>
  </si>
  <si>
    <t>11cb0a38-f580-4df1-b6ed-58891b03ddee_1792625074904</t>
  </si>
  <si>
    <t>USAHA KIOS JUMALIA RAHMAN</t>
  </si>
  <si>
    <t>https://fasih-sm.bps.go.id/app/assignment/fd68e454-ba45-4b85-8205-f3bf777ded24/11cb0a38-f580-4df1-b6ed-58891b03ddee</t>
  </si>
  <si>
    <t>11d1fe2d-e355-4ced-a9cd-83f87e5299f9</t>
  </si>
  <si>
    <t>11d1fe2d-e355-4ced-a9cd-83f87e5299f9_1791059552486</t>
  </si>
  <si>
    <t>KIOS MUHAMMAD AHMAD</t>
  </si>
  <si>
    <t>0,70922</t>
  </si>
  <si>
    <t>https://fasih-sm.bps.go.id/app/assignment/fd68e454-ba45-4b85-8205-f3bf777ded24/11d1fe2d-e355-4ced-a9cd-83f87e5299f9</t>
  </si>
  <si>
    <t>11d80f2c-74df-4edb-b812-749048d897b2</t>
  </si>
  <si>
    <t>11d80f2c-74df-4edb-b812-749048d897b2_1791059533703</t>
  </si>
  <si>
    <t>KIOS KELONTONG&lt;PAULUS NUBA MIGO&gt;</t>
  </si>
  <si>
    <t>https://fasih-sm.bps.go.id/app/assignment/fd68e454-ba45-4b85-8205-f3bf777ded24/11d80f2c-74df-4edb-b812-749048d897b2</t>
  </si>
  <si>
    <t>11f51227-8b67-4fc4-b0de-3650f1a1d383</t>
  </si>
  <si>
    <t>11f51227-8b67-4fc4-b0de-3650f1a1d383_1791059528720</t>
  </si>
  <si>
    <t>KIOS(YOSEP WAJO MARAN)</t>
  </si>
  <si>
    <t>https://fasih-sm.bps.go.id/app/assignment/fd68e454-ba45-4b85-8205-f3bf777ded24/11f51227-8b67-4fc4-b0de-3650f1a1d383</t>
  </si>
  <si>
    <t>1207a6bd-1530-46f2-b884-0296c07c60d0</t>
  </si>
  <si>
    <t>1207a6bd-1530-46f2-b884-0296c07c60d0_1791059636834</t>
  </si>
  <si>
    <t>UTP KIOS SEMBAKO MINI (ANCEMIA TULIT DAHE)</t>
  </si>
  <si>
    <t>0,869565</t>
  </si>
  <si>
    <t>https://fasih-sm.bps.go.id/app/assignment/fd68e454-ba45-4b85-8205-f3bf777ded24/1207a6bd-1530-46f2-b884-0296c07c60d0</t>
  </si>
  <si>
    <t>120efddf-897a-4d87-b79a-ecda4f28c952</t>
  </si>
  <si>
    <t>120efddf-897a-4d87-b79a-ecda4f28c952_1791059570720</t>
  </si>
  <si>
    <t>KIOS SEMBAKO MARIA EMA</t>
  </si>
  <si>
    <t>https://fasih-sm.bps.go.id/app/assignment/fd68e454-ba45-4b85-8205-f3bf777ded24/120efddf-897a-4d87-b79a-ecda4f28c952</t>
  </si>
  <si>
    <t>120f458c-61b4-4f31-9c2e-1f1e444b6302</t>
  </si>
  <si>
    <t>120f458c-61b4-4f31-9c2e-1f1e444b6302_1791783208611</t>
  </si>
  <si>
    <t>KIOS SEMBAKO DUA PUTRA (NURASIAH)</t>
  </si>
  <si>
    <t>https://fasih-sm.bps.go.id/app/assignment/fd68e454-ba45-4b85-8205-f3bf777ded24/120f458c-61b4-4f31-9c2e-1f1e444b6302</t>
  </si>
  <si>
    <t>12138242-b764-451c-8fc3-dc2d55bce35a</t>
  </si>
  <si>
    <t>12138242-b764-451c-8fc3-dc2d55bce35a_1791059563708</t>
  </si>
  <si>
    <t>KIOS MITOK</t>
  </si>
  <si>
    <t>0,289474</t>
  </si>
  <si>
    <t>https://fasih-sm.bps.go.id/app/assignment/fd68e454-ba45-4b85-8205-f3bf777ded24/12138242-b764-451c-8fc3-dc2d55bce35a</t>
  </si>
  <si>
    <t>125c3910-6ec4-4d26-b5f3-e5ed5fe131fc</t>
  </si>
  <si>
    <t>125c3910-6ec4-4d26-b5f3-e5ed5fe131fc_1791059684334</t>
  </si>
  <si>
    <t>KIOS SEMBAKO(THERESIA PENI TRI ANIK)</t>
  </si>
  <si>
    <t>https://fasih-sm.bps.go.id/app/assignment/fd68e454-ba45-4b85-8205-f3bf777ded24/125c3910-6ec4-4d26-b5f3-e5ed5fe131fc</t>
  </si>
  <si>
    <t>12691f6f-a7d5-4268-95d8-7edc1ab289f2</t>
  </si>
  <si>
    <t>12691f6f-a7d5-4268-95d8-7edc1ab289f2_1791059794065</t>
  </si>
  <si>
    <t>usaha kios</t>
  </si>
  <si>
    <t>0,553846</t>
  </si>
  <si>
    <t>https://fasih-sm.bps.go.id/app/assignment/fd68e454-ba45-4b85-8205-f3bf777ded24/12691f6f-a7d5-4268-95d8-7edc1ab289f2</t>
  </si>
  <si>
    <t>127e8c29-da75-47f8-af66-9701fe1b7ad2</t>
  </si>
  <si>
    <t>127e8c29-da75-47f8-af66-9701fe1b7ad2_1791059874868</t>
  </si>
  <si>
    <t>USAHA PERDAGANGAN (YOFITA BAREK FEKA)</t>
  </si>
  <si>
    <t>https://fasih-sm.bps.go.id/app/assignment/fd68e454-ba45-4b85-8205-f3bf777ded24/127e8c29-da75-47f8-af66-9701fe1b7ad2</t>
  </si>
  <si>
    <t>1285ec71-3966-4805-96a4-5ba8cc46aac7</t>
  </si>
  <si>
    <t>1285ec71-3966-4805-96a4-5ba8cc46aac7_1791059765143</t>
  </si>
  <si>
    <t>WARUNG (MARIA LEKSI)</t>
  </si>
  <si>
    <t>0,25641</t>
  </si>
  <si>
    <t>https://fasih-sm.bps.go.id/app/assignment/fd68e454-ba45-4b85-8205-f3bf777ded24/1285ec71-3966-4805-96a4-5ba8cc46aac7</t>
  </si>
  <si>
    <t>12c697ee-30d6-4d7f-8e5c-b600e703f7c4</t>
  </si>
  <si>
    <t>12c697ee-30d6-4d7f-8e5c-b600e703f7c4_1791059997761</t>
  </si>
  <si>
    <t>KIOS (HELENA PIHO TEMU)</t>
  </si>
  <si>
    <t>0,947368</t>
  </si>
  <si>
    <t>https://fasih-sm.bps.go.id/app/assignment/fd68e454-ba45-4b85-8205-f3bf777ded24/12c697ee-30d6-4d7f-8e5c-b600e703f7c4</t>
  </si>
  <si>
    <t>12fecc1a-f99f-4867-bf5f-7c9fed7ac868</t>
  </si>
  <si>
    <t>12fecc1a-f99f-4867-bf5f-7c9fed7ac868_1791060140225</t>
  </si>
  <si>
    <t>KIOS VINA ( SILVINA SURAT PATI)</t>
  </si>
  <si>
    <t>https://fasih-sm.bps.go.id/app/assignment/fd68e454-ba45-4b85-8205-f3bf777ded24/12fecc1a-f99f-4867-bf5f-7c9fed7ac868</t>
  </si>
  <si>
    <t>13bfff81-07c5-4908-ac97-22c703d98e62</t>
  </si>
  <si>
    <t>13bfff81-07c5-4908-ac97-22c703d98e62_1791060541661</t>
  </si>
  <si>
    <t>KIOS MARGARETHA</t>
  </si>
  <si>
    <t>0,430108</t>
  </si>
  <si>
    <t>https://fasih-sm.bps.go.id/app/assignment/fd68e454-ba45-4b85-8205-f3bf777ded24/13bfff81-07c5-4908-ac97-22c703d98e62</t>
  </si>
  <si>
    <t>13c7e1f5-ea66-4987-841b-9c8eca4dee0e</t>
  </si>
  <si>
    <t>13c7e1f5-ea66-4987-841b-9c8eca4dee0e_1791060465899</t>
  </si>
  <si>
    <t>KIOS ECERAN ( RAMLAN MUHIDIN )</t>
  </si>
  <si>
    <t>https://fasih-sm.bps.go.id/app/assignment/fd68e454-ba45-4b85-8205-f3bf777ded24/13c7e1f5-ea66-4987-841b-9c8eca4dee0e</t>
  </si>
  <si>
    <t>13cc4360-dba7-4aea-a06f-523d11a8462a</t>
  </si>
  <si>
    <t>13cc4360-dba7-4aea-a06f-523d11a8462a_1791060469643</t>
  </si>
  <si>
    <t>KIOS SEMBAKO (INTAN SURYANI)</t>
  </si>
  <si>
    <t>https://fasih-sm.bps.go.id/app/assignment/fd68e454-ba45-4b85-8205-f3bf777ded24/13cc4360-dba7-4aea-a06f-523d11a8462a</t>
  </si>
  <si>
    <t>14546ec1-1861-49d8-b34d-bcd85cb8d618</t>
  </si>
  <si>
    <t>14546ec1-1861-49d8-b34d-bcd85cb8d618_1791060763367</t>
  </si>
  <si>
    <t>Kios sembako (maria berhala maran)</t>
  </si>
  <si>
    <t>https://fasih-sm.bps.go.id/app/assignment/fd68e454-ba45-4b85-8205-f3bf777ded24/14546ec1-1861-49d8-b34d-bcd85cb8d618</t>
  </si>
  <si>
    <t>14550d11-48a3-4f72-8d87-d79ae07e6843</t>
  </si>
  <si>
    <t>14550d11-48a3-4f72-8d87-d79ae07e6843_1791060814992</t>
  </si>
  <si>
    <t>KIOS SATRIA(USMAN BETHAN)</t>
  </si>
  <si>
    <t>https://fasih-sm.bps.go.id/app/assignment/fd68e454-ba45-4b85-8205-f3bf777ded24/14550d11-48a3-4f72-8d87-d79ae07e6843</t>
  </si>
  <si>
    <t>14c69f79-edcc-4362-bebd-a4da54e9171f</t>
  </si>
  <si>
    <t>14c69f79-edcc-4362-bebd-a4da54e9171f_1791061069310</t>
  </si>
  <si>
    <t>KIOS OSLI ORIS (SESILIA SABU NAMA)</t>
  </si>
  <si>
    <t>0,962963</t>
  </si>
  <si>
    <t>https://fasih-sm.bps.go.id/app/assignment/fd68e454-ba45-4b85-8205-f3bf777ded24/14c69f79-edcc-4362-bebd-a4da54e9171f</t>
  </si>
  <si>
    <t>14e01287-6cdd-4a75-897b-711b0e0385f8</t>
  </si>
  <si>
    <t>14e01287-6cdd-4a75-897b-711b0e0385f8_1791061132154</t>
  </si>
  <si>
    <t>KIOS (KARTINI AHMAD)</t>
  </si>
  <si>
    <t>https://fasih-sm.bps.go.id/app/assignment/fd68e454-ba45-4b85-8205-f3bf777ded24/14e01287-6cdd-4a75-897b-711b0e0385f8</t>
  </si>
  <si>
    <t>151cb99a-054f-4b69-b565-084562ac0e9d</t>
  </si>
  <si>
    <t>151cb99a-054f-4b69-b565-084562ac0e9d_1791061229875</t>
  </si>
  <si>
    <t>KIOS SEMBAKO KORNELIS KOPONG KITINAEN</t>
  </si>
  <si>
    <t>0,657895</t>
  </si>
  <si>
    <t>https://fasih-sm.bps.go.id/app/assignment/fd68e454-ba45-4b85-8205-f3bf777ded24/151cb99a-054f-4b69-b565-084562ac0e9d</t>
  </si>
  <si>
    <t>15218b8f-17f6-42ce-967b-21c29ef48b7d</t>
  </si>
  <si>
    <t>15218b8f-17f6-42ce-967b-21c29ef48b7d_1792396501156</t>
  </si>
  <si>
    <t>PERDAGANGAN</t>
  </si>
  <si>
    <t>https://fasih-sm.bps.go.id/app/assignment/fd68e454-ba45-4b85-8205-f3bf777ded24/15218b8f-17f6-42ce-967b-21c29ef48b7d</t>
  </si>
  <si>
    <t>155157fe-76d9-4efa-b277-94028e9f5dcb</t>
  </si>
  <si>
    <t>155157fe-76d9-4efa-b277-94028e9f5dcb_1791061257513</t>
  </si>
  <si>
    <t>USAHA KIOS&lt;FARIDA UBA LAOT&gt;</t>
  </si>
  <si>
    <t>2,5</t>
  </si>
  <si>
    <t>https://fasih-sm.bps.go.id/app/assignment/fd68e454-ba45-4b85-8205-f3bf777ded24/155157fe-76d9-4efa-b277-94028e9f5dcb</t>
  </si>
  <si>
    <t>15d4e409-a8b9-4912-97f8-c5a1ab9d3675</t>
  </si>
  <si>
    <t>15d4e409-a8b9-4912-97f8-c5a1ab9d3675_1791061663644</t>
  </si>
  <si>
    <t>UTP PERDAGANGAN ECERAN &lt; YULIANA PERADA L&gt;</t>
  </si>
  <si>
    <t>https://fasih-sm.bps.go.id/app/assignment/fd68e454-ba45-4b85-8205-f3bf777ded24/15d4e409-a8b9-4912-97f8-c5a1ab9d3675</t>
  </si>
  <si>
    <t>160e74aa-696a-4f7a-a7f6-58d86d2c995c</t>
  </si>
  <si>
    <t>160e74aa-696a-4f7a-a7f6-58d86d2c995c_1791061682801</t>
  </si>
  <si>
    <t>KIOS TATA</t>
  </si>
  <si>
    <t>https://fasih-sm.bps.go.id/app/assignment/fd68e454-ba45-4b85-8205-f3bf777ded24/160e74aa-696a-4f7a-a7f6-58d86d2c995c</t>
  </si>
  <si>
    <t>1632e1e6-4161-4cac-b2e6-f1565a185f19</t>
  </si>
  <si>
    <t>1632e1e6-4161-4cac-b2e6-f1565a185f19_1792562369329</t>
  </si>
  <si>
    <t>KIOS LEWIS SARTO</t>
  </si>
  <si>
    <t>0,214286</t>
  </si>
  <si>
    <t>https://fasih-sm.bps.go.id/app/assignment/fd68e454-ba45-4b85-8205-f3bf777ded24/1632e1e6-4161-4cac-b2e6-f1565a185f19</t>
  </si>
  <si>
    <t>16484c54-3a5d-45d7-a2b2-1f1021985168</t>
  </si>
  <si>
    <t>16484c54-3a5d-45d7-a2b2-1f1021985168_1791061800121</t>
  </si>
  <si>
    <t>KIOS SINAR LAMANIAT (MARTINA JARI)</t>
  </si>
  <si>
    <t>0,877193</t>
  </si>
  <si>
    <t>https://fasih-sm.bps.go.id/app/assignment/fd68e454-ba45-4b85-8205-f3bf777ded24/16484c54-3a5d-45d7-a2b2-1f1021985168</t>
  </si>
  <si>
    <t>165cf74b-1fa1-4fa6-a34c-f6583620d187</t>
  </si>
  <si>
    <t>165cf74b-1fa1-4fa6-a34c-f6583620d187_1791061842325</t>
  </si>
  <si>
    <t>KIOS YUFRI (BENEDIKTA BURABINE WERANG)</t>
  </si>
  <si>
    <t>https://fasih-sm.bps.go.id/app/assignment/fd68e454-ba45-4b85-8205-f3bf777ded24/165cf74b-1fa1-4fa6-a34c-f6583620d187</t>
  </si>
  <si>
    <t>165ee7f9-6c32-4a20-a656-e80887957432</t>
  </si>
  <si>
    <t>165ee7f9-6c32-4a20-a656-e80887957432_1791061905265</t>
  </si>
  <si>
    <t>KIOS &lt;SYAHARUDIN&gt;</t>
  </si>
  <si>
    <t>https://fasih-sm.bps.go.id/app/assignment/fd68e454-ba45-4b85-8205-f3bf777ded24/165ee7f9-6c32-4a20-a656-e80887957432</t>
  </si>
  <si>
    <t>166ef8a3-be20-40fd-8ecf-cabdb917220c</t>
  </si>
  <si>
    <t>166ef8a3-be20-40fd-8ecf-cabdb917220c_1791061934423</t>
  </si>
  <si>
    <t>KIOS NURHAYATI(NURHAYATI ABDULLAH)</t>
  </si>
  <si>
    <t>https://fasih-sm.bps.go.id/app/assignment/fd68e454-ba45-4b85-8205-f3bf777ded24/166ef8a3-be20-40fd-8ecf-cabdb917220c</t>
  </si>
  <si>
    <t>174d9ce1-c067-47c0-bd64-6265bb0a6c23</t>
  </si>
  <si>
    <t>174d9ce1-c067-47c0-bd64-6265bb0a6c23_1791062377358</t>
  </si>
  <si>
    <t>Usaha Kios MARIA IMAKULATA BURA HODO</t>
  </si>
  <si>
    <t>https://fasih-sm.bps.go.id/app/assignment/fd68e454-ba45-4b85-8205-f3bf777ded24/174d9ce1-c067-47c0-bd64-6265bb0a6c23</t>
  </si>
  <si>
    <t>174fd480-c216-4254-9c1a-cd2f5a50545a</t>
  </si>
  <si>
    <t>174fd480-c216-4254-9c1a-cd2f5a50545a_1791062397345</t>
  </si>
  <si>
    <t>KIOS SEMBAKO ( MATIAS )</t>
  </si>
  <si>
    <t>0,210526</t>
  </si>
  <si>
    <t>https://fasih-sm.bps.go.id/app/assignment/fd68e454-ba45-4b85-8205-f3bf777ded24/174fd480-c216-4254-9c1a-cd2f5a50545a</t>
  </si>
  <si>
    <t>176415f7-0ecf-4fe2-b717-099a7d99493f</t>
  </si>
  <si>
    <t>176415f7-0ecf-4fe2-b717-099a7d99493f_1791062498533</t>
  </si>
  <si>
    <t>PERDAGANGAN ECERAN (SUSANA PULO GEON)</t>
  </si>
  <si>
    <t>https://fasih-sm.bps.go.id/app/assignment/fd68e454-ba45-4b85-8205-f3bf777ded24/176415f7-0ecf-4fe2-b717-099a7d99493f</t>
  </si>
  <si>
    <t>17787b46-2ed1-4c5d-8b90-53589bca5f67</t>
  </si>
  <si>
    <t>17787b46-2ed1-4c5d-8b90-53589bca5f67_1791062537810</t>
  </si>
  <si>
    <t>KIOS SELERA BARU (GABRIEL BEDA SILI)</t>
  </si>
  <si>
    <t>0,689655</t>
  </si>
  <si>
    <t>https://fasih-sm.bps.go.id/app/assignment/fd68e454-ba45-4b85-8205-f3bf777ded24/17787b46-2ed1-4c5d-8b90-53589bca5f67</t>
  </si>
  <si>
    <t>177b706b-d3c2-46a2-8b0e-e0614030ad11</t>
  </si>
  <si>
    <t>177b706b-d3c2-46a2-8b0e-e0614030ad11_1791062509067</t>
  </si>
  <si>
    <t>UTP PERDAGANGAN (AGNES ONI)</t>
  </si>
  <si>
    <t>https://fasih-sm.bps.go.id/app/assignment/fd68e454-ba45-4b85-8205-f3bf777ded24/177b706b-d3c2-46a2-8b0e-e0614030ad11</t>
  </si>
  <si>
    <t>178e9f64-7a19-4c4b-aabc-c27dde7f7269</t>
  </si>
  <si>
    <t>178e9f64-7a19-4c4b-aabc-c27dde7f7269_1791062546290</t>
  </si>
  <si>
    <t>UD SEMBAKO (YULIANA JEDO)</t>
  </si>
  <si>
    <t>https://fasih-sm.bps.go.id/app/assignment/fd68e454-ba45-4b85-8205-f3bf777ded24/178e9f64-7a19-4c4b-aabc-c27dde7f7269</t>
  </si>
  <si>
    <t>17b1fdf7-3559-4369-88a0-37b32ec62d81</t>
  </si>
  <si>
    <t>17b1fdf7-3559-4369-88a0-37b32ec62d81_1791062669473</t>
  </si>
  <si>
    <t>KIOS ( SAIPUR)</t>
  </si>
  <si>
    <t>https://fasih-sm.bps.go.id/app/assignment/fd68e454-ba45-4b85-8205-f3bf777ded24/17b1fdf7-3559-4369-88a0-37b32ec62d81</t>
  </si>
  <si>
    <t>17d80f09-95e6-4aff-9d01-3c707d1c5424</t>
  </si>
  <si>
    <t>17d80f09-95e6-4aff-9d01-3c707d1c5424_1791062692927</t>
  </si>
  <si>
    <t>KIOS BONA KALAN</t>
  </si>
  <si>
    <t>https://fasih-sm.bps.go.id/app/assignment/fd68e454-ba45-4b85-8205-f3bf777ded24/17d80f09-95e6-4aff-9d01-3c707d1c5424</t>
  </si>
  <si>
    <t>17dd59da-a20d-472d-a2f3-1552bf57f8ab</t>
  </si>
  <si>
    <t>17dd59da-a20d-472d-a2f3-1552bf57f8ab_1791062757150</t>
  </si>
  <si>
    <t>USAHA KIOS KARLO (PENANA PAYONG)</t>
  </si>
  <si>
    <t>https://fasih-sm.bps.go.id/app/assignment/fd68e454-ba45-4b85-8205-f3bf777ded24/17dd59da-a20d-472d-a2f3-1552bf57f8ab</t>
  </si>
  <si>
    <t>17e249a9-988b-498b-90e4-5b352016706d</t>
  </si>
  <si>
    <t>17e249a9-988b-498b-90e4-5b352016706d_1791062772601</t>
  </si>
  <si>
    <t>KIOS (RAHMANSYAH HADI)</t>
  </si>
  <si>
    <t>https://fasih-sm.bps.go.id/app/assignment/fd68e454-ba45-4b85-8205-f3bf777ded24/17e249a9-988b-498b-90e4-5b352016706d</t>
  </si>
  <si>
    <t>17f7c5bb-5a17-4771-9a46-006937d874e6</t>
  </si>
  <si>
    <t>17f7c5bb-5a17-4771-9a46-006937d874e6_1791062648363</t>
  </si>
  <si>
    <t>USAHA KIOS ( ANASTASIA PAI PIRAN)</t>
  </si>
  <si>
    <t>0,449438</t>
  </si>
  <si>
    <t>https://fasih-sm.bps.go.id/app/assignment/fd68e454-ba45-4b85-8205-f3bf777ded24/17f7c5bb-5a17-4771-9a46-006937d874e6</t>
  </si>
  <si>
    <t>186898db-91ee-4890-a009-d590fb0dc6dc</t>
  </si>
  <si>
    <t>186898db-91ee-4890-a009-d590fb0dc6dc_1791063007801</t>
  </si>
  <si>
    <t>KIOS KAMELIA (YOSEP BALA KEIN)</t>
  </si>
  <si>
    <t>https://fasih-sm.bps.go.id/app/assignment/fd68e454-ba45-4b85-8205-f3bf777ded24/186898db-91ee-4890-a009-d590fb0dc6dc</t>
  </si>
  <si>
    <t>18a7daa9-82c1-43e6-9b52-3995d78828ac</t>
  </si>
  <si>
    <t>18a7daa9-82c1-43e6-9b52-3995d78828ac_1791063097883</t>
  </si>
  <si>
    <t>KIOS KAMALERA</t>
  </si>
  <si>
    <t>https://fasih-sm.bps.go.id/app/assignment/fd68e454-ba45-4b85-8205-f3bf777ded24/18a7daa9-82c1-43e6-9b52-3995d78828ac</t>
  </si>
  <si>
    <t>18baaffa-12fb-4b24-8fa6-611cd9ba995d</t>
  </si>
  <si>
    <t>18baaffa-12fb-4b24-8fa6-611cd9ba995d_1791063115236</t>
  </si>
  <si>
    <t>KIOS ( BENEDIKTUS BALA KIWAN )</t>
  </si>
  <si>
    <t>0,277778</t>
  </si>
  <si>
    <t>https://fasih-sm.bps.go.id/app/assignment/fd68e454-ba45-4b85-8205-f3bf777ded24/18baaffa-12fb-4b24-8fa6-611cd9ba995d</t>
  </si>
  <si>
    <t>191e430c-b2d4-48ec-9e3b-3422987e0453</t>
  </si>
  <si>
    <t>191e430c-b2d4-48ec-9e3b-3422987e0453_1791063327129</t>
  </si>
  <si>
    <t>KIOS (KRISTINA KIDI LABOT)</t>
  </si>
  <si>
    <t>https://fasih-sm.bps.go.id/app/assignment/fd68e454-ba45-4b85-8205-f3bf777ded24/191e430c-b2d4-48ec-9e3b-3422987e0453</t>
  </si>
  <si>
    <t>19367254-bb10-4626-aad9-ce24f5dbedd0</t>
  </si>
  <si>
    <t>19367254-bb10-4626-aad9-ce24f5dbedd0_1791063358677</t>
  </si>
  <si>
    <t>USAHA PERDAGANGAN ECERAN (SERAFIANA JAJIINA BELANG)</t>
  </si>
  <si>
    <t>https://fasih-sm.bps.go.id/app/assignment/fd68e454-ba45-4b85-8205-f3bf777ded24/19367254-bb10-4626-aad9-ce24f5dbedd0</t>
  </si>
  <si>
    <t>1953560f-96ae-44f8-a0e3-8412d270dcc3</t>
  </si>
  <si>
    <t>1953560f-96ae-44f8-a0e3-8412d270dcc3_1791063537515</t>
  </si>
  <si>
    <t>JASA PERDAGANGAN KIOS ECERAN(DOMINIKUS KOPONG MAMUN)</t>
  </si>
  <si>
    <t>0,703448</t>
  </si>
  <si>
    <t>https://fasih-sm.bps.go.id/app/assignment/fd68e454-ba45-4b85-8205-f3bf777ded24/1953560f-96ae-44f8-a0e3-8412d270dcc3</t>
  </si>
  <si>
    <t>197072b7-03d9-44dd-8999-ab8e29274015</t>
  </si>
  <si>
    <t>197072b7-03d9-44dd-8999-ab8e29274015_1791063558602</t>
  </si>
  <si>
    <t>USAHA KIOS ALVIN (KORNELIS TEWOOPUN MEMAN)</t>
  </si>
  <si>
    <t>https://fasih-sm.bps.go.id/app/assignment/fd68e454-ba45-4b85-8205-f3bf777ded24/197072b7-03d9-44dd-8999-ab8e29274015</t>
  </si>
  <si>
    <t>1984434e-8122-4c2e-95b6-a1d417b49d6d</t>
  </si>
  <si>
    <t>1984434e-8122-4c2e-95b6-a1d417b49d6d_1791063635376</t>
  </si>
  <si>
    <t>KIOS LYORA</t>
  </si>
  <si>
    <t>0,754717</t>
  </si>
  <si>
    <t>https://fasih-sm.bps.go.id/app/assignment/fd68e454-ba45-4b85-8205-f3bf777ded24/1984434e-8122-4c2e-95b6-a1d417b49d6d</t>
  </si>
  <si>
    <t>198738c8-8f4c-4e8d-b4bd-fc43a45bcfe5</t>
  </si>
  <si>
    <t>198738c8-8f4c-4e8d-b4bd-fc43a45bcfe5_1791063603873</t>
  </si>
  <si>
    <t>KIOS &lt;FATIMAH MUHAMAD&gt;</t>
  </si>
  <si>
    <t>0,757576</t>
  </si>
  <si>
    <t>https://fasih-sm.bps.go.id/app/assignment/fd68e454-ba45-4b85-8205-f3bf777ded24/198738c8-8f4c-4e8d-b4bd-fc43a45bcfe5</t>
  </si>
  <si>
    <t>198c0a10-99e8-4b7a-99e9-1c12cf2eb5bc</t>
  </si>
  <si>
    <t>198c0a10-99e8-4b7a-99e9-1c12cf2eb5bc_1791063614570</t>
  </si>
  <si>
    <t>KIOS HOKKY</t>
  </si>
  <si>
    <t>0,486352</t>
  </si>
  <si>
    <t>https://fasih-sm.bps.go.id/app/assignment/fd68e454-ba45-4b85-8205-f3bf777ded24/198c0a10-99e8-4b7a-99e9-1c12cf2eb5bc</t>
  </si>
  <si>
    <t>19a42e37-1177-4662-b5b3-34034b59c063</t>
  </si>
  <si>
    <t>19a42e37-1177-4662-b5b3-34034b59c063_1791063653846</t>
  </si>
  <si>
    <t>UD KIOS SEMBAKO</t>
  </si>
  <si>
    <t>0,357143</t>
  </si>
  <si>
    <t>https://fasih-sm.bps.go.id/app/assignment/fd68e454-ba45-4b85-8205-f3bf777ded24/19a42e37-1177-4662-b5b3-34034b59c063</t>
  </si>
  <si>
    <t>19b08b8f-219d-49b1-9cc9-5bd405f8e3f8</t>
  </si>
  <si>
    <t>19b08b8f-219d-49b1-9cc9-5bd405f8e3f8_1791063683549</t>
  </si>
  <si>
    <t>KIOS BCL</t>
  </si>
  <si>
    <t>https://fasih-sm.bps.go.id/app/assignment/fd68e454-ba45-4b85-8205-f3bf777ded24/19b08b8f-219d-49b1-9cc9-5bd405f8e3f8</t>
  </si>
  <si>
    <t>1a0dc985-b7de-417a-bf77-cd076ed6b685</t>
  </si>
  <si>
    <t>1a0dc985-b7de-417a-bf77-cd076ed6b685_1792564815649</t>
  </si>
  <si>
    <t>KIOS ( MM THERESIA WAIN)</t>
  </si>
  <si>
    <t>0,218391</t>
  </si>
  <si>
    <t>https://fasih-sm.bps.go.id/app/assignment/fd68e454-ba45-4b85-8205-f3bf777ded24/1a0dc985-b7de-417a-bf77-cd076ed6b685</t>
  </si>
  <si>
    <t>1a23961c-95ab-4d0d-bbc5-c63794daf67e</t>
  </si>
  <si>
    <t>1a23961c-95ab-4d0d-bbc5-c63794daf67e_1792396365893</t>
  </si>
  <si>
    <t>KIOS (MARNI)</t>
  </si>
  <si>
    <t>0,727273</t>
  </si>
  <si>
    <t>0,04</t>
  </si>
  <si>
    <t>https://fasih-sm.bps.go.id/app/assignment/fd68e454-ba45-4b85-8205-f3bf777ded24/1a23961c-95ab-4d0d-bbc5-c63794daf67e</t>
  </si>
  <si>
    <t>1a3b4013-8dc7-4f68-8e76-23e5dbf81a70</t>
  </si>
  <si>
    <t>1a3b4013-8dc7-4f68-8e76-23e5dbf81a70_1791063822295</t>
  </si>
  <si>
    <t>KIOS MERCY (MARIA FRANSISKA DATE URAN)</t>
  </si>
  <si>
    <t>https://fasih-sm.bps.go.id/app/assignment/fd68e454-ba45-4b85-8205-f3bf777ded24/1a3b4013-8dc7-4f68-8e76-23e5dbf81a70</t>
  </si>
  <si>
    <t>1a434f5c-0795-4dc2-a6d5-26586e9f36ce</t>
  </si>
  <si>
    <t>1a434f5c-0795-4dc2-a6d5-26586e9f36ce_1791063879654</t>
  </si>
  <si>
    <t>KIOS SEMBAKO (ALFONS KEWA AMA)</t>
  </si>
  <si>
    <t>https://fasih-sm.bps.go.id/app/assignment/fd68e454-ba45-4b85-8205-f3bf777ded24/1a434f5c-0795-4dc2-a6d5-26586e9f36ce</t>
  </si>
  <si>
    <t>1a4f379d-6417-49da-b11e-2417d5a6afc3</t>
  </si>
  <si>
    <t>1a4f379d-6417-49da-b11e-2417d5a6afc3_1791064029439</t>
  </si>
  <si>
    <t>PERDAGANGAN KIOS (FRANSISKUS XAVERIUS LEBUAN)</t>
  </si>
  <si>
    <t>https://fasih-sm.bps.go.id/app/assignment/fd68e454-ba45-4b85-8205-f3bf777ded24/1a4f379d-6417-49da-b11e-2417d5a6afc3</t>
  </si>
  <si>
    <t>1a5a5bf7-9f2c-4076-9661-b5615cb3f9f4</t>
  </si>
  <si>
    <t>1a5a5bf7-9f2c-4076-9661-b5615cb3f9f4_1791064038282</t>
  </si>
  <si>
    <t>KIOS (KURNIATY INA BUAN)</t>
  </si>
  <si>
    <t>https://fasih-sm.bps.go.id/app/assignment/fd68e454-ba45-4b85-8205-f3bf777ded24/1a5a5bf7-9f2c-4076-9661-b5615cb3f9f4</t>
  </si>
  <si>
    <t>1a8e1216-0729-4557-9ba9-3b695b940e82</t>
  </si>
  <si>
    <t>1a8e1216-0729-4557-9ba9-3b695b940e82_1791064061568</t>
  </si>
  <si>
    <t>USAHA KIOS (REGINA WOLI NAMA)</t>
  </si>
  <si>
    <t>https://fasih-sm.bps.go.id/app/assignment/fd68e454-ba45-4b85-8205-f3bf777ded24/1a8e1216-0729-4557-9ba9-3b695b940e82</t>
  </si>
  <si>
    <t>1af56b2a-5ba1-4658-b9dc-4064e7f56a2b</t>
  </si>
  <si>
    <t>1af56b2a-5ba1-4658-b9dc-4064e7f56a2b_1791064301919</t>
  </si>
  <si>
    <t>KIOS NURUL ( RAMINAH)</t>
  </si>
  <si>
    <t>0,465116</t>
  </si>
  <si>
    <t>https://fasih-sm.bps.go.id/app/assignment/fd68e454-ba45-4b85-8205-f3bf777ded24/1af56b2a-5ba1-4658-b9dc-4064e7f56a2b</t>
  </si>
  <si>
    <t>1b046965-909b-40f7-904d-fa55540ee75c</t>
  </si>
  <si>
    <t>1b046965-909b-40f7-904d-fa55540ee75c_1791064395611</t>
  </si>
  <si>
    <t>JAGUNG TITI (FARIDA SALIM)</t>
  </si>
  <si>
    <t>https://fasih-sm.bps.go.id/app/assignment/fd68e454-ba45-4b85-8205-f3bf777ded24/1b046965-909b-40f7-904d-fa55540ee75c</t>
  </si>
  <si>
    <t>1b6a96f8-04ee-4222-9e67-0cd280baf16e</t>
  </si>
  <si>
    <t>1b6a96f8-04ee-4222-9e67-0cd280baf16e_1791064543717</t>
  </si>
  <si>
    <t>KIOS SEMBAKO (SAMIUN YUSUF)</t>
  </si>
  <si>
    <t>0,806452</t>
  </si>
  <si>
    <t>https://fasih-sm.bps.go.id/app/assignment/fd68e454-ba45-4b85-8205-f3bf777ded24/1b6a96f8-04ee-4222-9e67-0cd280baf16e</t>
  </si>
  <si>
    <t>1b97773b-f17e-4ec6-9343-65b0c18018e1</t>
  </si>
  <si>
    <t>1b97773b-f17e-4ec6-9343-65b0c18018e1_1791064486083</t>
  </si>
  <si>
    <t>KIOS MIKAILA MARIA CHADIJAH</t>
  </si>
  <si>
    <t>https://fasih-sm.bps.go.id/app/assignment/fd68e454-ba45-4b85-8205-f3bf777ded24/1b97773b-f17e-4ec6-9343-65b0c18018e1</t>
  </si>
  <si>
    <t>1baf3d0c-be46-4897-a0bc-791c7933f99d</t>
  </si>
  <si>
    <t>1baf3d0c-be46-4897-a0bc-791c7933f99d_1791064526943</t>
  </si>
  <si>
    <t>USAHA KIOS (MARGARETA LINO)</t>
  </si>
  <si>
    <t>https://fasih-sm.bps.go.id/app/assignment/fd68e454-ba45-4b85-8205-f3bf777ded24/1baf3d0c-be46-4897-a0bc-791c7933f99d</t>
  </si>
  <si>
    <t>1bc171e3-ebc1-4b22-b4c1-ebbf96f9c55c</t>
  </si>
  <si>
    <t>1bc171e3-ebc1-4b22-b4c1-ebbf96f9c55c_1791064695676</t>
  </si>
  <si>
    <t>USAHA KIOS (AGNES RARI ROTAN)</t>
  </si>
  <si>
    <t>https://fasih-sm.bps.go.id/app/assignment/fd68e454-ba45-4b85-8205-f3bf777ded24/1bc171e3-ebc1-4b22-b4c1-ebbf96f9c55c</t>
  </si>
  <si>
    <t>1bdc2d89-453c-4615-8aef-f4a69059a8e7</t>
  </si>
  <si>
    <t>1bdc2d89-453c-4615-8aef-f4a69059a8e7_1791942630326</t>
  </si>
  <si>
    <t>https://fasih-sm.bps.go.id/app/assignment/fd68e454-ba45-4b85-8205-f3bf777ded24/1bdc2d89-453c-4615-8aef-f4a69059a8e7</t>
  </si>
  <si>
    <t>1be7f830-dd44-46f0-ad53-bfc4c03922fb</t>
  </si>
  <si>
    <t>1be7f830-dd44-46f0-ad53-bfc4c03922fb_1791064720312</t>
  </si>
  <si>
    <t>KIOS SEMBAKO SKETSA ( ANTONIUS DAENG EMAAMA BETAN )</t>
  </si>
  <si>
    <t>0,172414</t>
  </si>
  <si>
    <t>https://fasih-sm.bps.go.id/app/assignment/fd68e454-ba45-4b85-8205-f3bf777ded24/1be7f830-dd44-46f0-ad53-bfc4c03922fb</t>
  </si>
  <si>
    <t>1c2bcc79-959f-404b-a1d7-847ceb4ff236</t>
  </si>
  <si>
    <t>1c2bcc79-959f-404b-a1d7-847ceb4ff236_1791064895729</t>
  </si>
  <si>
    <t>KIOS FANTO (MARIA ROSA DELIMA PUJI)</t>
  </si>
  <si>
    <t>https://fasih-sm.bps.go.id/app/assignment/fd68e454-ba45-4b85-8205-f3bf777ded24/1c2bcc79-959f-404b-a1d7-847ceb4ff236</t>
  </si>
  <si>
    <t>1c82ed76-1a3e-4eea-b387-ac09ed583e5c</t>
  </si>
  <si>
    <t>1c82ed76-1a3e-4eea-b387-ac09ed583e5c_1791065055879</t>
  </si>
  <si>
    <t>KIOS (MUHAMMAD ALI)</t>
  </si>
  <si>
    <t>https://fasih-sm.bps.go.id/app/assignment/fd68e454-ba45-4b85-8205-f3bf777ded24/1c82ed76-1a3e-4eea-b387-ac09ed583e5c</t>
  </si>
  <si>
    <t>1c879ab1-9399-48b9-b1d4-7edd9fe26d4d</t>
  </si>
  <si>
    <t>1c879ab1-9399-48b9-b1d4-7edd9fe26d4d_1791064947545</t>
  </si>
  <si>
    <t>KIOS SEMBAKO (STEFANUS SEMARA WUJON)</t>
  </si>
  <si>
    <t>0,705882</t>
  </si>
  <si>
    <t>https://fasih-sm.bps.go.id/app/assignment/fd68e454-ba45-4b85-8205-f3bf777ded24/1c879ab1-9399-48b9-b1d4-7edd9fe26d4d</t>
  </si>
  <si>
    <t>1c8caa1f-fa07-4a23-aa19-9b86ff8bc1d0</t>
  </si>
  <si>
    <t>1c8caa1f-fa07-4a23-aa19-9b86ff8bc1d0_1791065076389</t>
  </si>
  <si>
    <t>KIOS (MAHANI)</t>
  </si>
  <si>
    <t>0,446429</t>
  </si>
  <si>
    <t>https://fasih-sm.bps.go.id/app/assignment/fd68e454-ba45-4b85-8205-f3bf777ded24/1c8caa1f-fa07-4a23-aa19-9b86ff8bc1d0</t>
  </si>
  <si>
    <t>1c8dcc25-e42c-403e-b95e-43379bc28926</t>
  </si>
  <si>
    <t>1c8dcc25-e42c-403e-b95e-43379bc28926_1791064973722</t>
  </si>
  <si>
    <t>KIOS BAPA SEMON</t>
  </si>
  <si>
    <t>0,36</t>
  </si>
  <si>
    <t>https://fasih-sm.bps.go.id/app/assignment/fd68e454-ba45-4b85-8205-f3bf777ded24/1c8dcc25-e42c-403e-b95e-43379bc28926</t>
  </si>
  <si>
    <t>1cc7d3b7-f82c-4dd6-9eb1-778443e346ae</t>
  </si>
  <si>
    <t>1cc7d3b7-f82c-4dd6-9eb1-778443e346ae_1791065185392</t>
  </si>
  <si>
    <t>KIOS (MUNASRI)</t>
  </si>
  <si>
    <t>0,654545</t>
  </si>
  <si>
    <t>https://fasih-sm.bps.go.id/app/assignment/fd68e454-ba45-4b85-8205-f3bf777ded24/1cc7d3b7-f82c-4dd6-9eb1-778443e346ae</t>
  </si>
  <si>
    <t>1cd7bcb9-8aac-404f-9516-80fde7afefe3</t>
  </si>
  <si>
    <t>1cd7bcb9-8aac-404f-9516-80fde7afefe3_1791065219528</t>
  </si>
  <si>
    <t>KIOS PELITA JAYA YOSEP PATI DEORNAY</t>
  </si>
  <si>
    <t>https://fasih-sm.bps.go.id/app/assignment/fd68e454-ba45-4b85-8205-f3bf777ded24/1cd7bcb9-8aac-404f-9516-80fde7afefe3</t>
  </si>
  <si>
    <t>1cdffa0d-2560-4766-8c5c-aefcb35701bc</t>
  </si>
  <si>
    <t>1cdffa0d-2560-4766-8c5c-aefcb35701bc_1791065194834</t>
  </si>
  <si>
    <t>KIOS ALOYSIUS AGO TUPEN</t>
  </si>
  <si>
    <t>https://fasih-sm.bps.go.id/app/assignment/fd68e454-ba45-4b85-8205-f3bf777ded24/1cdffa0d-2560-4766-8c5c-aefcb35701bc</t>
  </si>
  <si>
    <t>1d120a36-96ef-4063-8d42-b03b701d4e81</t>
  </si>
  <si>
    <t>1d120a36-96ef-4063-8d42-b03b701d4e81_1791065175270</t>
  </si>
  <si>
    <t>KIOS HORAS ( ALOYSIUS DEKA HARUT RITAN )</t>
  </si>
  <si>
    <t>0,24</t>
  </si>
  <si>
    <t>https://fasih-sm.bps.go.id/app/assignment/fd68e454-ba45-4b85-8205-f3bf777ded24/1d120a36-96ef-4063-8d42-b03b701d4e81</t>
  </si>
  <si>
    <t>1d4b4764-d572-4ba6-a48c-c8394a76273b</t>
  </si>
  <si>
    <t>1d4b4764-d572-4ba6-a48c-c8394a76273b_1791065401159</t>
  </si>
  <si>
    <t>JUALAN SEMBAKO( KHADIJA ISMAIL)</t>
  </si>
  <si>
    <t>https://fasih-sm.bps.go.id/app/assignment/fd68e454-ba45-4b85-8205-f3bf777ded24/1d4b4764-d572-4ba6-a48c-c8394a76273b</t>
  </si>
  <si>
    <t>1d4cb210-31cb-462a-90f4-50ef3e463539</t>
  </si>
  <si>
    <t>1d4cb210-31cb-462a-90f4-50ef3e463539_1791065396781</t>
  </si>
  <si>
    <t>JASA PERDAGANGAN KIOS ECERAN(SALMA KEWA OLA)</t>
  </si>
  <si>
    <t>0,880734</t>
  </si>
  <si>
    <t>https://fasih-sm.bps.go.id/app/assignment/fd68e454-ba45-4b85-8205-f3bf777ded24/1d4cb210-31cb-462a-90f4-50ef3e463539</t>
  </si>
  <si>
    <t>1d8e5c22-bf0e-417e-84f5-9e13775f9b6a</t>
  </si>
  <si>
    <t>1d8e5c22-bf0e-417e-84f5-9e13775f9b6a_1791065511322</t>
  </si>
  <si>
    <t>KIOS (ANNA SOMI DOREN)</t>
  </si>
  <si>
    <t>https://fasih-sm.bps.go.id/app/assignment/fd68e454-ba45-4b85-8205-f3bf777ded24/1d8e5c22-bf0e-417e-84f5-9e13775f9b6a</t>
  </si>
  <si>
    <t>1d9d3fa4-e72d-4d18-bfe5-0826c29a6c8f</t>
  </si>
  <si>
    <t>1d9d3fa4-e72d-4d18-bfe5-0826c29a6c8f_1791065569941</t>
  </si>
  <si>
    <t>PEDAGANG YUSINTA (YUSINTA KEWA INA)</t>
  </si>
  <si>
    <t>0,885417</t>
  </si>
  <si>
    <t>https://fasih-sm.bps.go.id/app/assignment/fd68e454-ba45-4b85-8205-f3bf777ded24/1d9d3fa4-e72d-4d18-bfe5-0826c29a6c8f</t>
  </si>
  <si>
    <t>1df55fb4-9195-4cfe-ac73-3f65bacc6491</t>
  </si>
  <si>
    <t>1df55fb4-9195-4cfe-ac73-3f65bacc6491_1791065655375</t>
  </si>
  <si>
    <t>JASA PERDAGANGAN ECERAN(LUSIA BURA GORAN)</t>
  </si>
  <si>
    <t>0,815534</t>
  </si>
  <si>
    <t>https://fasih-sm.bps.go.id/app/assignment/fd68e454-ba45-4b85-8205-f3bf777ded24/1df55fb4-9195-4cfe-ac73-3f65bacc6491</t>
  </si>
  <si>
    <t>1e14fd0e-c90d-4224-8d11-c6a417cc8c54</t>
  </si>
  <si>
    <t>1e14fd0e-c90d-4224-8d11-c6a417cc8c54_1791065619809</t>
  </si>
  <si>
    <t>KIOS AGUS (AGUSTINA SURAT DOSI)</t>
  </si>
  <si>
    <t>https://fasih-sm.bps.go.id/app/assignment/fd68e454-ba45-4b85-8205-f3bf777ded24/1e14fd0e-c90d-4224-8d11-c6a417cc8c54</t>
  </si>
  <si>
    <t>1e1ea49d-4837-4dd0-8f53-c12909ff50fb</t>
  </si>
  <si>
    <t>1e1ea49d-4837-4dd0-8f53-c12909ff50fb_1791065670804</t>
  </si>
  <si>
    <t>USAHA KIOS ASRULLAHI</t>
  </si>
  <si>
    <t>https://fasih-sm.bps.go.id/app/assignment/fd68e454-ba45-4b85-8205-f3bf777ded24/1e1ea49d-4837-4dd0-8f53-c12909ff50fb</t>
  </si>
  <si>
    <t>1e215243-5f26-4440-81c3-c5bbb8b51a06</t>
  </si>
  <si>
    <t>1e215243-5f26-4440-81c3-c5bbb8b51a06_1791065752611</t>
  </si>
  <si>
    <t>USAHA PERDAGANGAN (HENDRIKUS PATARAYA KOLIN)</t>
  </si>
  <si>
    <t>0,827586</t>
  </si>
  <si>
    <t>https://fasih-sm.bps.go.id/app/assignment/fd68e454-ba45-4b85-8205-f3bf777ded24/1e215243-5f26-4440-81c3-c5bbb8b51a06</t>
  </si>
  <si>
    <t>1e2372a7-cccb-4ad0-b4c7-c70e3f7b53dd</t>
  </si>
  <si>
    <t>1e2372a7-cccb-4ad0-b4c7-c70e3f7b53dd_1791065705212</t>
  </si>
  <si>
    <t>KIOS CAHAYA TOSORA (AMBO AJENG)</t>
  </si>
  <si>
    <t>0,461538</t>
  </si>
  <si>
    <t>https://fasih-sm.bps.go.id/app/assignment/fd68e454-ba45-4b85-8205-f3bf777ded24/1e2372a7-cccb-4ad0-b4c7-c70e3f7b53dd</t>
  </si>
  <si>
    <t>1e31c816-f3c0-420d-b8c4-d7960191be83</t>
  </si>
  <si>
    <t>1e31c816-f3c0-420d-b8c4-d7960191be83_1791065849836</t>
  </si>
  <si>
    <t>KIOS LUSI HURIT</t>
  </si>
  <si>
    <t>https://fasih-sm.bps.go.id/app/assignment/fd68e454-ba45-4b85-8205-f3bf777ded24/1e31c816-f3c0-420d-b8c4-d7960191be83</t>
  </si>
  <si>
    <t>1e358d53-28ff-4e91-bbd7-4831dbc288c3</t>
  </si>
  <si>
    <t>1e358d53-28ff-4e91-bbd7-4831dbc288c3_1791065708081</t>
  </si>
  <si>
    <t>JUALAN GARAM (YOSEP KOLI DOREN)</t>
  </si>
  <si>
    <t>https://fasih-sm.bps.go.id/app/assignment/fd68e454-ba45-4b85-8205-f3bf777ded24/1e358d53-28ff-4e91-bbd7-4831dbc288c3</t>
  </si>
  <si>
    <t>KIOS (SUSANA GUTE DOREN)</t>
  </si>
  <si>
    <t>0,649351</t>
  </si>
  <si>
    <t>1e60b470-363d-48ca-ba49-a2c3da95e30a</t>
  </si>
  <si>
    <t>1e60b470-363d-48ca-ba49-a2c3da95e30a_1791065744223</t>
  </si>
  <si>
    <t>KIOS (SILVINUS LAMA PAHA)</t>
  </si>
  <si>
    <t>https://fasih-sm.bps.go.id/app/assignment/fd68e454-ba45-4b85-8205-f3bf777ded24/1e60b470-363d-48ca-ba49-a2c3da95e30a</t>
  </si>
  <si>
    <t>1e941ba0-1d4d-498b-afbc-a0a2e0fc63dd</t>
  </si>
  <si>
    <t>1e941ba0-1d4d-498b-afbc-a0a2e0fc63dd_1791066033738</t>
  </si>
  <si>
    <t>KIOS ALDI</t>
  </si>
  <si>
    <t>https://fasih-sm.bps.go.id/app/assignment/fd68e454-ba45-4b85-8205-f3bf777ded24/1e941ba0-1d4d-498b-afbc-a0a2e0fc63dd</t>
  </si>
  <si>
    <t>1eddf6d2-7b4e-4425-b256-f308b2b1859e</t>
  </si>
  <si>
    <t>1eddf6d2-7b4e-4425-b256-f308b2b1859e_1791066058433</t>
  </si>
  <si>
    <t>USAHA ECERAN SEMBAKO</t>
  </si>
  <si>
    <t>0,638889</t>
  </si>
  <si>
    <t>https://fasih-sm.bps.go.id/app/assignment/fd68e454-ba45-4b85-8205-f3bf777ded24/1eddf6d2-7b4e-4425-b256-f308b2b1859e</t>
  </si>
  <si>
    <t>1ef482d0-c8f6-4080-abc2-8a39ab245670</t>
  </si>
  <si>
    <t>1ef482d0-c8f6-4080-abc2-8a39ab245670_1791066172341</t>
  </si>
  <si>
    <t>USAHA KIOS SEMBAKO (ROHANA)</t>
  </si>
  <si>
    <t>https://fasih-sm.bps.go.id/app/assignment/fd68e454-ba45-4b85-8205-f3bf777ded24/1ef482d0-c8f6-4080-abc2-8a39ab245670</t>
  </si>
  <si>
    <t>1f034ef7-d17f-4470-b4a2-73c20f6c01b8</t>
  </si>
  <si>
    <t>1f034ef7-d17f-4470-b4a2-73c20f6c01b8_1791066138263</t>
  </si>
  <si>
    <t>KIOS PAULINA PODE LUKAS</t>
  </si>
  <si>
    <t>https://fasih-sm.bps.go.id/app/assignment/fd68e454-ba45-4b85-8205-f3bf777ded24/1f034ef7-d17f-4470-b4a2-73c20f6c01b8</t>
  </si>
  <si>
    <t>1fae60c8-e119-4308-8939-70944e27c522</t>
  </si>
  <si>
    <t>1fae60c8-e119-4308-8939-70944e27c522_1791066312386</t>
  </si>
  <si>
    <t>KIOS RIANA ( THERESIA TIMU WELAN)</t>
  </si>
  <si>
    <t>0,857143</t>
  </si>
  <si>
    <t>https://fasih-sm.bps.go.id/app/assignment/fd68e454-ba45-4b85-8205-f3bf777ded24/1fae60c8-e119-4308-8939-70944e27c522</t>
  </si>
  <si>
    <t>1fc7cc52-5002-4db6-813e-c2d909541a7f</t>
  </si>
  <si>
    <t>1fc7cc52-5002-4db6-813e-c2d909541a7f_1791066505024</t>
  </si>
  <si>
    <t>DAGANG SEMBAKO (FATIMAH MALANG)</t>
  </si>
  <si>
    <t>https://fasih-sm.bps.go.id/app/assignment/fd68e454-ba45-4b85-8205-f3bf777ded24/1fc7cc52-5002-4db6-813e-c2d909541a7f</t>
  </si>
  <si>
    <t>20139887-d21d-442a-9b14-6b9f97fd4ca4</t>
  </si>
  <si>
    <t>20139887-d21d-442a-9b14-6b9f97fd4ca4_1791066509579</t>
  </si>
  <si>
    <t>KIOS ANASTASIA GUREN TUKAN</t>
  </si>
  <si>
    <t>https://fasih-sm.bps.go.id/app/assignment/fd68e454-ba45-4b85-8205-f3bf777ded24/20139887-d21d-442a-9b14-6b9f97fd4ca4</t>
  </si>
  <si>
    <t>2033cf52-f09a-4f68-8446-a79b3b704210</t>
  </si>
  <si>
    <t>2033cf52-f09a-4f68-8446-a79b3b704210_1791066642919</t>
  </si>
  <si>
    <t>USAHA KIOS (THERESIA PENI KODA)</t>
  </si>
  <si>
    <t>https://fasih-sm.bps.go.id/app/assignment/fd68e454-ba45-4b85-8205-f3bf777ded24/2033cf52-f09a-4f68-8446-a79b3b704210</t>
  </si>
  <si>
    <t>2036a4f8-0eb9-47ea-a0c3-d9bac4fda241</t>
  </si>
  <si>
    <t>2036a4f8-0eb9-47ea-a0c3-d9bac4fda241_1791066673901</t>
  </si>
  <si>
    <t>KIOS (MARIA BENGA KIAN)</t>
  </si>
  <si>
    <t>0,000479</t>
  </si>
  <si>
    <t>UM</t>
  </si>
  <si>
    <t>https://fasih-sm.bps.go.id/app/assignment/fd68e454-ba45-4b85-8205-f3bf777ded24/2036a4f8-0eb9-47ea-a0c3-d9bac4fda241</t>
  </si>
  <si>
    <t>203cdaa5-2b4a-4bd0-b8b0-f83f06770339</t>
  </si>
  <si>
    <t>203cdaa5-2b4a-4bd0-b8b0-f83f06770339_1791066671626</t>
  </si>
  <si>
    <t>KIOS FEBBY (THERESIA PERIDI BUA)</t>
  </si>
  <si>
    <t>https://fasih-sm.bps.go.id/app/assignment/fd68e454-ba45-4b85-8205-f3bf777ded24/203cdaa5-2b4a-4bd0-b8b0-f83f06770339</t>
  </si>
  <si>
    <t>206b0902-33f2-4c3c-be48-6b8676ab68b6</t>
  </si>
  <si>
    <t>206b0902-33f2-4c3c-be48-6b8676ab68b6_1791066711003</t>
  </si>
  <si>
    <t>KIOS CHELSILY (SELVIANA ASTY)</t>
  </si>
  <si>
    <t>0,631579</t>
  </si>
  <si>
    <t>11666666,67</t>
  </si>
  <si>
    <t>https://fasih-sm.bps.go.id/app/assignment/fd68e454-ba45-4b85-8205-f3bf777ded24/206b0902-33f2-4c3c-be48-6b8676ab68b6</t>
  </si>
  <si>
    <t>2095a282-fd13-437d-8fd7-518d84e153e3</t>
  </si>
  <si>
    <t>2095a282-fd13-437d-8fd7-518d84e153e3_1792293615754</t>
  </si>
  <si>
    <t>USAHA KIOS (YOHANA BAREK)</t>
  </si>
  <si>
    <t>https://fasih-sm.bps.go.id/app/assignment/fd68e454-ba45-4b85-8205-f3bf777ded24/2095a282-fd13-437d-8fd7-518d84e153e3</t>
  </si>
  <si>
    <t>20ad9e44-52a5-4262-a7f6-dbe4d8408377</t>
  </si>
  <si>
    <t>20ad9e44-52a5-4262-a7f6-dbe4d8408377_1791066779062</t>
  </si>
  <si>
    <t>KIOS - MARIA FELIXITAS PADU</t>
  </si>
  <si>
    <t>https://fasih-sm.bps.go.id/app/assignment/fd68e454-ba45-4b85-8205-f3bf777ded24/20ad9e44-52a5-4262-a7f6-dbe4d8408377</t>
  </si>
  <si>
    <t>20c8f56f-1bbf-49a3-a380-721e97a15384</t>
  </si>
  <si>
    <t>20c8f56f-1bbf-49a3-a380-721e97a15384_1791066861550</t>
  </si>
  <si>
    <t>KIOS SEMBAKO ECERAN (PETRONELA OSE DONI)</t>
  </si>
  <si>
    <t>https://fasih-sm.bps.go.id/app/assignment/fd68e454-ba45-4b85-8205-f3bf777ded24/20c8f56f-1bbf-49a3-a380-721e97a15384</t>
  </si>
  <si>
    <t>212a37e8-56e0-451e-8a27-34f55c7b6b0a</t>
  </si>
  <si>
    <t>212a37e8-56e0-451e-8a27-34f55c7b6b0a_1791067138499</t>
  </si>
  <si>
    <t>PENJUAL SEMBAKO HAFISAH TUPEN</t>
  </si>
  <si>
    <t>https://fasih-sm.bps.go.id/app/assignment/fd68e454-ba45-4b85-8205-f3bf777ded24/212a37e8-56e0-451e-8a27-34f55c7b6b0a</t>
  </si>
  <si>
    <t>217220ca-5bc7-473d-9520-b891f825a240</t>
  </si>
  <si>
    <t>217220ca-5bc7-473d-9520-b891f825a240_1791067081017</t>
  </si>
  <si>
    <t>KIOS AISA KOTEN ( MARIA P TUKAN )</t>
  </si>
  <si>
    <t>0,194175</t>
  </si>
  <si>
    <t>https://fasih-sm.bps.go.id/app/assignment/fd68e454-ba45-4b85-8205-f3bf777ded24/217220ca-5bc7-473d-9520-b891f825a240</t>
  </si>
  <si>
    <t>218e9bf0-c6d8-4778-8642-c96f8b63e0b1</t>
  </si>
  <si>
    <t>218e9bf0-c6d8-4778-8642-c96f8b63e0b1_1791067197400</t>
  </si>
  <si>
    <t>USAHA WARUNG ( BEATRIX SOGE)</t>
  </si>
  <si>
    <t>0,385965</t>
  </si>
  <si>
    <t>https://fasih-sm.bps.go.id/app/assignment/fd68e454-ba45-4b85-8205-f3bf777ded24/218e9bf0-c6d8-4778-8642-c96f8b63e0b1</t>
  </si>
  <si>
    <t>21f7629a-11db-4799-b99a-8a73ffb6bd92</t>
  </si>
  <si>
    <t>21f7629a-11db-4799-b99a-8a73ffb6bd92_1791067465521</t>
  </si>
  <si>
    <t>KIOS SEMBAKO DINA MARIANA</t>
  </si>
  <si>
    <t>https://fasih-sm.bps.go.id/app/assignment/fd68e454-ba45-4b85-8205-f3bf777ded24/21f7629a-11db-4799-b99a-8a73ffb6bd92</t>
  </si>
  <si>
    <t>22a39b78-af5a-4191-af3a-2fa9102bd6c9</t>
  </si>
  <si>
    <t>22a39b78-af5a-4191-af3a-2fa9102bd6c9_1791067651142</t>
  </si>
  <si>
    <t>KIOS PANTE WERU (VINCENTYA M D PIRAN)</t>
  </si>
  <si>
    <t>https://fasih-sm.bps.go.id/app/assignment/fd68e454-ba45-4b85-8205-f3bf777ded24/22a39b78-af5a-4191-af3a-2fa9102bd6c9</t>
  </si>
  <si>
    <t>22e1ed95-b6e8-42a0-b653-154790f62e47</t>
  </si>
  <si>
    <t>22e1ed95-b6e8-42a0-b653-154790f62e47_1791067740478</t>
  </si>
  <si>
    <t>PEDAGANG ECERAN KIOS</t>
  </si>
  <si>
    <t>https://fasih-sm.bps.go.id/app/assignment/fd68e454-ba45-4b85-8205-f3bf777ded24/22e1ed95-b6e8-42a0-b653-154790f62e47</t>
  </si>
  <si>
    <t>230cccb0-bab1-40c3-987f-9ccf0aef830b</t>
  </si>
  <si>
    <t>230cccb0-bab1-40c3-987f-9ccf0aef830b_1791068576554</t>
  </si>
  <si>
    <t>KIOS NYONG PERFECT ( LASARUS GULAOPUN HULER)</t>
  </si>
  <si>
    <t>0,288462</t>
  </si>
  <si>
    <t>26428571,43</t>
  </si>
  <si>
    <t>https://fasih-sm.bps.go.id/app/assignment/fd68e454-ba45-4b85-8205-f3bf777ded24/230cccb0-bab1-40c3-987f-9ccf0aef830b</t>
  </si>
  <si>
    <t>23121c38-b5ff-4d67-8356-78e78b1185c1</t>
  </si>
  <si>
    <t>23121c38-b5ff-4d67-8356-78e78b1185c1_1786002656714</t>
  </si>
  <si>
    <t>KIOS BAHARUDIN</t>
  </si>
  <si>
    <t>https://fasih-sm.bps.go.id/app/assignment/fd68e454-ba45-4b85-8205-f3bf777ded24/23121c38-b5ff-4d67-8356-78e78b1185c1</t>
  </si>
  <si>
    <t>2332f2f5-d2e6-4f2f-ae95-c69875d357d7</t>
  </si>
  <si>
    <t>2332f2f5-d2e6-4f2f-ae95-c69875d357d7_1791068647598</t>
  </si>
  <si>
    <t>Kios sembako (Theresia kewa Pati)</t>
  </si>
  <si>
    <t>https://fasih-sm.bps.go.id/app/assignment/fd68e454-ba45-4b85-8205-f3bf777ded24/2332f2f5-d2e6-4f2f-ae95-c69875d357d7</t>
  </si>
  <si>
    <t>23639cb8-5aae-497e-a280-faaab0b96d9c</t>
  </si>
  <si>
    <t>23639cb8-5aae-497e-a280-faaab0b96d9c_1791068747728</t>
  </si>
  <si>
    <t>KIOS (RAUDAH ABDULLAH)</t>
  </si>
  <si>
    <t>https://fasih-sm.bps.go.id/app/assignment/fd68e454-ba45-4b85-8205-f3bf777ded24/23639cb8-5aae-497e-a280-faaab0b96d9c</t>
  </si>
  <si>
    <t>23659123-02cf-4287-ab2d-de48a07e158b</t>
  </si>
  <si>
    <t>23659123-02cf-4287-ab2d-de48a07e158b_1791068751579</t>
  </si>
  <si>
    <t>KIOS (EMILIANA)</t>
  </si>
  <si>
    <t>https://fasih-sm.bps.go.id/app/assignment/fd68e454-ba45-4b85-8205-f3bf777ded24/23659123-02cf-4287-ab2d-de48a07e158b</t>
  </si>
  <si>
    <t>23670322-9bea-4c6f-b70c-81d056bef641</t>
  </si>
  <si>
    <t>23670322-9bea-4c6f-b70c-81d056bef641_1791068751730</t>
  </si>
  <si>
    <t>KIOS SEMBAKO (SITI HAPINA)</t>
  </si>
  <si>
    <t>0,414938</t>
  </si>
  <si>
    <t>https://fasih-sm.bps.go.id/app/assignment/fd68e454-ba45-4b85-8205-f3bf777ded24/23670322-9bea-4c6f-b70c-81d056bef641</t>
  </si>
  <si>
    <t>23c5e6c0-2080-423b-a1cb-d5eb86a5d6c5</t>
  </si>
  <si>
    <t>23c5e6c0-2080-423b-a1cb-d5eb86a5d6c5_1791068948026</t>
  </si>
  <si>
    <t>KIOS (MARI)</t>
  </si>
  <si>
    <t>0,611628</t>
  </si>
  <si>
    <t>https://fasih-sm.bps.go.id/app/assignment/fd68e454-ba45-4b85-8205-f3bf777ded24/23c5e6c0-2080-423b-a1cb-d5eb86a5d6c5</t>
  </si>
  <si>
    <t>23d2c4aa-c185-4747-95f1-cba2d007cfa9</t>
  </si>
  <si>
    <t>23d2c4aa-c185-4747-95f1-cba2d007cfa9_1791068982145</t>
  </si>
  <si>
    <t>KIOS ZAHRA (ATO ALWI)</t>
  </si>
  <si>
    <t>https://fasih-sm.bps.go.id/app/assignment/fd68e454-ba45-4b85-8205-f3bf777ded24/23d2c4aa-c185-4747-95f1-cba2d007cfa9</t>
  </si>
  <si>
    <t>23e6cc4a-997a-4e29-9625-54de22707ea7</t>
  </si>
  <si>
    <t>23e6cc4a-997a-4e29-9625-54de22707ea7_1791069021111</t>
  </si>
  <si>
    <t>UTP KIOS SEMBAKO (MARIA GORETI UBA AGON)</t>
  </si>
  <si>
    <t>0,873418</t>
  </si>
  <si>
    <t>https://fasih-sm.bps.go.id/app/assignment/fd68e454-ba45-4b85-8205-f3bf777ded24/23e6cc4a-997a-4e29-9625-54de22707ea7</t>
  </si>
  <si>
    <t>23f697e1-9ff7-4927-b23b-0bfcab7f5090</t>
  </si>
  <si>
    <t>23f697e1-9ff7-4927-b23b-0bfcab7f5090_1791069052809</t>
  </si>
  <si>
    <t>Usaha dagang kios rosalina</t>
  </si>
  <si>
    <t>0,377358</t>
  </si>
  <si>
    <t>https://fasih-sm.bps.go.id/app/assignment/fd68e454-ba45-4b85-8205-f3bf777ded24/23f697e1-9ff7-4927-b23b-0bfcab7f5090</t>
  </si>
  <si>
    <t>244a5775-c78e-4529-a683-aad6c23e7431</t>
  </si>
  <si>
    <t>244a5775-c78e-4529-a683-aad6c23e7431_1791069214530</t>
  </si>
  <si>
    <t>KIOS JAJANAN RINGAN (AISYAH OLHANG)</t>
  </si>
  <si>
    <t>https://fasih-sm.bps.go.id/app/assignment/fd68e454-ba45-4b85-8205-f3bf777ded24/244a5775-c78e-4529-a683-aad6c23e7431</t>
  </si>
  <si>
    <t>24511679-8bfb-4fe5-ab39-2de86cd3e772</t>
  </si>
  <si>
    <t>24511679-8bfb-4fe5-ab39-2de86cd3e772_1791069226350</t>
  </si>
  <si>
    <t>KIOS (FATMAN USMAN)</t>
  </si>
  <si>
    <t>https://fasih-sm.bps.go.id/app/assignment/fd68e454-ba45-4b85-8205-f3bf777ded24/24511679-8bfb-4fe5-ab39-2de86cd3e772</t>
  </si>
  <si>
    <t>24ae97b3-e717-41ae-aee1-06eec4422f9a</t>
  </si>
  <si>
    <t>24ae97b3-e717-41ae-aee1-06eec4422f9a_1791069432665</t>
  </si>
  <si>
    <t>UTP KIOS SEMBAKO (PAULINA PENI SELILI)</t>
  </si>
  <si>
    <t>https://fasih-sm.bps.go.id/app/assignment/fd68e454-ba45-4b85-8205-f3bf777ded24/24ae97b3-e717-41ae-aee1-06eec4422f9a</t>
  </si>
  <si>
    <t>24b33a38-ada7-4534-ad6a-0d6ce0717f99</t>
  </si>
  <si>
    <t>24b33a38-ada7-4534-ad6a-0d6ce0717f99_1792296048109</t>
  </si>
  <si>
    <t>KIOS JEAGGER (MARTINA LELO HURINT)</t>
  </si>
  <si>
    <t>https://fasih-sm.bps.go.id/app/assignment/fd68e454-ba45-4b85-8205-f3bf777ded24/24b33a38-ada7-4534-ad6a-0d6ce0717f99</t>
  </si>
  <si>
    <t>25099861-1e44-40f0-80f4-b1a163d104b6</t>
  </si>
  <si>
    <t>25099861-1e44-40f0-80f4-b1a163d104b6_1791069612768</t>
  </si>
  <si>
    <t>TOKO KARYA MULIA ( EDUARD)</t>
  </si>
  <si>
    <t>https://fasih-sm.bps.go.id/app/assignment/fd68e454-ba45-4b85-8205-f3bf777ded24/25099861-1e44-40f0-80f4-b1a163d104b6</t>
  </si>
  <si>
    <t>253b84d5-8297-4614-a88c-36c68c8f015a</t>
  </si>
  <si>
    <t>253b84d5-8297-4614-a88c-36c68c8f015a_1791069705732</t>
  </si>
  <si>
    <t>KIOS ANCELINA YOVITA TOWI</t>
  </si>
  <si>
    <t>https://fasih-sm.bps.go.id/app/assignment/fd68e454-ba45-4b85-8205-f3bf777ded24/253b84d5-8297-4614-a88c-36c68c8f015a</t>
  </si>
  <si>
    <t>255d50de-959d-480c-81d2-ce21a6bc7a13</t>
  </si>
  <si>
    <t>255d50de-959d-480c-81d2-ce21a6bc7a13_1791069784246</t>
  </si>
  <si>
    <t>KIOS SEMBAKO (MAGDALENA)</t>
  </si>
  <si>
    <t>https://fasih-sm.bps.go.id/app/assignment/fd68e454-ba45-4b85-8205-f3bf777ded24/255d50de-959d-480c-81d2-ce21a6bc7a13</t>
  </si>
  <si>
    <t>257ad9f7-3449-49a7-b7a1-6ff53e1e829a</t>
  </si>
  <si>
    <t>257ad9f7-3449-49a7-b7a1-6ff53e1e829a_1791069839599</t>
  </si>
  <si>
    <t>USAHA KIOS (ANA UBA AGON)</t>
  </si>
  <si>
    <t>https://fasih-sm.bps.go.id/app/assignment/fd68e454-ba45-4b85-8205-f3bf777ded24/257ad9f7-3449-49a7-b7a1-6ff53e1e829a</t>
  </si>
  <si>
    <t>25efa362-98fb-49aa-b65a-03782b8c7cd8</t>
  </si>
  <si>
    <t>25efa362-98fb-49aa-b65a-03782b8c7cd8_1791070088346</t>
  </si>
  <si>
    <t>KIOS GEKEN (NURHAYATI LETON)</t>
  </si>
  <si>
    <t>https://fasih-sm.bps.go.id/app/assignment/fd68e454-ba45-4b85-8205-f3bf777ded24/25efa362-98fb-49aa-b65a-03782b8c7cd8</t>
  </si>
  <si>
    <t>2615d3cc-79aa-48b3-b38b-c13c25bf160c</t>
  </si>
  <si>
    <t>2615d3cc-79aa-48b3-b38b-c13c25bf160c_1791070138148</t>
  </si>
  <si>
    <t>KIOS (YULIANA PENI)</t>
  </si>
  <si>
    <t>https://fasih-sm.bps.go.id/app/assignment/fd68e454-ba45-4b85-8205-f3bf777ded24/2615d3cc-79aa-48b3-b38b-c13c25bf160c</t>
  </si>
  <si>
    <t>261e4ef0-ce46-454f-94c5-40a4cbd522e5</t>
  </si>
  <si>
    <t>261e4ef0-ce46-454f-94c5-40a4cbd522e5_1791070167172</t>
  </si>
  <si>
    <t>PENJUALAN ECERAN ( ROSFINA NIGA)</t>
  </si>
  <si>
    <t>0,119048</t>
  </si>
  <si>
    <t>https://fasih-sm.bps.go.id/app/assignment/fd68e454-ba45-4b85-8205-f3bf777ded24/261e4ef0-ce46-454f-94c5-40a4cbd522e5</t>
  </si>
  <si>
    <t>262a08d0-02ad-4010-8370-9f26fe158b90</t>
  </si>
  <si>
    <t>262a08d0-02ad-4010-8370-9f26fe158b90_1791070183503</t>
  </si>
  <si>
    <t>KIOS( ISMAIL WARA PRAKON)</t>
  </si>
  <si>
    <t>https://fasih-sm.bps.go.id/app/assignment/fd68e454-ba45-4b85-8205-f3bf777ded24/262a08d0-02ad-4010-8370-9f26fe158b90</t>
  </si>
  <si>
    <t>267c5465-5eca-4c50-8e2b-6631340c2079</t>
  </si>
  <si>
    <t>267c5465-5eca-4c50-8e2b-6631340c2079_1791070351785</t>
  </si>
  <si>
    <t>KIOS ECERAN (GUNTUR ISMAIL GUHIR)</t>
  </si>
  <si>
    <t>https://fasih-sm.bps.go.id/app/assignment/fd68e454-ba45-4b85-8205-f3bf777ded24/267c5465-5eca-4c50-8e2b-6631340c2079</t>
  </si>
  <si>
    <t>2687e7df-8f98-4aec-a121-b2d637827959</t>
  </si>
  <si>
    <t>2687e7df-8f98-4aec-a121-b2d637827959_1791070376375</t>
  </si>
  <si>
    <t>PENJUAL GARAM ( KETONA KEYN )</t>
  </si>
  <si>
    <t>https://fasih-sm.bps.go.id/app/assignment/fd68e454-ba45-4b85-8205-f3bf777ded24/2687e7df-8f98-4aec-a121-b2d637827959</t>
  </si>
  <si>
    <t>269db0d8-4ed5-4655-b762-17c0cce20eba</t>
  </si>
  <si>
    <t>269db0d8-4ed5-4655-b762-17c0cce20eba_1791070431897</t>
  </si>
  <si>
    <t>KIOS EMA UR</t>
  </si>
  <si>
    <t>https://fasih-sm.bps.go.id/app/assignment/fd68e454-ba45-4b85-8205-f3bf777ded24/269db0d8-4ed5-4655-b762-17c0cce20eba</t>
  </si>
  <si>
    <t>26c67eb6-d37f-4c22-97ac-c6c78ae4dd8c</t>
  </si>
  <si>
    <t>26c67eb6-d37f-4c22-97ac-c6c78ae4dd8c_1791070536800</t>
  </si>
  <si>
    <t>KIOS ( MARIA MAGA DAHEN)</t>
  </si>
  <si>
    <t>https://fasih-sm.bps.go.id/app/assignment/fd68e454-ba45-4b85-8205-f3bf777ded24/26c67eb6-d37f-4c22-97ac-c6c78ae4dd8c</t>
  </si>
  <si>
    <t>26ed17d8-9132-4e2a-a24b-923520fc7cd6</t>
  </si>
  <si>
    <t>26ed17d8-9132-4e2a-a24b-923520fc7cd6_1791070601771</t>
  </si>
  <si>
    <t>USAHA KIOS SEMBAKO(KATARINA NOGO)</t>
  </si>
  <si>
    <t>https://fasih-sm.bps.go.id/app/assignment/fd68e454-ba45-4b85-8205-f3bf777ded24/26ed17d8-9132-4e2a-a24b-923520fc7cd6</t>
  </si>
  <si>
    <t>2756007d-3671-4123-9ef1-277f835ac47b</t>
  </si>
  <si>
    <t>2756007d-3671-4123-9ef1-277f835ac47b_1791070811398</t>
  </si>
  <si>
    <t>PERKIOSAN VINSENSIUS UMBU SOGE</t>
  </si>
  <si>
    <t>https://fasih-sm.bps.go.id/app/assignment/fd68e454-ba45-4b85-8205-f3bf777ded24/2756007d-3671-4123-9ef1-277f835ac47b</t>
  </si>
  <si>
    <t>27b0c225-26be-4a7d-9d66-58dca6fa8de6</t>
  </si>
  <si>
    <t>27b0c225-26be-4a7d-9d66-58dca6fa8de6_1791070972436</t>
  </si>
  <si>
    <t>KIOS ADE LIA (YULIANA BULU)</t>
  </si>
  <si>
    <t>https://fasih-sm.bps.go.id/app/assignment/fd68e454-ba45-4b85-8205-f3bf777ded24/27b0c225-26be-4a7d-9d66-58dca6fa8de6</t>
  </si>
  <si>
    <t>28754f58-83e4-4dc2-ba14-e725671993e5</t>
  </si>
  <si>
    <t>28754f58-83e4-4dc2-ba14-e725671993e5_1791071384396</t>
  </si>
  <si>
    <t>KIOS ECERAN (RAHMAT IDRIS)</t>
  </si>
  <si>
    <t>0,729167</t>
  </si>
  <si>
    <t>https://fasih-sm.bps.go.id/app/assignment/fd68e454-ba45-4b85-8205-f3bf777ded24/28754f58-83e4-4dc2-ba14-e725671993e5</t>
  </si>
  <si>
    <t>28b28dfa-a6a7-4e9c-8539-01a7d883d68c</t>
  </si>
  <si>
    <t>28b28dfa-a6a7-4e9c-8539-01a7d883d68c_1791071527554</t>
  </si>
  <si>
    <t>KIOS DESI NIEL (MARSELINA GENINA WOKAL)</t>
  </si>
  <si>
    <t>0,698487</t>
  </si>
  <si>
    <t>https://fasih-sm.bps.go.id/app/assignment/fd68e454-ba45-4b85-8205-f3bf777ded24/28b28dfa-a6a7-4e9c-8539-01a7d883d68c</t>
  </si>
  <si>
    <t>28b3238b-da43-4d94-90d7-6a9667609ea1</t>
  </si>
  <si>
    <t>28b3238b-da43-4d94-90d7-6a9667609ea1_1791071534677</t>
  </si>
  <si>
    <t>https://fasih-sm.bps.go.id/app/assignment/fd68e454-ba45-4b85-8205-f3bf777ded24/28b3238b-da43-4d94-90d7-6a9667609ea1</t>
  </si>
  <si>
    <t>28bd0ed9-0ef6-4999-97ed-408d94b7956a</t>
  </si>
  <si>
    <t>28bd0ed9-0ef6-4999-97ed-408d94b7956a_1791071523041</t>
  </si>
  <si>
    <t>USAHA JUALAN (FRANSISKA KEWA KIAN)</t>
  </si>
  <si>
    <t>https://fasih-sm.bps.go.id/app/assignment/fd68e454-ba45-4b85-8205-f3bf777ded24/28bd0ed9-0ef6-4999-97ed-408d94b7956a</t>
  </si>
  <si>
    <t>28dc6426-a849-4697-a8c3-f3e9ed1234a6</t>
  </si>
  <si>
    <t>28dc6426-a849-4697-a8c3-f3e9ed1234a6_1791071600322</t>
  </si>
  <si>
    <t>KIOS PURNAMA (SRI NINGSIH KASIM)</t>
  </si>
  <si>
    <t>https://fasih-sm.bps.go.id/app/assignment/fd68e454-ba45-4b85-8205-f3bf777ded24/28dc6426-a849-4697-a8c3-f3e9ed1234a6</t>
  </si>
  <si>
    <t>28de94b8-8987-42c9-b65c-974949ea4086</t>
  </si>
  <si>
    <t>28de94b8-8987-42c9-b65c-974949ea4086_1792411291806</t>
  </si>
  <si>
    <t>https://fasih-sm.bps.go.id/app/assignment/fd68e454-ba45-4b85-8205-f3bf777ded24/28de94b8-8987-42c9-b65c-974949ea4086</t>
  </si>
  <si>
    <t>29345860-32ec-425f-9339-18db37c3b0f1</t>
  </si>
  <si>
    <t>29345860-32ec-425f-9339-18db37c3b0f1_1791071796450</t>
  </si>
  <si>
    <t>USAHA PERDAGANGAN (RENSIANA REDA KOTEN)</t>
  </si>
  <si>
    <t>0,668852</t>
  </si>
  <si>
    <t>https://fasih-sm.bps.go.id/app/assignment/fd68e454-ba45-4b85-8205-f3bf777ded24/29345860-32ec-425f-9339-18db37c3b0f1</t>
  </si>
  <si>
    <t>2977667d-3cf7-4ccf-adb8-7737336e1e68</t>
  </si>
  <si>
    <t>2977667d-3cf7-4ccf-adb8-7737336e1e68_1791071941305</t>
  </si>
  <si>
    <t>KIOS SEMBAKO(MARTHA ANO LABINA)</t>
  </si>
  <si>
    <t>https://fasih-sm.bps.go.id/app/assignment/fd68e454-ba45-4b85-8205-f3bf777ded24/2977667d-3cf7-4ccf-adb8-7737336e1e68</t>
  </si>
  <si>
    <t>29aeea0a-b7b1-4c65-b048-c70b8397f5b5</t>
  </si>
  <si>
    <t>29aeea0a-b7b1-4c65-b048-c70b8397f5b5_1791072030364</t>
  </si>
  <si>
    <t>USAHA KIOS SEMBAKO (VINSENSIA YENI WOKAL)</t>
  </si>
  <si>
    <t>https://fasih-sm.bps.go.id/app/assignment/fd68e454-ba45-4b85-8205-f3bf777ded24/29aeea0a-b7b1-4c65-b048-c70b8397f5b5</t>
  </si>
  <si>
    <t>2a4bfd49-cd04-44a6-9c2d-47dfd678a516</t>
  </si>
  <si>
    <t>2a4bfd49-cd04-44a6-9c2d-47dfd678a516_1791072356154</t>
  </si>
  <si>
    <t>BAUN BONTIN</t>
  </si>
  <si>
    <t>https://fasih-sm.bps.go.id/app/assignment/fd68e454-ba45-4b85-8205-f3bf777ded24/2a4bfd49-cd04-44a6-9c2d-47dfd678a516</t>
  </si>
  <si>
    <t>2a63546c-d08a-4581-af43-7b70ed5aa795</t>
  </si>
  <si>
    <t>2a63546c-d08a-4581-af43-7b70ed5aa795_1791072398122</t>
  </si>
  <si>
    <t>LAPAK EMA LUSIA NIRON</t>
  </si>
  <si>
    <t>0,74813</t>
  </si>
  <si>
    <t>https://fasih-sm.bps.go.id/app/assignment/fd68e454-ba45-4b85-8205-f3bf777ded24/2a63546c-d08a-4581-af43-7b70ed5aa795</t>
  </si>
  <si>
    <t>2a6df51d-f0b1-462f-9c82-41fe0ddfa9ec</t>
  </si>
  <si>
    <t>2a6df51d-f0b1-462f-9c82-41fe0ddfa9ec_1791072419186</t>
  </si>
  <si>
    <t>KIOS NUGRAHA</t>
  </si>
  <si>
    <t>https://fasih-sm.bps.go.id/app/assignment/fd68e454-ba45-4b85-8205-f3bf777ded24/2a6df51d-f0b1-462f-9c82-41fe0ddfa9ec</t>
  </si>
  <si>
    <t>2a796ee0-c196-496a-bd0d-8499688f333f</t>
  </si>
  <si>
    <t>2a796ee0-c196-496a-bd0d-8499688f333f_1791072458356</t>
  </si>
  <si>
    <t>KIOS HEIDEN &lt;ANGELA SUNARTI MANUK&gt;</t>
  </si>
  <si>
    <t>https://fasih-sm.bps.go.id/app/assignment/fd68e454-ba45-4b85-8205-f3bf777ded24/2a796ee0-c196-496a-bd0d-8499688f333f</t>
  </si>
  <si>
    <t>2ab99435-46ac-4140-a77c-05a14e9985d8</t>
  </si>
  <si>
    <t>2ab99435-46ac-4140-a77c-05a14e9985d8_1791072606279</t>
  </si>
  <si>
    <t>JUALAN (ROSALIA BENGAN LIAT)</t>
  </si>
  <si>
    <t>https://fasih-sm.bps.go.id/app/assignment/fd68e454-ba45-4b85-8205-f3bf777ded24/2ab99435-46ac-4140-a77c-05a14e9985d8</t>
  </si>
  <si>
    <t>2b0b0c95-b3ff-4f07-a02f-0af51f295a3e</t>
  </si>
  <si>
    <t>2b0b0c95-b3ff-4f07-a02f-0af51f295a3e_1791072769542</t>
  </si>
  <si>
    <t>KIOS (SITI HABIBAH)</t>
  </si>
  <si>
    <t>0,837209</t>
  </si>
  <si>
    <t>https://fasih-sm.bps.go.id/app/assignment/fd68e454-ba45-4b85-8205-f3bf777ded24/2b0b0c95-b3ff-4f07-a02f-0af51f295a3e</t>
  </si>
  <si>
    <t>2b0f38fc-cb8c-4985-978e-d17ed5660ff7</t>
  </si>
  <si>
    <t>2b0f38fc-cb8c-4985-978e-d17ed5660ff7_1791072806344</t>
  </si>
  <si>
    <t>KIOS&lt;MIKAEL PATI KOTEN&gt;</t>
  </si>
  <si>
    <t>0,425532</t>
  </si>
  <si>
    <t>https://fasih-sm.bps.go.id/app/assignment/fd68e454-ba45-4b85-8205-f3bf777ded24/2b0f38fc-cb8c-4985-978e-d17ed5660ff7</t>
  </si>
  <si>
    <t>2b26e009-866c-4e03-a4f9-61a4190d44f5</t>
  </si>
  <si>
    <t>2b26e009-866c-4e03-a4f9-61a4190d44f5_1791072853039</t>
  </si>
  <si>
    <t>PERDAGANGAN ECERAN SEMBAKO (YOHANA)</t>
  </si>
  <si>
    <t>https://fasih-sm.bps.go.id/app/assignment/fd68e454-ba45-4b85-8205-f3bf777ded24/2b26e009-866c-4e03-a4f9-61a4190d44f5</t>
  </si>
  <si>
    <t>2b45a455-3412-41ad-acf7-2874d92d4662</t>
  </si>
  <si>
    <t>2b45a455-3412-41ad-acf7-2874d92d4662_1791072892733</t>
  </si>
  <si>
    <t>KIOS YAHYA JAMALUDIN</t>
  </si>
  <si>
    <t>0,813008</t>
  </si>
  <si>
    <t>https://fasih-sm.bps.go.id/app/assignment/fd68e454-ba45-4b85-8205-f3bf777ded24/2b45a455-3412-41ad-acf7-2874d92d4662</t>
  </si>
  <si>
    <t>2b6f1974-928d-4956-8209-5cc5937bc6f4</t>
  </si>
  <si>
    <t>2b6f1974-928d-4956-8209-5cc5937bc6f4_1791072985824</t>
  </si>
  <si>
    <t>KIOS (KRISTINA KEMUHU)</t>
  </si>
  <si>
    <t>0,876712</t>
  </si>
  <si>
    <t>https://fasih-sm.bps.go.id/app/assignment/fd68e454-ba45-4b85-8205-f3bf777ded24/2b6f1974-928d-4956-8209-5cc5937bc6f4</t>
  </si>
  <si>
    <t>2b720601-08ab-4238-9db8-96ed68a7bd87</t>
  </si>
  <si>
    <t>2b720601-08ab-4238-9db8-96ed68a7bd87_1791072963785</t>
  </si>
  <si>
    <t>https://fasih-sm.bps.go.id/app/assignment/fd68e454-ba45-4b85-8205-f3bf777ded24/2b720601-08ab-4238-9db8-96ed68a7bd87</t>
  </si>
  <si>
    <t>2b7ff37a-cd98-42ef-8017-55fbe08171f3</t>
  </si>
  <si>
    <t>2b7ff37a-cd98-42ef-8017-55fbe08171f3_1791073029874</t>
  </si>
  <si>
    <t>Usaha kios sembako kecil</t>
  </si>
  <si>
    <t>https://fasih-sm.bps.go.id/app/assignment/fd68e454-ba45-4b85-8205-f3bf777ded24/2b7ff37a-cd98-42ef-8017-55fbe08171f3</t>
  </si>
  <si>
    <t>2b842b4f-6ebc-4cda-b077-fdad68264d54</t>
  </si>
  <si>
    <t>2b842b4f-6ebc-4cda-b077-fdad68264d54_1791073016716</t>
  </si>
  <si>
    <t>Usaha kios sembako mama benga</t>
  </si>
  <si>
    <t>https://fasih-sm.bps.go.id/app/assignment/fd68e454-ba45-4b85-8205-f3bf777ded24/2b842b4f-6ebc-4cda-b077-fdad68264d54</t>
  </si>
  <si>
    <t>2b8bc75d-0290-42c9-8e97-e3372b0fcfdf</t>
  </si>
  <si>
    <t>2b8bc75d-0290-42c9-8e97-e3372b0fcfdf_1791072988390</t>
  </si>
  <si>
    <t>PEDAGANG SEMBAKO (MASNAH NASRUN)</t>
  </si>
  <si>
    <t>https://fasih-sm.bps.go.id/app/assignment/fd68e454-ba45-4b85-8205-f3bf777ded24/2b8bc75d-0290-42c9-8e97-e3372b0fcfdf</t>
  </si>
  <si>
    <t>2ba7e4c1-0ecf-4897-9b11-06341c5a3cb6</t>
  </si>
  <si>
    <t>2ba7e4c1-0ecf-4897-9b11-06341c5a3cb6_1791073109534</t>
  </si>
  <si>
    <t>Usaha kios sembako</t>
  </si>
  <si>
    <t>https://fasih-sm.bps.go.id/app/assignment/fd68e454-ba45-4b85-8205-f3bf777ded24/2ba7e4c1-0ecf-4897-9b11-06341c5a3cb6</t>
  </si>
  <si>
    <t>2baea1b0-6acc-4c5e-b6e8-82cbc647aaa4</t>
  </si>
  <si>
    <t>2baea1b0-6acc-4c5e-b6e8-82cbc647aaa4_1791073128114</t>
  </si>
  <si>
    <t>KIOS EFATA</t>
  </si>
  <si>
    <t>https://fasih-sm.bps.go.id/app/assignment/fd68e454-ba45-4b85-8205-f3bf777ded24/2baea1b0-6acc-4c5e-b6e8-82cbc647aaa4</t>
  </si>
  <si>
    <t>2bc08322-f300-495f-8fbf-a85a410ae7d4</t>
  </si>
  <si>
    <t>2bc08322-f300-495f-8fbf-a85a410ae7d4_1791073131117</t>
  </si>
  <si>
    <t>LAPAK (AISA ALI)</t>
  </si>
  <si>
    <t>https://fasih-sm.bps.go.id/app/assignment/fd68e454-ba45-4b85-8205-f3bf777ded24/2bc08322-f300-495f-8fbf-a85a410ae7d4</t>
  </si>
  <si>
    <t>2bce6616-942c-4567-9942-51d3f766c67d</t>
  </si>
  <si>
    <t>2bce6616-942c-4567-9942-51d3f766c67d_1791073183438</t>
  </si>
  <si>
    <t>KIOS MAMA MAGDALENA (MAGDALENA NOGO)</t>
  </si>
  <si>
    <t>0,637681</t>
  </si>
  <si>
    <t>https://fasih-sm.bps.go.id/app/assignment/fd68e454-ba45-4b85-8205-f3bf777ded24/2bce6616-942c-4567-9942-51d3f766c67d</t>
  </si>
  <si>
    <t>2bea94c3-98bf-488f-9dae-7ca0827dcb7e</t>
  </si>
  <si>
    <t>2bea94c3-98bf-488f-9dae-7ca0827dcb7e_1791073234687</t>
  </si>
  <si>
    <t>KIOS SEMBAKO DAN JUAL BENSIN ENCERAN</t>
  </si>
  <si>
    <t>https://fasih-sm.bps.go.id/app/assignment/fd68e454-ba45-4b85-8205-f3bf777ded24/2bea94c3-98bf-488f-9dae-7ca0827dcb7e</t>
  </si>
  <si>
    <t>KIOS SEMBAKO (FLORENTINA TUPE INA)</t>
  </si>
  <si>
    <t>2c71c312-f5b6-4c87-a797-3303bb6ed569</t>
  </si>
  <si>
    <t>2c71c312-f5b6-4c87-a797-3303bb6ed569_1791073573080</t>
  </si>
  <si>
    <t>KIOS LAMBER</t>
  </si>
  <si>
    <t>https://fasih-sm.bps.go.id/app/assignment/fd68e454-ba45-4b85-8205-f3bf777ded24/2c71c312-f5b6-4c87-a797-3303bb6ed569</t>
  </si>
  <si>
    <t>2c7e9263-5e15-49ee-9366-bacd678d7e69</t>
  </si>
  <si>
    <t>2c7e9263-5e15-49ee-9366-bacd678d7e69_1791073541227</t>
  </si>
  <si>
    <t>KIOS HARAPAN</t>
  </si>
  <si>
    <t>0,826446</t>
  </si>
  <si>
    <t>https://fasih-sm.bps.go.id/app/assignment/fd68e454-ba45-4b85-8205-f3bf777ded24/2c7e9263-5e15-49ee-9366-bacd678d7e69</t>
  </si>
  <si>
    <t>2c9c9893-0273-47e1-9477-151e5d67025c</t>
  </si>
  <si>
    <t>2c9c9893-0273-47e1-9477-151e5d67025c_1791073640600</t>
  </si>
  <si>
    <t>KIOS KARYA BARAT TUAN TANA TUKAN</t>
  </si>
  <si>
    <t>0,693878</t>
  </si>
  <si>
    <t>https://fasih-sm.bps.go.id/app/assignment/fd68e454-ba45-4b85-8205-f3bf777ded24/2c9c9893-0273-47e1-9477-151e5d67025c</t>
  </si>
  <si>
    <t>2ccbb148-8b0e-4310-bfb6-d662625ed643</t>
  </si>
  <si>
    <t>2ccbb148-8b0e-4310-bfb6-d662625ed643_1791073737453</t>
  </si>
  <si>
    <t>USAHA KIOS SEMBAKO MAGDALENA NABEN</t>
  </si>
  <si>
    <t>0,440172</t>
  </si>
  <si>
    <t>https://fasih-sm.bps.go.id/app/assignment/fd68e454-ba45-4b85-8205-f3bf777ded24/2ccbb148-8b0e-4310-bfb6-d662625ed643</t>
  </si>
  <si>
    <t>2cd7728c-139e-4758-be92-387bc92adbde</t>
  </si>
  <si>
    <t>2cd7728c-139e-4758-be92-387bc92adbde_1791073696857</t>
  </si>
  <si>
    <t>JASA PENJUALAN (SURAT BORO)</t>
  </si>
  <si>
    <t>0,520833</t>
  </si>
  <si>
    <t>https://fasih-sm.bps.go.id/app/assignment/fd68e454-ba45-4b85-8205-f3bf777ded24/2cd7728c-139e-4758-be92-387bc92adbde</t>
  </si>
  <si>
    <t>2d3ffb33-4374-4da8-9063-ebdb2fcc19da</t>
  </si>
  <si>
    <t>2d3ffb33-4374-4da8-9063-ebdb2fcc19da_1791923651311</t>
  </si>
  <si>
    <t>UTP PERDAGANGAN (MARIA MARIA WERANG)</t>
  </si>
  <si>
    <t>0,820896</t>
  </si>
  <si>
    <t>https://fasih-sm.bps.go.id/app/assignment/fd68e454-ba45-4b85-8205-f3bf777ded24/2d3ffb33-4374-4da8-9063-ebdb2fcc19da</t>
  </si>
  <si>
    <t>2d4f012a-2b12-4236-ae65-e11f3c60af8d</t>
  </si>
  <si>
    <t>2d4f012a-2b12-4236-ae65-e11f3c60af8d_1791074008491</t>
  </si>
  <si>
    <t>KIOS KAROLINA (KAROLINA BULU SUBAN)</t>
  </si>
  <si>
    <t>https://fasih-sm.bps.go.id/app/assignment/fd68e454-ba45-4b85-8205-f3bf777ded24/2d4f012a-2b12-4236-ae65-e11f3c60af8d</t>
  </si>
  <si>
    <t>2d9082ac-fd7c-48c1-8324-183c1b178434</t>
  </si>
  <si>
    <t>2d9082ac-fd7c-48c1-8324-183c1b178434_1791074149853</t>
  </si>
  <si>
    <t>KIOS SEMBAKO(ACCI YUNI)</t>
  </si>
  <si>
    <t>0,847968</t>
  </si>
  <si>
    <t>https://fasih-sm.bps.go.id/app/assignment/fd68e454-ba45-4b85-8205-f3bf777ded24/2d9082ac-fd7c-48c1-8324-183c1b178434</t>
  </si>
  <si>
    <t>2dc6624e-2e2c-4866-90d7-16a0bb9067bc</t>
  </si>
  <si>
    <t>2dc6624e-2e2c-4866-90d7-16a0bb9067bc_1791074251753</t>
  </si>
  <si>
    <t>USAHA PERDAGANGAN( MEILENE BOAL)</t>
  </si>
  <si>
    <t>https://fasih-sm.bps.go.id/app/assignment/fd68e454-ba45-4b85-8205-f3bf777ded24/2dc6624e-2e2c-4866-90d7-16a0bb9067bc</t>
  </si>
  <si>
    <t>2dd50f3a-8dc6-42cc-a894-18b2d89d70e0</t>
  </si>
  <si>
    <t>2dd50f3a-8dc6-42cc-a894-18b2d89d70e0_1791074283428</t>
  </si>
  <si>
    <t>USAHA PERDAGANGAN SEMBAKO (KRISTOFORUS GESI)</t>
  </si>
  <si>
    <t>https://fasih-sm.bps.go.id/app/assignment/fd68e454-ba45-4b85-8205-f3bf777ded24/2dd50f3a-8dc6-42cc-a894-18b2d89d70e0</t>
  </si>
  <si>
    <t>2e3e304b-f251-4447-a4f5-ab88170e9226</t>
  </si>
  <si>
    <t>2e3e304b-f251-4447-a4f5-ab88170e9226_1791074463373</t>
  </si>
  <si>
    <t>USAHA PERDAGANGAN( ANISA BAREK TOKAN)</t>
  </si>
  <si>
    <t>0,491803</t>
  </si>
  <si>
    <t>https://fasih-sm.bps.go.id/app/assignment/fd68e454-ba45-4b85-8205-f3bf777ded24/2e3e304b-f251-4447-a4f5-ab88170e9226</t>
  </si>
  <si>
    <t>2e49adfa-34dd-42d1-9b7d-3d9bcc553f9f</t>
  </si>
  <si>
    <t>2e49adfa-34dd-42d1-9b7d-3d9bcc553f9f_1791074507165</t>
  </si>
  <si>
    <t>VAREY KIOS(ANGELINA ANISAH BAHY)</t>
  </si>
  <si>
    <t>0,953307</t>
  </si>
  <si>
    <t>https://fasih-sm.bps.go.id/app/assignment/fd68e454-ba45-4b85-8205-f3bf777ded24/2e49adfa-34dd-42d1-9b7d-3d9bcc553f9f</t>
  </si>
  <si>
    <t>2ea695f4-8f6f-44b3-b590-bb7f64cd6194</t>
  </si>
  <si>
    <t>2ea695f4-8f6f-44b3-b590-bb7f64cd6194_1791074697414</t>
  </si>
  <si>
    <t>USAHA PERDAGANGAN SEMBAKO</t>
  </si>
  <si>
    <t>https://fasih-sm.bps.go.id/app/assignment/fd68e454-ba45-4b85-8205-f3bf777ded24/2ea695f4-8f6f-44b3-b590-bb7f64cd6194</t>
  </si>
  <si>
    <t>2eda6e6b-9986-4c5f-8411-ff1701b9ed4e</t>
  </si>
  <si>
    <t>2eda6e6b-9986-4c5f-8411-ff1701b9ed4e_1791074838497</t>
  </si>
  <si>
    <t>KIOS MAMA ELA ( SANI MUIN )</t>
  </si>
  <si>
    <t>0,594319</t>
  </si>
  <si>
    <t>https://fasih-sm.bps.go.id/app/assignment/fd68e454-ba45-4b85-8205-f3bf777ded24/2eda6e6b-9986-4c5f-8411-ff1701b9ed4e</t>
  </si>
  <si>
    <t>2ef81fc5-f4b0-488f-8e55-7ca354099016</t>
  </si>
  <si>
    <t>2ef81fc5-f4b0-488f-8e55-7ca354099016_1791074909274</t>
  </si>
  <si>
    <t>https://fasih-sm.bps.go.id/app/assignment/fd68e454-ba45-4b85-8205-f3bf777ded24/2ef81fc5-f4b0-488f-8e55-7ca354099016</t>
  </si>
  <si>
    <t>2f4e58cf-c4fc-4bb5-8e01-5a88c20328a7</t>
  </si>
  <si>
    <t>2f4e58cf-c4fc-4bb5-8e01-5a88c20328a7_1791075087335</t>
  </si>
  <si>
    <t>0,16</t>
  </si>
  <si>
    <t>https://fasih-sm.bps.go.id/app/assignment/fd68e454-ba45-4b85-8205-f3bf777ded24/2f4e58cf-c4fc-4bb5-8e01-5a88c20328a7</t>
  </si>
  <si>
    <t>2f5a774e-4d8b-4b0a-9d63-f951717ffd7b</t>
  </si>
  <si>
    <t>2f5a774e-4d8b-4b0a-9d63-f951717ffd7b_1792561337468</t>
  </si>
  <si>
    <t>KIOS (BUNGA HULER)</t>
  </si>
  <si>
    <t>0,227273</t>
  </si>
  <si>
    <t>https://fasih-sm.bps.go.id/app/assignment/fd68e454-ba45-4b85-8205-f3bf777ded24/2f5a774e-4d8b-4b0a-9d63-f951717ffd7b</t>
  </si>
  <si>
    <t>2f7041e1-65c1-47cf-88f6-8e5df1a7f9ef</t>
  </si>
  <si>
    <t>2f7041e1-65c1-47cf-88f6-8e5df1a7f9ef_1791075122863</t>
  </si>
  <si>
    <t>KIOS (MARIA B. SUBAN)</t>
  </si>
  <si>
    <t>https://fasih-sm.bps.go.id/app/assignment/fd68e454-ba45-4b85-8205-f3bf777ded24/2f7041e1-65c1-47cf-88f6-8e5df1a7f9ef</t>
  </si>
  <si>
    <t>2f8859cd-f1fa-41da-bcea-df5dcaeab911</t>
  </si>
  <si>
    <t>2f8859cd-f1fa-41da-bcea-df5dcaeab911_1791075240686</t>
  </si>
  <si>
    <t>USAHA KIOS &lt;FARIDA ABDULLAH&gt;</t>
  </si>
  <si>
    <t>0,759036</t>
  </si>
  <si>
    <t>https://fasih-sm.bps.go.id/app/assignment/fd68e454-ba45-4b85-8205-f3bf777ded24/2f8859cd-f1fa-41da-bcea-df5dcaeab911</t>
  </si>
  <si>
    <t>2fa0a850-0ad8-4750-909c-9809fe2822c8</t>
  </si>
  <si>
    <t>2fa0a850-0ad8-4750-909c-9809fe2822c8_1791075280222</t>
  </si>
  <si>
    <t>KIOS (MARIA DESIRE)</t>
  </si>
  <si>
    <t>https://fasih-sm.bps.go.id/app/assignment/fd68e454-ba45-4b85-8205-f3bf777ded24/2fa0a850-0ad8-4750-909c-9809fe2822c8</t>
  </si>
  <si>
    <t>2fcfe50a-d915-480e-89a6-530062f93eaa</t>
  </si>
  <si>
    <t>2fcfe50a-d915-480e-89a6-530062f93eaa_1791075360717</t>
  </si>
  <si>
    <t>KIOS (MARIA LODAN URAN)</t>
  </si>
  <si>
    <t>https://fasih-sm.bps.go.id/app/assignment/fd68e454-ba45-4b85-8205-f3bf777ded24/2fcfe50a-d915-480e-89a6-530062f93eaa</t>
  </si>
  <si>
    <t>30197da5-eee0-4b33-bc89-3d955f566770</t>
  </si>
  <si>
    <t>30197da5-eee0-4b33-bc89-3d955f566770_1791075471831</t>
  </si>
  <si>
    <t>KIOS(ALOYSIUS DAWA LABINA)</t>
  </si>
  <si>
    <t>https://fasih-sm.bps.go.id/app/assignment/fd68e454-ba45-4b85-8205-f3bf777ded24/30197da5-eee0-4b33-bc89-3d955f566770</t>
  </si>
  <si>
    <t>305d1be8-54c7-416c-ad9e-7a90ae0a08bd</t>
  </si>
  <si>
    <t>305d1be8-54c7-416c-ad9e-7a90ae0a08bd_1791075614888</t>
  </si>
  <si>
    <t>KIOS JULIA ( MARIA THERESIA SOLMARIS (</t>
  </si>
  <si>
    <t>0,207143</t>
  </si>
  <si>
    <t>https://fasih-sm.bps.go.id/app/assignment/fd68e454-ba45-4b85-8205-f3bf777ded24/305d1be8-54c7-416c-ad9e-7a90ae0a08bd</t>
  </si>
  <si>
    <t>31460005-af67-44aa-82fc-327691891088</t>
  </si>
  <si>
    <t>31460005-af67-44aa-82fc-327691891088_1791076178536</t>
  </si>
  <si>
    <t>KIOS ECERAN(AGUSTINA ANU PARON)</t>
  </si>
  <si>
    <t>https://fasih-sm.bps.go.id/app/assignment/fd68e454-ba45-4b85-8205-f3bf777ded24/31460005-af67-44aa-82fc-327691891088</t>
  </si>
  <si>
    <t>3146315d-2b20-4d34-b5a9-f66efde33623</t>
  </si>
  <si>
    <t>3146315d-2b20-4d34-b5a9-f66efde33623_1791076106628</t>
  </si>
  <si>
    <t>KIOS CINDY NURHAYATI DERAN MANUK</t>
  </si>
  <si>
    <t>https://fasih-sm.bps.go.id/app/assignment/fd68e454-ba45-4b85-8205-f3bf777ded24/3146315d-2b20-4d34-b5a9-f66efde33623</t>
  </si>
  <si>
    <t>3152f701-f594-4eb1-99fd-d1144990f211</t>
  </si>
  <si>
    <t>3152f701-f594-4eb1-99fd-d1144990f211_1791076203952</t>
  </si>
  <si>
    <t>LAPAK (STEFANUS SEMARA WUJON)</t>
  </si>
  <si>
    <t>https://fasih-sm.bps.go.id/app/assignment/fd68e454-ba45-4b85-8205-f3bf777ded24/3152f701-f594-4eb1-99fd-d1144990f211</t>
  </si>
  <si>
    <t>31567f9a-01e5-40bc-9a3d-14819ae29bee</t>
  </si>
  <si>
    <t>31567f9a-01e5-40bc-9a3d-14819ae29bee_1791076175127</t>
  </si>
  <si>
    <t>KIOS (MARGARETA DERAN GALI)</t>
  </si>
  <si>
    <t>https://fasih-sm.bps.go.id/app/assignment/fd68e454-ba45-4b85-8205-f3bf777ded24/31567f9a-01e5-40bc-9a3d-14819ae29bee</t>
  </si>
  <si>
    <t>316872e2-2119-4ecb-8422-1c3af38a7098</t>
  </si>
  <si>
    <t>316872e2-2119-4ecb-8422-1c3af38a7098_1791076132660</t>
  </si>
  <si>
    <t>KIOS ( MARIA FELISITAS MARLIS )</t>
  </si>
  <si>
    <t>https://fasih-sm.bps.go.id/app/assignment/fd68e454-ba45-4b85-8205-f3bf777ded24/316872e2-2119-4ecb-8422-1c3af38a7098</t>
  </si>
  <si>
    <t>3177c588-97c6-4c31-b3c2-f2af12adbf0e</t>
  </si>
  <si>
    <t>3177c588-97c6-4c31-b3c2-f2af12adbf0e_1791076261902</t>
  </si>
  <si>
    <t>USAHA KIOS ( YUSTINA G TUKAN )</t>
  </si>
  <si>
    <t>0,21875</t>
  </si>
  <si>
    <t>https://fasih-sm.bps.go.id/app/assignment/fd68e454-ba45-4b85-8205-f3bf777ded24/3177c588-97c6-4c31-b3c2-f2af12adbf0e</t>
  </si>
  <si>
    <t>3182a9d1-6ae7-4eff-b182-aa6aefd20ea0</t>
  </si>
  <si>
    <t>3182a9d1-6ae7-4eff-b182-aa6aefd20ea0_1792463179373</t>
  </si>
  <si>
    <t>https://fasih-sm.bps.go.id/app/assignment/fd68e454-ba45-4b85-8205-f3bf777ded24/3182a9d1-6ae7-4eff-b182-aa6aefd20ea0</t>
  </si>
  <si>
    <t>3186a9f1-5dc1-4b19-a1ad-b3af4bd7038e</t>
  </si>
  <si>
    <t>3186a9f1-5dc1-4b19-a1ad-b3af4bd7038e_1791076211744</t>
  </si>
  <si>
    <t>KIOS (VERONIKA BAREK BOLI)</t>
  </si>
  <si>
    <t>https://fasih-sm.bps.go.id/app/assignment/fd68e454-ba45-4b85-8205-f3bf777ded24/3186a9f1-5dc1-4b19-a1ad-b3af4bd7038e</t>
  </si>
  <si>
    <t>31ac621f-853e-4aff-88d8-95736731755b</t>
  </si>
  <si>
    <t>31ac621f-853e-4aff-88d8-95736731755b_1791076364695</t>
  </si>
  <si>
    <t>PERDAGANGAN ECERAN ( MARIA UTO NARA)</t>
  </si>
  <si>
    <t>https://fasih-sm.bps.go.id/app/assignment/fd68e454-ba45-4b85-8205-f3bf777ded24/31ac621f-853e-4aff-88d8-95736731755b</t>
  </si>
  <si>
    <t>31c174b4-ff79-4a2b-b9a6-d2692cbd530d</t>
  </si>
  <si>
    <t>31c174b4-ff79-4a2b-b9a6-d2692cbd530d_1791076370626</t>
  </si>
  <si>
    <t>KIOS SEMBAKO(PAULUS SUPRIHATIN NUHAN)</t>
  </si>
  <si>
    <t>0,229848</t>
  </si>
  <si>
    <t>https://fasih-sm.bps.go.id/app/assignment/fd68e454-ba45-4b85-8205-f3bf777ded24/31c174b4-ff79-4a2b-b9a6-d2692cbd530d</t>
  </si>
  <si>
    <t>31c44fbb-c449-4f21-8b8f-69195a959df8</t>
  </si>
  <si>
    <t>31c44fbb-c449-4f21-8b8f-69195a959df8_1791076369409</t>
  </si>
  <si>
    <t>KIOS (SYAMSIA MUSTAFA)</t>
  </si>
  <si>
    <t>0,773333</t>
  </si>
  <si>
    <t>https://fasih-sm.bps.go.id/app/assignment/fd68e454-ba45-4b85-8205-f3bf777ded24/31c44fbb-c449-4f21-8b8f-69195a959df8</t>
  </si>
  <si>
    <t>31d447ae-36d1-4f2f-aa94-2e7ef1100c67</t>
  </si>
  <si>
    <t>31d447ae-36d1-4f2f-aa94-2e7ef1100c67_1791076460355</t>
  </si>
  <si>
    <t>KIOS BURHAN SEJAHTERA(SOEMAH DAUD)</t>
  </si>
  <si>
    <t>https://fasih-sm.bps.go.id/app/assignment/fd68e454-ba45-4b85-8205-f3bf777ded24/31d447ae-36d1-4f2f-aa94-2e7ef1100c67</t>
  </si>
  <si>
    <t>31e826ce-bc33-49db-8f0a-b654899d4d07</t>
  </si>
  <si>
    <t>31e826ce-bc33-49db-8f0a-b654899d4d07_1791076504049</t>
  </si>
  <si>
    <t>KIOS NONA(MARIA YASINTA CARVALLO)</t>
  </si>
  <si>
    <t>https://fasih-sm.bps.go.id/app/assignment/fd68e454-ba45-4b85-8205-f3bf777ded24/31e826ce-bc33-49db-8f0a-b654899d4d07</t>
  </si>
  <si>
    <t>321ff544-33c7-4be0-b871-fb3222c3fde9</t>
  </si>
  <si>
    <t>321ff544-33c7-4be0-b871-fb3222c3fde9_1791076612485</t>
  </si>
  <si>
    <t>KIOS AGUNG ( BEATA BAREK TIMU)</t>
  </si>
  <si>
    <t>https://fasih-sm.bps.go.id/app/assignment/fd68e454-ba45-4b85-8205-f3bf777ded24/321ff544-33c7-4be0-b871-fb3222c3fde9</t>
  </si>
  <si>
    <t>3246451f-13bb-4478-bbdb-c5794e912c67</t>
  </si>
  <si>
    <t>3246451f-13bb-4478-bbdb-c5794e912c67_1791076628775</t>
  </si>
  <si>
    <t>KIOS REDHIEL (JEANNE KLARA LANGKAMAU)</t>
  </si>
  <si>
    <t>https://fasih-sm.bps.go.id/app/assignment/fd68e454-ba45-4b85-8205-f3bf777ded24/3246451f-13bb-4478-bbdb-c5794e912c67</t>
  </si>
  <si>
    <t>326c8b64-d4ea-456a-a470-d8c657b6b565</t>
  </si>
  <si>
    <t>326c8b64-d4ea-456a-a470-d8c657b6b565_1791076773330</t>
  </si>
  <si>
    <t>KIOS FADIL (EBBA SENGAJI)</t>
  </si>
  <si>
    <t>https://fasih-sm.bps.go.id/app/assignment/fd68e454-ba45-4b85-8205-f3bf777ded24/326c8b64-d4ea-456a-a470-d8c657b6b565</t>
  </si>
  <si>
    <t>329c6d0f-53de-4992-8098-07779a4ad78b</t>
  </si>
  <si>
    <t>329c6d0f-53de-4992-8098-07779a4ad78b_1791076885837</t>
  </si>
  <si>
    <t>KIOS MAWAR (PAULINA SULIINA SOGEN)</t>
  </si>
  <si>
    <t>0,598802</t>
  </si>
  <si>
    <t>https://fasih-sm.bps.go.id/app/assignment/fd68e454-ba45-4b85-8205-f3bf777ded24/329c6d0f-53de-4992-8098-07779a4ad78b</t>
  </si>
  <si>
    <t>32a301e7-6429-4e9d-90d6-9cfae44f550b</t>
  </si>
  <si>
    <t>32a301e7-6429-4e9d-90d6-9cfae44f550b_1791076796915</t>
  </si>
  <si>
    <t>KIOS (NAJUMIAH HAMID)</t>
  </si>
  <si>
    <t>0,464583</t>
  </si>
  <si>
    <t>https://fasih-sm.bps.go.id/app/assignment/fd68e454-ba45-4b85-8205-f3bf777ded24/32a301e7-6429-4e9d-90d6-9cfae44f550b</t>
  </si>
  <si>
    <t>32bd51b8-d37e-4027-9a4c-bc05daa0866b</t>
  </si>
  <si>
    <t>32bd51b8-d37e-4027-9a4c-bc05daa0866b_1791076957978</t>
  </si>
  <si>
    <t>KIOS SINAR INDAH ( BAITIKNO)</t>
  </si>
  <si>
    <t>https://fasih-sm.bps.go.id/app/assignment/fd68e454-ba45-4b85-8205-f3bf777ded24/32bd51b8-d37e-4027-9a4c-bc05daa0866b</t>
  </si>
  <si>
    <t>32ea4fa8-e176-41e4-9083-b8f998c66d54</t>
  </si>
  <si>
    <t>32ea4fa8-e176-41e4-9083-b8f998c66d54_1791077032561</t>
  </si>
  <si>
    <t>KIOS SUSAH SINGGAH SENANG JALAN TERUS MARIA FATIMA DURANG KUNG</t>
  </si>
  <si>
    <t>0,64</t>
  </si>
  <si>
    <t>https://fasih-sm.bps.go.id/app/assignment/fd68e454-ba45-4b85-8205-f3bf777ded24/32ea4fa8-e176-41e4-9083-b8f998c66d54</t>
  </si>
  <si>
    <t>331b0bae-9c35-4880-a696-0b5c64fc56ee</t>
  </si>
  <si>
    <t>331b0bae-9c35-4880-a696-0b5c64fc56ee_1791077146998</t>
  </si>
  <si>
    <t>KIOS DUA SAUDARA ( YANTO KADJA)</t>
  </si>
  <si>
    <t>0,694444</t>
  </si>
  <si>
    <t>https://fasih-sm.bps.go.id/app/assignment/fd68e454-ba45-4b85-8205-f3bf777ded24/331b0bae-9c35-4880-a696-0b5c64fc56ee</t>
  </si>
  <si>
    <t>331c15cf-d52f-4113-954b-77c5cdeac889</t>
  </si>
  <si>
    <t>331c15cf-d52f-4113-954b-77c5cdeac889_1791077116029</t>
  </si>
  <si>
    <t>JUAL SEMBAKO WILI WANGGA</t>
  </si>
  <si>
    <t>https://fasih-sm.bps.go.id/app/assignment/fd68e454-ba45-4b85-8205-f3bf777ded24/331c15cf-d52f-4113-954b-77c5cdeac889</t>
  </si>
  <si>
    <t>3334d5cc-d2f4-46c4-bb88-45f11d1146c5</t>
  </si>
  <si>
    <t>3334d5cc-d2f4-46c4-bb88-45f11d1146c5_1791077195109</t>
  </si>
  <si>
    <t>KIOS FADEL</t>
  </si>
  <si>
    <t>https://fasih-sm.bps.go.id/app/assignment/fd68e454-ba45-4b85-8205-f3bf777ded24/3334d5cc-d2f4-46c4-bb88-45f11d1146c5</t>
  </si>
  <si>
    <t>33592f75-4bc1-4d50-8e7c-fb56a43df9c3</t>
  </si>
  <si>
    <t>33592f75-4bc1-4d50-8e7c-fb56a43df9c3_1791077253483</t>
  </si>
  <si>
    <t>USAHA KIOS SEMBAKO (SURYA INDAH)</t>
  </si>
  <si>
    <t>0,609524</t>
  </si>
  <si>
    <t>https://fasih-sm.bps.go.id/app/assignment/fd68e454-ba45-4b85-8205-f3bf777ded24/33592f75-4bc1-4d50-8e7c-fb56a43df9c3</t>
  </si>
  <si>
    <t>335ba929-2f09-4927-8c63-8340512460cb</t>
  </si>
  <si>
    <t>335ba929-2f09-4927-8c63-8340512460cb_1791077212193</t>
  </si>
  <si>
    <t>0,512821</t>
  </si>
  <si>
    <t>https://fasih-sm.bps.go.id/app/assignment/fd68e454-ba45-4b85-8205-f3bf777ded24/335ba929-2f09-4927-8c63-8340512460cb</t>
  </si>
  <si>
    <t>3404eb88-72ef-42d0-8e59-baff1a610708</t>
  </si>
  <si>
    <t>3404eb88-72ef-42d0-8e59-baff1a610708_1791077665627</t>
  </si>
  <si>
    <t>https://fasih-sm.bps.go.id/app/assignment/fd68e454-ba45-4b85-8205-f3bf777ded24/3404eb88-72ef-42d0-8e59-baff1a610708</t>
  </si>
  <si>
    <t>34cd934b-a381-4910-acf8-082ef309b7a6</t>
  </si>
  <si>
    <t>34cd934b-a381-4910-acf8-082ef309b7a6_1791077966560</t>
  </si>
  <si>
    <t>USAHA KIOS LUMA ( KAROLINA NULI KOTEN )</t>
  </si>
  <si>
    <t>0,330357</t>
  </si>
  <si>
    <t>https://fasih-sm.bps.go.id/app/assignment/fd68e454-ba45-4b85-8205-f3bf777ded24/34cd934b-a381-4910-acf8-082ef309b7a6</t>
  </si>
  <si>
    <t>34cffcc0-9cf1-4a2a-9411-b01e6fd0de7e</t>
  </si>
  <si>
    <t>34cffcc0-9cf1-4a2a-9411-b01e6fd0de7e_1791077991552</t>
  </si>
  <si>
    <t>KIOS OM HERMAN (KLARA BOTA KOTEN)</t>
  </si>
  <si>
    <t>0,740741</t>
  </si>
  <si>
    <t>https://fasih-sm.bps.go.id/app/assignment/fd68e454-ba45-4b85-8205-f3bf777ded24/34cffcc0-9cf1-4a2a-9411-b01e6fd0de7e</t>
  </si>
  <si>
    <t>biaya_pembelian_baru</t>
  </si>
  <si>
    <t>biaya_produksi_baru</t>
  </si>
  <si>
    <t>biaya_operasional_baru</t>
  </si>
  <si>
    <t>nilai_pendapatan_baru</t>
  </si>
  <si>
    <t>nilai_pendapatan_lainnya_baru</t>
  </si>
  <si>
    <t>komentar</t>
  </si>
  <si>
    <t>baris_lama</t>
  </si>
  <si>
    <t>diag</t>
  </si>
  <si>
    <t>Output-NTB</t>
  </si>
  <si>
    <t>NTB Baru</t>
  </si>
  <si>
    <t>Output-NTB Baru</t>
  </si>
  <si>
    <t>Identifikasi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</si>
</sst>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6C09"/>
        <bgColor indexed="64"/>
      </patternFill>
    </fill>
    <fill>
      <patternFill patternType="solid">
        <fgColor rgb="FFE5DFE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3" xfId="0" applyFill="1" applyBorder="1" applyAlignment="1">
      <alignment horizontal="right" wrapText="1"/>
    </xf>
    <xf numFmtId="47" fontId="0" fillId="3" borderId="3" xfId="0" applyNumberFormat="1" applyFill="1" applyBorder="1" applyAlignment="1">
      <alignment wrapText="1"/>
    </xf>
    <xf numFmtId="0" fontId="3" fillId="3" borderId="3" xfId="1" applyFill="1" applyBorder="1" applyAlignment="1">
      <alignment wrapText="1"/>
    </xf>
    <xf numFmtId="0" fontId="0" fillId="0" borderId="3" xfId="0" applyBorder="1" applyAlignment="1">
      <alignment wrapText="1"/>
    </xf>
    <xf numFmtId="22" fontId="0" fillId="3" borderId="3" xfId="0" applyNumberFormat="1" applyFill="1" applyBorder="1" applyAlignment="1">
      <alignment wrapText="1"/>
    </xf>
    <xf numFmtId="3" fontId="0" fillId="3" borderId="3" xfId="0" applyNumberFormat="1" applyFill="1" applyBorder="1" applyAlignment="1">
      <alignment horizontal="right" wrapText="1"/>
    </xf>
    <xf numFmtId="11" fontId="0" fillId="3" borderId="3" xfId="0" applyNumberForma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asih-sm.bps.go.id/app/assignment/fd68e454-ba45-4b85-8205-f3bf777ded24/c65e9441-fb49-4646-b4e0-eb760b929607" TargetMode="External"/><Relationship Id="rId170" Type="http://schemas.openxmlformats.org/officeDocument/2006/relationships/hyperlink" Target="https://fasih-sm.bps.go.id/app/assignment/fd68e454-ba45-4b85-8205-f3bf777ded24/d8ee0804-2eb6-4ffa-8af2-0ed3fb7d456f" TargetMode="External"/><Relationship Id="rId268" Type="http://schemas.openxmlformats.org/officeDocument/2006/relationships/hyperlink" Target="https://fasih-sm.bps.go.id/app/assignment/fd68e454-ba45-4b85-8205-f3bf777ded24/0ca4cdff-fc53-45f6-9e9e-8eec7d06267e" TargetMode="External"/><Relationship Id="rId475" Type="http://schemas.openxmlformats.org/officeDocument/2006/relationships/hyperlink" Target="https://fasih-sm.bps.go.id/app/assignment/fd68e454-ba45-4b85-8205-f3bf777ded24/2cd7728c-139e-4758-be92-387bc92adbde" TargetMode="External"/><Relationship Id="rId682" Type="http://schemas.openxmlformats.org/officeDocument/2006/relationships/hyperlink" Target="https://fasih-sm.bps.go.id/app/assignment/fd68e454-ba45-4b85-8205-f3bf777ded24/c0f342ce-8765-426f-bac8-48c1c7c4b756" TargetMode="External"/><Relationship Id="rId128" Type="http://schemas.openxmlformats.org/officeDocument/2006/relationships/hyperlink" Target="https://fasih-sm.bps.go.id/app/assignment/fd68e454-ba45-4b85-8205-f3bf777ded24/68c8ae63-6439-4342-a532-17fde5cd4b94" TargetMode="External"/><Relationship Id="rId335" Type="http://schemas.openxmlformats.org/officeDocument/2006/relationships/hyperlink" Target="https://fasih-sm.bps.go.id/app/assignment/fd68e454-ba45-4b85-8205-f3bf777ded24/176415f7-0ecf-4fe2-b717-099a7d99493f" TargetMode="External"/><Relationship Id="rId542" Type="http://schemas.openxmlformats.org/officeDocument/2006/relationships/hyperlink" Target="https://fasih-sm.bps.go.id/app/assignment/fd68e454-ba45-4b85-8205-f3bf777ded24/c65e9441-fb49-4646-b4e0-eb760b929607" TargetMode="External"/><Relationship Id="rId987" Type="http://schemas.openxmlformats.org/officeDocument/2006/relationships/hyperlink" Target="https://fasih-sm.bps.go.id/app/assignment/fd68e454-ba45-4b85-8205-f3bf777ded24/2baea1b0-6acc-4c5e-b6e8-82cbc647aaa4" TargetMode="External"/><Relationship Id="rId181" Type="http://schemas.openxmlformats.org/officeDocument/2006/relationships/hyperlink" Target="https://fasih-sm.bps.go.id/app/assignment/fd68e454-ba45-4b85-8205-f3bf777ded24/f64c66d2-7b3a-4ade-b47a-b36308383a0b" TargetMode="External"/><Relationship Id="rId402" Type="http://schemas.openxmlformats.org/officeDocument/2006/relationships/hyperlink" Target="https://fasih-sm.bps.go.id/app/assignment/fd68e454-ba45-4b85-8205-f3bf777ded24/203cdaa5-2b4a-4bd0-b8b0-f83f06770339" TargetMode="External"/><Relationship Id="rId847" Type="http://schemas.openxmlformats.org/officeDocument/2006/relationships/hyperlink" Target="https://fasih-sm.bps.go.id/app/assignment/fd68e454-ba45-4b85-8205-f3bf777ded24/15d4e409-a8b9-4912-97f8-c5a1ab9d3675" TargetMode="External"/><Relationship Id="rId1032" Type="http://schemas.openxmlformats.org/officeDocument/2006/relationships/hyperlink" Target="https://fasih-sm.bps.go.id/app/assignment/fd68e454-ba45-4b85-8205-f3bf777ded24/32a301e7-6429-4e9d-90d6-9cfae44f550b" TargetMode="External"/><Relationship Id="rId279" Type="http://schemas.openxmlformats.org/officeDocument/2006/relationships/hyperlink" Target="https://fasih-sm.bps.go.id/app/assignment/fd68e454-ba45-4b85-8205-f3bf777ded24/0e47f7e3-300a-4b7f-b476-a2e435776d12" TargetMode="External"/><Relationship Id="rId486" Type="http://schemas.openxmlformats.org/officeDocument/2006/relationships/hyperlink" Target="https://fasih-sm.bps.go.id/app/assignment/fd68e454-ba45-4b85-8205-f3bf777ded24/2f4e58cf-c4fc-4bb5-8e01-5a88c20328a7" TargetMode="External"/><Relationship Id="rId693" Type="http://schemas.openxmlformats.org/officeDocument/2006/relationships/hyperlink" Target="https://fasih-sm.bps.go.id/app/assignment/fd68e454-ba45-4b85-8205-f3bf777ded24/dfc7fbb7-215f-485f-92da-532eab207aaf" TargetMode="External"/><Relationship Id="rId707" Type="http://schemas.openxmlformats.org/officeDocument/2006/relationships/hyperlink" Target="https://fasih-sm.bps.go.id/app/assignment/fd68e454-ba45-4b85-8205-f3bf777ded24/fd0d53b9-4560-440e-b7ba-4e87da8292e7" TargetMode="External"/><Relationship Id="rId914" Type="http://schemas.openxmlformats.org/officeDocument/2006/relationships/hyperlink" Target="https://fasih-sm.bps.go.id/app/assignment/fd68e454-ba45-4b85-8205-f3bf777ded24/1e941ba0-1d4d-498b-afbc-a0a2e0fc63dd" TargetMode="External"/><Relationship Id="rId43" Type="http://schemas.openxmlformats.org/officeDocument/2006/relationships/hyperlink" Target="https://fasih-sm.bps.go.id/app/assignment/fd68e454-ba45-4b85-8205-f3bf777ded24/fd70a967-aa00-4795-b28e-5ca6eb2d30cb" TargetMode="External"/><Relationship Id="rId139" Type="http://schemas.openxmlformats.org/officeDocument/2006/relationships/hyperlink" Target="https://fasih-sm.bps.go.id/app/assignment/fd68e454-ba45-4b85-8205-f3bf777ded24/95eef9bc-406f-4152-8dc1-2c8ef40e3a19" TargetMode="External"/><Relationship Id="rId346" Type="http://schemas.openxmlformats.org/officeDocument/2006/relationships/hyperlink" Target="https://fasih-sm.bps.go.id/app/assignment/fd68e454-ba45-4b85-8205-f3bf777ded24/18baaffa-12fb-4b24-8fa6-611cd9ba995d" TargetMode="External"/><Relationship Id="rId553" Type="http://schemas.openxmlformats.org/officeDocument/2006/relationships/hyperlink" Target="https://fasih-sm.bps.go.id/app/assignment/fd68e454-ba45-4b85-8205-f3bf777ded24/3fd5c539-46b9-4bf2-9184-973e90e6226c" TargetMode="External"/><Relationship Id="rId760" Type="http://schemas.openxmlformats.org/officeDocument/2006/relationships/hyperlink" Target="https://fasih-sm.bps.go.id/app/assignment/fd68e454-ba45-4b85-8205-f3bf777ded24/07bab1fa-92c8-448b-95cd-cfc3c925b7d8" TargetMode="External"/><Relationship Id="rId998" Type="http://schemas.openxmlformats.org/officeDocument/2006/relationships/hyperlink" Target="https://fasih-sm.bps.go.id/app/assignment/fd68e454-ba45-4b85-8205-f3bf777ded24/2d4f012a-2b12-4236-ae65-e11f3c60af8d" TargetMode="External"/><Relationship Id="rId192" Type="http://schemas.openxmlformats.org/officeDocument/2006/relationships/hyperlink" Target="https://fasih-sm.bps.go.id/app/assignment/fd68e454-ba45-4b85-8205-f3bf777ded24/0133cc34-f09d-4ff6-a996-fd04f5ab6ef9" TargetMode="External"/><Relationship Id="rId206" Type="http://schemas.openxmlformats.org/officeDocument/2006/relationships/hyperlink" Target="https://fasih-sm.bps.go.id/app/assignment/fd68e454-ba45-4b85-8205-f3bf777ded24/03a52846-3c85-4efb-bd93-29d6a217f021" TargetMode="External"/><Relationship Id="rId413" Type="http://schemas.openxmlformats.org/officeDocument/2006/relationships/hyperlink" Target="https://fasih-sm.bps.go.id/app/assignment/fd68e454-ba45-4b85-8205-f3bf777ded24/230cccb0-bab1-40c3-987f-9ccf0aef830b" TargetMode="External"/><Relationship Id="rId858" Type="http://schemas.openxmlformats.org/officeDocument/2006/relationships/hyperlink" Target="https://fasih-sm.bps.go.id/app/assignment/fd68e454-ba45-4b85-8205-f3bf777ded24/177b706b-d3c2-46a2-8b0e-e0614030ad11" TargetMode="External"/><Relationship Id="rId497" Type="http://schemas.openxmlformats.org/officeDocument/2006/relationships/hyperlink" Target="https://fasih-sm.bps.go.id/app/assignment/fd68e454-ba45-4b85-8205-f3bf777ded24/31567f9a-01e5-40bc-9a3d-14819ae29bee" TargetMode="External"/><Relationship Id="rId620" Type="http://schemas.openxmlformats.org/officeDocument/2006/relationships/hyperlink" Target="https://fasih-sm.bps.go.id/app/assignment/fd68e454-ba45-4b85-8205-f3bf777ded24/279a9092-238d-4449-956d-445392fcb4a2" TargetMode="External"/><Relationship Id="rId718" Type="http://schemas.openxmlformats.org/officeDocument/2006/relationships/hyperlink" Target="https://fasih-sm.bps.go.id/app/assignment/fd68e454-ba45-4b85-8205-f3bf777ded24/0210e931-959f-4465-b69c-209e69ff5f6d" TargetMode="External"/><Relationship Id="rId925" Type="http://schemas.openxmlformats.org/officeDocument/2006/relationships/hyperlink" Target="https://fasih-sm.bps.go.id/app/assignment/fd68e454-ba45-4b85-8205-f3bf777ded24/2095a282-fd13-437d-8fd7-518d84e153e3" TargetMode="External"/><Relationship Id="rId357" Type="http://schemas.openxmlformats.org/officeDocument/2006/relationships/hyperlink" Target="https://fasih-sm.bps.go.id/app/assignment/fd68e454-ba45-4b85-8205-f3bf777ded24/1a23961c-95ab-4d0d-bbc5-c63794daf67e" TargetMode="External"/><Relationship Id="rId54" Type="http://schemas.openxmlformats.org/officeDocument/2006/relationships/hyperlink" Target="https://fasih-sm.bps.go.id/app/assignment/fd68e454-ba45-4b85-8205-f3bf777ded24/b622bf92-00f0-46b9-be0d-6de2579f6e63" TargetMode="External"/><Relationship Id="rId217" Type="http://schemas.openxmlformats.org/officeDocument/2006/relationships/hyperlink" Target="https://fasih-sm.bps.go.id/app/assignment/fd68e454-ba45-4b85-8205-f3bf777ded24/04d729dd-fee9-4cbc-bffd-273ddf998166" TargetMode="External"/><Relationship Id="rId564" Type="http://schemas.openxmlformats.org/officeDocument/2006/relationships/hyperlink" Target="https://fasih-sm.bps.go.id/app/assignment/fd68e454-ba45-4b85-8205-f3bf777ded24/fd70a967-aa00-4795-b28e-5ca6eb2d30cb" TargetMode="External"/><Relationship Id="rId771" Type="http://schemas.openxmlformats.org/officeDocument/2006/relationships/hyperlink" Target="https://fasih-sm.bps.go.id/app/assignment/fd68e454-ba45-4b85-8205-f3bf777ded24/09d5df99-a7fa-4ef8-8b32-cf0716d69f51" TargetMode="External"/><Relationship Id="rId869" Type="http://schemas.openxmlformats.org/officeDocument/2006/relationships/hyperlink" Target="https://fasih-sm.bps.go.id/app/assignment/fd68e454-ba45-4b85-8205-f3bf777ded24/19367254-bb10-4626-aad9-ce24f5dbedd0" TargetMode="External"/><Relationship Id="rId424" Type="http://schemas.openxmlformats.org/officeDocument/2006/relationships/hyperlink" Target="https://fasih-sm.bps.go.id/app/assignment/fd68e454-ba45-4b85-8205-f3bf777ded24/24511679-8bfb-4fe5-ab39-2de86cd3e772" TargetMode="External"/><Relationship Id="rId631" Type="http://schemas.openxmlformats.org/officeDocument/2006/relationships/hyperlink" Target="https://fasih-sm.bps.go.id/app/assignment/fd68e454-ba45-4b85-8205-f3bf777ded24/42d04dec-5792-4baa-85ca-f212e41b4d63" TargetMode="External"/><Relationship Id="rId729" Type="http://schemas.openxmlformats.org/officeDocument/2006/relationships/hyperlink" Target="https://fasih-sm.bps.go.id/app/assignment/fd68e454-ba45-4b85-8205-f3bf777ded24/03e49dce-febf-4215-a536-0b5b39049534" TargetMode="External"/><Relationship Id="rId270" Type="http://schemas.openxmlformats.org/officeDocument/2006/relationships/hyperlink" Target="https://fasih-sm.bps.go.id/app/assignment/fd68e454-ba45-4b85-8205-f3bf777ded24/0ce3b5cd-9fe3-46e9-a02b-f9d97a54212d" TargetMode="External"/><Relationship Id="rId936" Type="http://schemas.openxmlformats.org/officeDocument/2006/relationships/hyperlink" Target="https://fasih-sm.bps.go.id/app/assignment/fd68e454-ba45-4b85-8205-f3bf777ded24/2332f2f5-d2e6-4f2f-ae95-c69875d357d7" TargetMode="External"/><Relationship Id="rId65" Type="http://schemas.openxmlformats.org/officeDocument/2006/relationships/hyperlink" Target="https://fasih-sm.bps.go.id/app/assignment/fd68e454-ba45-4b85-8205-f3bf777ded24/a2cfbce2-25c0-427f-810b-d950d68eb26e" TargetMode="External"/><Relationship Id="rId130" Type="http://schemas.openxmlformats.org/officeDocument/2006/relationships/hyperlink" Target="https://fasih-sm.bps.go.id/app/assignment/fd68e454-ba45-4b85-8205-f3bf777ded24/75a86870-0466-482d-aebf-6c06cb630e3e" TargetMode="External"/><Relationship Id="rId368" Type="http://schemas.openxmlformats.org/officeDocument/2006/relationships/hyperlink" Target="https://fasih-sm.bps.go.id/app/assignment/fd68e454-ba45-4b85-8205-f3bf777ded24/1bc171e3-ebc1-4b22-b4c1-ebbf96f9c55c" TargetMode="External"/><Relationship Id="rId575" Type="http://schemas.openxmlformats.org/officeDocument/2006/relationships/hyperlink" Target="https://fasih-sm.bps.go.id/app/assignment/fd68e454-ba45-4b85-8205-f3bf777ded24/b622bf92-00f0-46b9-be0d-6de2579f6e63" TargetMode="External"/><Relationship Id="rId782" Type="http://schemas.openxmlformats.org/officeDocument/2006/relationships/hyperlink" Target="https://fasih-sm.bps.go.id/app/assignment/fd68e454-ba45-4b85-8205-f3bf777ded24/0bf0d7ce-2791-4682-923a-98e3e5b37ad2" TargetMode="External"/><Relationship Id="rId228" Type="http://schemas.openxmlformats.org/officeDocument/2006/relationships/hyperlink" Target="https://fasih-sm.bps.go.id/app/assignment/fd68e454-ba45-4b85-8205-f3bf777ded24/06573800-773f-4daf-90d1-87e31273c107" TargetMode="External"/><Relationship Id="rId435" Type="http://schemas.openxmlformats.org/officeDocument/2006/relationships/hyperlink" Target="https://fasih-sm.bps.go.id/app/assignment/fd68e454-ba45-4b85-8205-f3bf777ded24/267c5465-5eca-4c50-8e2b-6631340c2079" TargetMode="External"/><Relationship Id="rId642" Type="http://schemas.openxmlformats.org/officeDocument/2006/relationships/hyperlink" Target="https://fasih-sm.bps.go.id/app/assignment/fd68e454-ba45-4b85-8205-f3bf777ded24/51709fcb-b49a-45f1-93af-b5589f6b853e" TargetMode="External"/><Relationship Id="rId281" Type="http://schemas.openxmlformats.org/officeDocument/2006/relationships/hyperlink" Target="https://fasih-sm.bps.go.id/app/assignment/fd68e454-ba45-4b85-8205-f3bf777ded24/0e7b93f7-17f1-4de9-a2fa-76609beeff13" TargetMode="External"/><Relationship Id="rId502" Type="http://schemas.openxmlformats.org/officeDocument/2006/relationships/hyperlink" Target="https://fasih-sm.bps.go.id/app/assignment/fd68e454-ba45-4b85-8205-f3bf777ded24/31ac621f-853e-4aff-88d8-95736731755b" TargetMode="External"/><Relationship Id="rId947" Type="http://schemas.openxmlformats.org/officeDocument/2006/relationships/hyperlink" Target="https://fasih-sm.bps.go.id/app/assignment/fd68e454-ba45-4b85-8205-f3bf777ded24/24b33a38-ada7-4534-ad6a-0d6ce0717f99" TargetMode="External"/><Relationship Id="rId76" Type="http://schemas.openxmlformats.org/officeDocument/2006/relationships/hyperlink" Target="https://fasih-sm.bps.go.id/app/assignment/fd68e454-ba45-4b85-8205-f3bf777ded24/c6d45ba1-040f-4870-b761-c9af8259e2e9" TargetMode="External"/><Relationship Id="rId141" Type="http://schemas.openxmlformats.org/officeDocument/2006/relationships/hyperlink" Target="https://fasih-sm.bps.go.id/app/assignment/fd68e454-ba45-4b85-8205-f3bf777ded24/9998aa1b-cac1-4298-9bd2-8c1edeffb8f5" TargetMode="External"/><Relationship Id="rId379" Type="http://schemas.openxmlformats.org/officeDocument/2006/relationships/hyperlink" Target="https://fasih-sm.bps.go.id/app/assignment/fd68e454-ba45-4b85-8205-f3bf777ded24/1d120a36-96ef-4063-8d42-b03b701d4e81" TargetMode="External"/><Relationship Id="rId586" Type="http://schemas.openxmlformats.org/officeDocument/2006/relationships/hyperlink" Target="https://fasih-sm.bps.go.id/app/assignment/fd68e454-ba45-4b85-8205-f3bf777ded24/a2cfbce2-25c0-427f-810b-d950d68eb26e" TargetMode="External"/><Relationship Id="rId793" Type="http://schemas.openxmlformats.org/officeDocument/2006/relationships/hyperlink" Target="https://fasih-sm.bps.go.id/app/assignment/fd68e454-ba45-4b85-8205-f3bf777ded24/0d276313-3a4c-464a-baf2-cf7f3a1d0a38" TargetMode="External"/><Relationship Id="rId807" Type="http://schemas.openxmlformats.org/officeDocument/2006/relationships/hyperlink" Target="https://fasih-sm.bps.go.id/app/assignment/fd68e454-ba45-4b85-8205-f3bf777ded24/0fd75b85-581c-416f-952c-23cb7bc511f3" TargetMode="External"/><Relationship Id="rId7" Type="http://schemas.openxmlformats.org/officeDocument/2006/relationships/hyperlink" Target="https://fasih-sm.bps.go.id/app/assignment/fd68e454-ba45-4b85-8205-f3bf777ded24/f3f7f889-35a6-4453-9c98-1c67a45115dd" TargetMode="External"/><Relationship Id="rId239" Type="http://schemas.openxmlformats.org/officeDocument/2006/relationships/hyperlink" Target="https://fasih-sm.bps.go.id/app/assignment/fd68e454-ba45-4b85-8205-f3bf777ded24/07bab1fa-92c8-448b-95cd-cfc3c925b7d8" TargetMode="External"/><Relationship Id="rId446" Type="http://schemas.openxmlformats.org/officeDocument/2006/relationships/hyperlink" Target="https://fasih-sm.bps.go.id/app/assignment/fd68e454-ba45-4b85-8205-f3bf777ded24/28dc6426-a849-4697-a8c3-f3e9ed1234a6" TargetMode="External"/><Relationship Id="rId653" Type="http://schemas.openxmlformats.org/officeDocument/2006/relationships/hyperlink" Target="https://fasih-sm.bps.go.id/app/assignment/fd68e454-ba45-4b85-8205-f3bf777ded24/7e1a13d6-b2e8-4f03-b9e7-bdabbfd53413" TargetMode="External"/><Relationship Id="rId292" Type="http://schemas.openxmlformats.org/officeDocument/2006/relationships/hyperlink" Target="https://fasih-sm.bps.go.id/app/assignment/fd68e454-ba45-4b85-8205-f3bf777ded24/10482eaf-0ec9-4447-b40a-0f6be8ee1281" TargetMode="External"/><Relationship Id="rId306" Type="http://schemas.openxmlformats.org/officeDocument/2006/relationships/hyperlink" Target="https://fasih-sm.bps.go.id/app/assignment/fd68e454-ba45-4b85-8205-f3bf777ded24/1207a6bd-1530-46f2-b884-0296c07c60d0" TargetMode="External"/><Relationship Id="rId860" Type="http://schemas.openxmlformats.org/officeDocument/2006/relationships/hyperlink" Target="https://fasih-sm.bps.go.id/app/assignment/fd68e454-ba45-4b85-8205-f3bf777ded24/17b1fdf7-3559-4369-88a0-37b32ec62d81" TargetMode="External"/><Relationship Id="rId958" Type="http://schemas.openxmlformats.org/officeDocument/2006/relationships/hyperlink" Target="https://fasih-sm.bps.go.id/app/assignment/fd68e454-ba45-4b85-8205-f3bf777ded24/269db0d8-4ed5-4655-b762-17c0cce20eba" TargetMode="External"/><Relationship Id="rId87" Type="http://schemas.openxmlformats.org/officeDocument/2006/relationships/hyperlink" Target="https://fasih-sm.bps.go.id/app/assignment/fd68e454-ba45-4b85-8205-f3bf777ded24/06597b68-aff5-4660-86d1-ec8b7c6345df" TargetMode="External"/><Relationship Id="rId513" Type="http://schemas.openxmlformats.org/officeDocument/2006/relationships/hyperlink" Target="https://fasih-sm.bps.go.id/app/assignment/fd68e454-ba45-4b85-8205-f3bf777ded24/32ea4fa8-e176-41e4-9083-b8f998c66d54" TargetMode="External"/><Relationship Id="rId597" Type="http://schemas.openxmlformats.org/officeDocument/2006/relationships/hyperlink" Target="https://fasih-sm.bps.go.id/app/assignment/fd68e454-ba45-4b85-8205-f3bf777ded24/c6d45ba1-040f-4870-b761-c9af8259e2e9" TargetMode="External"/><Relationship Id="rId720" Type="http://schemas.openxmlformats.org/officeDocument/2006/relationships/hyperlink" Target="https://fasih-sm.bps.go.id/app/assignment/fd68e454-ba45-4b85-8205-f3bf777ded24/02adda6f-bf3b-4aa2-925d-57ea2ee1c1f5" TargetMode="External"/><Relationship Id="rId818" Type="http://schemas.openxmlformats.org/officeDocument/2006/relationships/hyperlink" Target="https://fasih-sm.bps.go.id/app/assignment/fd68e454-ba45-4b85-8205-f3bf777ded24/11394846-eaab-4587-bd58-3e7020291018" TargetMode="External"/><Relationship Id="rId152" Type="http://schemas.openxmlformats.org/officeDocument/2006/relationships/hyperlink" Target="https://fasih-sm.bps.go.id/app/assignment/fd68e454-ba45-4b85-8205-f3bf777ded24/b04f83c7-7dbc-4212-af08-6c11d3668235" TargetMode="External"/><Relationship Id="rId457" Type="http://schemas.openxmlformats.org/officeDocument/2006/relationships/hyperlink" Target="https://fasih-sm.bps.go.id/app/assignment/fd68e454-ba45-4b85-8205-f3bf777ded24/2b0f38fc-cb8c-4985-978e-d17ed5660ff7" TargetMode="External"/><Relationship Id="rId1003" Type="http://schemas.openxmlformats.org/officeDocument/2006/relationships/hyperlink" Target="https://fasih-sm.bps.go.id/app/assignment/fd68e454-ba45-4b85-8205-f3bf777ded24/2e49adfa-34dd-42d1-9b7d-3d9bcc553f9f" TargetMode="External"/><Relationship Id="rId664" Type="http://schemas.openxmlformats.org/officeDocument/2006/relationships/hyperlink" Target="https://fasih-sm.bps.go.id/app/assignment/fd68e454-ba45-4b85-8205-f3bf777ded24/9e73654e-ee6e-405a-87ab-f867abaa31f7" TargetMode="External"/><Relationship Id="rId871" Type="http://schemas.openxmlformats.org/officeDocument/2006/relationships/hyperlink" Target="https://fasih-sm.bps.go.id/app/assignment/fd68e454-ba45-4b85-8205-f3bf777ded24/197072b7-03d9-44dd-8999-ab8e29274015" TargetMode="External"/><Relationship Id="rId969" Type="http://schemas.openxmlformats.org/officeDocument/2006/relationships/hyperlink" Target="https://fasih-sm.bps.go.id/app/assignment/fd68e454-ba45-4b85-8205-f3bf777ded24/29345860-32ec-425f-9339-18db37c3b0f1" TargetMode="External"/><Relationship Id="rId14" Type="http://schemas.openxmlformats.org/officeDocument/2006/relationships/hyperlink" Target="https://fasih-sm.bps.go.id/app/assignment/fd68e454-ba45-4b85-8205-f3bf777ded24/5972ccee-0254-4130-93e3-bdce0677230c" TargetMode="External"/><Relationship Id="rId317" Type="http://schemas.openxmlformats.org/officeDocument/2006/relationships/hyperlink" Target="https://fasih-sm.bps.go.id/app/assignment/fd68e454-ba45-4b85-8205-f3bf777ded24/13c7e1f5-ea66-4987-841b-9c8eca4dee0e" TargetMode="External"/><Relationship Id="rId524" Type="http://schemas.openxmlformats.org/officeDocument/2006/relationships/hyperlink" Target="https://fasih-sm.bps.go.id/app/assignment/fd68e454-ba45-4b85-8205-f3bf777ded24/cd889a40-93fd-4f5b-8bdb-0de1313db386" TargetMode="External"/><Relationship Id="rId731" Type="http://schemas.openxmlformats.org/officeDocument/2006/relationships/hyperlink" Target="https://fasih-sm.bps.go.id/app/assignment/fd68e454-ba45-4b85-8205-f3bf777ded24/041b8f97-3825-4946-a728-a8f33a11776e" TargetMode="External"/><Relationship Id="rId98" Type="http://schemas.openxmlformats.org/officeDocument/2006/relationships/hyperlink" Target="https://fasih-sm.bps.go.id/app/assignment/fd68e454-ba45-4b85-8205-f3bf777ded24/22915a4e-0665-41af-a671-c23caf72428d" TargetMode="External"/><Relationship Id="rId163" Type="http://schemas.openxmlformats.org/officeDocument/2006/relationships/hyperlink" Target="https://fasih-sm.bps.go.id/app/assignment/fd68e454-ba45-4b85-8205-f3bf777ded24/cb4a7cf2-3c9d-49f0-963a-ed8f03b386c1" TargetMode="External"/><Relationship Id="rId370" Type="http://schemas.openxmlformats.org/officeDocument/2006/relationships/hyperlink" Target="https://fasih-sm.bps.go.id/app/assignment/fd68e454-ba45-4b85-8205-f3bf777ded24/1be7f830-dd44-46f0-ad53-bfc4c03922fb" TargetMode="External"/><Relationship Id="rId829" Type="http://schemas.openxmlformats.org/officeDocument/2006/relationships/hyperlink" Target="https://fasih-sm.bps.go.id/app/assignment/fd68e454-ba45-4b85-8205-f3bf777ded24/120f458c-61b4-4f31-9c2e-1f1e444b6302" TargetMode="External"/><Relationship Id="rId1014" Type="http://schemas.openxmlformats.org/officeDocument/2006/relationships/hyperlink" Target="https://fasih-sm.bps.go.id/app/assignment/fd68e454-ba45-4b85-8205-f3bf777ded24/305d1be8-54c7-416c-ad9e-7a90ae0a08bd" TargetMode="External"/><Relationship Id="rId230" Type="http://schemas.openxmlformats.org/officeDocument/2006/relationships/hyperlink" Target="https://fasih-sm.bps.go.id/app/assignment/fd68e454-ba45-4b85-8205-f3bf777ded24/06b4e85c-6c5e-4528-9746-635d3a2d032d" TargetMode="External"/><Relationship Id="rId468" Type="http://schemas.openxmlformats.org/officeDocument/2006/relationships/hyperlink" Target="https://fasih-sm.bps.go.id/app/assignment/fd68e454-ba45-4b85-8205-f3bf777ded24/2bce6616-942c-4567-9942-51d3f766c67d" TargetMode="External"/><Relationship Id="rId675" Type="http://schemas.openxmlformats.org/officeDocument/2006/relationships/hyperlink" Target="https://fasih-sm.bps.go.id/app/assignment/fd68e454-ba45-4b85-8205-f3bf777ded24/b6f28988-a7f5-4ec4-9956-b1530bf7556f" TargetMode="External"/><Relationship Id="rId882" Type="http://schemas.openxmlformats.org/officeDocument/2006/relationships/hyperlink" Target="https://fasih-sm.bps.go.id/app/assignment/fd68e454-ba45-4b85-8205-f3bf777ded24/1a5a5bf7-9f2c-4076-9661-b5615cb3f9f4" TargetMode="External"/><Relationship Id="rId25" Type="http://schemas.openxmlformats.org/officeDocument/2006/relationships/hyperlink" Target="https://fasih-sm.bps.go.id/app/assignment/fd68e454-ba45-4b85-8205-f3bf777ded24/14f6c782-fc84-4fc7-9aed-ced4147a2a1b" TargetMode="External"/><Relationship Id="rId328" Type="http://schemas.openxmlformats.org/officeDocument/2006/relationships/hyperlink" Target="https://fasih-sm.bps.go.id/app/assignment/fd68e454-ba45-4b85-8205-f3bf777ded24/1632e1e6-4161-4cac-b2e6-f1565a185f19" TargetMode="External"/><Relationship Id="rId535" Type="http://schemas.openxmlformats.org/officeDocument/2006/relationships/hyperlink" Target="https://fasih-sm.bps.go.id/app/assignment/fd68e454-ba45-4b85-8205-f3bf777ded24/5972ccee-0254-4130-93e3-bdce0677230c" TargetMode="External"/><Relationship Id="rId742" Type="http://schemas.openxmlformats.org/officeDocument/2006/relationships/hyperlink" Target="https://fasih-sm.bps.go.id/app/assignment/fd68e454-ba45-4b85-8205-f3bf777ded24/0567a4c8-63ce-4199-a027-5745383e8440" TargetMode="External"/><Relationship Id="rId174" Type="http://schemas.openxmlformats.org/officeDocument/2006/relationships/hyperlink" Target="https://fasih-sm.bps.go.id/app/assignment/fd68e454-ba45-4b85-8205-f3bf777ded24/e6bc22a2-ae70-406a-9938-d713b598817d" TargetMode="External"/><Relationship Id="rId381" Type="http://schemas.openxmlformats.org/officeDocument/2006/relationships/hyperlink" Target="https://fasih-sm.bps.go.id/app/assignment/fd68e454-ba45-4b85-8205-f3bf777ded24/1d4cb210-31cb-462a-90f4-50ef3e463539" TargetMode="External"/><Relationship Id="rId602" Type="http://schemas.openxmlformats.org/officeDocument/2006/relationships/hyperlink" Target="https://fasih-sm.bps.go.id/app/assignment/fd68e454-ba45-4b85-8205-f3bf777ded24/31c36422-4331-46b6-8532-8ebef32bea74" TargetMode="External"/><Relationship Id="rId1025" Type="http://schemas.openxmlformats.org/officeDocument/2006/relationships/hyperlink" Target="https://fasih-sm.bps.go.id/app/assignment/fd68e454-ba45-4b85-8205-f3bf777ded24/31c44fbb-c449-4f21-8b8f-69195a959df8" TargetMode="External"/><Relationship Id="rId241" Type="http://schemas.openxmlformats.org/officeDocument/2006/relationships/hyperlink" Target="https://fasih-sm.bps.go.id/app/assignment/fd68e454-ba45-4b85-8205-f3bf777ded24/08364fee-7d29-444e-9cba-f9177eac2a97" TargetMode="External"/><Relationship Id="rId479" Type="http://schemas.openxmlformats.org/officeDocument/2006/relationships/hyperlink" Target="https://fasih-sm.bps.go.id/app/assignment/fd68e454-ba45-4b85-8205-f3bf777ded24/2dc6624e-2e2c-4866-90d7-16a0bb9067bc" TargetMode="External"/><Relationship Id="rId686" Type="http://schemas.openxmlformats.org/officeDocument/2006/relationships/hyperlink" Target="https://fasih-sm.bps.go.id/app/assignment/fd68e454-ba45-4b85-8205-f3bf777ded24/cd40eb38-9289-429f-aa62-89922f8c76ee" TargetMode="External"/><Relationship Id="rId893" Type="http://schemas.openxmlformats.org/officeDocument/2006/relationships/hyperlink" Target="https://fasih-sm.bps.go.id/app/assignment/fd68e454-ba45-4b85-8205-f3bf777ded24/1c82ed76-1a3e-4eea-b387-ac09ed583e5c" TargetMode="External"/><Relationship Id="rId907" Type="http://schemas.openxmlformats.org/officeDocument/2006/relationships/hyperlink" Target="https://fasih-sm.bps.go.id/app/assignment/fd68e454-ba45-4b85-8205-f3bf777ded24/1e1ea49d-4837-4dd0-8f53-c12909ff50fb" TargetMode="External"/><Relationship Id="rId36" Type="http://schemas.openxmlformats.org/officeDocument/2006/relationships/hyperlink" Target="https://fasih-sm.bps.go.id/app/assignment/fd68e454-ba45-4b85-8205-f3bf777ded24/aa8f0a32-e8de-4b2f-9ff2-ceb93da3ed8f" TargetMode="External"/><Relationship Id="rId339" Type="http://schemas.openxmlformats.org/officeDocument/2006/relationships/hyperlink" Target="https://fasih-sm.bps.go.id/app/assignment/fd68e454-ba45-4b85-8205-f3bf777ded24/17b1fdf7-3559-4369-88a0-37b32ec62d81" TargetMode="External"/><Relationship Id="rId546" Type="http://schemas.openxmlformats.org/officeDocument/2006/relationships/hyperlink" Target="https://fasih-sm.bps.go.id/app/assignment/fd68e454-ba45-4b85-8205-f3bf777ded24/14f6c782-fc84-4fc7-9aed-ced4147a2a1b" TargetMode="External"/><Relationship Id="rId753" Type="http://schemas.openxmlformats.org/officeDocument/2006/relationships/hyperlink" Target="https://fasih-sm.bps.go.id/app/assignment/fd68e454-ba45-4b85-8205-f3bf777ded24/07150a0c-44a4-476c-a283-e57f48befb26" TargetMode="External"/><Relationship Id="rId101" Type="http://schemas.openxmlformats.org/officeDocument/2006/relationships/hyperlink" Target="https://fasih-sm.bps.go.id/app/assignment/fd68e454-ba45-4b85-8205-f3bf777ded24/2bdad3ae-d379-44e1-8ec8-11155bb987d7" TargetMode="External"/><Relationship Id="rId185" Type="http://schemas.openxmlformats.org/officeDocument/2006/relationships/hyperlink" Target="https://fasih-sm.bps.go.id/app/assignment/fd68e454-ba45-4b85-8205-f3bf777ded24/fb07ac62-664d-4d1d-a511-e723c0e70124" TargetMode="External"/><Relationship Id="rId406" Type="http://schemas.openxmlformats.org/officeDocument/2006/relationships/hyperlink" Target="https://fasih-sm.bps.go.id/app/assignment/fd68e454-ba45-4b85-8205-f3bf777ded24/20c8f56f-1bbf-49a3-a380-721e97a15384" TargetMode="External"/><Relationship Id="rId960" Type="http://schemas.openxmlformats.org/officeDocument/2006/relationships/hyperlink" Target="https://fasih-sm.bps.go.id/app/assignment/fd68e454-ba45-4b85-8205-f3bf777ded24/26ed17d8-9132-4e2a-a24b-923520fc7cd6" TargetMode="External"/><Relationship Id="rId1036" Type="http://schemas.openxmlformats.org/officeDocument/2006/relationships/hyperlink" Target="https://fasih-sm.bps.go.id/app/assignment/fd68e454-ba45-4b85-8205-f3bf777ded24/331c15cf-d52f-4113-954b-77c5cdeac889" TargetMode="External"/><Relationship Id="rId392" Type="http://schemas.openxmlformats.org/officeDocument/2006/relationships/hyperlink" Target="https://fasih-sm.bps.go.id/app/assignment/fd68e454-ba45-4b85-8205-f3bf777ded24/1e60b470-363d-48ca-ba49-a2c3da95e30a" TargetMode="External"/><Relationship Id="rId613" Type="http://schemas.openxmlformats.org/officeDocument/2006/relationships/hyperlink" Target="https://fasih-sm.bps.go.id/app/assignment/fd68e454-ba45-4b85-8205-f3bf777ded24/144c0e92-14a8-42c0-836b-263842739302" TargetMode="External"/><Relationship Id="rId697" Type="http://schemas.openxmlformats.org/officeDocument/2006/relationships/hyperlink" Target="https://fasih-sm.bps.go.id/app/assignment/fd68e454-ba45-4b85-8205-f3bf777ded24/ec6c732e-a2a3-47bf-a2d8-1ec69a3697de" TargetMode="External"/><Relationship Id="rId820" Type="http://schemas.openxmlformats.org/officeDocument/2006/relationships/hyperlink" Target="https://fasih-sm.bps.go.id/app/assignment/fd68e454-ba45-4b85-8205-f3bf777ded24/11ad1fb2-7ac3-4e46-9889-33e33825ea10" TargetMode="External"/><Relationship Id="rId918" Type="http://schemas.openxmlformats.org/officeDocument/2006/relationships/hyperlink" Target="https://fasih-sm.bps.go.id/app/assignment/fd68e454-ba45-4b85-8205-f3bf777ded24/1fae60c8-e119-4308-8939-70944e27c522" TargetMode="External"/><Relationship Id="rId252" Type="http://schemas.openxmlformats.org/officeDocument/2006/relationships/hyperlink" Target="https://fasih-sm.bps.go.id/app/assignment/fd68e454-ba45-4b85-8205-f3bf777ded24/0a638d4e-bb8f-48cc-8fa4-245d6f731d4e" TargetMode="External"/><Relationship Id="rId47" Type="http://schemas.openxmlformats.org/officeDocument/2006/relationships/hyperlink" Target="https://fasih-sm.bps.go.id/app/assignment/fd68e454-ba45-4b85-8205-f3bf777ded24/5572f786-8a5c-417e-bef0-a2aee1b6c3e2" TargetMode="External"/><Relationship Id="rId112" Type="http://schemas.openxmlformats.org/officeDocument/2006/relationships/hyperlink" Target="https://fasih-sm.bps.go.id/app/assignment/fd68e454-ba45-4b85-8205-f3bf777ded24/44759a55-f63a-4e68-a671-5cf7d7cf806f" TargetMode="External"/><Relationship Id="rId557" Type="http://schemas.openxmlformats.org/officeDocument/2006/relationships/hyperlink" Target="https://fasih-sm.bps.go.id/app/assignment/fd68e454-ba45-4b85-8205-f3bf777ded24/aa8f0a32-e8de-4b2f-9ff2-ceb93da3ed8f" TargetMode="External"/><Relationship Id="rId764" Type="http://schemas.openxmlformats.org/officeDocument/2006/relationships/hyperlink" Target="https://fasih-sm.bps.go.id/app/assignment/fd68e454-ba45-4b85-8205-f3bf777ded24/085475eb-3b89-4864-ad68-ca3824319035" TargetMode="External"/><Relationship Id="rId971" Type="http://schemas.openxmlformats.org/officeDocument/2006/relationships/hyperlink" Target="https://fasih-sm.bps.go.id/app/assignment/fd68e454-ba45-4b85-8205-f3bf777ded24/29aeea0a-b7b1-4c65-b048-c70b8397f5b5" TargetMode="External"/><Relationship Id="rId196" Type="http://schemas.openxmlformats.org/officeDocument/2006/relationships/hyperlink" Target="https://fasih-sm.bps.go.id/app/assignment/fd68e454-ba45-4b85-8205-f3bf777ded24/01fa102a-41a3-490f-acb4-bb90bba0ae55" TargetMode="External"/><Relationship Id="rId417" Type="http://schemas.openxmlformats.org/officeDocument/2006/relationships/hyperlink" Target="https://fasih-sm.bps.go.id/app/assignment/fd68e454-ba45-4b85-8205-f3bf777ded24/23659123-02cf-4287-ab2d-de48a07e158b" TargetMode="External"/><Relationship Id="rId624" Type="http://schemas.openxmlformats.org/officeDocument/2006/relationships/hyperlink" Target="https://fasih-sm.bps.go.id/app/assignment/fd68e454-ba45-4b85-8205-f3bf777ded24/33c8f7db-d227-44b5-9b37-b7655e0461cf" TargetMode="External"/><Relationship Id="rId831" Type="http://schemas.openxmlformats.org/officeDocument/2006/relationships/hyperlink" Target="https://fasih-sm.bps.go.id/app/assignment/fd68e454-ba45-4b85-8205-f3bf777ded24/125c3910-6ec4-4d26-b5f3-e5ed5fe131fc" TargetMode="External"/><Relationship Id="rId263" Type="http://schemas.openxmlformats.org/officeDocument/2006/relationships/hyperlink" Target="https://fasih-sm.bps.go.id/app/assignment/fd68e454-ba45-4b85-8205-f3bf777ded24/0bface51-16ae-4075-83de-e5def1b02b78" TargetMode="External"/><Relationship Id="rId470" Type="http://schemas.openxmlformats.org/officeDocument/2006/relationships/hyperlink" Target="https://fasih-sm.bps.go.id/app/assignment/fd68e454-ba45-4b85-8205-f3bf777ded24/2c70054d-76a5-4cc0-bf4a-17e62a19a610" TargetMode="External"/><Relationship Id="rId929" Type="http://schemas.openxmlformats.org/officeDocument/2006/relationships/hyperlink" Target="https://fasih-sm.bps.go.id/app/assignment/fd68e454-ba45-4b85-8205-f3bf777ded24/217220ca-5bc7-473d-9520-b891f825a240" TargetMode="External"/><Relationship Id="rId58" Type="http://schemas.openxmlformats.org/officeDocument/2006/relationships/hyperlink" Target="https://fasih-sm.bps.go.id/app/assignment/fd68e454-ba45-4b85-8205-f3bf777ded24/f922caaf-afe9-4911-b0ad-ea6375320331" TargetMode="External"/><Relationship Id="rId123" Type="http://schemas.openxmlformats.org/officeDocument/2006/relationships/hyperlink" Target="https://fasih-sm.bps.go.id/app/assignment/fd68e454-ba45-4b85-8205-f3bf777ded24/54dc4365-1d78-4373-93a9-3a634cb86618" TargetMode="External"/><Relationship Id="rId330" Type="http://schemas.openxmlformats.org/officeDocument/2006/relationships/hyperlink" Target="https://fasih-sm.bps.go.id/app/assignment/fd68e454-ba45-4b85-8205-f3bf777ded24/165cf74b-1fa1-4fa6-a34c-f6583620d187" TargetMode="External"/><Relationship Id="rId568" Type="http://schemas.openxmlformats.org/officeDocument/2006/relationships/hyperlink" Target="https://fasih-sm.bps.go.id/app/assignment/fd68e454-ba45-4b85-8205-f3bf777ded24/5572f786-8a5c-417e-bef0-a2aee1b6c3e2" TargetMode="External"/><Relationship Id="rId775" Type="http://schemas.openxmlformats.org/officeDocument/2006/relationships/hyperlink" Target="https://fasih-sm.bps.go.id/app/assignment/fd68e454-ba45-4b85-8205-f3bf777ded24/0ab7b6c7-6846-49d1-aede-9430d635e19c" TargetMode="External"/><Relationship Id="rId982" Type="http://schemas.openxmlformats.org/officeDocument/2006/relationships/hyperlink" Target="https://fasih-sm.bps.go.id/app/assignment/fd68e454-ba45-4b85-8205-f3bf777ded24/2b720601-08ab-4238-9db8-96ed68a7bd87" TargetMode="External"/><Relationship Id="rId428" Type="http://schemas.openxmlformats.org/officeDocument/2006/relationships/hyperlink" Target="https://fasih-sm.bps.go.id/app/assignment/fd68e454-ba45-4b85-8205-f3bf777ded24/253b84d5-8297-4614-a88c-36c68c8f015a" TargetMode="External"/><Relationship Id="rId635" Type="http://schemas.openxmlformats.org/officeDocument/2006/relationships/hyperlink" Target="https://fasih-sm.bps.go.id/app/assignment/fd68e454-ba45-4b85-8205-f3bf777ded24/48c142ad-a9ca-4490-951a-9a25d580f479" TargetMode="External"/><Relationship Id="rId842" Type="http://schemas.openxmlformats.org/officeDocument/2006/relationships/hyperlink" Target="https://fasih-sm.bps.go.id/app/assignment/fd68e454-ba45-4b85-8205-f3bf777ded24/14c69f79-edcc-4362-bebd-a4da54e9171f" TargetMode="External"/><Relationship Id="rId274" Type="http://schemas.openxmlformats.org/officeDocument/2006/relationships/hyperlink" Target="https://fasih-sm.bps.go.id/app/assignment/fd68e454-ba45-4b85-8205-f3bf777ded24/0dcba9a8-1a97-4321-ac46-c49c38c469ed" TargetMode="External"/><Relationship Id="rId481" Type="http://schemas.openxmlformats.org/officeDocument/2006/relationships/hyperlink" Target="https://fasih-sm.bps.go.id/app/assignment/fd68e454-ba45-4b85-8205-f3bf777ded24/2e3e304b-f251-4447-a4f5-ab88170e9226" TargetMode="External"/><Relationship Id="rId702" Type="http://schemas.openxmlformats.org/officeDocument/2006/relationships/hyperlink" Target="https://fasih-sm.bps.go.id/app/assignment/fd68e454-ba45-4b85-8205-f3bf777ded24/f64c66d2-7b3a-4ade-b47a-b36308383a0b" TargetMode="External"/><Relationship Id="rId69" Type="http://schemas.openxmlformats.org/officeDocument/2006/relationships/hyperlink" Target="https://fasih-sm.bps.go.id/app/assignment/fd68e454-ba45-4b85-8205-f3bf777ded24/cae28d01-4dea-40f8-ab56-900ceaac25fe" TargetMode="External"/><Relationship Id="rId134" Type="http://schemas.openxmlformats.org/officeDocument/2006/relationships/hyperlink" Target="https://fasih-sm.bps.go.id/app/assignment/fd68e454-ba45-4b85-8205-f3bf777ded24/8a284492-0437-48d9-90a7-8fd1c1ec0644" TargetMode="External"/><Relationship Id="rId579" Type="http://schemas.openxmlformats.org/officeDocument/2006/relationships/hyperlink" Target="https://fasih-sm.bps.go.id/app/assignment/fd68e454-ba45-4b85-8205-f3bf777ded24/f922caaf-afe9-4911-b0ad-ea6375320331" TargetMode="External"/><Relationship Id="rId786" Type="http://schemas.openxmlformats.org/officeDocument/2006/relationships/hyperlink" Target="https://fasih-sm.bps.go.id/app/assignment/fd68e454-ba45-4b85-8205-f3bf777ded24/0c338ae3-e425-4ac3-a0d7-72017b95b4f8" TargetMode="External"/><Relationship Id="rId993" Type="http://schemas.openxmlformats.org/officeDocument/2006/relationships/hyperlink" Target="https://fasih-sm.bps.go.id/app/assignment/fd68e454-ba45-4b85-8205-f3bf777ded24/2c7e9263-5e15-49ee-9366-bacd678d7e69" TargetMode="External"/><Relationship Id="rId341" Type="http://schemas.openxmlformats.org/officeDocument/2006/relationships/hyperlink" Target="https://fasih-sm.bps.go.id/app/assignment/fd68e454-ba45-4b85-8205-f3bf777ded24/17dd59da-a20d-472d-a2f3-1552bf57f8ab" TargetMode="External"/><Relationship Id="rId439" Type="http://schemas.openxmlformats.org/officeDocument/2006/relationships/hyperlink" Target="https://fasih-sm.bps.go.id/app/assignment/fd68e454-ba45-4b85-8205-f3bf777ded24/26ed17d8-9132-4e2a-a24b-923520fc7cd6" TargetMode="External"/><Relationship Id="rId646" Type="http://schemas.openxmlformats.org/officeDocument/2006/relationships/hyperlink" Target="https://fasih-sm.bps.go.id/app/assignment/fd68e454-ba45-4b85-8205-f3bf777ded24/5573d058-9ff3-4ab0-a515-fde14975ee24" TargetMode="External"/><Relationship Id="rId201" Type="http://schemas.openxmlformats.org/officeDocument/2006/relationships/hyperlink" Target="https://fasih-sm.bps.go.id/app/assignment/fd68e454-ba45-4b85-8205-f3bf777ded24/02c156d4-b31e-4ae2-8d8d-32b72d8ea9d1" TargetMode="External"/><Relationship Id="rId285" Type="http://schemas.openxmlformats.org/officeDocument/2006/relationships/hyperlink" Target="https://fasih-sm.bps.go.id/app/assignment/fd68e454-ba45-4b85-8205-f3bf777ded24/0f93742f-40a4-45d1-a80c-5860246f0f48" TargetMode="External"/><Relationship Id="rId506" Type="http://schemas.openxmlformats.org/officeDocument/2006/relationships/hyperlink" Target="https://fasih-sm.bps.go.id/app/assignment/fd68e454-ba45-4b85-8205-f3bf777ded24/31e826ce-bc33-49db-8f0a-b654899d4d07" TargetMode="External"/><Relationship Id="rId853" Type="http://schemas.openxmlformats.org/officeDocument/2006/relationships/hyperlink" Target="https://fasih-sm.bps.go.id/app/assignment/fd68e454-ba45-4b85-8205-f3bf777ded24/166ef8a3-be20-40fd-8ecf-cabdb917220c" TargetMode="External"/><Relationship Id="rId492" Type="http://schemas.openxmlformats.org/officeDocument/2006/relationships/hyperlink" Target="https://fasih-sm.bps.go.id/app/assignment/fd68e454-ba45-4b85-8205-f3bf777ded24/30197da5-eee0-4b33-bc89-3d955f566770" TargetMode="External"/><Relationship Id="rId713" Type="http://schemas.openxmlformats.org/officeDocument/2006/relationships/hyperlink" Target="https://fasih-sm.bps.go.id/app/assignment/fd68e454-ba45-4b85-8205-f3bf777ded24/0133cc34-f09d-4ff6-a996-fd04f5ab6ef9" TargetMode="External"/><Relationship Id="rId797" Type="http://schemas.openxmlformats.org/officeDocument/2006/relationships/hyperlink" Target="https://fasih-sm.bps.go.id/app/assignment/fd68e454-ba45-4b85-8205-f3bf777ded24/0de9792b-bca4-4f8e-b1e2-7dc6e07369c0" TargetMode="External"/><Relationship Id="rId920" Type="http://schemas.openxmlformats.org/officeDocument/2006/relationships/hyperlink" Target="https://fasih-sm.bps.go.id/app/assignment/fd68e454-ba45-4b85-8205-f3bf777ded24/20139887-d21d-442a-9b14-6b9f97fd4ca4" TargetMode="External"/><Relationship Id="rId145" Type="http://schemas.openxmlformats.org/officeDocument/2006/relationships/hyperlink" Target="https://fasih-sm.bps.go.id/app/assignment/fd68e454-ba45-4b85-8205-f3bf777ded24/a12ba5cc-5696-41ad-9b2d-4d298ed5144b" TargetMode="External"/><Relationship Id="rId352" Type="http://schemas.openxmlformats.org/officeDocument/2006/relationships/hyperlink" Target="https://fasih-sm.bps.go.id/app/assignment/fd68e454-ba45-4b85-8205-f3bf777ded24/198738c8-8f4c-4e8d-b4bd-fc43a45bcfe5" TargetMode="External"/><Relationship Id="rId212" Type="http://schemas.openxmlformats.org/officeDocument/2006/relationships/hyperlink" Target="https://fasih-sm.bps.go.id/app/assignment/fd68e454-ba45-4b85-8205-f3bf777ded24/04361ffa-e3a4-4f2b-839b-df4214b20267" TargetMode="External"/><Relationship Id="rId657" Type="http://schemas.openxmlformats.org/officeDocument/2006/relationships/hyperlink" Target="https://fasih-sm.bps.go.id/app/assignment/fd68e454-ba45-4b85-8205-f3bf777ded24/8fb46abd-61f8-4631-983c-8b76cbe09a19" TargetMode="External"/><Relationship Id="rId864" Type="http://schemas.openxmlformats.org/officeDocument/2006/relationships/hyperlink" Target="https://fasih-sm.bps.go.id/app/assignment/fd68e454-ba45-4b85-8205-f3bf777ded24/17f7c5bb-5a17-4771-9a46-006937d874e6" TargetMode="External"/><Relationship Id="rId296" Type="http://schemas.openxmlformats.org/officeDocument/2006/relationships/hyperlink" Target="https://fasih-sm.bps.go.id/app/assignment/fd68e454-ba45-4b85-8205-f3bf777ded24/10ee8f68-c58d-4b13-9670-53cd2743b43c" TargetMode="External"/><Relationship Id="rId517" Type="http://schemas.openxmlformats.org/officeDocument/2006/relationships/hyperlink" Target="https://fasih-sm.bps.go.id/app/assignment/fd68e454-ba45-4b85-8205-f3bf777ded24/33592f75-4bc1-4d50-8e7c-fb56a43df9c3" TargetMode="External"/><Relationship Id="rId724" Type="http://schemas.openxmlformats.org/officeDocument/2006/relationships/hyperlink" Target="https://fasih-sm.bps.go.id/app/assignment/fd68e454-ba45-4b85-8205-f3bf777ded24/034ae829-30d7-47f9-93fc-995b606a57fb" TargetMode="External"/><Relationship Id="rId931" Type="http://schemas.openxmlformats.org/officeDocument/2006/relationships/hyperlink" Target="https://fasih-sm.bps.go.id/app/assignment/fd68e454-ba45-4b85-8205-f3bf777ded24/21f7629a-11db-4799-b99a-8a73ffb6bd92" TargetMode="External"/><Relationship Id="rId60" Type="http://schemas.openxmlformats.org/officeDocument/2006/relationships/hyperlink" Target="https://fasih-sm.bps.go.id/app/assignment/fd68e454-ba45-4b85-8205-f3bf777ded24/71018bb8-e189-4586-80bb-986481103f69" TargetMode="External"/><Relationship Id="rId156" Type="http://schemas.openxmlformats.org/officeDocument/2006/relationships/hyperlink" Target="https://fasih-sm.bps.go.id/app/assignment/fd68e454-ba45-4b85-8205-f3bf777ded24/b8a07d32-90be-4684-9963-ce1e41c405bc" TargetMode="External"/><Relationship Id="rId363" Type="http://schemas.openxmlformats.org/officeDocument/2006/relationships/hyperlink" Target="https://fasih-sm.bps.go.id/app/assignment/fd68e454-ba45-4b85-8205-f3bf777ded24/1af56b2a-5ba1-4658-b9dc-4064e7f56a2b" TargetMode="External"/><Relationship Id="rId570" Type="http://schemas.openxmlformats.org/officeDocument/2006/relationships/hyperlink" Target="https://fasih-sm.bps.go.id/app/assignment/fd68e454-ba45-4b85-8205-f3bf777ded24/6ae7c1b5-f0cb-4fea-8742-03ea5a394f44" TargetMode="External"/><Relationship Id="rId1007" Type="http://schemas.openxmlformats.org/officeDocument/2006/relationships/hyperlink" Target="https://fasih-sm.bps.go.id/app/assignment/fd68e454-ba45-4b85-8205-f3bf777ded24/2f4e58cf-c4fc-4bb5-8e01-5a88c20328a7" TargetMode="External"/><Relationship Id="rId223" Type="http://schemas.openxmlformats.org/officeDocument/2006/relationships/hyperlink" Target="https://fasih-sm.bps.go.id/app/assignment/fd68e454-ba45-4b85-8205-f3bf777ded24/05cf3ce5-e5ea-419e-bfa0-624c37962454" TargetMode="External"/><Relationship Id="rId430" Type="http://schemas.openxmlformats.org/officeDocument/2006/relationships/hyperlink" Target="https://fasih-sm.bps.go.id/app/assignment/fd68e454-ba45-4b85-8205-f3bf777ded24/257ad9f7-3449-49a7-b7a1-6ff53e1e829a" TargetMode="External"/><Relationship Id="rId668" Type="http://schemas.openxmlformats.org/officeDocument/2006/relationships/hyperlink" Target="https://fasih-sm.bps.go.id/app/assignment/fd68e454-ba45-4b85-8205-f3bf777ded24/a6d3120b-7b3c-4072-84a8-7748b5c384f1" TargetMode="External"/><Relationship Id="rId875" Type="http://schemas.openxmlformats.org/officeDocument/2006/relationships/hyperlink" Target="https://fasih-sm.bps.go.id/app/assignment/fd68e454-ba45-4b85-8205-f3bf777ded24/19a42e37-1177-4662-b5b3-34034b59c063" TargetMode="External"/><Relationship Id="rId18" Type="http://schemas.openxmlformats.org/officeDocument/2006/relationships/hyperlink" Target="https://fasih-sm.bps.go.id/app/assignment/fd68e454-ba45-4b85-8205-f3bf777ded24/9cba1f4c-637a-4a97-b173-0b8b6ed718d7" TargetMode="External"/><Relationship Id="rId528" Type="http://schemas.openxmlformats.org/officeDocument/2006/relationships/hyperlink" Target="https://fasih-sm.bps.go.id/app/assignment/fd68e454-ba45-4b85-8205-f3bf777ded24/f3f7f889-35a6-4453-9c98-1c67a45115dd" TargetMode="External"/><Relationship Id="rId735" Type="http://schemas.openxmlformats.org/officeDocument/2006/relationships/hyperlink" Target="https://fasih-sm.bps.go.id/app/assignment/fd68e454-ba45-4b85-8205-f3bf777ded24/0449ed3f-a436-4af4-9b48-b82403345fba" TargetMode="External"/><Relationship Id="rId942" Type="http://schemas.openxmlformats.org/officeDocument/2006/relationships/hyperlink" Target="https://fasih-sm.bps.go.id/app/assignment/fd68e454-ba45-4b85-8205-f3bf777ded24/23e6cc4a-997a-4e29-9625-54de22707ea7" TargetMode="External"/><Relationship Id="rId167" Type="http://schemas.openxmlformats.org/officeDocument/2006/relationships/hyperlink" Target="https://fasih-sm.bps.go.id/app/assignment/fd68e454-ba45-4b85-8205-f3bf777ded24/d2229aad-6970-4def-997e-43bd311b9a6c" TargetMode="External"/><Relationship Id="rId374" Type="http://schemas.openxmlformats.org/officeDocument/2006/relationships/hyperlink" Target="https://fasih-sm.bps.go.id/app/assignment/fd68e454-ba45-4b85-8205-f3bf777ded24/1c8caa1f-fa07-4a23-aa19-9b86ff8bc1d0" TargetMode="External"/><Relationship Id="rId581" Type="http://schemas.openxmlformats.org/officeDocument/2006/relationships/hyperlink" Target="https://fasih-sm.bps.go.id/app/assignment/fd68e454-ba45-4b85-8205-f3bf777ded24/71018bb8-e189-4586-80bb-986481103f69" TargetMode="External"/><Relationship Id="rId1018" Type="http://schemas.openxmlformats.org/officeDocument/2006/relationships/hyperlink" Target="https://fasih-sm.bps.go.id/app/assignment/fd68e454-ba45-4b85-8205-f3bf777ded24/31567f9a-01e5-40bc-9a3d-14819ae29bee" TargetMode="External"/><Relationship Id="rId71" Type="http://schemas.openxmlformats.org/officeDocument/2006/relationships/hyperlink" Target="https://fasih-sm.bps.go.id/app/assignment/fd68e454-ba45-4b85-8205-f3bf777ded24/2e8fe46f-b5c3-407c-80f5-30c5b5fc9592" TargetMode="External"/><Relationship Id="rId234" Type="http://schemas.openxmlformats.org/officeDocument/2006/relationships/hyperlink" Target="https://fasih-sm.bps.go.id/app/assignment/fd68e454-ba45-4b85-8205-f3bf777ded24/074b8804-64af-45cd-9fb8-596ca6bd7342" TargetMode="External"/><Relationship Id="rId679" Type="http://schemas.openxmlformats.org/officeDocument/2006/relationships/hyperlink" Target="https://fasih-sm.bps.go.id/app/assignment/fd68e454-ba45-4b85-8205-f3bf777ded24/be77fba2-06cb-43ec-becd-0d7f27f99da8" TargetMode="External"/><Relationship Id="rId802" Type="http://schemas.openxmlformats.org/officeDocument/2006/relationships/hyperlink" Target="https://fasih-sm.bps.go.id/app/assignment/fd68e454-ba45-4b85-8205-f3bf777ded24/0e7b93f7-17f1-4de9-a2fa-76609beeff13" TargetMode="External"/><Relationship Id="rId886" Type="http://schemas.openxmlformats.org/officeDocument/2006/relationships/hyperlink" Target="https://fasih-sm.bps.go.id/app/assignment/fd68e454-ba45-4b85-8205-f3bf777ded24/1b6a96f8-04ee-4222-9e67-0cd280baf16e" TargetMode="External"/><Relationship Id="rId2" Type="http://schemas.openxmlformats.org/officeDocument/2006/relationships/hyperlink" Target="https://fasih-sm.bps.go.id/app/assignment/fd68e454-ba45-4b85-8205-f3bf777ded24/bc8ea871-c8c6-4f12-8b05-abaea7866465" TargetMode="External"/><Relationship Id="rId29" Type="http://schemas.openxmlformats.org/officeDocument/2006/relationships/hyperlink" Target="https://fasih-sm.bps.go.id/app/assignment/fd68e454-ba45-4b85-8205-f3bf777ded24/4f911881-7662-4a78-8c0d-6b8656126f9b" TargetMode="External"/><Relationship Id="rId441" Type="http://schemas.openxmlformats.org/officeDocument/2006/relationships/hyperlink" Target="https://fasih-sm.bps.go.id/app/assignment/fd68e454-ba45-4b85-8205-f3bf777ded24/27b0c225-26be-4a7d-9d66-58dca6fa8de6" TargetMode="External"/><Relationship Id="rId539" Type="http://schemas.openxmlformats.org/officeDocument/2006/relationships/hyperlink" Target="https://fasih-sm.bps.go.id/app/assignment/fd68e454-ba45-4b85-8205-f3bf777ded24/9cba1f4c-637a-4a97-b173-0b8b6ed718d7" TargetMode="External"/><Relationship Id="rId746" Type="http://schemas.openxmlformats.org/officeDocument/2006/relationships/hyperlink" Target="https://fasih-sm.bps.go.id/app/assignment/fd68e454-ba45-4b85-8205-f3bf777ded24/05e195cd-a090-4def-b00c-97948a0297bf" TargetMode="External"/><Relationship Id="rId178" Type="http://schemas.openxmlformats.org/officeDocument/2006/relationships/hyperlink" Target="https://fasih-sm.bps.go.id/app/assignment/fd68e454-ba45-4b85-8205-f3bf777ded24/f29136ff-8e10-438e-bf8f-57aab6a10bdf" TargetMode="External"/><Relationship Id="rId301" Type="http://schemas.openxmlformats.org/officeDocument/2006/relationships/hyperlink" Target="https://fasih-sm.bps.go.id/app/assignment/fd68e454-ba45-4b85-8205-f3bf777ded24/11c7eec9-76ab-44b0-ae0f-acb8bb1bac1f" TargetMode="External"/><Relationship Id="rId953" Type="http://schemas.openxmlformats.org/officeDocument/2006/relationships/hyperlink" Target="https://fasih-sm.bps.go.id/app/assignment/fd68e454-ba45-4b85-8205-f3bf777ded24/2615d3cc-79aa-48b3-b38b-c13c25bf160c" TargetMode="External"/><Relationship Id="rId1029" Type="http://schemas.openxmlformats.org/officeDocument/2006/relationships/hyperlink" Target="https://fasih-sm.bps.go.id/app/assignment/fd68e454-ba45-4b85-8205-f3bf777ded24/3246451f-13bb-4478-bbdb-c5794e912c67" TargetMode="External"/><Relationship Id="rId82" Type="http://schemas.openxmlformats.org/officeDocument/2006/relationships/hyperlink" Target="https://fasih-sm.bps.go.id/app/assignment/fd68e454-ba45-4b85-8205-f3bf777ded24/850aa7c8-8aef-40e7-8e86-251867aaa234" TargetMode="External"/><Relationship Id="rId385" Type="http://schemas.openxmlformats.org/officeDocument/2006/relationships/hyperlink" Target="https://fasih-sm.bps.go.id/app/assignment/fd68e454-ba45-4b85-8205-f3bf777ded24/1e14fd0e-c90d-4224-8d11-c6a417cc8c54" TargetMode="External"/><Relationship Id="rId592" Type="http://schemas.openxmlformats.org/officeDocument/2006/relationships/hyperlink" Target="https://fasih-sm.bps.go.id/app/assignment/fd68e454-ba45-4b85-8205-f3bf777ded24/2e8fe46f-b5c3-407c-80f5-30c5b5fc9592" TargetMode="External"/><Relationship Id="rId606" Type="http://schemas.openxmlformats.org/officeDocument/2006/relationships/hyperlink" Target="https://fasih-sm.bps.go.id/app/assignment/fd68e454-ba45-4b85-8205-f3bf777ded24/026ad39b-0786-4de6-bb95-6f342c3ea9cb" TargetMode="External"/><Relationship Id="rId813" Type="http://schemas.openxmlformats.org/officeDocument/2006/relationships/hyperlink" Target="https://fasih-sm.bps.go.id/app/assignment/fd68e454-ba45-4b85-8205-f3bf777ded24/10482eaf-0ec9-4447-b40a-0f6be8ee1281" TargetMode="External"/><Relationship Id="rId245" Type="http://schemas.openxmlformats.org/officeDocument/2006/relationships/hyperlink" Target="https://fasih-sm.bps.go.id/app/assignment/fd68e454-ba45-4b85-8205-f3bf777ded24/086eba64-4a07-4826-9b70-b7339fd59a3c" TargetMode="External"/><Relationship Id="rId452" Type="http://schemas.openxmlformats.org/officeDocument/2006/relationships/hyperlink" Target="https://fasih-sm.bps.go.id/app/assignment/fd68e454-ba45-4b85-8205-f3bf777ded24/2a63546c-d08a-4581-af43-7b70ed5aa795" TargetMode="External"/><Relationship Id="rId897" Type="http://schemas.openxmlformats.org/officeDocument/2006/relationships/hyperlink" Target="https://fasih-sm.bps.go.id/app/assignment/fd68e454-ba45-4b85-8205-f3bf777ded24/1cc7d3b7-f82c-4dd6-9eb1-778443e346ae" TargetMode="External"/><Relationship Id="rId105" Type="http://schemas.openxmlformats.org/officeDocument/2006/relationships/hyperlink" Target="https://fasih-sm.bps.go.id/app/assignment/fd68e454-ba45-4b85-8205-f3bf777ded24/35c92328-ea10-4349-b88c-c8b0e7f6153b" TargetMode="External"/><Relationship Id="rId312" Type="http://schemas.openxmlformats.org/officeDocument/2006/relationships/hyperlink" Target="https://fasih-sm.bps.go.id/app/assignment/fd68e454-ba45-4b85-8205-f3bf777ded24/127e8c29-da75-47f8-af66-9701fe1b7ad2" TargetMode="External"/><Relationship Id="rId757" Type="http://schemas.openxmlformats.org/officeDocument/2006/relationships/hyperlink" Target="https://fasih-sm.bps.go.id/app/assignment/fd68e454-ba45-4b85-8205-f3bf777ded24/079a2aa4-6745-4211-bf2b-571d888dfc1b" TargetMode="External"/><Relationship Id="rId964" Type="http://schemas.openxmlformats.org/officeDocument/2006/relationships/hyperlink" Target="https://fasih-sm.bps.go.id/app/assignment/fd68e454-ba45-4b85-8205-f3bf777ded24/28b28dfa-a6a7-4e9c-8539-01a7d883d68c" TargetMode="External"/><Relationship Id="rId93" Type="http://schemas.openxmlformats.org/officeDocument/2006/relationships/hyperlink" Target="https://fasih-sm.bps.go.id/app/assignment/fd68e454-ba45-4b85-8205-f3bf777ded24/1689bdd4-8e9e-4f61-983f-d77db1878167" TargetMode="External"/><Relationship Id="rId189" Type="http://schemas.openxmlformats.org/officeDocument/2006/relationships/hyperlink" Target="https://fasih-sm.bps.go.id/app/assignment/fd68e454-ba45-4b85-8205-f3bf777ded24/00681c7f-0884-416d-887f-a8ea8bd0cab2" TargetMode="External"/><Relationship Id="rId396" Type="http://schemas.openxmlformats.org/officeDocument/2006/relationships/hyperlink" Target="https://fasih-sm.bps.go.id/app/assignment/fd68e454-ba45-4b85-8205-f3bf777ded24/1f034ef7-d17f-4470-b4a2-73c20f6c01b8" TargetMode="External"/><Relationship Id="rId617" Type="http://schemas.openxmlformats.org/officeDocument/2006/relationships/hyperlink" Target="https://fasih-sm.bps.go.id/app/assignment/fd68e454-ba45-4b85-8205-f3bf777ded24/1a8071ea-8223-46a8-b423-4cd7ae806f91" TargetMode="External"/><Relationship Id="rId824" Type="http://schemas.openxmlformats.org/officeDocument/2006/relationships/hyperlink" Target="https://fasih-sm.bps.go.id/app/assignment/fd68e454-ba45-4b85-8205-f3bf777ded24/11d1fe2d-e355-4ced-a9cd-83f87e5299f9" TargetMode="External"/><Relationship Id="rId256" Type="http://schemas.openxmlformats.org/officeDocument/2006/relationships/hyperlink" Target="https://fasih-sm.bps.go.id/app/assignment/fd68e454-ba45-4b85-8205-f3bf777ded24/0b017a1e-29bd-457e-853c-143a59b5a2a1" TargetMode="External"/><Relationship Id="rId463" Type="http://schemas.openxmlformats.org/officeDocument/2006/relationships/hyperlink" Target="https://fasih-sm.bps.go.id/app/assignment/fd68e454-ba45-4b85-8205-f3bf777ded24/2b842b4f-6ebc-4cda-b077-fdad68264d54" TargetMode="External"/><Relationship Id="rId670" Type="http://schemas.openxmlformats.org/officeDocument/2006/relationships/hyperlink" Target="https://fasih-sm.bps.go.id/app/assignment/fd68e454-ba45-4b85-8205-f3bf777ded24/abfea6af-2530-47d7-b272-2eb1d34ed6f7" TargetMode="External"/><Relationship Id="rId116" Type="http://schemas.openxmlformats.org/officeDocument/2006/relationships/hyperlink" Target="https://fasih-sm.bps.go.id/app/assignment/fd68e454-ba45-4b85-8205-f3bf777ded24/4c3874c2-0ba3-423a-ae58-faeea5ad5005" TargetMode="External"/><Relationship Id="rId323" Type="http://schemas.openxmlformats.org/officeDocument/2006/relationships/hyperlink" Target="https://fasih-sm.bps.go.id/app/assignment/fd68e454-ba45-4b85-8205-f3bf777ded24/151cb99a-054f-4b69-b565-084562ac0e9d" TargetMode="External"/><Relationship Id="rId530" Type="http://schemas.openxmlformats.org/officeDocument/2006/relationships/hyperlink" Target="https://fasih-sm.bps.go.id/app/assignment/fd68e454-ba45-4b85-8205-f3bf777ded24/fcf846ad-cfb5-4b0d-b48e-b9fd04c50496" TargetMode="External"/><Relationship Id="rId768" Type="http://schemas.openxmlformats.org/officeDocument/2006/relationships/hyperlink" Target="https://fasih-sm.bps.go.id/app/assignment/fd68e454-ba45-4b85-8205-f3bf777ded24/08c99609-dd75-4988-b585-97677dcf97dd" TargetMode="External"/><Relationship Id="rId975" Type="http://schemas.openxmlformats.org/officeDocument/2006/relationships/hyperlink" Target="https://fasih-sm.bps.go.id/app/assignment/fd68e454-ba45-4b85-8205-f3bf777ded24/2a796ee0-c196-496a-bd0d-8499688f333f" TargetMode="External"/><Relationship Id="rId20" Type="http://schemas.openxmlformats.org/officeDocument/2006/relationships/hyperlink" Target="https://fasih-sm.bps.go.id/app/assignment/fd68e454-ba45-4b85-8205-f3bf777ded24/b1996660-f354-4b17-b2ac-269ec4d7db25" TargetMode="External"/><Relationship Id="rId628" Type="http://schemas.openxmlformats.org/officeDocument/2006/relationships/hyperlink" Target="https://fasih-sm.bps.go.id/app/assignment/fd68e454-ba45-4b85-8205-f3bf777ded24/36c1f1d4-14ea-437f-8c9c-84bdb252f250" TargetMode="External"/><Relationship Id="rId835" Type="http://schemas.openxmlformats.org/officeDocument/2006/relationships/hyperlink" Target="https://fasih-sm.bps.go.id/app/assignment/fd68e454-ba45-4b85-8205-f3bf777ded24/12c697ee-30d6-4d7f-8e5c-b600e703f7c4" TargetMode="External"/><Relationship Id="rId267" Type="http://schemas.openxmlformats.org/officeDocument/2006/relationships/hyperlink" Target="https://fasih-sm.bps.go.id/app/assignment/fd68e454-ba45-4b85-8205-f3bf777ded24/0c88e7a2-bab4-49d3-939b-c480ec0a3098" TargetMode="External"/><Relationship Id="rId474" Type="http://schemas.openxmlformats.org/officeDocument/2006/relationships/hyperlink" Target="https://fasih-sm.bps.go.id/app/assignment/fd68e454-ba45-4b85-8205-f3bf777ded24/2ccbb148-8b0e-4310-bfb6-d662625ed643" TargetMode="External"/><Relationship Id="rId1020" Type="http://schemas.openxmlformats.org/officeDocument/2006/relationships/hyperlink" Target="https://fasih-sm.bps.go.id/app/assignment/fd68e454-ba45-4b85-8205-f3bf777ded24/3177c588-97c6-4c31-b3c2-f2af12adbf0e" TargetMode="External"/><Relationship Id="rId127" Type="http://schemas.openxmlformats.org/officeDocument/2006/relationships/hyperlink" Target="https://fasih-sm.bps.go.id/app/assignment/fd68e454-ba45-4b85-8205-f3bf777ded24/651b8b5f-5e9a-4a8d-b7aa-ac56ef8f37a3" TargetMode="External"/><Relationship Id="rId681" Type="http://schemas.openxmlformats.org/officeDocument/2006/relationships/hyperlink" Target="https://fasih-sm.bps.go.id/app/assignment/fd68e454-ba45-4b85-8205-f3bf777ded24/bedc8177-794c-4a48-a4bc-a7350efc7c36" TargetMode="External"/><Relationship Id="rId779" Type="http://schemas.openxmlformats.org/officeDocument/2006/relationships/hyperlink" Target="https://fasih-sm.bps.go.id/app/assignment/fd68e454-ba45-4b85-8205-f3bf777ded24/0bdd0626-4840-4012-99da-128fd7155e80" TargetMode="External"/><Relationship Id="rId902" Type="http://schemas.openxmlformats.org/officeDocument/2006/relationships/hyperlink" Target="https://fasih-sm.bps.go.id/app/assignment/fd68e454-ba45-4b85-8205-f3bf777ded24/1d4cb210-31cb-462a-90f4-50ef3e463539" TargetMode="External"/><Relationship Id="rId986" Type="http://schemas.openxmlformats.org/officeDocument/2006/relationships/hyperlink" Target="https://fasih-sm.bps.go.id/app/assignment/fd68e454-ba45-4b85-8205-f3bf777ded24/2ba7e4c1-0ecf-4897-9b11-06341c5a3cb6" TargetMode="External"/><Relationship Id="rId31" Type="http://schemas.openxmlformats.org/officeDocument/2006/relationships/hyperlink" Target="https://fasih-sm.bps.go.id/app/assignment/fd68e454-ba45-4b85-8205-f3bf777ded24/38df85f1-4448-47bd-b0c6-6efc86365756" TargetMode="External"/><Relationship Id="rId334" Type="http://schemas.openxmlformats.org/officeDocument/2006/relationships/hyperlink" Target="https://fasih-sm.bps.go.id/app/assignment/fd68e454-ba45-4b85-8205-f3bf777ded24/174fd480-c216-4254-9c1a-cd2f5a50545a" TargetMode="External"/><Relationship Id="rId541" Type="http://schemas.openxmlformats.org/officeDocument/2006/relationships/hyperlink" Target="https://fasih-sm.bps.go.id/app/assignment/fd68e454-ba45-4b85-8205-f3bf777ded24/b1996660-f354-4b17-b2ac-269ec4d7db25" TargetMode="External"/><Relationship Id="rId639" Type="http://schemas.openxmlformats.org/officeDocument/2006/relationships/hyperlink" Target="https://fasih-sm.bps.go.id/app/assignment/fd68e454-ba45-4b85-8205-f3bf777ded24/4fce3584-4f00-4c81-9a11-62b6f1bdc241" TargetMode="External"/><Relationship Id="rId180" Type="http://schemas.openxmlformats.org/officeDocument/2006/relationships/hyperlink" Target="https://fasih-sm.bps.go.id/app/assignment/fd68e454-ba45-4b85-8205-f3bf777ded24/f32191fc-6f1c-49e0-bc7d-0900084fafe0" TargetMode="External"/><Relationship Id="rId278" Type="http://schemas.openxmlformats.org/officeDocument/2006/relationships/hyperlink" Target="https://fasih-sm.bps.go.id/app/assignment/fd68e454-ba45-4b85-8205-f3bf777ded24/0e2092ce-1a2c-4948-a6d1-0f5908b21912" TargetMode="External"/><Relationship Id="rId401" Type="http://schemas.openxmlformats.org/officeDocument/2006/relationships/hyperlink" Target="https://fasih-sm.bps.go.id/app/assignment/fd68e454-ba45-4b85-8205-f3bf777ded24/2036a4f8-0eb9-47ea-a0c3-d9bac4fda241" TargetMode="External"/><Relationship Id="rId846" Type="http://schemas.openxmlformats.org/officeDocument/2006/relationships/hyperlink" Target="https://fasih-sm.bps.go.id/app/assignment/fd68e454-ba45-4b85-8205-f3bf777ded24/155157fe-76d9-4efa-b277-94028e9f5dcb" TargetMode="External"/><Relationship Id="rId1031" Type="http://schemas.openxmlformats.org/officeDocument/2006/relationships/hyperlink" Target="https://fasih-sm.bps.go.id/app/assignment/fd68e454-ba45-4b85-8205-f3bf777ded24/329c6d0f-53de-4992-8098-07779a4ad78b" TargetMode="External"/><Relationship Id="rId485" Type="http://schemas.openxmlformats.org/officeDocument/2006/relationships/hyperlink" Target="https://fasih-sm.bps.go.id/app/assignment/fd68e454-ba45-4b85-8205-f3bf777ded24/2ef81fc5-f4b0-488f-8e55-7ca354099016" TargetMode="External"/><Relationship Id="rId692" Type="http://schemas.openxmlformats.org/officeDocument/2006/relationships/hyperlink" Target="https://fasih-sm.bps.go.id/app/assignment/fd68e454-ba45-4b85-8205-f3bf777ded24/dbb1d7ea-c094-4131-ae8a-e7c9d70f09cd" TargetMode="External"/><Relationship Id="rId706" Type="http://schemas.openxmlformats.org/officeDocument/2006/relationships/hyperlink" Target="https://fasih-sm.bps.go.id/app/assignment/fd68e454-ba45-4b85-8205-f3bf777ded24/fb07ac62-664d-4d1d-a511-e723c0e70124" TargetMode="External"/><Relationship Id="rId913" Type="http://schemas.openxmlformats.org/officeDocument/2006/relationships/hyperlink" Target="https://fasih-sm.bps.go.id/app/assignment/fd68e454-ba45-4b85-8205-f3bf777ded24/1e60b470-363d-48ca-ba49-a2c3da95e30a" TargetMode="External"/><Relationship Id="rId42" Type="http://schemas.openxmlformats.org/officeDocument/2006/relationships/hyperlink" Target="https://fasih-sm.bps.go.id/app/assignment/fd68e454-ba45-4b85-8205-f3bf777ded24/ca1681d8-2e7e-4090-b71f-388d4e688ebd" TargetMode="External"/><Relationship Id="rId138" Type="http://schemas.openxmlformats.org/officeDocument/2006/relationships/hyperlink" Target="https://fasih-sm.bps.go.id/app/assignment/fd68e454-ba45-4b85-8205-f3bf777ded24/932ff7d7-643e-4e7a-8cfa-b94c6ff53e31" TargetMode="External"/><Relationship Id="rId345" Type="http://schemas.openxmlformats.org/officeDocument/2006/relationships/hyperlink" Target="https://fasih-sm.bps.go.id/app/assignment/fd68e454-ba45-4b85-8205-f3bf777ded24/18a7daa9-82c1-43e6-9b52-3995d78828ac" TargetMode="External"/><Relationship Id="rId552" Type="http://schemas.openxmlformats.org/officeDocument/2006/relationships/hyperlink" Target="https://fasih-sm.bps.go.id/app/assignment/fd68e454-ba45-4b85-8205-f3bf777ded24/38df85f1-4448-47bd-b0c6-6efc86365756" TargetMode="External"/><Relationship Id="rId997" Type="http://schemas.openxmlformats.org/officeDocument/2006/relationships/hyperlink" Target="https://fasih-sm.bps.go.id/app/assignment/fd68e454-ba45-4b85-8205-f3bf777ded24/2d3ffb33-4374-4da8-9063-ebdb2fcc19da" TargetMode="External"/><Relationship Id="rId191" Type="http://schemas.openxmlformats.org/officeDocument/2006/relationships/hyperlink" Target="https://fasih-sm.bps.go.id/app/assignment/fd68e454-ba45-4b85-8205-f3bf777ded24/00d9a9b6-b46d-42e6-9646-7fb0ea9f35fd" TargetMode="External"/><Relationship Id="rId205" Type="http://schemas.openxmlformats.org/officeDocument/2006/relationships/hyperlink" Target="https://fasih-sm.bps.go.id/app/assignment/fd68e454-ba45-4b85-8205-f3bf777ded24/0396688b-9b4c-4fe7-8650-9f6e381b675a" TargetMode="External"/><Relationship Id="rId412" Type="http://schemas.openxmlformats.org/officeDocument/2006/relationships/hyperlink" Target="https://fasih-sm.bps.go.id/app/assignment/fd68e454-ba45-4b85-8205-f3bf777ded24/22e1ed95-b6e8-42a0-b653-154790f62e47" TargetMode="External"/><Relationship Id="rId857" Type="http://schemas.openxmlformats.org/officeDocument/2006/relationships/hyperlink" Target="https://fasih-sm.bps.go.id/app/assignment/fd68e454-ba45-4b85-8205-f3bf777ded24/17787b46-2ed1-4c5d-8b90-53589bca5f67" TargetMode="External"/><Relationship Id="rId1042" Type="http://schemas.openxmlformats.org/officeDocument/2006/relationships/hyperlink" Target="https://fasih-sm.bps.go.id/app/assignment/fd68e454-ba45-4b85-8205-f3bf777ded24/34cffcc0-9cf1-4a2a-9411-b01e6fd0de7e" TargetMode="External"/><Relationship Id="rId289" Type="http://schemas.openxmlformats.org/officeDocument/2006/relationships/hyperlink" Target="https://fasih-sm.bps.go.id/app/assignment/fd68e454-ba45-4b85-8205-f3bf777ded24/10307c41-40ab-4c6e-80a9-82b29205b7ac" TargetMode="External"/><Relationship Id="rId496" Type="http://schemas.openxmlformats.org/officeDocument/2006/relationships/hyperlink" Target="https://fasih-sm.bps.go.id/app/assignment/fd68e454-ba45-4b85-8205-f3bf777ded24/3152f701-f594-4eb1-99fd-d1144990f211" TargetMode="External"/><Relationship Id="rId717" Type="http://schemas.openxmlformats.org/officeDocument/2006/relationships/hyperlink" Target="https://fasih-sm.bps.go.id/app/assignment/fd68e454-ba45-4b85-8205-f3bf777ded24/01fa102a-41a3-490f-acb4-bb90bba0ae55" TargetMode="External"/><Relationship Id="rId924" Type="http://schemas.openxmlformats.org/officeDocument/2006/relationships/hyperlink" Target="https://fasih-sm.bps.go.id/app/assignment/fd68e454-ba45-4b85-8205-f3bf777ded24/206b0902-33f2-4c3c-be48-6b8676ab68b6" TargetMode="External"/><Relationship Id="rId53" Type="http://schemas.openxmlformats.org/officeDocument/2006/relationships/hyperlink" Target="https://fasih-sm.bps.go.id/app/assignment/fd68e454-ba45-4b85-8205-f3bf777ded24/ac3307b7-0c2c-4a15-a9bb-f43d7c19a4c7" TargetMode="External"/><Relationship Id="rId149" Type="http://schemas.openxmlformats.org/officeDocument/2006/relationships/hyperlink" Target="https://fasih-sm.bps.go.id/app/assignment/fd68e454-ba45-4b85-8205-f3bf777ded24/abfea6af-2530-47d7-b272-2eb1d34ed6f7" TargetMode="External"/><Relationship Id="rId356" Type="http://schemas.openxmlformats.org/officeDocument/2006/relationships/hyperlink" Target="https://fasih-sm.bps.go.id/app/assignment/fd68e454-ba45-4b85-8205-f3bf777ded24/1a0dc985-b7de-417a-bf77-cd076ed6b685" TargetMode="External"/><Relationship Id="rId563" Type="http://schemas.openxmlformats.org/officeDocument/2006/relationships/hyperlink" Target="https://fasih-sm.bps.go.id/app/assignment/fd68e454-ba45-4b85-8205-f3bf777ded24/ca1681d8-2e7e-4090-b71f-388d4e688ebd" TargetMode="External"/><Relationship Id="rId770" Type="http://schemas.openxmlformats.org/officeDocument/2006/relationships/hyperlink" Target="https://fasih-sm.bps.go.id/app/assignment/fd68e454-ba45-4b85-8205-f3bf777ded24/090b7fb5-dcd4-459d-9293-f9bb317c35d3" TargetMode="External"/><Relationship Id="rId216" Type="http://schemas.openxmlformats.org/officeDocument/2006/relationships/hyperlink" Target="https://fasih-sm.bps.go.id/app/assignment/fd68e454-ba45-4b85-8205-f3bf777ded24/0480fc92-d878-42e9-bfe3-570a2ca60fa8" TargetMode="External"/><Relationship Id="rId423" Type="http://schemas.openxmlformats.org/officeDocument/2006/relationships/hyperlink" Target="https://fasih-sm.bps.go.id/app/assignment/fd68e454-ba45-4b85-8205-f3bf777ded24/244a5775-c78e-4529-a683-aad6c23e7431" TargetMode="External"/><Relationship Id="rId868" Type="http://schemas.openxmlformats.org/officeDocument/2006/relationships/hyperlink" Target="https://fasih-sm.bps.go.id/app/assignment/fd68e454-ba45-4b85-8205-f3bf777ded24/191e430c-b2d4-48ec-9e3b-3422987e0453" TargetMode="External"/><Relationship Id="rId630" Type="http://schemas.openxmlformats.org/officeDocument/2006/relationships/hyperlink" Target="https://fasih-sm.bps.go.id/app/assignment/fd68e454-ba45-4b85-8205-f3bf777ded24/3c69cbcc-c0df-4716-8cb5-f774db615dfe" TargetMode="External"/><Relationship Id="rId728" Type="http://schemas.openxmlformats.org/officeDocument/2006/relationships/hyperlink" Target="https://fasih-sm.bps.go.id/app/assignment/fd68e454-ba45-4b85-8205-f3bf777ded24/03ceaf88-31e5-4283-a559-736a46a43f3c" TargetMode="External"/><Relationship Id="rId935" Type="http://schemas.openxmlformats.org/officeDocument/2006/relationships/hyperlink" Target="https://fasih-sm.bps.go.id/app/assignment/fd68e454-ba45-4b85-8205-f3bf777ded24/23121c38-b5ff-4d67-8356-78e78b1185c1" TargetMode="External"/><Relationship Id="rId64" Type="http://schemas.openxmlformats.org/officeDocument/2006/relationships/hyperlink" Target="https://fasih-sm.bps.go.id/app/assignment/fd68e454-ba45-4b85-8205-f3bf777ded24/82fcd4fa-5a96-4f7b-b471-7c5acbe7e4fb" TargetMode="External"/><Relationship Id="rId367" Type="http://schemas.openxmlformats.org/officeDocument/2006/relationships/hyperlink" Target="https://fasih-sm.bps.go.id/app/assignment/fd68e454-ba45-4b85-8205-f3bf777ded24/1baf3d0c-be46-4897-a0bc-791c7933f99d" TargetMode="External"/><Relationship Id="rId574" Type="http://schemas.openxmlformats.org/officeDocument/2006/relationships/hyperlink" Target="https://fasih-sm.bps.go.id/app/assignment/fd68e454-ba45-4b85-8205-f3bf777ded24/ac3307b7-0c2c-4a15-a9bb-f43d7c19a4c7" TargetMode="External"/><Relationship Id="rId227" Type="http://schemas.openxmlformats.org/officeDocument/2006/relationships/hyperlink" Target="https://fasih-sm.bps.go.id/app/assignment/fd68e454-ba45-4b85-8205-f3bf777ded24/064d9e7b-b4de-4207-9359-a66390826215" TargetMode="External"/><Relationship Id="rId781" Type="http://schemas.openxmlformats.org/officeDocument/2006/relationships/hyperlink" Target="https://fasih-sm.bps.go.id/app/assignment/fd68e454-ba45-4b85-8205-f3bf777ded24/0be7c2ff-59e1-499f-984f-1ea77f3c7ca8" TargetMode="External"/><Relationship Id="rId879" Type="http://schemas.openxmlformats.org/officeDocument/2006/relationships/hyperlink" Target="https://fasih-sm.bps.go.id/app/assignment/fd68e454-ba45-4b85-8205-f3bf777ded24/1a3b4013-8dc7-4f68-8e76-23e5dbf81a70" TargetMode="External"/><Relationship Id="rId434" Type="http://schemas.openxmlformats.org/officeDocument/2006/relationships/hyperlink" Target="https://fasih-sm.bps.go.id/app/assignment/fd68e454-ba45-4b85-8205-f3bf777ded24/262a08d0-02ad-4010-8370-9f26fe158b90" TargetMode="External"/><Relationship Id="rId641" Type="http://schemas.openxmlformats.org/officeDocument/2006/relationships/hyperlink" Target="https://fasih-sm.bps.go.id/app/assignment/fd68e454-ba45-4b85-8205-f3bf777ded24/516c7aa7-b1d7-4ece-9491-df81295beab9" TargetMode="External"/><Relationship Id="rId739" Type="http://schemas.openxmlformats.org/officeDocument/2006/relationships/hyperlink" Target="https://fasih-sm.bps.go.id/app/assignment/fd68e454-ba45-4b85-8205-f3bf777ded24/04db1d5c-735c-48bc-8438-d47f4db4d99a" TargetMode="External"/><Relationship Id="rId280" Type="http://schemas.openxmlformats.org/officeDocument/2006/relationships/hyperlink" Target="https://fasih-sm.bps.go.id/app/assignment/fd68e454-ba45-4b85-8205-f3bf777ded24/0e6e7f13-a1b2-4f3c-b5e8-d2cc91441611" TargetMode="External"/><Relationship Id="rId501" Type="http://schemas.openxmlformats.org/officeDocument/2006/relationships/hyperlink" Target="https://fasih-sm.bps.go.id/app/assignment/fd68e454-ba45-4b85-8205-f3bf777ded24/3186a9f1-5dc1-4b19-a1ad-b3af4bd7038e" TargetMode="External"/><Relationship Id="rId946" Type="http://schemas.openxmlformats.org/officeDocument/2006/relationships/hyperlink" Target="https://fasih-sm.bps.go.id/app/assignment/fd68e454-ba45-4b85-8205-f3bf777ded24/24ae97b3-e717-41ae-aee1-06eec4422f9a" TargetMode="External"/><Relationship Id="rId75" Type="http://schemas.openxmlformats.org/officeDocument/2006/relationships/hyperlink" Target="https://fasih-sm.bps.go.id/app/assignment/fd68e454-ba45-4b85-8205-f3bf777ded24/ff9d1b35-ae6c-4797-86dc-9374027fbf25" TargetMode="External"/><Relationship Id="rId140" Type="http://schemas.openxmlformats.org/officeDocument/2006/relationships/hyperlink" Target="https://fasih-sm.bps.go.id/app/assignment/fd68e454-ba45-4b85-8205-f3bf777ded24/983404e3-f9bd-4680-b2af-0a1f56dad545" TargetMode="External"/><Relationship Id="rId378" Type="http://schemas.openxmlformats.org/officeDocument/2006/relationships/hyperlink" Target="https://fasih-sm.bps.go.id/app/assignment/fd68e454-ba45-4b85-8205-f3bf777ded24/1cdffa0d-2560-4766-8c5c-aefcb35701bc" TargetMode="External"/><Relationship Id="rId585" Type="http://schemas.openxmlformats.org/officeDocument/2006/relationships/hyperlink" Target="https://fasih-sm.bps.go.id/app/assignment/fd68e454-ba45-4b85-8205-f3bf777ded24/82fcd4fa-5a96-4f7b-b471-7c5acbe7e4fb" TargetMode="External"/><Relationship Id="rId792" Type="http://schemas.openxmlformats.org/officeDocument/2006/relationships/hyperlink" Target="https://fasih-sm.bps.go.id/app/assignment/fd68e454-ba45-4b85-8205-f3bf777ded24/0d1728cd-e3de-426c-8054-3185a58b90c8" TargetMode="External"/><Relationship Id="rId806" Type="http://schemas.openxmlformats.org/officeDocument/2006/relationships/hyperlink" Target="https://fasih-sm.bps.go.id/app/assignment/fd68e454-ba45-4b85-8205-f3bf777ded24/0f93742f-40a4-45d1-a80c-5860246f0f48" TargetMode="External"/><Relationship Id="rId6" Type="http://schemas.openxmlformats.org/officeDocument/2006/relationships/hyperlink" Target="https://fasih-sm.bps.go.id/app/assignment/fd68e454-ba45-4b85-8205-f3bf777ded24/f292e662-0681-450b-8476-e7dcb9701238" TargetMode="External"/><Relationship Id="rId238" Type="http://schemas.openxmlformats.org/officeDocument/2006/relationships/hyperlink" Target="https://fasih-sm.bps.go.id/app/assignment/fd68e454-ba45-4b85-8205-f3bf777ded24/07a6feca-e406-40b2-8a41-b20456f9dc22" TargetMode="External"/><Relationship Id="rId445" Type="http://schemas.openxmlformats.org/officeDocument/2006/relationships/hyperlink" Target="https://fasih-sm.bps.go.id/app/assignment/fd68e454-ba45-4b85-8205-f3bf777ded24/28bd0ed9-0ef6-4999-97ed-408d94b7956a" TargetMode="External"/><Relationship Id="rId652" Type="http://schemas.openxmlformats.org/officeDocument/2006/relationships/hyperlink" Target="https://fasih-sm.bps.go.id/app/assignment/fd68e454-ba45-4b85-8205-f3bf777ded24/760b9241-2933-4bad-93cf-a4ab1252458b" TargetMode="External"/><Relationship Id="rId291" Type="http://schemas.openxmlformats.org/officeDocument/2006/relationships/hyperlink" Target="https://fasih-sm.bps.go.id/app/assignment/fd68e454-ba45-4b85-8205-f3bf777ded24/1046fdcd-a65e-4f7d-882e-02db13c46cb1" TargetMode="External"/><Relationship Id="rId305" Type="http://schemas.openxmlformats.org/officeDocument/2006/relationships/hyperlink" Target="https://fasih-sm.bps.go.id/app/assignment/fd68e454-ba45-4b85-8205-f3bf777ded24/11f51227-8b67-4fc4-b0de-3650f1a1d383" TargetMode="External"/><Relationship Id="rId512" Type="http://schemas.openxmlformats.org/officeDocument/2006/relationships/hyperlink" Target="https://fasih-sm.bps.go.id/app/assignment/fd68e454-ba45-4b85-8205-f3bf777ded24/32bd51b8-d37e-4027-9a4c-bc05daa0866b" TargetMode="External"/><Relationship Id="rId957" Type="http://schemas.openxmlformats.org/officeDocument/2006/relationships/hyperlink" Target="https://fasih-sm.bps.go.id/app/assignment/fd68e454-ba45-4b85-8205-f3bf777ded24/2687e7df-8f98-4aec-a121-b2d637827959" TargetMode="External"/><Relationship Id="rId86" Type="http://schemas.openxmlformats.org/officeDocument/2006/relationships/hyperlink" Target="https://fasih-sm.bps.go.id/app/assignment/fd68e454-ba45-4b85-8205-f3bf777ded24/04ba4abc-1b54-4672-8266-0eb79969c285" TargetMode="External"/><Relationship Id="rId151" Type="http://schemas.openxmlformats.org/officeDocument/2006/relationships/hyperlink" Target="https://fasih-sm.bps.go.id/app/assignment/fd68e454-ba45-4b85-8205-f3bf777ded24/ae4d7cfc-a9e3-49ec-811e-414842421a2c" TargetMode="External"/><Relationship Id="rId389" Type="http://schemas.openxmlformats.org/officeDocument/2006/relationships/hyperlink" Target="https://fasih-sm.bps.go.id/app/assignment/fd68e454-ba45-4b85-8205-f3bf777ded24/1e31c816-f3c0-420d-b8c4-d7960191be83" TargetMode="External"/><Relationship Id="rId596" Type="http://schemas.openxmlformats.org/officeDocument/2006/relationships/hyperlink" Target="https://fasih-sm.bps.go.id/app/assignment/fd68e454-ba45-4b85-8205-f3bf777ded24/ff9d1b35-ae6c-4797-86dc-9374027fbf25" TargetMode="External"/><Relationship Id="rId817" Type="http://schemas.openxmlformats.org/officeDocument/2006/relationships/hyperlink" Target="https://fasih-sm.bps.go.id/app/assignment/fd68e454-ba45-4b85-8205-f3bf777ded24/10ee8f68-c58d-4b13-9670-53cd2743b43c" TargetMode="External"/><Relationship Id="rId1002" Type="http://schemas.openxmlformats.org/officeDocument/2006/relationships/hyperlink" Target="https://fasih-sm.bps.go.id/app/assignment/fd68e454-ba45-4b85-8205-f3bf777ded24/2e3e304b-f251-4447-a4f5-ab88170e9226" TargetMode="External"/><Relationship Id="rId249" Type="http://schemas.openxmlformats.org/officeDocument/2006/relationships/hyperlink" Target="https://fasih-sm.bps.go.id/app/assignment/fd68e454-ba45-4b85-8205-f3bf777ded24/090b7fb5-dcd4-459d-9293-f9bb317c35d3" TargetMode="External"/><Relationship Id="rId456" Type="http://schemas.openxmlformats.org/officeDocument/2006/relationships/hyperlink" Target="https://fasih-sm.bps.go.id/app/assignment/fd68e454-ba45-4b85-8205-f3bf777ded24/2b0b0c95-b3ff-4f07-a02f-0af51f295a3e" TargetMode="External"/><Relationship Id="rId663" Type="http://schemas.openxmlformats.org/officeDocument/2006/relationships/hyperlink" Target="https://fasih-sm.bps.go.id/app/assignment/fd68e454-ba45-4b85-8205-f3bf777ded24/9bf84321-3525-4582-9457-133e39762b8c" TargetMode="External"/><Relationship Id="rId870" Type="http://schemas.openxmlformats.org/officeDocument/2006/relationships/hyperlink" Target="https://fasih-sm.bps.go.id/app/assignment/fd68e454-ba45-4b85-8205-f3bf777ded24/1953560f-96ae-44f8-a0e3-8412d270dcc3" TargetMode="External"/><Relationship Id="rId13" Type="http://schemas.openxmlformats.org/officeDocument/2006/relationships/hyperlink" Target="https://fasih-sm.bps.go.id/app/assignment/fd68e454-ba45-4b85-8205-f3bf777ded24/a352dc06-b399-443f-bdc5-b53811814c2e" TargetMode="External"/><Relationship Id="rId109" Type="http://schemas.openxmlformats.org/officeDocument/2006/relationships/hyperlink" Target="https://fasih-sm.bps.go.id/app/assignment/fd68e454-ba45-4b85-8205-f3bf777ded24/3c69cbcc-c0df-4716-8cb5-f774db615dfe" TargetMode="External"/><Relationship Id="rId316" Type="http://schemas.openxmlformats.org/officeDocument/2006/relationships/hyperlink" Target="https://fasih-sm.bps.go.id/app/assignment/fd68e454-ba45-4b85-8205-f3bf777ded24/13bfff81-07c5-4908-ac97-22c703d98e62" TargetMode="External"/><Relationship Id="rId523" Type="http://schemas.openxmlformats.org/officeDocument/2006/relationships/hyperlink" Target="https://fasih-sm.bps.go.id/app/assignment/fd68e454-ba45-4b85-8205-f3bf777ded24/bc8ea871-c8c6-4f12-8b05-abaea7866465" TargetMode="External"/><Relationship Id="rId968" Type="http://schemas.openxmlformats.org/officeDocument/2006/relationships/hyperlink" Target="https://fasih-sm.bps.go.id/app/assignment/fd68e454-ba45-4b85-8205-f3bf777ded24/28de94b8-8987-42c9-b65c-974949ea4086" TargetMode="External"/><Relationship Id="rId97" Type="http://schemas.openxmlformats.org/officeDocument/2006/relationships/hyperlink" Target="https://fasih-sm.bps.go.id/app/assignment/fd68e454-ba45-4b85-8205-f3bf777ded24/1b3a7b60-d84a-4e42-8493-27c06746deac" TargetMode="External"/><Relationship Id="rId730" Type="http://schemas.openxmlformats.org/officeDocument/2006/relationships/hyperlink" Target="https://fasih-sm.bps.go.id/app/assignment/fd68e454-ba45-4b85-8205-f3bf777ded24/03ec2de9-c4d3-4f62-ba9b-2bf732eee636" TargetMode="External"/><Relationship Id="rId828" Type="http://schemas.openxmlformats.org/officeDocument/2006/relationships/hyperlink" Target="https://fasih-sm.bps.go.id/app/assignment/fd68e454-ba45-4b85-8205-f3bf777ded24/120efddf-897a-4d87-b79a-ecda4f28c952" TargetMode="External"/><Relationship Id="rId1013" Type="http://schemas.openxmlformats.org/officeDocument/2006/relationships/hyperlink" Target="https://fasih-sm.bps.go.id/app/assignment/fd68e454-ba45-4b85-8205-f3bf777ded24/30197da5-eee0-4b33-bc89-3d955f566770" TargetMode="External"/><Relationship Id="rId162" Type="http://schemas.openxmlformats.org/officeDocument/2006/relationships/hyperlink" Target="https://fasih-sm.bps.go.id/app/assignment/fd68e454-ba45-4b85-8205-f3bf777ded24/c57dbc3a-1eb0-4a8b-bbc1-b21e996d6b28" TargetMode="External"/><Relationship Id="rId467" Type="http://schemas.openxmlformats.org/officeDocument/2006/relationships/hyperlink" Target="https://fasih-sm.bps.go.id/app/assignment/fd68e454-ba45-4b85-8205-f3bf777ded24/2bc08322-f300-495f-8fbf-a85a410ae7d4" TargetMode="External"/><Relationship Id="rId674" Type="http://schemas.openxmlformats.org/officeDocument/2006/relationships/hyperlink" Target="https://fasih-sm.bps.go.id/app/assignment/fd68e454-ba45-4b85-8205-f3bf777ded24/b0d2c78b-8895-48ac-a63c-97b667d22bee" TargetMode="External"/><Relationship Id="rId881" Type="http://schemas.openxmlformats.org/officeDocument/2006/relationships/hyperlink" Target="https://fasih-sm.bps.go.id/app/assignment/fd68e454-ba45-4b85-8205-f3bf777ded24/1a4f379d-6417-49da-b11e-2417d5a6afc3" TargetMode="External"/><Relationship Id="rId979" Type="http://schemas.openxmlformats.org/officeDocument/2006/relationships/hyperlink" Target="https://fasih-sm.bps.go.id/app/assignment/fd68e454-ba45-4b85-8205-f3bf777ded24/2b26e009-866c-4e03-a4f9-61a4190d44f5" TargetMode="External"/><Relationship Id="rId24" Type="http://schemas.openxmlformats.org/officeDocument/2006/relationships/hyperlink" Target="https://fasih-sm.bps.go.id/app/assignment/fd68e454-ba45-4b85-8205-f3bf777ded24/ffaf74a0-399c-426b-8959-99ea8f52cacd" TargetMode="External"/><Relationship Id="rId327" Type="http://schemas.openxmlformats.org/officeDocument/2006/relationships/hyperlink" Target="https://fasih-sm.bps.go.id/app/assignment/fd68e454-ba45-4b85-8205-f3bf777ded24/160e74aa-696a-4f7a-a7f6-58d86d2c995c" TargetMode="External"/><Relationship Id="rId534" Type="http://schemas.openxmlformats.org/officeDocument/2006/relationships/hyperlink" Target="https://fasih-sm.bps.go.id/app/assignment/fd68e454-ba45-4b85-8205-f3bf777ded24/a352dc06-b399-443f-bdc5-b53811814c2e" TargetMode="External"/><Relationship Id="rId741" Type="http://schemas.openxmlformats.org/officeDocument/2006/relationships/hyperlink" Target="https://fasih-sm.bps.go.id/app/assignment/fd68e454-ba45-4b85-8205-f3bf777ded24/0551f03d-f0b6-42a8-9fe4-88ebff3610ad" TargetMode="External"/><Relationship Id="rId839" Type="http://schemas.openxmlformats.org/officeDocument/2006/relationships/hyperlink" Target="https://fasih-sm.bps.go.id/app/assignment/fd68e454-ba45-4b85-8205-f3bf777ded24/13cc4360-dba7-4aea-a06f-523d11a8462a" TargetMode="External"/><Relationship Id="rId173" Type="http://schemas.openxmlformats.org/officeDocument/2006/relationships/hyperlink" Target="https://fasih-sm.bps.go.id/app/assignment/fd68e454-ba45-4b85-8205-f3bf777ded24/e342d712-5391-4f3e-9b0c-8fa66992f117" TargetMode="External"/><Relationship Id="rId380" Type="http://schemas.openxmlformats.org/officeDocument/2006/relationships/hyperlink" Target="https://fasih-sm.bps.go.id/app/assignment/fd68e454-ba45-4b85-8205-f3bf777ded24/1d4b4764-d572-4ba6-a48c-c8394a76273b" TargetMode="External"/><Relationship Id="rId601" Type="http://schemas.openxmlformats.org/officeDocument/2006/relationships/hyperlink" Target="https://fasih-sm.bps.go.id/app/assignment/fd68e454-ba45-4b85-8205-f3bf777ded24/f7a93793-d4af-4e38-bcbf-90b363329a73" TargetMode="External"/><Relationship Id="rId1024" Type="http://schemas.openxmlformats.org/officeDocument/2006/relationships/hyperlink" Target="https://fasih-sm.bps.go.id/app/assignment/fd68e454-ba45-4b85-8205-f3bf777ded24/31c174b4-ff79-4a2b-b9a6-d2692cbd530d" TargetMode="External"/><Relationship Id="rId240" Type="http://schemas.openxmlformats.org/officeDocument/2006/relationships/hyperlink" Target="https://fasih-sm.bps.go.id/app/assignment/fd68e454-ba45-4b85-8205-f3bf777ded24/07dc6a53-2f9f-412f-9110-bd24708493bd" TargetMode="External"/><Relationship Id="rId478" Type="http://schemas.openxmlformats.org/officeDocument/2006/relationships/hyperlink" Target="https://fasih-sm.bps.go.id/app/assignment/fd68e454-ba45-4b85-8205-f3bf777ded24/2d9082ac-fd7c-48c1-8324-183c1b178434" TargetMode="External"/><Relationship Id="rId685" Type="http://schemas.openxmlformats.org/officeDocument/2006/relationships/hyperlink" Target="https://fasih-sm.bps.go.id/app/assignment/fd68e454-ba45-4b85-8205-f3bf777ded24/ccaae76d-33da-42ec-a247-faf91600e254" TargetMode="External"/><Relationship Id="rId892" Type="http://schemas.openxmlformats.org/officeDocument/2006/relationships/hyperlink" Target="https://fasih-sm.bps.go.id/app/assignment/fd68e454-ba45-4b85-8205-f3bf777ded24/1c2bcc79-959f-404b-a1d7-847ceb4ff236" TargetMode="External"/><Relationship Id="rId906" Type="http://schemas.openxmlformats.org/officeDocument/2006/relationships/hyperlink" Target="https://fasih-sm.bps.go.id/app/assignment/fd68e454-ba45-4b85-8205-f3bf777ded24/1e14fd0e-c90d-4224-8d11-c6a417cc8c54" TargetMode="External"/><Relationship Id="rId35" Type="http://schemas.openxmlformats.org/officeDocument/2006/relationships/hyperlink" Target="https://fasih-sm.bps.go.id/app/assignment/fd68e454-ba45-4b85-8205-f3bf777ded24/650dfa12-c07c-4c53-9257-6e0180d088a1" TargetMode="External"/><Relationship Id="rId100" Type="http://schemas.openxmlformats.org/officeDocument/2006/relationships/hyperlink" Target="https://fasih-sm.bps.go.id/app/assignment/fd68e454-ba45-4b85-8205-f3bf777ded24/27ccf637-70b1-43b1-8f13-58fa698d5163" TargetMode="External"/><Relationship Id="rId338" Type="http://schemas.openxmlformats.org/officeDocument/2006/relationships/hyperlink" Target="https://fasih-sm.bps.go.id/app/assignment/fd68e454-ba45-4b85-8205-f3bf777ded24/178e9f64-7a19-4c4b-aabc-c27dde7f7269" TargetMode="External"/><Relationship Id="rId545" Type="http://schemas.openxmlformats.org/officeDocument/2006/relationships/hyperlink" Target="https://fasih-sm.bps.go.id/app/assignment/fd68e454-ba45-4b85-8205-f3bf777ded24/ffaf74a0-399c-426b-8959-99ea8f52cacd" TargetMode="External"/><Relationship Id="rId752" Type="http://schemas.openxmlformats.org/officeDocument/2006/relationships/hyperlink" Target="https://fasih-sm.bps.go.id/app/assignment/fd68e454-ba45-4b85-8205-f3bf777ded24/06e9d6ef-f450-4d86-b1eb-8b8f956788ff" TargetMode="External"/><Relationship Id="rId184" Type="http://schemas.openxmlformats.org/officeDocument/2006/relationships/hyperlink" Target="https://fasih-sm.bps.go.id/app/assignment/fd68e454-ba45-4b85-8205-f3bf777ded24/f994c133-8e4d-4cb3-a4cc-2f562324da1d" TargetMode="External"/><Relationship Id="rId391" Type="http://schemas.openxmlformats.org/officeDocument/2006/relationships/hyperlink" Target="https://fasih-sm.bps.go.id/app/assignment/fd68e454-ba45-4b85-8205-f3bf777ded24/1e358d53-28ff-4e91-bbd7-4831dbc288c3" TargetMode="External"/><Relationship Id="rId405" Type="http://schemas.openxmlformats.org/officeDocument/2006/relationships/hyperlink" Target="https://fasih-sm.bps.go.id/app/assignment/fd68e454-ba45-4b85-8205-f3bf777ded24/20ad9e44-52a5-4262-a7f6-dbe4d8408377" TargetMode="External"/><Relationship Id="rId612" Type="http://schemas.openxmlformats.org/officeDocument/2006/relationships/hyperlink" Target="https://fasih-sm.bps.go.id/app/assignment/fd68e454-ba45-4b85-8205-f3bf777ded24/114f7748-2a5c-4562-adee-f887a2ba9832" TargetMode="External"/><Relationship Id="rId1035" Type="http://schemas.openxmlformats.org/officeDocument/2006/relationships/hyperlink" Target="https://fasih-sm.bps.go.id/app/assignment/fd68e454-ba45-4b85-8205-f3bf777ded24/331b0bae-9c35-4880-a696-0b5c64fc56ee" TargetMode="External"/><Relationship Id="rId251" Type="http://schemas.openxmlformats.org/officeDocument/2006/relationships/hyperlink" Target="https://fasih-sm.bps.go.id/app/assignment/fd68e454-ba45-4b85-8205-f3bf777ded24/0a09fa63-b30f-45e0-ad96-b78616d1e03b" TargetMode="External"/><Relationship Id="rId489" Type="http://schemas.openxmlformats.org/officeDocument/2006/relationships/hyperlink" Target="https://fasih-sm.bps.go.id/app/assignment/fd68e454-ba45-4b85-8205-f3bf777ded24/2f8859cd-f1fa-41da-bcea-df5dcaeab911" TargetMode="External"/><Relationship Id="rId696" Type="http://schemas.openxmlformats.org/officeDocument/2006/relationships/hyperlink" Target="https://fasih-sm.bps.go.id/app/assignment/fd68e454-ba45-4b85-8205-f3bf777ded24/e7c94e3d-ed7b-4de4-8bef-7b4a339e3365" TargetMode="External"/><Relationship Id="rId917" Type="http://schemas.openxmlformats.org/officeDocument/2006/relationships/hyperlink" Target="https://fasih-sm.bps.go.id/app/assignment/fd68e454-ba45-4b85-8205-f3bf777ded24/1f034ef7-d17f-4470-b4a2-73c20f6c01b8" TargetMode="External"/><Relationship Id="rId46" Type="http://schemas.openxmlformats.org/officeDocument/2006/relationships/hyperlink" Target="https://fasih-sm.bps.go.id/app/assignment/fd68e454-ba45-4b85-8205-f3bf777ded24/51ed7036-2df4-4d3c-8d48-690fa9d10397" TargetMode="External"/><Relationship Id="rId349" Type="http://schemas.openxmlformats.org/officeDocument/2006/relationships/hyperlink" Target="https://fasih-sm.bps.go.id/app/assignment/fd68e454-ba45-4b85-8205-f3bf777ded24/1953560f-96ae-44f8-a0e3-8412d270dcc3" TargetMode="External"/><Relationship Id="rId556" Type="http://schemas.openxmlformats.org/officeDocument/2006/relationships/hyperlink" Target="https://fasih-sm.bps.go.id/app/assignment/fd68e454-ba45-4b85-8205-f3bf777ded24/650dfa12-c07c-4c53-9257-6e0180d088a1" TargetMode="External"/><Relationship Id="rId763" Type="http://schemas.openxmlformats.org/officeDocument/2006/relationships/hyperlink" Target="https://fasih-sm.bps.go.id/app/assignment/fd68e454-ba45-4b85-8205-f3bf777ded24/0844d1b2-10aa-45fc-8fe5-ba36cada8bec" TargetMode="External"/><Relationship Id="rId111" Type="http://schemas.openxmlformats.org/officeDocument/2006/relationships/hyperlink" Target="https://fasih-sm.bps.go.id/app/assignment/fd68e454-ba45-4b85-8205-f3bf777ded24/43635ee9-202b-4b74-9ac7-238fe6d78777" TargetMode="External"/><Relationship Id="rId195" Type="http://schemas.openxmlformats.org/officeDocument/2006/relationships/hyperlink" Target="https://fasih-sm.bps.go.id/app/assignment/fd68e454-ba45-4b85-8205-f3bf777ded24/01efe346-5814-4fb5-a473-f99322bf9f7d" TargetMode="External"/><Relationship Id="rId209" Type="http://schemas.openxmlformats.org/officeDocument/2006/relationships/hyperlink" Target="https://fasih-sm.bps.go.id/app/assignment/fd68e454-ba45-4b85-8205-f3bf777ded24/03ec2de9-c4d3-4f62-ba9b-2bf732eee636" TargetMode="External"/><Relationship Id="rId416" Type="http://schemas.openxmlformats.org/officeDocument/2006/relationships/hyperlink" Target="https://fasih-sm.bps.go.id/app/assignment/fd68e454-ba45-4b85-8205-f3bf777ded24/23639cb8-5aae-497e-a280-faaab0b96d9c" TargetMode="External"/><Relationship Id="rId970" Type="http://schemas.openxmlformats.org/officeDocument/2006/relationships/hyperlink" Target="https://fasih-sm.bps.go.id/app/assignment/fd68e454-ba45-4b85-8205-f3bf777ded24/2977667d-3cf7-4ccf-adb8-7737336e1e68" TargetMode="External"/><Relationship Id="rId623" Type="http://schemas.openxmlformats.org/officeDocument/2006/relationships/hyperlink" Target="https://fasih-sm.bps.go.id/app/assignment/fd68e454-ba45-4b85-8205-f3bf777ded24/2ee6458a-eb08-49c9-bfd9-7149ce0c2a2e" TargetMode="External"/><Relationship Id="rId830" Type="http://schemas.openxmlformats.org/officeDocument/2006/relationships/hyperlink" Target="https://fasih-sm.bps.go.id/app/assignment/fd68e454-ba45-4b85-8205-f3bf777ded24/12138242-b764-451c-8fc3-dc2d55bce35a" TargetMode="External"/><Relationship Id="rId928" Type="http://schemas.openxmlformats.org/officeDocument/2006/relationships/hyperlink" Target="https://fasih-sm.bps.go.id/app/assignment/fd68e454-ba45-4b85-8205-f3bf777ded24/212a37e8-56e0-451e-8a27-34f55c7b6b0a" TargetMode="External"/><Relationship Id="rId57" Type="http://schemas.openxmlformats.org/officeDocument/2006/relationships/hyperlink" Target="https://fasih-sm.bps.go.id/app/assignment/fd68e454-ba45-4b85-8205-f3bf777ded24/d2abc33f-1eb3-4417-8f52-b37a312dceca" TargetMode="External"/><Relationship Id="rId262" Type="http://schemas.openxmlformats.org/officeDocument/2006/relationships/hyperlink" Target="https://fasih-sm.bps.go.id/app/assignment/fd68e454-ba45-4b85-8205-f3bf777ded24/0bfa712f-5d43-460c-834c-fa9fcda95873" TargetMode="External"/><Relationship Id="rId567" Type="http://schemas.openxmlformats.org/officeDocument/2006/relationships/hyperlink" Target="https://fasih-sm.bps.go.id/app/assignment/fd68e454-ba45-4b85-8205-f3bf777ded24/51ed7036-2df4-4d3c-8d48-690fa9d10397" TargetMode="External"/><Relationship Id="rId122" Type="http://schemas.openxmlformats.org/officeDocument/2006/relationships/hyperlink" Target="https://fasih-sm.bps.go.id/app/assignment/fd68e454-ba45-4b85-8205-f3bf777ded24/520804a2-1a2d-4603-a6ca-b8cac9579195" TargetMode="External"/><Relationship Id="rId774" Type="http://schemas.openxmlformats.org/officeDocument/2006/relationships/hyperlink" Target="https://fasih-sm.bps.go.id/app/assignment/fd68e454-ba45-4b85-8205-f3bf777ded24/0a6443fc-af61-4f60-88af-c1d71ddfed6e" TargetMode="External"/><Relationship Id="rId981" Type="http://schemas.openxmlformats.org/officeDocument/2006/relationships/hyperlink" Target="https://fasih-sm.bps.go.id/app/assignment/fd68e454-ba45-4b85-8205-f3bf777ded24/2b6f1974-928d-4956-8209-5cc5937bc6f4" TargetMode="External"/><Relationship Id="rId427" Type="http://schemas.openxmlformats.org/officeDocument/2006/relationships/hyperlink" Target="https://fasih-sm.bps.go.id/app/assignment/fd68e454-ba45-4b85-8205-f3bf777ded24/25099861-1e44-40f0-80f4-b1a163d104b6" TargetMode="External"/><Relationship Id="rId634" Type="http://schemas.openxmlformats.org/officeDocument/2006/relationships/hyperlink" Target="https://fasih-sm.bps.go.id/app/assignment/fd68e454-ba45-4b85-8205-f3bf777ded24/4603e617-b7f8-4a5f-a30a-a81317eb438a" TargetMode="External"/><Relationship Id="rId841" Type="http://schemas.openxmlformats.org/officeDocument/2006/relationships/hyperlink" Target="https://fasih-sm.bps.go.id/app/assignment/fd68e454-ba45-4b85-8205-f3bf777ded24/14550d11-48a3-4f72-8d87-d79ae07e6843" TargetMode="External"/><Relationship Id="rId273" Type="http://schemas.openxmlformats.org/officeDocument/2006/relationships/hyperlink" Target="https://fasih-sm.bps.go.id/app/assignment/fd68e454-ba45-4b85-8205-f3bf777ded24/0d53e2c2-ba4e-41db-8fe1-64b70cbf2d87" TargetMode="External"/><Relationship Id="rId480" Type="http://schemas.openxmlformats.org/officeDocument/2006/relationships/hyperlink" Target="https://fasih-sm.bps.go.id/app/assignment/fd68e454-ba45-4b85-8205-f3bf777ded24/2dd50f3a-8dc6-42cc-a894-18b2d89d70e0" TargetMode="External"/><Relationship Id="rId701" Type="http://schemas.openxmlformats.org/officeDocument/2006/relationships/hyperlink" Target="https://fasih-sm.bps.go.id/app/assignment/fd68e454-ba45-4b85-8205-f3bf777ded24/f32191fc-6f1c-49e0-bc7d-0900084fafe0" TargetMode="External"/><Relationship Id="rId939" Type="http://schemas.openxmlformats.org/officeDocument/2006/relationships/hyperlink" Target="https://fasih-sm.bps.go.id/app/assignment/fd68e454-ba45-4b85-8205-f3bf777ded24/23670322-9bea-4c6f-b70c-81d056bef641" TargetMode="External"/><Relationship Id="rId68" Type="http://schemas.openxmlformats.org/officeDocument/2006/relationships/hyperlink" Target="https://fasih-sm.bps.go.id/app/assignment/fd68e454-ba45-4b85-8205-f3bf777ded24/b38e30b6-b530-4476-9cee-1fa698e49af5" TargetMode="External"/><Relationship Id="rId133" Type="http://schemas.openxmlformats.org/officeDocument/2006/relationships/hyperlink" Target="https://fasih-sm.bps.go.id/app/assignment/fd68e454-ba45-4b85-8205-f3bf777ded24/7f6eb45e-ff0c-4169-9ea5-2a27b0646958" TargetMode="External"/><Relationship Id="rId340" Type="http://schemas.openxmlformats.org/officeDocument/2006/relationships/hyperlink" Target="https://fasih-sm.bps.go.id/app/assignment/fd68e454-ba45-4b85-8205-f3bf777ded24/17d80f09-95e6-4aff-9d01-3c707d1c5424" TargetMode="External"/><Relationship Id="rId578" Type="http://schemas.openxmlformats.org/officeDocument/2006/relationships/hyperlink" Target="https://fasih-sm.bps.go.id/app/assignment/fd68e454-ba45-4b85-8205-f3bf777ded24/d2abc33f-1eb3-4417-8f52-b37a312dceca" TargetMode="External"/><Relationship Id="rId785" Type="http://schemas.openxmlformats.org/officeDocument/2006/relationships/hyperlink" Target="https://fasih-sm.bps.go.id/app/assignment/fd68e454-ba45-4b85-8205-f3bf777ded24/0bfce414-3e42-4f30-b0ce-0f2d145cc804" TargetMode="External"/><Relationship Id="rId992" Type="http://schemas.openxmlformats.org/officeDocument/2006/relationships/hyperlink" Target="https://fasih-sm.bps.go.id/app/assignment/fd68e454-ba45-4b85-8205-f3bf777ded24/2c71c312-f5b6-4c87-a797-3303bb6ed569" TargetMode="External"/><Relationship Id="rId200" Type="http://schemas.openxmlformats.org/officeDocument/2006/relationships/hyperlink" Target="https://fasih-sm.bps.go.id/app/assignment/fd68e454-ba45-4b85-8205-f3bf777ded24/02b873f5-4045-4f09-a4f2-f372e212c2f7" TargetMode="External"/><Relationship Id="rId438" Type="http://schemas.openxmlformats.org/officeDocument/2006/relationships/hyperlink" Target="https://fasih-sm.bps.go.id/app/assignment/fd68e454-ba45-4b85-8205-f3bf777ded24/26c67eb6-d37f-4c22-97ac-c6c78ae4dd8c" TargetMode="External"/><Relationship Id="rId645" Type="http://schemas.openxmlformats.org/officeDocument/2006/relationships/hyperlink" Target="https://fasih-sm.bps.go.id/app/assignment/fd68e454-ba45-4b85-8205-f3bf777ded24/54ec53da-2056-4bfe-b16c-f5c9f36ff6e9" TargetMode="External"/><Relationship Id="rId852" Type="http://schemas.openxmlformats.org/officeDocument/2006/relationships/hyperlink" Target="https://fasih-sm.bps.go.id/app/assignment/fd68e454-ba45-4b85-8205-f3bf777ded24/165ee7f9-6c32-4a20-a656-e80887957432" TargetMode="External"/><Relationship Id="rId284" Type="http://schemas.openxmlformats.org/officeDocument/2006/relationships/hyperlink" Target="https://fasih-sm.bps.go.id/app/assignment/fd68e454-ba45-4b85-8205-f3bf777ded24/0f3c53a6-9e67-46bd-b0fb-beabe5d24bd5" TargetMode="External"/><Relationship Id="rId491" Type="http://schemas.openxmlformats.org/officeDocument/2006/relationships/hyperlink" Target="https://fasih-sm.bps.go.id/app/assignment/fd68e454-ba45-4b85-8205-f3bf777ded24/2fcfe50a-d915-480e-89a6-530062f93eaa" TargetMode="External"/><Relationship Id="rId505" Type="http://schemas.openxmlformats.org/officeDocument/2006/relationships/hyperlink" Target="https://fasih-sm.bps.go.id/app/assignment/fd68e454-ba45-4b85-8205-f3bf777ded24/31d447ae-36d1-4f2f-aa94-2e7ef1100c67" TargetMode="External"/><Relationship Id="rId712" Type="http://schemas.openxmlformats.org/officeDocument/2006/relationships/hyperlink" Target="https://fasih-sm.bps.go.id/app/assignment/fd68e454-ba45-4b85-8205-f3bf777ded24/00d9a9b6-b46d-42e6-9646-7fb0ea9f35fd" TargetMode="External"/><Relationship Id="rId79" Type="http://schemas.openxmlformats.org/officeDocument/2006/relationships/hyperlink" Target="https://fasih-sm.bps.go.id/app/assignment/fd68e454-ba45-4b85-8205-f3bf777ded24/fe0ba516-8145-415a-a7c8-8561a2172f42" TargetMode="External"/><Relationship Id="rId144" Type="http://schemas.openxmlformats.org/officeDocument/2006/relationships/hyperlink" Target="https://fasih-sm.bps.go.id/app/assignment/fd68e454-ba45-4b85-8205-f3bf777ded24/9e7a7c2b-f0fd-4617-aa73-c835070df5ae" TargetMode="External"/><Relationship Id="rId589" Type="http://schemas.openxmlformats.org/officeDocument/2006/relationships/hyperlink" Target="https://fasih-sm.bps.go.id/app/assignment/fd68e454-ba45-4b85-8205-f3bf777ded24/b38e30b6-b530-4476-9cee-1fa698e49af5" TargetMode="External"/><Relationship Id="rId796" Type="http://schemas.openxmlformats.org/officeDocument/2006/relationships/hyperlink" Target="https://fasih-sm.bps.go.id/app/assignment/fd68e454-ba45-4b85-8205-f3bf777ded24/0dddbfd3-0b91-423c-9562-c59fcb0fadf6" TargetMode="External"/><Relationship Id="rId351" Type="http://schemas.openxmlformats.org/officeDocument/2006/relationships/hyperlink" Target="https://fasih-sm.bps.go.id/app/assignment/fd68e454-ba45-4b85-8205-f3bf777ded24/1984434e-8122-4c2e-95b6-a1d417b49d6d" TargetMode="External"/><Relationship Id="rId449" Type="http://schemas.openxmlformats.org/officeDocument/2006/relationships/hyperlink" Target="https://fasih-sm.bps.go.id/app/assignment/fd68e454-ba45-4b85-8205-f3bf777ded24/2977667d-3cf7-4ccf-adb8-7737336e1e68" TargetMode="External"/><Relationship Id="rId656" Type="http://schemas.openxmlformats.org/officeDocument/2006/relationships/hyperlink" Target="https://fasih-sm.bps.go.id/app/assignment/fd68e454-ba45-4b85-8205-f3bf777ded24/8b097225-7294-4f0a-ad33-9efac706c3a3" TargetMode="External"/><Relationship Id="rId863" Type="http://schemas.openxmlformats.org/officeDocument/2006/relationships/hyperlink" Target="https://fasih-sm.bps.go.id/app/assignment/fd68e454-ba45-4b85-8205-f3bf777ded24/17e249a9-988b-498b-90e4-5b352016706d" TargetMode="External"/><Relationship Id="rId211" Type="http://schemas.openxmlformats.org/officeDocument/2006/relationships/hyperlink" Target="https://fasih-sm.bps.go.id/app/assignment/fd68e454-ba45-4b85-8205-f3bf777ded24/043001b3-df4a-41f6-a645-5cd5f9d1d577" TargetMode="External"/><Relationship Id="rId295" Type="http://schemas.openxmlformats.org/officeDocument/2006/relationships/hyperlink" Target="https://fasih-sm.bps.go.id/app/assignment/fd68e454-ba45-4b85-8205-f3bf777ded24/10e01021-49cf-4dda-8427-0f0a4490d9e4" TargetMode="External"/><Relationship Id="rId309" Type="http://schemas.openxmlformats.org/officeDocument/2006/relationships/hyperlink" Target="https://fasih-sm.bps.go.id/app/assignment/fd68e454-ba45-4b85-8205-f3bf777ded24/12138242-b764-451c-8fc3-dc2d55bce35a" TargetMode="External"/><Relationship Id="rId516" Type="http://schemas.openxmlformats.org/officeDocument/2006/relationships/hyperlink" Target="https://fasih-sm.bps.go.id/app/assignment/fd68e454-ba45-4b85-8205-f3bf777ded24/3334d5cc-d2f4-46c4-bb88-45f11d1146c5" TargetMode="External"/><Relationship Id="rId723" Type="http://schemas.openxmlformats.org/officeDocument/2006/relationships/hyperlink" Target="https://fasih-sm.bps.go.id/app/assignment/fd68e454-ba45-4b85-8205-f3bf777ded24/03358ec1-5721-4e31-8af1-93434b85253f" TargetMode="External"/><Relationship Id="rId930" Type="http://schemas.openxmlformats.org/officeDocument/2006/relationships/hyperlink" Target="https://fasih-sm.bps.go.id/app/assignment/fd68e454-ba45-4b85-8205-f3bf777ded24/218e9bf0-c6d8-4778-8642-c96f8b63e0b1" TargetMode="External"/><Relationship Id="rId1006" Type="http://schemas.openxmlformats.org/officeDocument/2006/relationships/hyperlink" Target="https://fasih-sm.bps.go.id/app/assignment/fd68e454-ba45-4b85-8205-f3bf777ded24/2ef81fc5-f4b0-488f-8e55-7ca354099016" TargetMode="External"/><Relationship Id="rId155" Type="http://schemas.openxmlformats.org/officeDocument/2006/relationships/hyperlink" Target="https://fasih-sm.bps.go.id/app/assignment/fd68e454-ba45-4b85-8205-f3bf777ded24/b8561ba0-6f83-41cb-982e-332a34bc08b3" TargetMode="External"/><Relationship Id="rId362" Type="http://schemas.openxmlformats.org/officeDocument/2006/relationships/hyperlink" Target="https://fasih-sm.bps.go.id/app/assignment/fd68e454-ba45-4b85-8205-f3bf777ded24/1a8e1216-0729-4557-9ba9-3b695b940e82" TargetMode="External"/><Relationship Id="rId222" Type="http://schemas.openxmlformats.org/officeDocument/2006/relationships/hyperlink" Target="https://fasih-sm.bps.go.id/app/assignment/fd68e454-ba45-4b85-8205-f3bf777ded24/056f99de-6014-4fdf-8fc5-9c1d899b2cb0" TargetMode="External"/><Relationship Id="rId667" Type="http://schemas.openxmlformats.org/officeDocument/2006/relationships/hyperlink" Target="https://fasih-sm.bps.go.id/app/assignment/fd68e454-ba45-4b85-8205-f3bf777ded24/a5b7d15c-634a-4a92-870d-0c1429e30011" TargetMode="External"/><Relationship Id="rId874" Type="http://schemas.openxmlformats.org/officeDocument/2006/relationships/hyperlink" Target="https://fasih-sm.bps.go.id/app/assignment/fd68e454-ba45-4b85-8205-f3bf777ded24/198c0a10-99e8-4b7a-99e9-1c12cf2eb5bc" TargetMode="External"/><Relationship Id="rId17" Type="http://schemas.openxmlformats.org/officeDocument/2006/relationships/hyperlink" Target="https://fasih-sm.bps.go.id/app/assignment/fd68e454-ba45-4b85-8205-f3bf777ded24/6d0d4a6f-0450-4071-b0ec-636edd61a462" TargetMode="External"/><Relationship Id="rId527" Type="http://schemas.openxmlformats.org/officeDocument/2006/relationships/hyperlink" Target="https://fasih-sm.bps.go.id/app/assignment/fd68e454-ba45-4b85-8205-f3bf777ded24/f292e662-0681-450b-8476-e7dcb9701238" TargetMode="External"/><Relationship Id="rId734" Type="http://schemas.openxmlformats.org/officeDocument/2006/relationships/hyperlink" Target="https://fasih-sm.bps.go.id/app/assignment/fd68e454-ba45-4b85-8205-f3bf777ded24/043fb895-3edb-4a08-abcd-887595296145" TargetMode="External"/><Relationship Id="rId941" Type="http://schemas.openxmlformats.org/officeDocument/2006/relationships/hyperlink" Target="https://fasih-sm.bps.go.id/app/assignment/fd68e454-ba45-4b85-8205-f3bf777ded24/23d2c4aa-c185-4747-95f1-cba2d007cfa9" TargetMode="External"/><Relationship Id="rId70" Type="http://schemas.openxmlformats.org/officeDocument/2006/relationships/hyperlink" Target="https://fasih-sm.bps.go.id/app/assignment/fd68e454-ba45-4b85-8205-f3bf777ded24/cb3bd155-03e1-4eb8-92ad-da4d73f6104b" TargetMode="External"/><Relationship Id="rId166" Type="http://schemas.openxmlformats.org/officeDocument/2006/relationships/hyperlink" Target="https://fasih-sm.bps.go.id/app/assignment/fd68e454-ba45-4b85-8205-f3bf777ded24/cf256a2f-7716-4084-a012-dafb4359e529" TargetMode="External"/><Relationship Id="rId373" Type="http://schemas.openxmlformats.org/officeDocument/2006/relationships/hyperlink" Target="https://fasih-sm.bps.go.id/app/assignment/fd68e454-ba45-4b85-8205-f3bf777ded24/1c879ab1-9399-48b9-b1d4-7edd9fe26d4d" TargetMode="External"/><Relationship Id="rId580" Type="http://schemas.openxmlformats.org/officeDocument/2006/relationships/hyperlink" Target="https://fasih-sm.bps.go.id/app/assignment/fd68e454-ba45-4b85-8205-f3bf777ded24/8cec8b38-888f-4da8-a977-8a6a8dc22251" TargetMode="External"/><Relationship Id="rId801" Type="http://schemas.openxmlformats.org/officeDocument/2006/relationships/hyperlink" Target="https://fasih-sm.bps.go.id/app/assignment/fd68e454-ba45-4b85-8205-f3bf777ded24/0e6e7f13-a1b2-4f3c-b5e8-d2cc91441611" TargetMode="External"/><Relationship Id="rId1017" Type="http://schemas.openxmlformats.org/officeDocument/2006/relationships/hyperlink" Target="https://fasih-sm.bps.go.id/app/assignment/fd68e454-ba45-4b85-8205-f3bf777ded24/3152f701-f594-4eb1-99fd-d1144990f211" TargetMode="External"/><Relationship Id="rId1" Type="http://schemas.openxmlformats.org/officeDocument/2006/relationships/hyperlink" Target="https://fasih-sm.bps.go.id/app/assignment/fd68e454-ba45-4b85-8205-f3bf777ded24/9cb0a9cc-1b9d-4d3a-96d3-8ed69d0e387f" TargetMode="External"/><Relationship Id="rId233" Type="http://schemas.openxmlformats.org/officeDocument/2006/relationships/hyperlink" Target="https://fasih-sm.bps.go.id/app/assignment/fd68e454-ba45-4b85-8205-f3bf777ded24/073e3247-832c-4da8-bd26-3cacecbd0330" TargetMode="External"/><Relationship Id="rId440" Type="http://schemas.openxmlformats.org/officeDocument/2006/relationships/hyperlink" Target="https://fasih-sm.bps.go.id/app/assignment/fd68e454-ba45-4b85-8205-f3bf777ded24/2756007d-3671-4123-9ef1-277f835ac47b" TargetMode="External"/><Relationship Id="rId678" Type="http://schemas.openxmlformats.org/officeDocument/2006/relationships/hyperlink" Target="https://fasih-sm.bps.go.id/app/assignment/fd68e454-ba45-4b85-8205-f3bf777ded24/bccaa92d-4982-4ff0-98e5-022912327087" TargetMode="External"/><Relationship Id="rId885" Type="http://schemas.openxmlformats.org/officeDocument/2006/relationships/hyperlink" Target="https://fasih-sm.bps.go.id/app/assignment/fd68e454-ba45-4b85-8205-f3bf777ded24/1b046965-909b-40f7-904d-fa55540ee75c" TargetMode="External"/><Relationship Id="rId28" Type="http://schemas.openxmlformats.org/officeDocument/2006/relationships/hyperlink" Target="https://fasih-sm.bps.go.id/app/assignment/fd68e454-ba45-4b85-8205-f3bf777ded24/c49b625c-c755-4d0d-a304-28155d55d701" TargetMode="External"/><Relationship Id="rId300" Type="http://schemas.openxmlformats.org/officeDocument/2006/relationships/hyperlink" Target="https://fasih-sm.bps.go.id/app/assignment/fd68e454-ba45-4b85-8205-f3bf777ded24/11bd68d6-e117-4093-aba3-ed2fd44b104a" TargetMode="External"/><Relationship Id="rId538" Type="http://schemas.openxmlformats.org/officeDocument/2006/relationships/hyperlink" Target="https://fasih-sm.bps.go.id/app/assignment/fd68e454-ba45-4b85-8205-f3bf777ded24/6d0d4a6f-0450-4071-b0ec-636edd61a462" TargetMode="External"/><Relationship Id="rId745" Type="http://schemas.openxmlformats.org/officeDocument/2006/relationships/hyperlink" Target="https://fasih-sm.bps.go.id/app/assignment/fd68e454-ba45-4b85-8205-f3bf777ded24/05dbf2b5-f9df-4937-8459-963eb632ad43" TargetMode="External"/><Relationship Id="rId952" Type="http://schemas.openxmlformats.org/officeDocument/2006/relationships/hyperlink" Target="https://fasih-sm.bps.go.id/app/assignment/fd68e454-ba45-4b85-8205-f3bf777ded24/25efa362-98fb-49aa-b65a-03782b8c7cd8" TargetMode="External"/><Relationship Id="rId81" Type="http://schemas.openxmlformats.org/officeDocument/2006/relationships/hyperlink" Target="https://fasih-sm.bps.go.id/app/assignment/fd68e454-ba45-4b85-8205-f3bf777ded24/31c36422-4331-46b6-8532-8ebef32bea74" TargetMode="External"/><Relationship Id="rId177" Type="http://schemas.openxmlformats.org/officeDocument/2006/relationships/hyperlink" Target="https://fasih-sm.bps.go.id/app/assignment/fd68e454-ba45-4b85-8205-f3bf777ded24/ed3b1c9a-7929-428b-a842-b16b56fbcc7c" TargetMode="External"/><Relationship Id="rId384" Type="http://schemas.openxmlformats.org/officeDocument/2006/relationships/hyperlink" Target="https://fasih-sm.bps.go.id/app/assignment/fd68e454-ba45-4b85-8205-f3bf777ded24/1df55fb4-9195-4cfe-ac73-3f65bacc6491" TargetMode="External"/><Relationship Id="rId591" Type="http://schemas.openxmlformats.org/officeDocument/2006/relationships/hyperlink" Target="https://fasih-sm.bps.go.id/app/assignment/fd68e454-ba45-4b85-8205-f3bf777ded24/cb3bd155-03e1-4eb8-92ad-da4d73f6104b" TargetMode="External"/><Relationship Id="rId605" Type="http://schemas.openxmlformats.org/officeDocument/2006/relationships/hyperlink" Target="https://fasih-sm.bps.go.id/app/assignment/fd68e454-ba45-4b85-8205-f3bf777ded24/00998f57-cd64-49f1-8a60-3d31e7ebc9b8" TargetMode="External"/><Relationship Id="rId812" Type="http://schemas.openxmlformats.org/officeDocument/2006/relationships/hyperlink" Target="https://fasih-sm.bps.go.id/app/assignment/fd68e454-ba45-4b85-8205-f3bf777ded24/1046fdcd-a65e-4f7d-882e-02db13c46cb1" TargetMode="External"/><Relationship Id="rId1028" Type="http://schemas.openxmlformats.org/officeDocument/2006/relationships/hyperlink" Target="https://fasih-sm.bps.go.id/app/assignment/fd68e454-ba45-4b85-8205-f3bf777ded24/321ff544-33c7-4be0-b871-fb3222c3fde9" TargetMode="External"/><Relationship Id="rId244" Type="http://schemas.openxmlformats.org/officeDocument/2006/relationships/hyperlink" Target="https://fasih-sm.bps.go.id/app/assignment/fd68e454-ba45-4b85-8205-f3bf777ded24/0859fc75-8f3c-4259-90fe-e6a78cef46d5" TargetMode="External"/><Relationship Id="rId689" Type="http://schemas.openxmlformats.org/officeDocument/2006/relationships/hyperlink" Target="https://fasih-sm.bps.go.id/app/assignment/fd68e454-ba45-4b85-8205-f3bf777ded24/d255c57b-2c78-4abc-9b54-b7c77ddbd27a" TargetMode="External"/><Relationship Id="rId896" Type="http://schemas.openxmlformats.org/officeDocument/2006/relationships/hyperlink" Target="https://fasih-sm.bps.go.id/app/assignment/fd68e454-ba45-4b85-8205-f3bf777ded24/1c8dcc25-e42c-403e-b95e-43379bc28926" TargetMode="External"/><Relationship Id="rId39" Type="http://schemas.openxmlformats.org/officeDocument/2006/relationships/hyperlink" Target="https://fasih-sm.bps.go.id/app/assignment/fd68e454-ba45-4b85-8205-f3bf777ded24/3a5fb3df-69a3-41a8-902f-ee5a0b71ae99" TargetMode="External"/><Relationship Id="rId451" Type="http://schemas.openxmlformats.org/officeDocument/2006/relationships/hyperlink" Target="https://fasih-sm.bps.go.id/app/assignment/fd68e454-ba45-4b85-8205-f3bf777ded24/2a4bfd49-cd04-44a6-9c2d-47dfd678a516" TargetMode="External"/><Relationship Id="rId549" Type="http://schemas.openxmlformats.org/officeDocument/2006/relationships/hyperlink" Target="https://fasih-sm.bps.go.id/app/assignment/fd68e454-ba45-4b85-8205-f3bf777ded24/c49b625c-c755-4d0d-a304-28155d55d701" TargetMode="External"/><Relationship Id="rId756" Type="http://schemas.openxmlformats.org/officeDocument/2006/relationships/hyperlink" Target="https://fasih-sm.bps.go.id/app/assignment/fd68e454-ba45-4b85-8205-f3bf777ded24/07969a20-ec68-4c9d-9538-825d4ec1f4d7" TargetMode="External"/><Relationship Id="rId104" Type="http://schemas.openxmlformats.org/officeDocument/2006/relationships/hyperlink" Target="https://fasih-sm.bps.go.id/app/assignment/fd68e454-ba45-4b85-8205-f3bf777ded24/3541927f-4218-4ced-af87-acbd88c70096" TargetMode="External"/><Relationship Id="rId188" Type="http://schemas.openxmlformats.org/officeDocument/2006/relationships/hyperlink" Target="https://fasih-sm.bps.go.id/app/assignment/fd68e454-ba45-4b85-8205-f3bf777ded24/003ef3e8-55ac-4754-8e2a-d619abc4c60e" TargetMode="External"/><Relationship Id="rId311" Type="http://schemas.openxmlformats.org/officeDocument/2006/relationships/hyperlink" Target="https://fasih-sm.bps.go.id/app/assignment/fd68e454-ba45-4b85-8205-f3bf777ded24/12691f6f-a7d5-4268-95d8-7edc1ab289f2" TargetMode="External"/><Relationship Id="rId395" Type="http://schemas.openxmlformats.org/officeDocument/2006/relationships/hyperlink" Target="https://fasih-sm.bps.go.id/app/assignment/fd68e454-ba45-4b85-8205-f3bf777ded24/1ef482d0-c8f6-4080-abc2-8a39ab245670" TargetMode="External"/><Relationship Id="rId409" Type="http://schemas.openxmlformats.org/officeDocument/2006/relationships/hyperlink" Target="https://fasih-sm.bps.go.id/app/assignment/fd68e454-ba45-4b85-8205-f3bf777ded24/218e9bf0-c6d8-4778-8642-c96f8b63e0b1" TargetMode="External"/><Relationship Id="rId963" Type="http://schemas.openxmlformats.org/officeDocument/2006/relationships/hyperlink" Target="https://fasih-sm.bps.go.id/app/assignment/fd68e454-ba45-4b85-8205-f3bf777ded24/28754f58-83e4-4dc2-ba14-e725671993e5" TargetMode="External"/><Relationship Id="rId1039" Type="http://schemas.openxmlformats.org/officeDocument/2006/relationships/hyperlink" Target="https://fasih-sm.bps.go.id/app/assignment/fd68e454-ba45-4b85-8205-f3bf777ded24/335ba929-2f09-4927-8c63-8340512460cb" TargetMode="External"/><Relationship Id="rId92" Type="http://schemas.openxmlformats.org/officeDocument/2006/relationships/hyperlink" Target="https://fasih-sm.bps.go.id/app/assignment/fd68e454-ba45-4b85-8205-f3bf777ded24/144c0e92-14a8-42c0-836b-263842739302" TargetMode="External"/><Relationship Id="rId616" Type="http://schemas.openxmlformats.org/officeDocument/2006/relationships/hyperlink" Target="https://fasih-sm.bps.go.id/app/assignment/fd68e454-ba45-4b85-8205-f3bf777ded24/184e14f9-8db8-4639-9864-6251cd4fd4b3" TargetMode="External"/><Relationship Id="rId823" Type="http://schemas.openxmlformats.org/officeDocument/2006/relationships/hyperlink" Target="https://fasih-sm.bps.go.id/app/assignment/fd68e454-ba45-4b85-8205-f3bf777ded24/11cb0a38-f580-4df1-b6ed-58891b03ddee" TargetMode="External"/><Relationship Id="rId255" Type="http://schemas.openxmlformats.org/officeDocument/2006/relationships/hyperlink" Target="https://fasih-sm.bps.go.id/app/assignment/fd68e454-ba45-4b85-8205-f3bf777ded24/0af79813-fdd8-422b-b2db-22f54a25247d" TargetMode="External"/><Relationship Id="rId462" Type="http://schemas.openxmlformats.org/officeDocument/2006/relationships/hyperlink" Target="https://fasih-sm.bps.go.id/app/assignment/fd68e454-ba45-4b85-8205-f3bf777ded24/2b7ff37a-cd98-42ef-8017-55fbe08171f3" TargetMode="External"/><Relationship Id="rId115" Type="http://schemas.openxmlformats.org/officeDocument/2006/relationships/hyperlink" Target="https://fasih-sm.bps.go.id/app/assignment/fd68e454-ba45-4b85-8205-f3bf777ded24/4a9d8012-be46-4263-9602-8ccae405d340" TargetMode="External"/><Relationship Id="rId322" Type="http://schemas.openxmlformats.org/officeDocument/2006/relationships/hyperlink" Target="https://fasih-sm.bps.go.id/app/assignment/fd68e454-ba45-4b85-8205-f3bf777ded24/14e01287-6cdd-4a75-897b-711b0e0385f8" TargetMode="External"/><Relationship Id="rId767" Type="http://schemas.openxmlformats.org/officeDocument/2006/relationships/hyperlink" Target="https://fasih-sm.bps.go.id/app/assignment/fd68e454-ba45-4b85-8205-f3bf777ded24/088172eb-5419-4258-aa48-33abe7149257" TargetMode="External"/><Relationship Id="rId974" Type="http://schemas.openxmlformats.org/officeDocument/2006/relationships/hyperlink" Target="https://fasih-sm.bps.go.id/app/assignment/fd68e454-ba45-4b85-8205-f3bf777ded24/2a6df51d-f0b1-462f-9c82-41fe0ddfa9ec" TargetMode="External"/><Relationship Id="rId199" Type="http://schemas.openxmlformats.org/officeDocument/2006/relationships/hyperlink" Target="https://fasih-sm.bps.go.id/app/assignment/fd68e454-ba45-4b85-8205-f3bf777ded24/02adda6f-bf3b-4aa2-925d-57ea2ee1c1f5" TargetMode="External"/><Relationship Id="rId627" Type="http://schemas.openxmlformats.org/officeDocument/2006/relationships/hyperlink" Target="https://fasih-sm.bps.go.id/app/assignment/fd68e454-ba45-4b85-8205-f3bf777ded24/36777236-2f4e-4e9d-939a-75fe9eacbfe5" TargetMode="External"/><Relationship Id="rId834" Type="http://schemas.openxmlformats.org/officeDocument/2006/relationships/hyperlink" Target="https://fasih-sm.bps.go.id/app/assignment/fd68e454-ba45-4b85-8205-f3bf777ded24/1285ec71-3966-4805-96a4-5ba8cc46aac7" TargetMode="External"/><Relationship Id="rId266" Type="http://schemas.openxmlformats.org/officeDocument/2006/relationships/hyperlink" Target="https://fasih-sm.bps.go.id/app/assignment/fd68e454-ba45-4b85-8205-f3bf777ded24/0c68119d-dd5a-4470-9ec9-cf04a5ac74df" TargetMode="External"/><Relationship Id="rId473" Type="http://schemas.openxmlformats.org/officeDocument/2006/relationships/hyperlink" Target="https://fasih-sm.bps.go.id/app/assignment/fd68e454-ba45-4b85-8205-f3bf777ded24/2c9c9893-0273-47e1-9477-151e5d67025c" TargetMode="External"/><Relationship Id="rId680" Type="http://schemas.openxmlformats.org/officeDocument/2006/relationships/hyperlink" Target="https://fasih-sm.bps.go.id/app/assignment/fd68e454-ba45-4b85-8205-f3bf777ded24/be833b25-e046-4b28-975b-04abb64efb0b" TargetMode="External"/><Relationship Id="rId901" Type="http://schemas.openxmlformats.org/officeDocument/2006/relationships/hyperlink" Target="https://fasih-sm.bps.go.id/app/assignment/fd68e454-ba45-4b85-8205-f3bf777ded24/1d4b4764-d572-4ba6-a48c-c8394a76273b" TargetMode="External"/><Relationship Id="rId30" Type="http://schemas.openxmlformats.org/officeDocument/2006/relationships/hyperlink" Target="https://fasih-sm.bps.go.id/app/assignment/fd68e454-ba45-4b85-8205-f3bf777ded24/1a30d2c8-23de-4fd3-9a18-eeb1c9efdaeb" TargetMode="External"/><Relationship Id="rId126" Type="http://schemas.openxmlformats.org/officeDocument/2006/relationships/hyperlink" Target="https://fasih-sm.bps.go.id/app/assignment/fd68e454-ba45-4b85-8205-f3bf777ded24/60082e65-7903-4fb0-b73f-cbd07223e18a" TargetMode="External"/><Relationship Id="rId333" Type="http://schemas.openxmlformats.org/officeDocument/2006/relationships/hyperlink" Target="https://fasih-sm.bps.go.id/app/assignment/fd68e454-ba45-4b85-8205-f3bf777ded24/174d9ce1-c067-47c0-bd64-6265bb0a6c23" TargetMode="External"/><Relationship Id="rId540" Type="http://schemas.openxmlformats.org/officeDocument/2006/relationships/hyperlink" Target="https://fasih-sm.bps.go.id/app/assignment/fd68e454-ba45-4b85-8205-f3bf777ded24/b16c8f85-1eb0-4d0e-bdf7-f85f7d0cfbc2" TargetMode="External"/><Relationship Id="rId778" Type="http://schemas.openxmlformats.org/officeDocument/2006/relationships/hyperlink" Target="https://fasih-sm.bps.go.id/app/assignment/fd68e454-ba45-4b85-8205-f3bf777ded24/0b925cb9-a39c-4ff9-b60a-86fe8eb58aee" TargetMode="External"/><Relationship Id="rId985" Type="http://schemas.openxmlformats.org/officeDocument/2006/relationships/hyperlink" Target="https://fasih-sm.bps.go.id/app/assignment/fd68e454-ba45-4b85-8205-f3bf777ded24/2b8bc75d-0290-42c9-8e97-e3372b0fcfdf" TargetMode="External"/><Relationship Id="rId638" Type="http://schemas.openxmlformats.org/officeDocument/2006/relationships/hyperlink" Target="https://fasih-sm.bps.go.id/app/assignment/fd68e454-ba45-4b85-8205-f3bf777ded24/4d4bee02-eb46-4a5f-b59a-908562d1a64c" TargetMode="External"/><Relationship Id="rId845" Type="http://schemas.openxmlformats.org/officeDocument/2006/relationships/hyperlink" Target="https://fasih-sm.bps.go.id/app/assignment/fd68e454-ba45-4b85-8205-f3bf777ded24/15218b8f-17f6-42ce-967b-21c29ef48b7d" TargetMode="External"/><Relationship Id="rId1030" Type="http://schemas.openxmlformats.org/officeDocument/2006/relationships/hyperlink" Target="https://fasih-sm.bps.go.id/app/assignment/fd68e454-ba45-4b85-8205-f3bf777ded24/326c8b64-d4ea-456a-a470-d8c657b6b565" TargetMode="External"/><Relationship Id="rId277" Type="http://schemas.openxmlformats.org/officeDocument/2006/relationships/hyperlink" Target="https://fasih-sm.bps.go.id/app/assignment/fd68e454-ba45-4b85-8205-f3bf777ded24/0e185841-ab38-4705-b7be-5b3645135a3c" TargetMode="External"/><Relationship Id="rId400" Type="http://schemas.openxmlformats.org/officeDocument/2006/relationships/hyperlink" Target="https://fasih-sm.bps.go.id/app/assignment/fd68e454-ba45-4b85-8205-f3bf777ded24/2033cf52-f09a-4f68-8446-a79b3b704210" TargetMode="External"/><Relationship Id="rId484" Type="http://schemas.openxmlformats.org/officeDocument/2006/relationships/hyperlink" Target="https://fasih-sm.bps.go.id/app/assignment/fd68e454-ba45-4b85-8205-f3bf777ded24/2eda6e6b-9986-4c5f-8411-ff1701b9ed4e" TargetMode="External"/><Relationship Id="rId705" Type="http://schemas.openxmlformats.org/officeDocument/2006/relationships/hyperlink" Target="https://fasih-sm.bps.go.id/app/assignment/fd68e454-ba45-4b85-8205-f3bf777ded24/f994c133-8e4d-4cb3-a4cc-2f562324da1d" TargetMode="External"/><Relationship Id="rId137" Type="http://schemas.openxmlformats.org/officeDocument/2006/relationships/hyperlink" Target="https://fasih-sm.bps.go.id/app/assignment/fd68e454-ba45-4b85-8205-f3bf777ded24/915f4d54-1632-4938-9907-c6f1822665c3" TargetMode="External"/><Relationship Id="rId344" Type="http://schemas.openxmlformats.org/officeDocument/2006/relationships/hyperlink" Target="https://fasih-sm.bps.go.id/app/assignment/fd68e454-ba45-4b85-8205-f3bf777ded24/186898db-91ee-4890-a009-d590fb0dc6dc" TargetMode="External"/><Relationship Id="rId691" Type="http://schemas.openxmlformats.org/officeDocument/2006/relationships/hyperlink" Target="https://fasih-sm.bps.go.id/app/assignment/fd68e454-ba45-4b85-8205-f3bf777ded24/d8ee0804-2eb6-4ffa-8af2-0ed3fb7d456f" TargetMode="External"/><Relationship Id="rId789" Type="http://schemas.openxmlformats.org/officeDocument/2006/relationships/hyperlink" Target="https://fasih-sm.bps.go.id/app/assignment/fd68e454-ba45-4b85-8205-f3bf777ded24/0ca4cdff-fc53-45f6-9e9e-8eec7d06267e" TargetMode="External"/><Relationship Id="rId912" Type="http://schemas.openxmlformats.org/officeDocument/2006/relationships/hyperlink" Target="https://fasih-sm.bps.go.id/app/assignment/fd68e454-ba45-4b85-8205-f3bf777ded24/1e358d53-28ff-4e91-bbd7-4831dbc288c3" TargetMode="External"/><Relationship Id="rId996" Type="http://schemas.openxmlformats.org/officeDocument/2006/relationships/hyperlink" Target="https://fasih-sm.bps.go.id/app/assignment/fd68e454-ba45-4b85-8205-f3bf777ded24/2cd7728c-139e-4758-be92-387bc92adbde" TargetMode="External"/><Relationship Id="rId41" Type="http://schemas.openxmlformats.org/officeDocument/2006/relationships/hyperlink" Target="https://fasih-sm.bps.go.id/app/assignment/fd68e454-ba45-4b85-8205-f3bf777ded24/27f80337-e5c9-4921-9893-31cccfe93cc3" TargetMode="External"/><Relationship Id="rId551" Type="http://schemas.openxmlformats.org/officeDocument/2006/relationships/hyperlink" Target="https://fasih-sm.bps.go.id/app/assignment/fd68e454-ba45-4b85-8205-f3bf777ded24/1a30d2c8-23de-4fd3-9a18-eeb1c9efdaeb" TargetMode="External"/><Relationship Id="rId649" Type="http://schemas.openxmlformats.org/officeDocument/2006/relationships/hyperlink" Target="https://fasih-sm.bps.go.id/app/assignment/fd68e454-ba45-4b85-8205-f3bf777ded24/68c8ae63-6439-4342-a532-17fde5cd4b94" TargetMode="External"/><Relationship Id="rId856" Type="http://schemas.openxmlformats.org/officeDocument/2006/relationships/hyperlink" Target="https://fasih-sm.bps.go.id/app/assignment/fd68e454-ba45-4b85-8205-f3bf777ded24/176415f7-0ecf-4fe2-b717-099a7d99493f" TargetMode="External"/><Relationship Id="rId190" Type="http://schemas.openxmlformats.org/officeDocument/2006/relationships/hyperlink" Target="https://fasih-sm.bps.go.id/app/assignment/fd68e454-ba45-4b85-8205-f3bf777ded24/007ef92a-86a4-43d8-aa44-b612e5a57588" TargetMode="External"/><Relationship Id="rId204" Type="http://schemas.openxmlformats.org/officeDocument/2006/relationships/hyperlink" Target="https://fasih-sm.bps.go.id/app/assignment/fd68e454-ba45-4b85-8205-f3bf777ded24/0362eaab-0f37-4bcc-aa3c-b614ee85864b" TargetMode="External"/><Relationship Id="rId288" Type="http://schemas.openxmlformats.org/officeDocument/2006/relationships/hyperlink" Target="https://fasih-sm.bps.go.id/app/assignment/fd68e454-ba45-4b85-8205-f3bf777ded24/0ffd82a4-1b5a-4001-b83d-d7601ad986b8" TargetMode="External"/><Relationship Id="rId411" Type="http://schemas.openxmlformats.org/officeDocument/2006/relationships/hyperlink" Target="https://fasih-sm.bps.go.id/app/assignment/fd68e454-ba45-4b85-8205-f3bf777ded24/22a39b78-af5a-4191-af3a-2fa9102bd6c9" TargetMode="External"/><Relationship Id="rId509" Type="http://schemas.openxmlformats.org/officeDocument/2006/relationships/hyperlink" Target="https://fasih-sm.bps.go.id/app/assignment/fd68e454-ba45-4b85-8205-f3bf777ded24/326c8b64-d4ea-456a-a470-d8c657b6b565" TargetMode="External"/><Relationship Id="rId1041" Type="http://schemas.openxmlformats.org/officeDocument/2006/relationships/hyperlink" Target="https://fasih-sm.bps.go.id/app/assignment/fd68e454-ba45-4b85-8205-f3bf777ded24/34cd934b-a381-4910-acf8-082ef309b7a6" TargetMode="External"/><Relationship Id="rId495" Type="http://schemas.openxmlformats.org/officeDocument/2006/relationships/hyperlink" Target="https://fasih-sm.bps.go.id/app/assignment/fd68e454-ba45-4b85-8205-f3bf777ded24/3146315d-2b20-4d34-b5a9-f66efde33623" TargetMode="External"/><Relationship Id="rId716" Type="http://schemas.openxmlformats.org/officeDocument/2006/relationships/hyperlink" Target="https://fasih-sm.bps.go.id/app/assignment/fd68e454-ba45-4b85-8205-f3bf777ded24/01efe346-5814-4fb5-a473-f99322bf9f7d" TargetMode="External"/><Relationship Id="rId923" Type="http://schemas.openxmlformats.org/officeDocument/2006/relationships/hyperlink" Target="https://fasih-sm.bps.go.id/app/assignment/fd68e454-ba45-4b85-8205-f3bf777ded24/203cdaa5-2b4a-4bd0-b8b0-f83f06770339" TargetMode="External"/><Relationship Id="rId52" Type="http://schemas.openxmlformats.org/officeDocument/2006/relationships/hyperlink" Target="https://fasih-sm.bps.go.id/app/assignment/fd68e454-ba45-4b85-8205-f3bf777ded24/9a0c961d-451b-4855-bb50-d1c74c86793a" TargetMode="External"/><Relationship Id="rId148" Type="http://schemas.openxmlformats.org/officeDocument/2006/relationships/hyperlink" Target="https://fasih-sm.bps.go.id/app/assignment/fd68e454-ba45-4b85-8205-f3bf777ded24/a97de013-542f-463a-9f50-94808dbb93ff" TargetMode="External"/><Relationship Id="rId355" Type="http://schemas.openxmlformats.org/officeDocument/2006/relationships/hyperlink" Target="https://fasih-sm.bps.go.id/app/assignment/fd68e454-ba45-4b85-8205-f3bf777ded24/19b08b8f-219d-49b1-9cc9-5bd405f8e3f8" TargetMode="External"/><Relationship Id="rId562" Type="http://schemas.openxmlformats.org/officeDocument/2006/relationships/hyperlink" Target="https://fasih-sm.bps.go.id/app/assignment/fd68e454-ba45-4b85-8205-f3bf777ded24/27f80337-e5c9-4921-9893-31cccfe93cc3" TargetMode="External"/><Relationship Id="rId215" Type="http://schemas.openxmlformats.org/officeDocument/2006/relationships/hyperlink" Target="https://fasih-sm.bps.go.id/app/assignment/fd68e454-ba45-4b85-8205-f3bf777ded24/0463eb4a-364f-4770-8431-14836861618a" TargetMode="External"/><Relationship Id="rId422" Type="http://schemas.openxmlformats.org/officeDocument/2006/relationships/hyperlink" Target="https://fasih-sm.bps.go.id/app/assignment/fd68e454-ba45-4b85-8205-f3bf777ded24/23f697e1-9ff7-4927-b23b-0bfcab7f5090" TargetMode="External"/><Relationship Id="rId867" Type="http://schemas.openxmlformats.org/officeDocument/2006/relationships/hyperlink" Target="https://fasih-sm.bps.go.id/app/assignment/fd68e454-ba45-4b85-8205-f3bf777ded24/18baaffa-12fb-4b24-8fa6-611cd9ba995d" TargetMode="External"/><Relationship Id="rId299" Type="http://schemas.openxmlformats.org/officeDocument/2006/relationships/hyperlink" Target="https://fasih-sm.bps.go.id/app/assignment/fd68e454-ba45-4b85-8205-f3bf777ded24/11ad1fb2-7ac3-4e46-9889-33e33825ea10" TargetMode="External"/><Relationship Id="rId727" Type="http://schemas.openxmlformats.org/officeDocument/2006/relationships/hyperlink" Target="https://fasih-sm.bps.go.id/app/assignment/fd68e454-ba45-4b85-8205-f3bf777ded24/03a52846-3c85-4efb-bd93-29d6a217f021" TargetMode="External"/><Relationship Id="rId934" Type="http://schemas.openxmlformats.org/officeDocument/2006/relationships/hyperlink" Target="https://fasih-sm.bps.go.id/app/assignment/fd68e454-ba45-4b85-8205-f3bf777ded24/230cccb0-bab1-40c3-987f-9ccf0aef830b" TargetMode="External"/><Relationship Id="rId63" Type="http://schemas.openxmlformats.org/officeDocument/2006/relationships/hyperlink" Target="https://fasih-sm.bps.go.id/app/assignment/fd68e454-ba45-4b85-8205-f3bf777ded24/41746c29-8b12-4e2d-b891-20e6ff57adb9" TargetMode="External"/><Relationship Id="rId159" Type="http://schemas.openxmlformats.org/officeDocument/2006/relationships/hyperlink" Target="https://fasih-sm.bps.go.id/app/assignment/fd68e454-ba45-4b85-8205-f3bf777ded24/be833b25-e046-4b28-975b-04abb64efb0b" TargetMode="External"/><Relationship Id="rId366" Type="http://schemas.openxmlformats.org/officeDocument/2006/relationships/hyperlink" Target="https://fasih-sm.bps.go.id/app/assignment/fd68e454-ba45-4b85-8205-f3bf777ded24/1b97773b-f17e-4ec6-9343-65b0c18018e1" TargetMode="External"/><Relationship Id="rId573" Type="http://schemas.openxmlformats.org/officeDocument/2006/relationships/hyperlink" Target="https://fasih-sm.bps.go.id/app/assignment/fd68e454-ba45-4b85-8205-f3bf777ded24/9a0c961d-451b-4855-bb50-d1c74c86793a" TargetMode="External"/><Relationship Id="rId780" Type="http://schemas.openxmlformats.org/officeDocument/2006/relationships/hyperlink" Target="https://fasih-sm.bps.go.id/app/assignment/fd68e454-ba45-4b85-8205-f3bf777ded24/0be3ec4e-07e7-4523-a139-08ef669ed09c" TargetMode="External"/><Relationship Id="rId226" Type="http://schemas.openxmlformats.org/officeDocument/2006/relationships/hyperlink" Target="https://fasih-sm.bps.go.id/app/assignment/fd68e454-ba45-4b85-8205-f3bf777ded24/062f46f4-92c8-4078-8c9e-e44fd486e9a4" TargetMode="External"/><Relationship Id="rId433" Type="http://schemas.openxmlformats.org/officeDocument/2006/relationships/hyperlink" Target="https://fasih-sm.bps.go.id/app/assignment/fd68e454-ba45-4b85-8205-f3bf777ded24/261e4ef0-ce46-454f-94c5-40a4cbd522e5" TargetMode="External"/><Relationship Id="rId878" Type="http://schemas.openxmlformats.org/officeDocument/2006/relationships/hyperlink" Target="https://fasih-sm.bps.go.id/app/assignment/fd68e454-ba45-4b85-8205-f3bf777ded24/1a23961c-95ab-4d0d-bbc5-c63794daf67e" TargetMode="External"/><Relationship Id="rId640" Type="http://schemas.openxmlformats.org/officeDocument/2006/relationships/hyperlink" Target="https://fasih-sm.bps.go.id/app/assignment/fd68e454-ba45-4b85-8205-f3bf777ded24/505c9d86-43e9-4d26-a371-6517457ba333" TargetMode="External"/><Relationship Id="rId738" Type="http://schemas.openxmlformats.org/officeDocument/2006/relationships/hyperlink" Target="https://fasih-sm.bps.go.id/app/assignment/fd68e454-ba45-4b85-8205-f3bf777ded24/04d729dd-fee9-4cbc-bffd-273ddf998166" TargetMode="External"/><Relationship Id="rId945" Type="http://schemas.openxmlformats.org/officeDocument/2006/relationships/hyperlink" Target="https://fasih-sm.bps.go.id/app/assignment/fd68e454-ba45-4b85-8205-f3bf777ded24/24511679-8bfb-4fe5-ab39-2de86cd3e772" TargetMode="External"/><Relationship Id="rId74" Type="http://schemas.openxmlformats.org/officeDocument/2006/relationships/hyperlink" Target="https://fasih-sm.bps.go.id/app/assignment/fd68e454-ba45-4b85-8205-f3bf777ded24/c3499b44-8c3c-464a-bd5f-106bd43fa325" TargetMode="External"/><Relationship Id="rId377" Type="http://schemas.openxmlformats.org/officeDocument/2006/relationships/hyperlink" Target="https://fasih-sm.bps.go.id/app/assignment/fd68e454-ba45-4b85-8205-f3bf777ded24/1cd7bcb9-8aac-404f-9516-80fde7afefe3" TargetMode="External"/><Relationship Id="rId500" Type="http://schemas.openxmlformats.org/officeDocument/2006/relationships/hyperlink" Target="https://fasih-sm.bps.go.id/app/assignment/fd68e454-ba45-4b85-8205-f3bf777ded24/3182a9d1-6ae7-4eff-b182-aa6aefd20ea0" TargetMode="External"/><Relationship Id="rId584" Type="http://schemas.openxmlformats.org/officeDocument/2006/relationships/hyperlink" Target="https://fasih-sm.bps.go.id/app/assignment/fd68e454-ba45-4b85-8205-f3bf777ded24/41746c29-8b12-4e2d-b891-20e6ff57adb9" TargetMode="External"/><Relationship Id="rId805" Type="http://schemas.openxmlformats.org/officeDocument/2006/relationships/hyperlink" Target="https://fasih-sm.bps.go.id/app/assignment/fd68e454-ba45-4b85-8205-f3bf777ded24/0f3c53a6-9e67-46bd-b0fb-beabe5d24bd5" TargetMode="External"/><Relationship Id="rId5" Type="http://schemas.openxmlformats.org/officeDocument/2006/relationships/hyperlink" Target="https://fasih-sm.bps.go.id/app/assignment/fd68e454-ba45-4b85-8205-f3bf777ded24/f016c163-50bc-4188-a87d-ef56d4570872" TargetMode="External"/><Relationship Id="rId237" Type="http://schemas.openxmlformats.org/officeDocument/2006/relationships/hyperlink" Target="https://fasih-sm.bps.go.id/app/assignment/fd68e454-ba45-4b85-8205-f3bf777ded24/07a4caa1-72f4-4f42-8cb8-e7e823507cdd" TargetMode="External"/><Relationship Id="rId791" Type="http://schemas.openxmlformats.org/officeDocument/2006/relationships/hyperlink" Target="https://fasih-sm.bps.go.id/app/assignment/fd68e454-ba45-4b85-8205-f3bf777ded24/0ce3b5cd-9fe3-46e9-a02b-f9d97a54212d" TargetMode="External"/><Relationship Id="rId889" Type="http://schemas.openxmlformats.org/officeDocument/2006/relationships/hyperlink" Target="https://fasih-sm.bps.go.id/app/assignment/fd68e454-ba45-4b85-8205-f3bf777ded24/1bc171e3-ebc1-4b22-b4c1-ebbf96f9c55c" TargetMode="External"/><Relationship Id="rId444" Type="http://schemas.openxmlformats.org/officeDocument/2006/relationships/hyperlink" Target="https://fasih-sm.bps.go.id/app/assignment/fd68e454-ba45-4b85-8205-f3bf777ded24/28b3238b-da43-4d94-90d7-6a9667609ea1" TargetMode="External"/><Relationship Id="rId651" Type="http://schemas.openxmlformats.org/officeDocument/2006/relationships/hyperlink" Target="https://fasih-sm.bps.go.id/app/assignment/fd68e454-ba45-4b85-8205-f3bf777ded24/75a86870-0466-482d-aebf-6c06cb630e3e" TargetMode="External"/><Relationship Id="rId749" Type="http://schemas.openxmlformats.org/officeDocument/2006/relationships/hyperlink" Target="https://fasih-sm.bps.go.id/app/assignment/fd68e454-ba45-4b85-8205-f3bf777ded24/06573800-773f-4daf-90d1-87e31273c107" TargetMode="External"/><Relationship Id="rId290" Type="http://schemas.openxmlformats.org/officeDocument/2006/relationships/hyperlink" Target="https://fasih-sm.bps.go.id/app/assignment/fd68e454-ba45-4b85-8205-f3bf777ded24/103b0e0b-98af-4955-bd79-9b97092b81ac" TargetMode="External"/><Relationship Id="rId304" Type="http://schemas.openxmlformats.org/officeDocument/2006/relationships/hyperlink" Target="https://fasih-sm.bps.go.id/app/assignment/fd68e454-ba45-4b85-8205-f3bf777ded24/11d80f2c-74df-4edb-b812-749048d897b2" TargetMode="External"/><Relationship Id="rId388" Type="http://schemas.openxmlformats.org/officeDocument/2006/relationships/hyperlink" Target="https://fasih-sm.bps.go.id/app/assignment/fd68e454-ba45-4b85-8205-f3bf777ded24/1e2372a7-cccb-4ad0-b4c7-c70e3f7b53dd" TargetMode="External"/><Relationship Id="rId511" Type="http://schemas.openxmlformats.org/officeDocument/2006/relationships/hyperlink" Target="https://fasih-sm.bps.go.id/app/assignment/fd68e454-ba45-4b85-8205-f3bf777ded24/32a301e7-6429-4e9d-90d6-9cfae44f550b" TargetMode="External"/><Relationship Id="rId609" Type="http://schemas.openxmlformats.org/officeDocument/2006/relationships/hyperlink" Target="https://fasih-sm.bps.go.id/app/assignment/fd68e454-ba45-4b85-8205-f3bf777ded24/0f394aa5-9051-4172-83de-45b19770a5f4" TargetMode="External"/><Relationship Id="rId956" Type="http://schemas.openxmlformats.org/officeDocument/2006/relationships/hyperlink" Target="https://fasih-sm.bps.go.id/app/assignment/fd68e454-ba45-4b85-8205-f3bf777ded24/267c5465-5eca-4c50-8e2b-6631340c2079" TargetMode="External"/><Relationship Id="rId85" Type="http://schemas.openxmlformats.org/officeDocument/2006/relationships/hyperlink" Target="https://fasih-sm.bps.go.id/app/assignment/fd68e454-ba45-4b85-8205-f3bf777ded24/026ad39b-0786-4de6-bb95-6f342c3ea9cb" TargetMode="External"/><Relationship Id="rId150" Type="http://schemas.openxmlformats.org/officeDocument/2006/relationships/hyperlink" Target="https://fasih-sm.bps.go.id/app/assignment/fd68e454-ba45-4b85-8205-f3bf777ded24/ae3b216e-696e-4e4f-b07c-eaa064827313" TargetMode="External"/><Relationship Id="rId595" Type="http://schemas.openxmlformats.org/officeDocument/2006/relationships/hyperlink" Target="https://fasih-sm.bps.go.id/app/assignment/fd68e454-ba45-4b85-8205-f3bf777ded24/c3499b44-8c3c-464a-bd5f-106bd43fa325" TargetMode="External"/><Relationship Id="rId816" Type="http://schemas.openxmlformats.org/officeDocument/2006/relationships/hyperlink" Target="https://fasih-sm.bps.go.id/app/assignment/fd68e454-ba45-4b85-8205-f3bf777ded24/10e01021-49cf-4dda-8427-0f0a4490d9e4" TargetMode="External"/><Relationship Id="rId1001" Type="http://schemas.openxmlformats.org/officeDocument/2006/relationships/hyperlink" Target="https://fasih-sm.bps.go.id/app/assignment/fd68e454-ba45-4b85-8205-f3bf777ded24/2dd50f3a-8dc6-42cc-a894-18b2d89d70e0" TargetMode="External"/><Relationship Id="rId248" Type="http://schemas.openxmlformats.org/officeDocument/2006/relationships/hyperlink" Target="https://fasih-sm.bps.go.id/app/assignment/fd68e454-ba45-4b85-8205-f3bf777ded24/08fb39aa-9dec-4302-8aa2-8f3dc8ad6dd0" TargetMode="External"/><Relationship Id="rId455" Type="http://schemas.openxmlformats.org/officeDocument/2006/relationships/hyperlink" Target="https://fasih-sm.bps.go.id/app/assignment/fd68e454-ba45-4b85-8205-f3bf777ded24/2ab99435-46ac-4140-a77c-05a14e9985d8" TargetMode="External"/><Relationship Id="rId662" Type="http://schemas.openxmlformats.org/officeDocument/2006/relationships/hyperlink" Target="https://fasih-sm.bps.go.id/app/assignment/fd68e454-ba45-4b85-8205-f3bf777ded24/9998aa1b-cac1-4298-9bd2-8c1edeffb8f5" TargetMode="External"/><Relationship Id="rId12" Type="http://schemas.openxmlformats.org/officeDocument/2006/relationships/hyperlink" Target="https://fasih-sm.bps.go.id/app/assignment/fd68e454-ba45-4b85-8205-f3bf777ded24/f67188a7-a70e-40ea-99e2-6521d05bf000" TargetMode="External"/><Relationship Id="rId108" Type="http://schemas.openxmlformats.org/officeDocument/2006/relationships/hyperlink" Target="https://fasih-sm.bps.go.id/app/assignment/fd68e454-ba45-4b85-8205-f3bf777ded24/36c67618-a20d-4d83-9dac-b3097ae1a634" TargetMode="External"/><Relationship Id="rId315" Type="http://schemas.openxmlformats.org/officeDocument/2006/relationships/hyperlink" Target="https://fasih-sm.bps.go.id/app/assignment/fd68e454-ba45-4b85-8205-f3bf777ded24/12fecc1a-f99f-4867-bf5f-7c9fed7ac868" TargetMode="External"/><Relationship Id="rId522" Type="http://schemas.openxmlformats.org/officeDocument/2006/relationships/hyperlink" Target="https://fasih-sm.bps.go.id/app/assignment/fd68e454-ba45-4b85-8205-f3bf777ded24/9cb0a9cc-1b9d-4d3a-96d3-8ed69d0e387f" TargetMode="External"/><Relationship Id="rId967" Type="http://schemas.openxmlformats.org/officeDocument/2006/relationships/hyperlink" Target="https://fasih-sm.bps.go.id/app/assignment/fd68e454-ba45-4b85-8205-f3bf777ded24/28dc6426-a849-4697-a8c3-f3e9ed1234a6" TargetMode="External"/><Relationship Id="rId96" Type="http://schemas.openxmlformats.org/officeDocument/2006/relationships/hyperlink" Target="https://fasih-sm.bps.go.id/app/assignment/fd68e454-ba45-4b85-8205-f3bf777ded24/1a8071ea-8223-46a8-b423-4cd7ae806f91" TargetMode="External"/><Relationship Id="rId161" Type="http://schemas.openxmlformats.org/officeDocument/2006/relationships/hyperlink" Target="https://fasih-sm.bps.go.id/app/assignment/fd68e454-ba45-4b85-8205-f3bf777ded24/c0f342ce-8765-426f-bac8-48c1c7c4b756" TargetMode="External"/><Relationship Id="rId399" Type="http://schemas.openxmlformats.org/officeDocument/2006/relationships/hyperlink" Target="https://fasih-sm.bps.go.id/app/assignment/fd68e454-ba45-4b85-8205-f3bf777ded24/20139887-d21d-442a-9b14-6b9f97fd4ca4" TargetMode="External"/><Relationship Id="rId827" Type="http://schemas.openxmlformats.org/officeDocument/2006/relationships/hyperlink" Target="https://fasih-sm.bps.go.id/app/assignment/fd68e454-ba45-4b85-8205-f3bf777ded24/1207a6bd-1530-46f2-b884-0296c07c60d0" TargetMode="External"/><Relationship Id="rId1012" Type="http://schemas.openxmlformats.org/officeDocument/2006/relationships/hyperlink" Target="https://fasih-sm.bps.go.id/app/assignment/fd68e454-ba45-4b85-8205-f3bf777ded24/2fcfe50a-d915-480e-89a6-530062f93eaa" TargetMode="External"/><Relationship Id="rId259" Type="http://schemas.openxmlformats.org/officeDocument/2006/relationships/hyperlink" Target="https://fasih-sm.bps.go.id/app/assignment/fd68e454-ba45-4b85-8205-f3bf777ded24/0be3ec4e-07e7-4523-a139-08ef669ed09c" TargetMode="External"/><Relationship Id="rId466" Type="http://schemas.openxmlformats.org/officeDocument/2006/relationships/hyperlink" Target="https://fasih-sm.bps.go.id/app/assignment/fd68e454-ba45-4b85-8205-f3bf777ded24/2baea1b0-6acc-4c5e-b6e8-82cbc647aaa4" TargetMode="External"/><Relationship Id="rId673" Type="http://schemas.openxmlformats.org/officeDocument/2006/relationships/hyperlink" Target="https://fasih-sm.bps.go.id/app/assignment/fd68e454-ba45-4b85-8205-f3bf777ded24/b04f83c7-7dbc-4212-af08-6c11d3668235" TargetMode="External"/><Relationship Id="rId880" Type="http://schemas.openxmlformats.org/officeDocument/2006/relationships/hyperlink" Target="https://fasih-sm.bps.go.id/app/assignment/fd68e454-ba45-4b85-8205-f3bf777ded24/1a434f5c-0795-4dc2-a6d5-26586e9f36ce" TargetMode="External"/><Relationship Id="rId23" Type="http://schemas.openxmlformats.org/officeDocument/2006/relationships/hyperlink" Target="https://fasih-sm.bps.go.id/app/assignment/fd68e454-ba45-4b85-8205-f3bf777ded24/e8b99b3b-942a-44a9-9078-4ef07b08b589" TargetMode="External"/><Relationship Id="rId119" Type="http://schemas.openxmlformats.org/officeDocument/2006/relationships/hyperlink" Target="https://fasih-sm.bps.go.id/app/assignment/fd68e454-ba45-4b85-8205-f3bf777ded24/505c9d86-43e9-4d26-a371-6517457ba333" TargetMode="External"/><Relationship Id="rId326" Type="http://schemas.openxmlformats.org/officeDocument/2006/relationships/hyperlink" Target="https://fasih-sm.bps.go.id/app/assignment/fd68e454-ba45-4b85-8205-f3bf777ded24/15d4e409-a8b9-4912-97f8-c5a1ab9d3675" TargetMode="External"/><Relationship Id="rId533" Type="http://schemas.openxmlformats.org/officeDocument/2006/relationships/hyperlink" Target="https://fasih-sm.bps.go.id/app/assignment/fd68e454-ba45-4b85-8205-f3bf777ded24/f67188a7-a70e-40ea-99e2-6521d05bf000" TargetMode="External"/><Relationship Id="rId978" Type="http://schemas.openxmlformats.org/officeDocument/2006/relationships/hyperlink" Target="https://fasih-sm.bps.go.id/app/assignment/fd68e454-ba45-4b85-8205-f3bf777ded24/2b0f38fc-cb8c-4985-978e-d17ed5660ff7" TargetMode="External"/><Relationship Id="rId740" Type="http://schemas.openxmlformats.org/officeDocument/2006/relationships/hyperlink" Target="https://fasih-sm.bps.go.id/app/assignment/fd68e454-ba45-4b85-8205-f3bf777ded24/04f7c4c4-486b-40b6-9c28-78efc9427b07" TargetMode="External"/><Relationship Id="rId838" Type="http://schemas.openxmlformats.org/officeDocument/2006/relationships/hyperlink" Target="https://fasih-sm.bps.go.id/app/assignment/fd68e454-ba45-4b85-8205-f3bf777ded24/13c7e1f5-ea66-4987-841b-9c8eca4dee0e" TargetMode="External"/><Relationship Id="rId1023" Type="http://schemas.openxmlformats.org/officeDocument/2006/relationships/hyperlink" Target="https://fasih-sm.bps.go.id/app/assignment/fd68e454-ba45-4b85-8205-f3bf777ded24/31ac621f-853e-4aff-88d8-95736731755b" TargetMode="External"/><Relationship Id="rId172" Type="http://schemas.openxmlformats.org/officeDocument/2006/relationships/hyperlink" Target="https://fasih-sm.bps.go.id/app/assignment/fd68e454-ba45-4b85-8205-f3bf777ded24/dfc7fbb7-215f-485f-92da-532eab207aaf" TargetMode="External"/><Relationship Id="rId477" Type="http://schemas.openxmlformats.org/officeDocument/2006/relationships/hyperlink" Target="https://fasih-sm.bps.go.id/app/assignment/fd68e454-ba45-4b85-8205-f3bf777ded24/2d4f012a-2b12-4236-ae65-e11f3c60af8d" TargetMode="External"/><Relationship Id="rId600" Type="http://schemas.openxmlformats.org/officeDocument/2006/relationships/hyperlink" Target="https://fasih-sm.bps.go.id/app/assignment/fd68e454-ba45-4b85-8205-f3bf777ded24/fe0ba516-8145-415a-a7c8-8561a2172f42" TargetMode="External"/><Relationship Id="rId684" Type="http://schemas.openxmlformats.org/officeDocument/2006/relationships/hyperlink" Target="https://fasih-sm.bps.go.id/app/assignment/fd68e454-ba45-4b85-8205-f3bf777ded24/cb4a7cf2-3c9d-49f0-963a-ed8f03b386c1" TargetMode="External"/><Relationship Id="rId337" Type="http://schemas.openxmlformats.org/officeDocument/2006/relationships/hyperlink" Target="https://fasih-sm.bps.go.id/app/assignment/fd68e454-ba45-4b85-8205-f3bf777ded24/177b706b-d3c2-46a2-8b0e-e0614030ad11" TargetMode="External"/><Relationship Id="rId891" Type="http://schemas.openxmlformats.org/officeDocument/2006/relationships/hyperlink" Target="https://fasih-sm.bps.go.id/app/assignment/fd68e454-ba45-4b85-8205-f3bf777ded24/1be7f830-dd44-46f0-ad53-bfc4c03922fb" TargetMode="External"/><Relationship Id="rId905" Type="http://schemas.openxmlformats.org/officeDocument/2006/relationships/hyperlink" Target="https://fasih-sm.bps.go.id/app/assignment/fd68e454-ba45-4b85-8205-f3bf777ded24/1df55fb4-9195-4cfe-ac73-3f65bacc6491" TargetMode="External"/><Relationship Id="rId989" Type="http://schemas.openxmlformats.org/officeDocument/2006/relationships/hyperlink" Target="https://fasih-sm.bps.go.id/app/assignment/fd68e454-ba45-4b85-8205-f3bf777ded24/2bce6616-942c-4567-9942-51d3f766c67d" TargetMode="External"/><Relationship Id="rId34" Type="http://schemas.openxmlformats.org/officeDocument/2006/relationships/hyperlink" Target="https://fasih-sm.bps.go.id/app/assignment/fd68e454-ba45-4b85-8205-f3bf777ded24/4802dd64-2bea-41e1-aecf-85ff0ca38279" TargetMode="External"/><Relationship Id="rId544" Type="http://schemas.openxmlformats.org/officeDocument/2006/relationships/hyperlink" Target="https://fasih-sm.bps.go.id/app/assignment/fd68e454-ba45-4b85-8205-f3bf777ded24/e8b99b3b-942a-44a9-9078-4ef07b08b589" TargetMode="External"/><Relationship Id="rId751" Type="http://schemas.openxmlformats.org/officeDocument/2006/relationships/hyperlink" Target="https://fasih-sm.bps.go.id/app/assignment/fd68e454-ba45-4b85-8205-f3bf777ded24/06b4e85c-6c5e-4528-9746-635d3a2d032d" TargetMode="External"/><Relationship Id="rId849" Type="http://schemas.openxmlformats.org/officeDocument/2006/relationships/hyperlink" Target="https://fasih-sm.bps.go.id/app/assignment/fd68e454-ba45-4b85-8205-f3bf777ded24/1632e1e6-4161-4cac-b2e6-f1565a185f19" TargetMode="External"/><Relationship Id="rId183" Type="http://schemas.openxmlformats.org/officeDocument/2006/relationships/hyperlink" Target="https://fasih-sm.bps.go.id/app/assignment/fd68e454-ba45-4b85-8205-f3bf777ded24/f8819d5b-850d-4af3-9a02-42b7f8513eb4" TargetMode="External"/><Relationship Id="rId390" Type="http://schemas.openxmlformats.org/officeDocument/2006/relationships/hyperlink" Target="https://fasih-sm.bps.go.id/app/assignment/fd68e454-ba45-4b85-8205-f3bf777ded24/1e358d53-28ff-4e91-bbd7-4831dbc288c3" TargetMode="External"/><Relationship Id="rId404" Type="http://schemas.openxmlformats.org/officeDocument/2006/relationships/hyperlink" Target="https://fasih-sm.bps.go.id/app/assignment/fd68e454-ba45-4b85-8205-f3bf777ded24/2095a282-fd13-437d-8fd7-518d84e153e3" TargetMode="External"/><Relationship Id="rId611" Type="http://schemas.openxmlformats.org/officeDocument/2006/relationships/hyperlink" Target="https://fasih-sm.bps.go.id/app/assignment/fd68e454-ba45-4b85-8205-f3bf777ded24/1031504e-d05d-40fd-8b22-b8dd4b468752" TargetMode="External"/><Relationship Id="rId1034" Type="http://schemas.openxmlformats.org/officeDocument/2006/relationships/hyperlink" Target="https://fasih-sm.bps.go.id/app/assignment/fd68e454-ba45-4b85-8205-f3bf777ded24/32ea4fa8-e176-41e4-9083-b8f998c66d54" TargetMode="External"/><Relationship Id="rId250" Type="http://schemas.openxmlformats.org/officeDocument/2006/relationships/hyperlink" Target="https://fasih-sm.bps.go.id/app/assignment/fd68e454-ba45-4b85-8205-f3bf777ded24/09d5df99-a7fa-4ef8-8b32-cf0716d69f51" TargetMode="External"/><Relationship Id="rId488" Type="http://schemas.openxmlformats.org/officeDocument/2006/relationships/hyperlink" Target="https://fasih-sm.bps.go.id/app/assignment/fd68e454-ba45-4b85-8205-f3bf777ded24/2f7041e1-65c1-47cf-88f6-8e5df1a7f9ef" TargetMode="External"/><Relationship Id="rId695" Type="http://schemas.openxmlformats.org/officeDocument/2006/relationships/hyperlink" Target="https://fasih-sm.bps.go.id/app/assignment/fd68e454-ba45-4b85-8205-f3bf777ded24/e6bc22a2-ae70-406a-9938-d713b598817d" TargetMode="External"/><Relationship Id="rId709" Type="http://schemas.openxmlformats.org/officeDocument/2006/relationships/hyperlink" Target="https://fasih-sm.bps.go.id/app/assignment/fd68e454-ba45-4b85-8205-f3bf777ded24/003ef3e8-55ac-4754-8e2a-d619abc4c60e" TargetMode="External"/><Relationship Id="rId916" Type="http://schemas.openxmlformats.org/officeDocument/2006/relationships/hyperlink" Target="https://fasih-sm.bps.go.id/app/assignment/fd68e454-ba45-4b85-8205-f3bf777ded24/1ef482d0-c8f6-4080-abc2-8a39ab245670" TargetMode="External"/><Relationship Id="rId45" Type="http://schemas.openxmlformats.org/officeDocument/2006/relationships/hyperlink" Target="https://fasih-sm.bps.go.id/app/assignment/fd68e454-ba45-4b85-8205-f3bf777ded24/4eeb24e9-cabd-4058-85ae-7702460cc70b" TargetMode="External"/><Relationship Id="rId110" Type="http://schemas.openxmlformats.org/officeDocument/2006/relationships/hyperlink" Target="https://fasih-sm.bps.go.id/app/assignment/fd68e454-ba45-4b85-8205-f3bf777ded24/42d04dec-5792-4baa-85ca-f212e41b4d63" TargetMode="External"/><Relationship Id="rId348" Type="http://schemas.openxmlformats.org/officeDocument/2006/relationships/hyperlink" Target="https://fasih-sm.bps.go.id/app/assignment/fd68e454-ba45-4b85-8205-f3bf777ded24/19367254-bb10-4626-aad9-ce24f5dbedd0" TargetMode="External"/><Relationship Id="rId555" Type="http://schemas.openxmlformats.org/officeDocument/2006/relationships/hyperlink" Target="https://fasih-sm.bps.go.id/app/assignment/fd68e454-ba45-4b85-8205-f3bf777ded24/4802dd64-2bea-41e1-aecf-85ff0ca38279" TargetMode="External"/><Relationship Id="rId762" Type="http://schemas.openxmlformats.org/officeDocument/2006/relationships/hyperlink" Target="https://fasih-sm.bps.go.id/app/assignment/fd68e454-ba45-4b85-8205-f3bf777ded24/08364fee-7d29-444e-9cba-f9177eac2a97" TargetMode="External"/><Relationship Id="rId194" Type="http://schemas.openxmlformats.org/officeDocument/2006/relationships/hyperlink" Target="https://fasih-sm.bps.go.id/app/assignment/fd68e454-ba45-4b85-8205-f3bf777ded24/01639bff-4ec7-4e76-8913-f4d11c9af1b7" TargetMode="External"/><Relationship Id="rId208" Type="http://schemas.openxmlformats.org/officeDocument/2006/relationships/hyperlink" Target="https://fasih-sm.bps.go.id/app/assignment/fd68e454-ba45-4b85-8205-f3bf777ded24/03e49dce-febf-4215-a536-0b5b39049534" TargetMode="External"/><Relationship Id="rId415" Type="http://schemas.openxmlformats.org/officeDocument/2006/relationships/hyperlink" Target="https://fasih-sm.bps.go.id/app/assignment/fd68e454-ba45-4b85-8205-f3bf777ded24/2332f2f5-d2e6-4f2f-ae95-c69875d357d7" TargetMode="External"/><Relationship Id="rId622" Type="http://schemas.openxmlformats.org/officeDocument/2006/relationships/hyperlink" Target="https://fasih-sm.bps.go.id/app/assignment/fd68e454-ba45-4b85-8205-f3bf777ded24/2bdad3ae-d379-44e1-8ec8-11155bb987d7" TargetMode="External"/><Relationship Id="rId261" Type="http://schemas.openxmlformats.org/officeDocument/2006/relationships/hyperlink" Target="https://fasih-sm.bps.go.id/app/assignment/fd68e454-ba45-4b85-8205-f3bf777ded24/0bf0d7ce-2791-4682-923a-98e3e5b37ad2" TargetMode="External"/><Relationship Id="rId499" Type="http://schemas.openxmlformats.org/officeDocument/2006/relationships/hyperlink" Target="https://fasih-sm.bps.go.id/app/assignment/fd68e454-ba45-4b85-8205-f3bf777ded24/3177c588-97c6-4c31-b3c2-f2af12adbf0e" TargetMode="External"/><Relationship Id="rId927" Type="http://schemas.openxmlformats.org/officeDocument/2006/relationships/hyperlink" Target="https://fasih-sm.bps.go.id/app/assignment/fd68e454-ba45-4b85-8205-f3bf777ded24/20c8f56f-1bbf-49a3-a380-721e97a15384" TargetMode="External"/><Relationship Id="rId56" Type="http://schemas.openxmlformats.org/officeDocument/2006/relationships/hyperlink" Target="https://fasih-sm.bps.go.id/app/assignment/fd68e454-ba45-4b85-8205-f3bf777ded24/c65d692e-64b5-4f65-9f49-c609376d2602" TargetMode="External"/><Relationship Id="rId359" Type="http://schemas.openxmlformats.org/officeDocument/2006/relationships/hyperlink" Target="https://fasih-sm.bps.go.id/app/assignment/fd68e454-ba45-4b85-8205-f3bf777ded24/1a434f5c-0795-4dc2-a6d5-26586e9f36ce" TargetMode="External"/><Relationship Id="rId566" Type="http://schemas.openxmlformats.org/officeDocument/2006/relationships/hyperlink" Target="https://fasih-sm.bps.go.id/app/assignment/fd68e454-ba45-4b85-8205-f3bf777ded24/4eeb24e9-cabd-4058-85ae-7702460cc70b" TargetMode="External"/><Relationship Id="rId773" Type="http://schemas.openxmlformats.org/officeDocument/2006/relationships/hyperlink" Target="https://fasih-sm.bps.go.id/app/assignment/fd68e454-ba45-4b85-8205-f3bf777ded24/0a638d4e-bb8f-48cc-8fa4-245d6f731d4e" TargetMode="External"/><Relationship Id="rId121" Type="http://schemas.openxmlformats.org/officeDocument/2006/relationships/hyperlink" Target="https://fasih-sm.bps.go.id/app/assignment/fd68e454-ba45-4b85-8205-f3bf777ded24/51709fcb-b49a-45f1-93af-b5589f6b853e" TargetMode="External"/><Relationship Id="rId219" Type="http://schemas.openxmlformats.org/officeDocument/2006/relationships/hyperlink" Target="https://fasih-sm.bps.go.id/app/assignment/fd68e454-ba45-4b85-8205-f3bf777ded24/04f7c4c4-486b-40b6-9c28-78efc9427b07" TargetMode="External"/><Relationship Id="rId426" Type="http://schemas.openxmlformats.org/officeDocument/2006/relationships/hyperlink" Target="https://fasih-sm.bps.go.id/app/assignment/fd68e454-ba45-4b85-8205-f3bf777ded24/24b33a38-ada7-4534-ad6a-0d6ce0717f99" TargetMode="External"/><Relationship Id="rId633" Type="http://schemas.openxmlformats.org/officeDocument/2006/relationships/hyperlink" Target="https://fasih-sm.bps.go.id/app/assignment/fd68e454-ba45-4b85-8205-f3bf777ded24/44759a55-f63a-4e68-a671-5cf7d7cf806f" TargetMode="External"/><Relationship Id="rId980" Type="http://schemas.openxmlformats.org/officeDocument/2006/relationships/hyperlink" Target="https://fasih-sm.bps.go.id/app/assignment/fd68e454-ba45-4b85-8205-f3bf777ded24/2b45a455-3412-41ad-acf7-2874d92d4662" TargetMode="External"/><Relationship Id="rId840" Type="http://schemas.openxmlformats.org/officeDocument/2006/relationships/hyperlink" Target="https://fasih-sm.bps.go.id/app/assignment/fd68e454-ba45-4b85-8205-f3bf777ded24/14546ec1-1861-49d8-b34d-bcd85cb8d618" TargetMode="External"/><Relationship Id="rId938" Type="http://schemas.openxmlformats.org/officeDocument/2006/relationships/hyperlink" Target="https://fasih-sm.bps.go.id/app/assignment/fd68e454-ba45-4b85-8205-f3bf777ded24/23659123-02cf-4287-ab2d-de48a07e158b" TargetMode="External"/><Relationship Id="rId67" Type="http://schemas.openxmlformats.org/officeDocument/2006/relationships/hyperlink" Target="https://fasih-sm.bps.go.id/app/assignment/fd68e454-ba45-4b85-8205-f3bf777ded24/7770ee2f-3061-44df-8186-425d635871c2" TargetMode="External"/><Relationship Id="rId272" Type="http://schemas.openxmlformats.org/officeDocument/2006/relationships/hyperlink" Target="https://fasih-sm.bps.go.id/app/assignment/fd68e454-ba45-4b85-8205-f3bf777ded24/0d276313-3a4c-464a-baf2-cf7f3a1d0a38" TargetMode="External"/><Relationship Id="rId577" Type="http://schemas.openxmlformats.org/officeDocument/2006/relationships/hyperlink" Target="https://fasih-sm.bps.go.id/app/assignment/fd68e454-ba45-4b85-8205-f3bf777ded24/c65d692e-64b5-4f65-9f49-c609376d2602" TargetMode="External"/><Relationship Id="rId700" Type="http://schemas.openxmlformats.org/officeDocument/2006/relationships/hyperlink" Target="https://fasih-sm.bps.go.id/app/assignment/fd68e454-ba45-4b85-8205-f3bf777ded24/f2c127f6-39e7-48f0-8cd3-006808886377" TargetMode="External"/><Relationship Id="rId132" Type="http://schemas.openxmlformats.org/officeDocument/2006/relationships/hyperlink" Target="https://fasih-sm.bps.go.id/app/assignment/fd68e454-ba45-4b85-8205-f3bf777ded24/7e1a13d6-b2e8-4f03-b9e7-bdabbfd53413" TargetMode="External"/><Relationship Id="rId784" Type="http://schemas.openxmlformats.org/officeDocument/2006/relationships/hyperlink" Target="https://fasih-sm.bps.go.id/app/assignment/fd68e454-ba45-4b85-8205-f3bf777ded24/0bface51-16ae-4075-83de-e5def1b02b78" TargetMode="External"/><Relationship Id="rId991" Type="http://schemas.openxmlformats.org/officeDocument/2006/relationships/hyperlink" Target="https://fasih-sm.bps.go.id/app/assignment/fd68e454-ba45-4b85-8205-f3bf777ded24/2c70054d-76a5-4cc0-bf4a-17e62a19a610" TargetMode="External"/><Relationship Id="rId437" Type="http://schemas.openxmlformats.org/officeDocument/2006/relationships/hyperlink" Target="https://fasih-sm.bps.go.id/app/assignment/fd68e454-ba45-4b85-8205-f3bf777ded24/269db0d8-4ed5-4655-b762-17c0cce20eba" TargetMode="External"/><Relationship Id="rId644" Type="http://schemas.openxmlformats.org/officeDocument/2006/relationships/hyperlink" Target="https://fasih-sm.bps.go.id/app/assignment/fd68e454-ba45-4b85-8205-f3bf777ded24/54dc4365-1d78-4373-93a9-3a634cb86618" TargetMode="External"/><Relationship Id="rId851" Type="http://schemas.openxmlformats.org/officeDocument/2006/relationships/hyperlink" Target="https://fasih-sm.bps.go.id/app/assignment/fd68e454-ba45-4b85-8205-f3bf777ded24/165cf74b-1fa1-4fa6-a34c-f6583620d187" TargetMode="External"/><Relationship Id="rId283" Type="http://schemas.openxmlformats.org/officeDocument/2006/relationships/hyperlink" Target="https://fasih-sm.bps.go.id/app/assignment/fd68e454-ba45-4b85-8205-f3bf777ded24/0e944276-8119-433b-8e19-b8cf284953e7" TargetMode="External"/><Relationship Id="rId490" Type="http://schemas.openxmlformats.org/officeDocument/2006/relationships/hyperlink" Target="https://fasih-sm.bps.go.id/app/assignment/fd68e454-ba45-4b85-8205-f3bf777ded24/2fa0a850-0ad8-4750-909c-9809fe2822c8" TargetMode="External"/><Relationship Id="rId504" Type="http://schemas.openxmlformats.org/officeDocument/2006/relationships/hyperlink" Target="https://fasih-sm.bps.go.id/app/assignment/fd68e454-ba45-4b85-8205-f3bf777ded24/31c44fbb-c449-4f21-8b8f-69195a959df8" TargetMode="External"/><Relationship Id="rId711" Type="http://schemas.openxmlformats.org/officeDocument/2006/relationships/hyperlink" Target="https://fasih-sm.bps.go.id/app/assignment/fd68e454-ba45-4b85-8205-f3bf777ded24/007ef92a-86a4-43d8-aa44-b612e5a57588" TargetMode="External"/><Relationship Id="rId949" Type="http://schemas.openxmlformats.org/officeDocument/2006/relationships/hyperlink" Target="https://fasih-sm.bps.go.id/app/assignment/fd68e454-ba45-4b85-8205-f3bf777ded24/253b84d5-8297-4614-a88c-36c68c8f015a" TargetMode="External"/><Relationship Id="rId78" Type="http://schemas.openxmlformats.org/officeDocument/2006/relationships/hyperlink" Target="https://fasih-sm.bps.go.id/app/assignment/fd68e454-ba45-4b85-8205-f3bf777ded24/a8e153fd-6f87-41e8-ad79-37997cf82ea7" TargetMode="External"/><Relationship Id="rId143" Type="http://schemas.openxmlformats.org/officeDocument/2006/relationships/hyperlink" Target="https://fasih-sm.bps.go.id/app/assignment/fd68e454-ba45-4b85-8205-f3bf777ded24/9e73654e-ee6e-405a-87ab-f867abaa31f7" TargetMode="External"/><Relationship Id="rId350" Type="http://schemas.openxmlformats.org/officeDocument/2006/relationships/hyperlink" Target="https://fasih-sm.bps.go.id/app/assignment/fd68e454-ba45-4b85-8205-f3bf777ded24/197072b7-03d9-44dd-8999-ab8e29274015" TargetMode="External"/><Relationship Id="rId588" Type="http://schemas.openxmlformats.org/officeDocument/2006/relationships/hyperlink" Target="https://fasih-sm.bps.go.id/app/assignment/fd68e454-ba45-4b85-8205-f3bf777ded24/7770ee2f-3061-44df-8186-425d635871c2" TargetMode="External"/><Relationship Id="rId795" Type="http://schemas.openxmlformats.org/officeDocument/2006/relationships/hyperlink" Target="https://fasih-sm.bps.go.id/app/assignment/fd68e454-ba45-4b85-8205-f3bf777ded24/0dcba9a8-1a97-4321-ac46-c49c38c469ed" TargetMode="External"/><Relationship Id="rId809" Type="http://schemas.openxmlformats.org/officeDocument/2006/relationships/hyperlink" Target="https://fasih-sm.bps.go.id/app/assignment/fd68e454-ba45-4b85-8205-f3bf777ded24/0ffd82a4-1b5a-4001-b83d-d7601ad986b8" TargetMode="External"/><Relationship Id="rId9" Type="http://schemas.openxmlformats.org/officeDocument/2006/relationships/hyperlink" Target="https://fasih-sm.bps.go.id/app/assignment/fd68e454-ba45-4b85-8205-f3bf777ded24/fcf846ad-cfb5-4b0d-b48e-b9fd04c50496" TargetMode="External"/><Relationship Id="rId210" Type="http://schemas.openxmlformats.org/officeDocument/2006/relationships/hyperlink" Target="https://fasih-sm.bps.go.id/app/assignment/fd68e454-ba45-4b85-8205-f3bf777ded24/041b8f97-3825-4946-a728-a8f33a11776e" TargetMode="External"/><Relationship Id="rId448" Type="http://schemas.openxmlformats.org/officeDocument/2006/relationships/hyperlink" Target="https://fasih-sm.bps.go.id/app/assignment/fd68e454-ba45-4b85-8205-f3bf777ded24/29345860-32ec-425f-9339-18db37c3b0f1" TargetMode="External"/><Relationship Id="rId655" Type="http://schemas.openxmlformats.org/officeDocument/2006/relationships/hyperlink" Target="https://fasih-sm.bps.go.id/app/assignment/fd68e454-ba45-4b85-8205-f3bf777ded24/8a284492-0437-48d9-90a7-8fd1c1ec0644" TargetMode="External"/><Relationship Id="rId862" Type="http://schemas.openxmlformats.org/officeDocument/2006/relationships/hyperlink" Target="https://fasih-sm.bps.go.id/app/assignment/fd68e454-ba45-4b85-8205-f3bf777ded24/17dd59da-a20d-472d-a2f3-1552bf57f8ab" TargetMode="External"/><Relationship Id="rId294" Type="http://schemas.openxmlformats.org/officeDocument/2006/relationships/hyperlink" Target="https://fasih-sm.bps.go.id/app/assignment/fd68e454-ba45-4b85-8205-f3bf777ded24/10a54dae-6dcc-4167-9892-e49e0ea352ef" TargetMode="External"/><Relationship Id="rId308" Type="http://schemas.openxmlformats.org/officeDocument/2006/relationships/hyperlink" Target="https://fasih-sm.bps.go.id/app/assignment/fd68e454-ba45-4b85-8205-f3bf777ded24/120f458c-61b4-4f31-9c2e-1f1e444b6302" TargetMode="External"/><Relationship Id="rId515" Type="http://schemas.openxmlformats.org/officeDocument/2006/relationships/hyperlink" Target="https://fasih-sm.bps.go.id/app/assignment/fd68e454-ba45-4b85-8205-f3bf777ded24/331c15cf-d52f-4113-954b-77c5cdeac889" TargetMode="External"/><Relationship Id="rId722" Type="http://schemas.openxmlformats.org/officeDocument/2006/relationships/hyperlink" Target="https://fasih-sm.bps.go.id/app/assignment/fd68e454-ba45-4b85-8205-f3bf777ded24/02c156d4-b31e-4ae2-8d8d-32b72d8ea9d1" TargetMode="External"/><Relationship Id="rId89" Type="http://schemas.openxmlformats.org/officeDocument/2006/relationships/hyperlink" Target="https://fasih-sm.bps.go.id/app/assignment/fd68e454-ba45-4b85-8205-f3bf777ded24/0ff1e300-d0a0-4235-81e4-aed9062efab1" TargetMode="External"/><Relationship Id="rId154" Type="http://schemas.openxmlformats.org/officeDocument/2006/relationships/hyperlink" Target="https://fasih-sm.bps.go.id/app/assignment/fd68e454-ba45-4b85-8205-f3bf777ded24/b6f28988-a7f5-4ec4-9956-b1530bf7556f" TargetMode="External"/><Relationship Id="rId361" Type="http://schemas.openxmlformats.org/officeDocument/2006/relationships/hyperlink" Target="https://fasih-sm.bps.go.id/app/assignment/fd68e454-ba45-4b85-8205-f3bf777ded24/1a5a5bf7-9f2c-4076-9661-b5615cb3f9f4" TargetMode="External"/><Relationship Id="rId599" Type="http://schemas.openxmlformats.org/officeDocument/2006/relationships/hyperlink" Target="https://fasih-sm.bps.go.id/app/assignment/fd68e454-ba45-4b85-8205-f3bf777ded24/a8e153fd-6f87-41e8-ad79-37997cf82ea7" TargetMode="External"/><Relationship Id="rId1005" Type="http://schemas.openxmlformats.org/officeDocument/2006/relationships/hyperlink" Target="https://fasih-sm.bps.go.id/app/assignment/fd68e454-ba45-4b85-8205-f3bf777ded24/2eda6e6b-9986-4c5f-8411-ff1701b9ed4e" TargetMode="External"/><Relationship Id="rId459" Type="http://schemas.openxmlformats.org/officeDocument/2006/relationships/hyperlink" Target="https://fasih-sm.bps.go.id/app/assignment/fd68e454-ba45-4b85-8205-f3bf777ded24/2b45a455-3412-41ad-acf7-2874d92d4662" TargetMode="External"/><Relationship Id="rId666" Type="http://schemas.openxmlformats.org/officeDocument/2006/relationships/hyperlink" Target="https://fasih-sm.bps.go.id/app/assignment/fd68e454-ba45-4b85-8205-f3bf777ded24/a12ba5cc-5696-41ad-9b2d-4d298ed5144b" TargetMode="External"/><Relationship Id="rId873" Type="http://schemas.openxmlformats.org/officeDocument/2006/relationships/hyperlink" Target="https://fasih-sm.bps.go.id/app/assignment/fd68e454-ba45-4b85-8205-f3bf777ded24/198738c8-8f4c-4e8d-b4bd-fc43a45bcfe5" TargetMode="External"/><Relationship Id="rId16" Type="http://schemas.openxmlformats.org/officeDocument/2006/relationships/hyperlink" Target="https://fasih-sm.bps.go.id/app/assignment/fd68e454-ba45-4b85-8205-f3bf777ded24/2c70054d-76a5-4cc0-bf4a-17e62a19a610" TargetMode="External"/><Relationship Id="rId221" Type="http://schemas.openxmlformats.org/officeDocument/2006/relationships/hyperlink" Target="https://fasih-sm.bps.go.id/app/assignment/fd68e454-ba45-4b85-8205-f3bf777ded24/0567a4c8-63ce-4199-a027-5745383e8440" TargetMode="External"/><Relationship Id="rId319" Type="http://schemas.openxmlformats.org/officeDocument/2006/relationships/hyperlink" Target="https://fasih-sm.bps.go.id/app/assignment/fd68e454-ba45-4b85-8205-f3bf777ded24/14546ec1-1861-49d8-b34d-bcd85cb8d618" TargetMode="External"/><Relationship Id="rId526" Type="http://schemas.openxmlformats.org/officeDocument/2006/relationships/hyperlink" Target="https://fasih-sm.bps.go.id/app/assignment/fd68e454-ba45-4b85-8205-f3bf777ded24/f016c163-50bc-4188-a87d-ef56d4570872" TargetMode="External"/><Relationship Id="rId733" Type="http://schemas.openxmlformats.org/officeDocument/2006/relationships/hyperlink" Target="https://fasih-sm.bps.go.id/app/assignment/fd68e454-ba45-4b85-8205-f3bf777ded24/04361ffa-e3a4-4f2b-839b-df4214b20267" TargetMode="External"/><Relationship Id="rId940" Type="http://schemas.openxmlformats.org/officeDocument/2006/relationships/hyperlink" Target="https://fasih-sm.bps.go.id/app/assignment/fd68e454-ba45-4b85-8205-f3bf777ded24/23c5e6c0-2080-423b-a1cb-d5eb86a5d6c5" TargetMode="External"/><Relationship Id="rId1016" Type="http://schemas.openxmlformats.org/officeDocument/2006/relationships/hyperlink" Target="https://fasih-sm.bps.go.id/app/assignment/fd68e454-ba45-4b85-8205-f3bf777ded24/3146315d-2b20-4d34-b5a9-f66efde33623" TargetMode="External"/><Relationship Id="rId165" Type="http://schemas.openxmlformats.org/officeDocument/2006/relationships/hyperlink" Target="https://fasih-sm.bps.go.id/app/assignment/fd68e454-ba45-4b85-8205-f3bf777ded24/cd40eb38-9289-429f-aa62-89922f8c76ee" TargetMode="External"/><Relationship Id="rId372" Type="http://schemas.openxmlformats.org/officeDocument/2006/relationships/hyperlink" Target="https://fasih-sm.bps.go.id/app/assignment/fd68e454-ba45-4b85-8205-f3bf777ded24/1c82ed76-1a3e-4eea-b387-ac09ed583e5c" TargetMode="External"/><Relationship Id="rId677" Type="http://schemas.openxmlformats.org/officeDocument/2006/relationships/hyperlink" Target="https://fasih-sm.bps.go.id/app/assignment/fd68e454-ba45-4b85-8205-f3bf777ded24/b8a07d32-90be-4684-9963-ce1e41c405bc" TargetMode="External"/><Relationship Id="rId800" Type="http://schemas.openxmlformats.org/officeDocument/2006/relationships/hyperlink" Target="https://fasih-sm.bps.go.id/app/assignment/fd68e454-ba45-4b85-8205-f3bf777ded24/0e47f7e3-300a-4b7f-b476-a2e435776d12" TargetMode="External"/><Relationship Id="rId232" Type="http://schemas.openxmlformats.org/officeDocument/2006/relationships/hyperlink" Target="https://fasih-sm.bps.go.id/app/assignment/fd68e454-ba45-4b85-8205-f3bf777ded24/07150a0c-44a4-476c-a283-e57f48befb26" TargetMode="External"/><Relationship Id="rId884" Type="http://schemas.openxmlformats.org/officeDocument/2006/relationships/hyperlink" Target="https://fasih-sm.bps.go.id/app/assignment/fd68e454-ba45-4b85-8205-f3bf777ded24/1af56b2a-5ba1-4658-b9dc-4064e7f56a2b" TargetMode="External"/><Relationship Id="rId27" Type="http://schemas.openxmlformats.org/officeDocument/2006/relationships/hyperlink" Target="https://fasih-sm.bps.go.id/app/assignment/fd68e454-ba45-4b85-8205-f3bf777ded24/8da1f35e-ece1-4c68-9139-334810e47dc1" TargetMode="External"/><Relationship Id="rId537" Type="http://schemas.openxmlformats.org/officeDocument/2006/relationships/hyperlink" Target="https://fasih-sm.bps.go.id/app/assignment/fd68e454-ba45-4b85-8205-f3bf777ded24/2c70054d-76a5-4cc0-bf4a-17e62a19a610" TargetMode="External"/><Relationship Id="rId744" Type="http://schemas.openxmlformats.org/officeDocument/2006/relationships/hyperlink" Target="https://fasih-sm.bps.go.id/app/assignment/fd68e454-ba45-4b85-8205-f3bf777ded24/05cf3ce5-e5ea-419e-bfa0-624c37962454" TargetMode="External"/><Relationship Id="rId951" Type="http://schemas.openxmlformats.org/officeDocument/2006/relationships/hyperlink" Target="https://fasih-sm.bps.go.id/app/assignment/fd68e454-ba45-4b85-8205-f3bf777ded24/257ad9f7-3449-49a7-b7a1-6ff53e1e829a" TargetMode="External"/><Relationship Id="rId80" Type="http://schemas.openxmlformats.org/officeDocument/2006/relationships/hyperlink" Target="https://fasih-sm.bps.go.id/app/assignment/fd68e454-ba45-4b85-8205-f3bf777ded24/f7a93793-d4af-4e38-bcbf-90b363329a73" TargetMode="External"/><Relationship Id="rId176" Type="http://schemas.openxmlformats.org/officeDocument/2006/relationships/hyperlink" Target="https://fasih-sm.bps.go.id/app/assignment/fd68e454-ba45-4b85-8205-f3bf777ded24/ec6c732e-a2a3-47bf-a2d8-1ec69a3697de" TargetMode="External"/><Relationship Id="rId383" Type="http://schemas.openxmlformats.org/officeDocument/2006/relationships/hyperlink" Target="https://fasih-sm.bps.go.id/app/assignment/fd68e454-ba45-4b85-8205-f3bf777ded24/1d9d3fa4-e72d-4d18-bfe5-0826c29a6c8f" TargetMode="External"/><Relationship Id="rId590" Type="http://schemas.openxmlformats.org/officeDocument/2006/relationships/hyperlink" Target="https://fasih-sm.bps.go.id/app/assignment/fd68e454-ba45-4b85-8205-f3bf777ded24/cae28d01-4dea-40f8-ab56-900ceaac25fe" TargetMode="External"/><Relationship Id="rId604" Type="http://schemas.openxmlformats.org/officeDocument/2006/relationships/hyperlink" Target="https://fasih-sm.bps.go.id/app/assignment/fd68e454-ba45-4b85-8205-f3bf777ded24/0023e5ef-e11f-4b9e-9e3c-a6ffea87ce23" TargetMode="External"/><Relationship Id="rId811" Type="http://schemas.openxmlformats.org/officeDocument/2006/relationships/hyperlink" Target="https://fasih-sm.bps.go.id/app/assignment/fd68e454-ba45-4b85-8205-f3bf777ded24/103b0e0b-98af-4955-bd79-9b97092b81ac" TargetMode="External"/><Relationship Id="rId1027" Type="http://schemas.openxmlformats.org/officeDocument/2006/relationships/hyperlink" Target="https://fasih-sm.bps.go.id/app/assignment/fd68e454-ba45-4b85-8205-f3bf777ded24/31e826ce-bc33-49db-8f0a-b654899d4d07" TargetMode="External"/><Relationship Id="rId243" Type="http://schemas.openxmlformats.org/officeDocument/2006/relationships/hyperlink" Target="https://fasih-sm.bps.go.id/app/assignment/fd68e454-ba45-4b85-8205-f3bf777ded24/085475eb-3b89-4864-ad68-ca3824319035" TargetMode="External"/><Relationship Id="rId450" Type="http://schemas.openxmlformats.org/officeDocument/2006/relationships/hyperlink" Target="https://fasih-sm.bps.go.id/app/assignment/fd68e454-ba45-4b85-8205-f3bf777ded24/29aeea0a-b7b1-4c65-b048-c70b8397f5b5" TargetMode="External"/><Relationship Id="rId688" Type="http://schemas.openxmlformats.org/officeDocument/2006/relationships/hyperlink" Target="https://fasih-sm.bps.go.id/app/assignment/fd68e454-ba45-4b85-8205-f3bf777ded24/d2229aad-6970-4def-997e-43bd311b9a6c" TargetMode="External"/><Relationship Id="rId895" Type="http://schemas.openxmlformats.org/officeDocument/2006/relationships/hyperlink" Target="https://fasih-sm.bps.go.id/app/assignment/fd68e454-ba45-4b85-8205-f3bf777ded24/1c8caa1f-fa07-4a23-aa19-9b86ff8bc1d0" TargetMode="External"/><Relationship Id="rId909" Type="http://schemas.openxmlformats.org/officeDocument/2006/relationships/hyperlink" Target="https://fasih-sm.bps.go.id/app/assignment/fd68e454-ba45-4b85-8205-f3bf777ded24/1e2372a7-cccb-4ad0-b4c7-c70e3f7b53dd" TargetMode="External"/><Relationship Id="rId38" Type="http://schemas.openxmlformats.org/officeDocument/2006/relationships/hyperlink" Target="https://fasih-sm.bps.go.id/app/assignment/fd68e454-ba45-4b85-8205-f3bf777ded24/d0844879-c23e-4c76-8bee-2ac630e748b6" TargetMode="External"/><Relationship Id="rId103" Type="http://schemas.openxmlformats.org/officeDocument/2006/relationships/hyperlink" Target="https://fasih-sm.bps.go.id/app/assignment/fd68e454-ba45-4b85-8205-f3bf777ded24/33c8f7db-d227-44b5-9b37-b7655e0461cf" TargetMode="External"/><Relationship Id="rId310" Type="http://schemas.openxmlformats.org/officeDocument/2006/relationships/hyperlink" Target="https://fasih-sm.bps.go.id/app/assignment/fd68e454-ba45-4b85-8205-f3bf777ded24/125c3910-6ec4-4d26-b5f3-e5ed5fe131fc" TargetMode="External"/><Relationship Id="rId548" Type="http://schemas.openxmlformats.org/officeDocument/2006/relationships/hyperlink" Target="https://fasih-sm.bps.go.id/app/assignment/fd68e454-ba45-4b85-8205-f3bf777ded24/8da1f35e-ece1-4c68-9139-334810e47dc1" TargetMode="External"/><Relationship Id="rId755" Type="http://schemas.openxmlformats.org/officeDocument/2006/relationships/hyperlink" Target="https://fasih-sm.bps.go.id/app/assignment/fd68e454-ba45-4b85-8205-f3bf777ded24/074b8804-64af-45cd-9fb8-596ca6bd7342" TargetMode="External"/><Relationship Id="rId962" Type="http://schemas.openxmlformats.org/officeDocument/2006/relationships/hyperlink" Target="https://fasih-sm.bps.go.id/app/assignment/fd68e454-ba45-4b85-8205-f3bf777ded24/27b0c225-26be-4a7d-9d66-58dca6fa8de6" TargetMode="External"/><Relationship Id="rId91" Type="http://schemas.openxmlformats.org/officeDocument/2006/relationships/hyperlink" Target="https://fasih-sm.bps.go.id/app/assignment/fd68e454-ba45-4b85-8205-f3bf777ded24/114f7748-2a5c-4562-adee-f887a2ba9832" TargetMode="External"/><Relationship Id="rId187" Type="http://schemas.openxmlformats.org/officeDocument/2006/relationships/hyperlink" Target="https://fasih-sm.bps.go.id/app/assignment/fd68e454-ba45-4b85-8205-f3bf777ded24/0021e17a-9f58-486b-b2e5-d1f0c2552160" TargetMode="External"/><Relationship Id="rId394" Type="http://schemas.openxmlformats.org/officeDocument/2006/relationships/hyperlink" Target="https://fasih-sm.bps.go.id/app/assignment/fd68e454-ba45-4b85-8205-f3bf777ded24/1eddf6d2-7b4e-4425-b256-f308b2b1859e" TargetMode="External"/><Relationship Id="rId408" Type="http://schemas.openxmlformats.org/officeDocument/2006/relationships/hyperlink" Target="https://fasih-sm.bps.go.id/app/assignment/fd68e454-ba45-4b85-8205-f3bf777ded24/217220ca-5bc7-473d-9520-b891f825a240" TargetMode="External"/><Relationship Id="rId615" Type="http://schemas.openxmlformats.org/officeDocument/2006/relationships/hyperlink" Target="https://fasih-sm.bps.go.id/app/assignment/fd68e454-ba45-4b85-8205-f3bf777ded24/16e6cef3-7939-4d14-8a93-78a222646360" TargetMode="External"/><Relationship Id="rId822" Type="http://schemas.openxmlformats.org/officeDocument/2006/relationships/hyperlink" Target="https://fasih-sm.bps.go.id/app/assignment/fd68e454-ba45-4b85-8205-f3bf777ded24/11c7eec9-76ab-44b0-ae0f-acb8bb1bac1f" TargetMode="External"/><Relationship Id="rId1038" Type="http://schemas.openxmlformats.org/officeDocument/2006/relationships/hyperlink" Target="https://fasih-sm.bps.go.id/app/assignment/fd68e454-ba45-4b85-8205-f3bf777ded24/33592f75-4bc1-4d50-8e7c-fb56a43df9c3" TargetMode="External"/><Relationship Id="rId254" Type="http://schemas.openxmlformats.org/officeDocument/2006/relationships/hyperlink" Target="https://fasih-sm.bps.go.id/app/assignment/fd68e454-ba45-4b85-8205-f3bf777ded24/0ab7b6c7-6846-49d1-aede-9430d635e19c" TargetMode="External"/><Relationship Id="rId699" Type="http://schemas.openxmlformats.org/officeDocument/2006/relationships/hyperlink" Target="https://fasih-sm.bps.go.id/app/assignment/fd68e454-ba45-4b85-8205-f3bf777ded24/f29136ff-8e10-438e-bf8f-57aab6a10bdf" TargetMode="External"/><Relationship Id="rId49" Type="http://schemas.openxmlformats.org/officeDocument/2006/relationships/hyperlink" Target="https://fasih-sm.bps.go.id/app/assignment/fd68e454-ba45-4b85-8205-f3bf777ded24/6ae7c1b5-f0cb-4fea-8742-03ea5a394f44" TargetMode="External"/><Relationship Id="rId114" Type="http://schemas.openxmlformats.org/officeDocument/2006/relationships/hyperlink" Target="https://fasih-sm.bps.go.id/app/assignment/fd68e454-ba45-4b85-8205-f3bf777ded24/48c142ad-a9ca-4490-951a-9a25d580f479" TargetMode="External"/><Relationship Id="rId461" Type="http://schemas.openxmlformats.org/officeDocument/2006/relationships/hyperlink" Target="https://fasih-sm.bps.go.id/app/assignment/fd68e454-ba45-4b85-8205-f3bf777ded24/2b720601-08ab-4238-9db8-96ed68a7bd87" TargetMode="External"/><Relationship Id="rId559" Type="http://schemas.openxmlformats.org/officeDocument/2006/relationships/hyperlink" Target="https://fasih-sm.bps.go.id/app/assignment/fd68e454-ba45-4b85-8205-f3bf777ded24/d0844879-c23e-4c76-8bee-2ac630e748b6" TargetMode="External"/><Relationship Id="rId766" Type="http://schemas.openxmlformats.org/officeDocument/2006/relationships/hyperlink" Target="https://fasih-sm.bps.go.id/app/assignment/fd68e454-ba45-4b85-8205-f3bf777ded24/086eba64-4a07-4826-9b70-b7339fd59a3c" TargetMode="External"/><Relationship Id="rId198" Type="http://schemas.openxmlformats.org/officeDocument/2006/relationships/hyperlink" Target="https://fasih-sm.bps.go.id/app/assignment/fd68e454-ba45-4b85-8205-f3bf777ded24/029318a4-a8af-47a5-92d7-f51e480d3272" TargetMode="External"/><Relationship Id="rId321" Type="http://schemas.openxmlformats.org/officeDocument/2006/relationships/hyperlink" Target="https://fasih-sm.bps.go.id/app/assignment/fd68e454-ba45-4b85-8205-f3bf777ded24/14c69f79-edcc-4362-bebd-a4da54e9171f" TargetMode="External"/><Relationship Id="rId419" Type="http://schemas.openxmlformats.org/officeDocument/2006/relationships/hyperlink" Target="https://fasih-sm.bps.go.id/app/assignment/fd68e454-ba45-4b85-8205-f3bf777ded24/23c5e6c0-2080-423b-a1cb-d5eb86a5d6c5" TargetMode="External"/><Relationship Id="rId626" Type="http://schemas.openxmlformats.org/officeDocument/2006/relationships/hyperlink" Target="https://fasih-sm.bps.go.id/app/assignment/fd68e454-ba45-4b85-8205-f3bf777ded24/35c92328-ea10-4349-b88c-c8b0e7f6153b" TargetMode="External"/><Relationship Id="rId973" Type="http://schemas.openxmlformats.org/officeDocument/2006/relationships/hyperlink" Target="https://fasih-sm.bps.go.id/app/assignment/fd68e454-ba45-4b85-8205-f3bf777ded24/2a63546c-d08a-4581-af43-7b70ed5aa795" TargetMode="External"/><Relationship Id="rId833" Type="http://schemas.openxmlformats.org/officeDocument/2006/relationships/hyperlink" Target="https://fasih-sm.bps.go.id/app/assignment/fd68e454-ba45-4b85-8205-f3bf777ded24/127e8c29-da75-47f8-af66-9701fe1b7ad2" TargetMode="External"/><Relationship Id="rId265" Type="http://schemas.openxmlformats.org/officeDocument/2006/relationships/hyperlink" Target="https://fasih-sm.bps.go.id/app/assignment/fd68e454-ba45-4b85-8205-f3bf777ded24/0c338ae3-e425-4ac3-a0d7-72017b95b4f8" TargetMode="External"/><Relationship Id="rId472" Type="http://schemas.openxmlformats.org/officeDocument/2006/relationships/hyperlink" Target="https://fasih-sm.bps.go.id/app/assignment/fd68e454-ba45-4b85-8205-f3bf777ded24/2c7e9263-5e15-49ee-9366-bacd678d7e69" TargetMode="External"/><Relationship Id="rId900" Type="http://schemas.openxmlformats.org/officeDocument/2006/relationships/hyperlink" Target="https://fasih-sm.bps.go.id/app/assignment/fd68e454-ba45-4b85-8205-f3bf777ded24/1d120a36-96ef-4063-8d42-b03b701d4e81" TargetMode="External"/><Relationship Id="rId125" Type="http://schemas.openxmlformats.org/officeDocument/2006/relationships/hyperlink" Target="https://fasih-sm.bps.go.id/app/assignment/fd68e454-ba45-4b85-8205-f3bf777ded24/5573d058-9ff3-4ab0-a515-fde14975ee24" TargetMode="External"/><Relationship Id="rId332" Type="http://schemas.openxmlformats.org/officeDocument/2006/relationships/hyperlink" Target="https://fasih-sm.bps.go.id/app/assignment/fd68e454-ba45-4b85-8205-f3bf777ded24/166ef8a3-be20-40fd-8ecf-cabdb917220c" TargetMode="External"/><Relationship Id="rId777" Type="http://schemas.openxmlformats.org/officeDocument/2006/relationships/hyperlink" Target="https://fasih-sm.bps.go.id/app/assignment/fd68e454-ba45-4b85-8205-f3bf777ded24/0b017a1e-29bd-457e-853c-143a59b5a2a1" TargetMode="External"/><Relationship Id="rId984" Type="http://schemas.openxmlformats.org/officeDocument/2006/relationships/hyperlink" Target="https://fasih-sm.bps.go.id/app/assignment/fd68e454-ba45-4b85-8205-f3bf777ded24/2b842b4f-6ebc-4cda-b077-fdad68264d54" TargetMode="External"/><Relationship Id="rId637" Type="http://schemas.openxmlformats.org/officeDocument/2006/relationships/hyperlink" Target="https://fasih-sm.bps.go.id/app/assignment/fd68e454-ba45-4b85-8205-f3bf777ded24/4c3874c2-0ba3-423a-ae58-faeea5ad5005" TargetMode="External"/><Relationship Id="rId844" Type="http://schemas.openxmlformats.org/officeDocument/2006/relationships/hyperlink" Target="https://fasih-sm.bps.go.id/app/assignment/fd68e454-ba45-4b85-8205-f3bf777ded24/151cb99a-054f-4b69-b565-084562ac0e9d" TargetMode="External"/><Relationship Id="rId276" Type="http://schemas.openxmlformats.org/officeDocument/2006/relationships/hyperlink" Target="https://fasih-sm.bps.go.id/app/assignment/fd68e454-ba45-4b85-8205-f3bf777ded24/0de9792b-bca4-4f8e-b1e2-7dc6e07369c0" TargetMode="External"/><Relationship Id="rId483" Type="http://schemas.openxmlformats.org/officeDocument/2006/relationships/hyperlink" Target="https://fasih-sm.bps.go.id/app/assignment/fd68e454-ba45-4b85-8205-f3bf777ded24/2ea695f4-8f6f-44b3-b590-bb7f64cd6194" TargetMode="External"/><Relationship Id="rId690" Type="http://schemas.openxmlformats.org/officeDocument/2006/relationships/hyperlink" Target="https://fasih-sm.bps.go.id/app/assignment/fd68e454-ba45-4b85-8205-f3bf777ded24/d3b0d9e2-7640-46d7-9f0f-b83ffb8c5d67" TargetMode="External"/><Relationship Id="rId704" Type="http://schemas.openxmlformats.org/officeDocument/2006/relationships/hyperlink" Target="https://fasih-sm.bps.go.id/app/assignment/fd68e454-ba45-4b85-8205-f3bf777ded24/f8819d5b-850d-4af3-9a02-42b7f8513eb4" TargetMode="External"/><Relationship Id="rId911" Type="http://schemas.openxmlformats.org/officeDocument/2006/relationships/hyperlink" Target="https://fasih-sm.bps.go.id/app/assignment/fd68e454-ba45-4b85-8205-f3bf777ded24/1e358d53-28ff-4e91-bbd7-4831dbc288c3" TargetMode="External"/><Relationship Id="rId40" Type="http://schemas.openxmlformats.org/officeDocument/2006/relationships/hyperlink" Target="https://fasih-sm.bps.go.id/app/assignment/fd68e454-ba45-4b85-8205-f3bf777ded24/2316cad4-a9be-4822-bb18-be0aa3bcf8c8" TargetMode="External"/><Relationship Id="rId136" Type="http://schemas.openxmlformats.org/officeDocument/2006/relationships/hyperlink" Target="https://fasih-sm.bps.go.id/app/assignment/fd68e454-ba45-4b85-8205-f3bf777ded24/8fb46abd-61f8-4631-983c-8b76cbe09a19" TargetMode="External"/><Relationship Id="rId343" Type="http://schemas.openxmlformats.org/officeDocument/2006/relationships/hyperlink" Target="https://fasih-sm.bps.go.id/app/assignment/fd68e454-ba45-4b85-8205-f3bf777ded24/17f7c5bb-5a17-4771-9a46-006937d874e6" TargetMode="External"/><Relationship Id="rId550" Type="http://schemas.openxmlformats.org/officeDocument/2006/relationships/hyperlink" Target="https://fasih-sm.bps.go.id/app/assignment/fd68e454-ba45-4b85-8205-f3bf777ded24/4f911881-7662-4a78-8c0d-6b8656126f9b" TargetMode="External"/><Relationship Id="rId788" Type="http://schemas.openxmlformats.org/officeDocument/2006/relationships/hyperlink" Target="https://fasih-sm.bps.go.id/app/assignment/fd68e454-ba45-4b85-8205-f3bf777ded24/0c88e7a2-bab4-49d3-939b-c480ec0a3098" TargetMode="External"/><Relationship Id="rId995" Type="http://schemas.openxmlformats.org/officeDocument/2006/relationships/hyperlink" Target="https://fasih-sm.bps.go.id/app/assignment/fd68e454-ba45-4b85-8205-f3bf777ded24/2ccbb148-8b0e-4310-bfb6-d662625ed643" TargetMode="External"/><Relationship Id="rId203" Type="http://schemas.openxmlformats.org/officeDocument/2006/relationships/hyperlink" Target="https://fasih-sm.bps.go.id/app/assignment/fd68e454-ba45-4b85-8205-f3bf777ded24/034ae829-30d7-47f9-93fc-995b606a57fb" TargetMode="External"/><Relationship Id="rId648" Type="http://schemas.openxmlformats.org/officeDocument/2006/relationships/hyperlink" Target="https://fasih-sm.bps.go.id/app/assignment/fd68e454-ba45-4b85-8205-f3bf777ded24/651b8b5f-5e9a-4a8d-b7aa-ac56ef8f37a3" TargetMode="External"/><Relationship Id="rId855" Type="http://schemas.openxmlformats.org/officeDocument/2006/relationships/hyperlink" Target="https://fasih-sm.bps.go.id/app/assignment/fd68e454-ba45-4b85-8205-f3bf777ded24/174fd480-c216-4254-9c1a-cd2f5a50545a" TargetMode="External"/><Relationship Id="rId1040" Type="http://schemas.openxmlformats.org/officeDocument/2006/relationships/hyperlink" Target="https://fasih-sm.bps.go.id/app/assignment/fd68e454-ba45-4b85-8205-f3bf777ded24/3404eb88-72ef-42d0-8e59-baff1a610708" TargetMode="External"/><Relationship Id="rId287" Type="http://schemas.openxmlformats.org/officeDocument/2006/relationships/hyperlink" Target="https://fasih-sm.bps.go.id/app/assignment/fd68e454-ba45-4b85-8205-f3bf777ded24/0ffa0ebd-8e21-4e4b-afa6-d9b2972ac385" TargetMode="External"/><Relationship Id="rId410" Type="http://schemas.openxmlformats.org/officeDocument/2006/relationships/hyperlink" Target="https://fasih-sm.bps.go.id/app/assignment/fd68e454-ba45-4b85-8205-f3bf777ded24/21f7629a-11db-4799-b99a-8a73ffb6bd92" TargetMode="External"/><Relationship Id="rId494" Type="http://schemas.openxmlformats.org/officeDocument/2006/relationships/hyperlink" Target="https://fasih-sm.bps.go.id/app/assignment/fd68e454-ba45-4b85-8205-f3bf777ded24/31460005-af67-44aa-82fc-327691891088" TargetMode="External"/><Relationship Id="rId508" Type="http://schemas.openxmlformats.org/officeDocument/2006/relationships/hyperlink" Target="https://fasih-sm.bps.go.id/app/assignment/fd68e454-ba45-4b85-8205-f3bf777ded24/3246451f-13bb-4478-bbdb-c5794e912c67" TargetMode="External"/><Relationship Id="rId715" Type="http://schemas.openxmlformats.org/officeDocument/2006/relationships/hyperlink" Target="https://fasih-sm.bps.go.id/app/assignment/fd68e454-ba45-4b85-8205-f3bf777ded24/01639bff-4ec7-4e76-8913-f4d11c9af1b7" TargetMode="External"/><Relationship Id="rId922" Type="http://schemas.openxmlformats.org/officeDocument/2006/relationships/hyperlink" Target="https://fasih-sm.bps.go.id/app/assignment/fd68e454-ba45-4b85-8205-f3bf777ded24/2036a4f8-0eb9-47ea-a0c3-d9bac4fda241" TargetMode="External"/><Relationship Id="rId147" Type="http://schemas.openxmlformats.org/officeDocument/2006/relationships/hyperlink" Target="https://fasih-sm.bps.go.id/app/assignment/fd68e454-ba45-4b85-8205-f3bf777ded24/a6d3120b-7b3c-4072-84a8-7748b5c384f1" TargetMode="External"/><Relationship Id="rId354" Type="http://schemas.openxmlformats.org/officeDocument/2006/relationships/hyperlink" Target="https://fasih-sm.bps.go.id/app/assignment/fd68e454-ba45-4b85-8205-f3bf777ded24/19a42e37-1177-4662-b5b3-34034b59c063" TargetMode="External"/><Relationship Id="rId799" Type="http://schemas.openxmlformats.org/officeDocument/2006/relationships/hyperlink" Target="https://fasih-sm.bps.go.id/app/assignment/fd68e454-ba45-4b85-8205-f3bf777ded24/0e2092ce-1a2c-4948-a6d1-0f5908b21912" TargetMode="External"/><Relationship Id="rId51" Type="http://schemas.openxmlformats.org/officeDocument/2006/relationships/hyperlink" Target="https://fasih-sm.bps.go.id/app/assignment/fd68e454-ba45-4b85-8205-f3bf777ded24/94437398-49ed-4ed4-a568-bf658f388532" TargetMode="External"/><Relationship Id="rId561" Type="http://schemas.openxmlformats.org/officeDocument/2006/relationships/hyperlink" Target="https://fasih-sm.bps.go.id/app/assignment/fd68e454-ba45-4b85-8205-f3bf777ded24/2316cad4-a9be-4822-bb18-be0aa3bcf8c8" TargetMode="External"/><Relationship Id="rId659" Type="http://schemas.openxmlformats.org/officeDocument/2006/relationships/hyperlink" Target="https://fasih-sm.bps.go.id/app/assignment/fd68e454-ba45-4b85-8205-f3bf777ded24/932ff7d7-643e-4e7a-8cfa-b94c6ff53e31" TargetMode="External"/><Relationship Id="rId866" Type="http://schemas.openxmlformats.org/officeDocument/2006/relationships/hyperlink" Target="https://fasih-sm.bps.go.id/app/assignment/fd68e454-ba45-4b85-8205-f3bf777ded24/18a7daa9-82c1-43e6-9b52-3995d78828ac" TargetMode="External"/><Relationship Id="rId214" Type="http://schemas.openxmlformats.org/officeDocument/2006/relationships/hyperlink" Target="https://fasih-sm.bps.go.id/app/assignment/fd68e454-ba45-4b85-8205-f3bf777ded24/0449ed3f-a436-4af4-9b48-b82403345fba" TargetMode="External"/><Relationship Id="rId298" Type="http://schemas.openxmlformats.org/officeDocument/2006/relationships/hyperlink" Target="https://fasih-sm.bps.go.id/app/assignment/fd68e454-ba45-4b85-8205-f3bf777ded24/1140e6c9-df26-4c2e-9398-114bb483d326" TargetMode="External"/><Relationship Id="rId421" Type="http://schemas.openxmlformats.org/officeDocument/2006/relationships/hyperlink" Target="https://fasih-sm.bps.go.id/app/assignment/fd68e454-ba45-4b85-8205-f3bf777ded24/23e6cc4a-997a-4e29-9625-54de22707ea7" TargetMode="External"/><Relationship Id="rId519" Type="http://schemas.openxmlformats.org/officeDocument/2006/relationships/hyperlink" Target="https://fasih-sm.bps.go.id/app/assignment/fd68e454-ba45-4b85-8205-f3bf777ded24/3404eb88-72ef-42d0-8e59-baff1a610708" TargetMode="External"/><Relationship Id="rId158" Type="http://schemas.openxmlformats.org/officeDocument/2006/relationships/hyperlink" Target="https://fasih-sm.bps.go.id/app/assignment/fd68e454-ba45-4b85-8205-f3bf777ded24/be77fba2-06cb-43ec-becd-0d7f27f99da8" TargetMode="External"/><Relationship Id="rId726" Type="http://schemas.openxmlformats.org/officeDocument/2006/relationships/hyperlink" Target="https://fasih-sm.bps.go.id/app/assignment/fd68e454-ba45-4b85-8205-f3bf777ded24/0396688b-9b4c-4fe7-8650-9f6e381b675a" TargetMode="External"/><Relationship Id="rId933" Type="http://schemas.openxmlformats.org/officeDocument/2006/relationships/hyperlink" Target="https://fasih-sm.bps.go.id/app/assignment/fd68e454-ba45-4b85-8205-f3bf777ded24/22e1ed95-b6e8-42a0-b653-154790f62e47" TargetMode="External"/><Relationship Id="rId1009" Type="http://schemas.openxmlformats.org/officeDocument/2006/relationships/hyperlink" Target="https://fasih-sm.bps.go.id/app/assignment/fd68e454-ba45-4b85-8205-f3bf777ded24/2f7041e1-65c1-47cf-88f6-8e5df1a7f9ef" TargetMode="External"/><Relationship Id="rId62" Type="http://schemas.openxmlformats.org/officeDocument/2006/relationships/hyperlink" Target="https://fasih-sm.bps.go.id/app/assignment/fd68e454-ba45-4b85-8205-f3bf777ded24/fb609150-f005-420a-946f-594fef87e117" TargetMode="External"/><Relationship Id="rId365" Type="http://schemas.openxmlformats.org/officeDocument/2006/relationships/hyperlink" Target="https://fasih-sm.bps.go.id/app/assignment/fd68e454-ba45-4b85-8205-f3bf777ded24/1b6a96f8-04ee-4222-9e67-0cd280baf16e" TargetMode="External"/><Relationship Id="rId572" Type="http://schemas.openxmlformats.org/officeDocument/2006/relationships/hyperlink" Target="https://fasih-sm.bps.go.id/app/assignment/fd68e454-ba45-4b85-8205-f3bf777ded24/94437398-49ed-4ed4-a568-bf658f388532" TargetMode="External"/><Relationship Id="rId225" Type="http://schemas.openxmlformats.org/officeDocument/2006/relationships/hyperlink" Target="https://fasih-sm.bps.go.id/app/assignment/fd68e454-ba45-4b85-8205-f3bf777ded24/05e195cd-a090-4def-b00c-97948a0297bf" TargetMode="External"/><Relationship Id="rId432" Type="http://schemas.openxmlformats.org/officeDocument/2006/relationships/hyperlink" Target="https://fasih-sm.bps.go.id/app/assignment/fd68e454-ba45-4b85-8205-f3bf777ded24/2615d3cc-79aa-48b3-b38b-c13c25bf160c" TargetMode="External"/><Relationship Id="rId877" Type="http://schemas.openxmlformats.org/officeDocument/2006/relationships/hyperlink" Target="https://fasih-sm.bps.go.id/app/assignment/fd68e454-ba45-4b85-8205-f3bf777ded24/1a0dc985-b7de-417a-bf77-cd076ed6b685" TargetMode="External"/><Relationship Id="rId737" Type="http://schemas.openxmlformats.org/officeDocument/2006/relationships/hyperlink" Target="https://fasih-sm.bps.go.id/app/assignment/fd68e454-ba45-4b85-8205-f3bf777ded24/0480fc92-d878-42e9-bfe3-570a2ca60fa8" TargetMode="External"/><Relationship Id="rId944" Type="http://schemas.openxmlformats.org/officeDocument/2006/relationships/hyperlink" Target="https://fasih-sm.bps.go.id/app/assignment/fd68e454-ba45-4b85-8205-f3bf777ded24/244a5775-c78e-4529-a683-aad6c23e7431" TargetMode="External"/><Relationship Id="rId73" Type="http://schemas.openxmlformats.org/officeDocument/2006/relationships/hyperlink" Target="https://fasih-sm.bps.go.id/app/assignment/fd68e454-ba45-4b85-8205-f3bf777ded24/b4b49daa-3ddc-46bc-96fa-2f3368ec6a37" TargetMode="External"/><Relationship Id="rId169" Type="http://schemas.openxmlformats.org/officeDocument/2006/relationships/hyperlink" Target="https://fasih-sm.bps.go.id/app/assignment/fd68e454-ba45-4b85-8205-f3bf777ded24/d3b0d9e2-7640-46d7-9f0f-b83ffb8c5d67" TargetMode="External"/><Relationship Id="rId376" Type="http://schemas.openxmlformats.org/officeDocument/2006/relationships/hyperlink" Target="https://fasih-sm.bps.go.id/app/assignment/fd68e454-ba45-4b85-8205-f3bf777ded24/1cc7d3b7-f82c-4dd6-9eb1-778443e346ae" TargetMode="External"/><Relationship Id="rId583" Type="http://schemas.openxmlformats.org/officeDocument/2006/relationships/hyperlink" Target="https://fasih-sm.bps.go.id/app/assignment/fd68e454-ba45-4b85-8205-f3bf777ded24/fb609150-f005-420a-946f-594fef87e117" TargetMode="External"/><Relationship Id="rId790" Type="http://schemas.openxmlformats.org/officeDocument/2006/relationships/hyperlink" Target="https://fasih-sm.bps.go.id/app/assignment/fd68e454-ba45-4b85-8205-f3bf777ded24/0cce69f6-1e1e-4ddb-a0eb-e599be7a544f" TargetMode="External"/><Relationship Id="rId804" Type="http://schemas.openxmlformats.org/officeDocument/2006/relationships/hyperlink" Target="https://fasih-sm.bps.go.id/app/assignment/fd68e454-ba45-4b85-8205-f3bf777ded24/0e944276-8119-433b-8e19-b8cf284953e7" TargetMode="External"/><Relationship Id="rId4" Type="http://schemas.openxmlformats.org/officeDocument/2006/relationships/hyperlink" Target="https://fasih-sm.bps.go.id/app/assignment/fd68e454-ba45-4b85-8205-f3bf777ded24/ebb3c929-270d-4e08-8cc6-bfe4a258c9de" TargetMode="External"/><Relationship Id="rId236" Type="http://schemas.openxmlformats.org/officeDocument/2006/relationships/hyperlink" Target="https://fasih-sm.bps.go.id/app/assignment/fd68e454-ba45-4b85-8205-f3bf777ded24/079a2aa4-6745-4211-bf2b-571d888dfc1b" TargetMode="External"/><Relationship Id="rId443" Type="http://schemas.openxmlformats.org/officeDocument/2006/relationships/hyperlink" Target="https://fasih-sm.bps.go.id/app/assignment/fd68e454-ba45-4b85-8205-f3bf777ded24/28b28dfa-a6a7-4e9c-8539-01a7d883d68c" TargetMode="External"/><Relationship Id="rId650" Type="http://schemas.openxmlformats.org/officeDocument/2006/relationships/hyperlink" Target="https://fasih-sm.bps.go.id/app/assignment/fd68e454-ba45-4b85-8205-f3bf777ded24/701b1574-1b3a-40a0-a07c-d9d4174809be" TargetMode="External"/><Relationship Id="rId888" Type="http://schemas.openxmlformats.org/officeDocument/2006/relationships/hyperlink" Target="https://fasih-sm.bps.go.id/app/assignment/fd68e454-ba45-4b85-8205-f3bf777ded24/1baf3d0c-be46-4897-a0bc-791c7933f99d" TargetMode="External"/><Relationship Id="rId303" Type="http://schemas.openxmlformats.org/officeDocument/2006/relationships/hyperlink" Target="https://fasih-sm.bps.go.id/app/assignment/fd68e454-ba45-4b85-8205-f3bf777ded24/11d1fe2d-e355-4ced-a9cd-83f87e5299f9" TargetMode="External"/><Relationship Id="rId748" Type="http://schemas.openxmlformats.org/officeDocument/2006/relationships/hyperlink" Target="https://fasih-sm.bps.go.id/app/assignment/fd68e454-ba45-4b85-8205-f3bf777ded24/064d9e7b-b4de-4207-9359-a66390826215" TargetMode="External"/><Relationship Id="rId955" Type="http://schemas.openxmlformats.org/officeDocument/2006/relationships/hyperlink" Target="https://fasih-sm.bps.go.id/app/assignment/fd68e454-ba45-4b85-8205-f3bf777ded24/262a08d0-02ad-4010-8370-9f26fe158b90" TargetMode="External"/><Relationship Id="rId84" Type="http://schemas.openxmlformats.org/officeDocument/2006/relationships/hyperlink" Target="https://fasih-sm.bps.go.id/app/assignment/fd68e454-ba45-4b85-8205-f3bf777ded24/00998f57-cd64-49f1-8a60-3d31e7ebc9b8" TargetMode="External"/><Relationship Id="rId387" Type="http://schemas.openxmlformats.org/officeDocument/2006/relationships/hyperlink" Target="https://fasih-sm.bps.go.id/app/assignment/fd68e454-ba45-4b85-8205-f3bf777ded24/1e215243-5f26-4440-81c3-c5bbb8b51a06" TargetMode="External"/><Relationship Id="rId510" Type="http://schemas.openxmlformats.org/officeDocument/2006/relationships/hyperlink" Target="https://fasih-sm.bps.go.id/app/assignment/fd68e454-ba45-4b85-8205-f3bf777ded24/329c6d0f-53de-4992-8098-07779a4ad78b" TargetMode="External"/><Relationship Id="rId594" Type="http://schemas.openxmlformats.org/officeDocument/2006/relationships/hyperlink" Target="https://fasih-sm.bps.go.id/app/assignment/fd68e454-ba45-4b85-8205-f3bf777ded24/b4b49daa-3ddc-46bc-96fa-2f3368ec6a37" TargetMode="External"/><Relationship Id="rId608" Type="http://schemas.openxmlformats.org/officeDocument/2006/relationships/hyperlink" Target="https://fasih-sm.bps.go.id/app/assignment/fd68e454-ba45-4b85-8205-f3bf777ded24/06597b68-aff5-4660-86d1-ec8b7c6345df" TargetMode="External"/><Relationship Id="rId815" Type="http://schemas.openxmlformats.org/officeDocument/2006/relationships/hyperlink" Target="https://fasih-sm.bps.go.id/app/assignment/fd68e454-ba45-4b85-8205-f3bf777ded24/10a54dae-6dcc-4167-9892-e49e0ea352ef" TargetMode="External"/><Relationship Id="rId247" Type="http://schemas.openxmlformats.org/officeDocument/2006/relationships/hyperlink" Target="https://fasih-sm.bps.go.id/app/assignment/fd68e454-ba45-4b85-8205-f3bf777ded24/08c99609-dd75-4988-b585-97677dcf97dd" TargetMode="External"/><Relationship Id="rId899" Type="http://schemas.openxmlformats.org/officeDocument/2006/relationships/hyperlink" Target="https://fasih-sm.bps.go.id/app/assignment/fd68e454-ba45-4b85-8205-f3bf777ded24/1cdffa0d-2560-4766-8c5c-aefcb35701bc" TargetMode="External"/><Relationship Id="rId1000" Type="http://schemas.openxmlformats.org/officeDocument/2006/relationships/hyperlink" Target="https://fasih-sm.bps.go.id/app/assignment/fd68e454-ba45-4b85-8205-f3bf777ded24/2dc6624e-2e2c-4866-90d7-16a0bb9067bc" TargetMode="External"/><Relationship Id="rId107" Type="http://schemas.openxmlformats.org/officeDocument/2006/relationships/hyperlink" Target="https://fasih-sm.bps.go.id/app/assignment/fd68e454-ba45-4b85-8205-f3bf777ded24/36c1f1d4-14ea-437f-8c9c-84bdb252f250" TargetMode="External"/><Relationship Id="rId454" Type="http://schemas.openxmlformats.org/officeDocument/2006/relationships/hyperlink" Target="https://fasih-sm.bps.go.id/app/assignment/fd68e454-ba45-4b85-8205-f3bf777ded24/2a796ee0-c196-496a-bd0d-8499688f333f" TargetMode="External"/><Relationship Id="rId661" Type="http://schemas.openxmlformats.org/officeDocument/2006/relationships/hyperlink" Target="https://fasih-sm.bps.go.id/app/assignment/fd68e454-ba45-4b85-8205-f3bf777ded24/983404e3-f9bd-4680-b2af-0a1f56dad545" TargetMode="External"/><Relationship Id="rId759" Type="http://schemas.openxmlformats.org/officeDocument/2006/relationships/hyperlink" Target="https://fasih-sm.bps.go.id/app/assignment/fd68e454-ba45-4b85-8205-f3bf777ded24/07a6feca-e406-40b2-8a41-b20456f9dc22" TargetMode="External"/><Relationship Id="rId966" Type="http://schemas.openxmlformats.org/officeDocument/2006/relationships/hyperlink" Target="https://fasih-sm.bps.go.id/app/assignment/fd68e454-ba45-4b85-8205-f3bf777ded24/28bd0ed9-0ef6-4999-97ed-408d94b7956a" TargetMode="External"/><Relationship Id="rId11" Type="http://schemas.openxmlformats.org/officeDocument/2006/relationships/hyperlink" Target="https://fasih-sm.bps.go.id/app/assignment/fd68e454-ba45-4b85-8205-f3bf777ded24/cf8f8312-7915-4a6c-a393-f05d4f4894f1" TargetMode="External"/><Relationship Id="rId314" Type="http://schemas.openxmlformats.org/officeDocument/2006/relationships/hyperlink" Target="https://fasih-sm.bps.go.id/app/assignment/fd68e454-ba45-4b85-8205-f3bf777ded24/12c697ee-30d6-4d7f-8e5c-b600e703f7c4" TargetMode="External"/><Relationship Id="rId398" Type="http://schemas.openxmlformats.org/officeDocument/2006/relationships/hyperlink" Target="https://fasih-sm.bps.go.id/app/assignment/fd68e454-ba45-4b85-8205-f3bf777ded24/1fc7cc52-5002-4db6-813e-c2d909541a7f" TargetMode="External"/><Relationship Id="rId521" Type="http://schemas.openxmlformats.org/officeDocument/2006/relationships/hyperlink" Target="https://fasih-sm.bps.go.id/app/assignment/fd68e454-ba45-4b85-8205-f3bf777ded24/34cffcc0-9cf1-4a2a-9411-b01e6fd0de7e" TargetMode="External"/><Relationship Id="rId619" Type="http://schemas.openxmlformats.org/officeDocument/2006/relationships/hyperlink" Target="https://fasih-sm.bps.go.id/app/assignment/fd68e454-ba45-4b85-8205-f3bf777ded24/22915a4e-0665-41af-a671-c23caf72428d" TargetMode="External"/><Relationship Id="rId95" Type="http://schemas.openxmlformats.org/officeDocument/2006/relationships/hyperlink" Target="https://fasih-sm.bps.go.id/app/assignment/fd68e454-ba45-4b85-8205-f3bf777ded24/184e14f9-8db8-4639-9864-6251cd4fd4b3" TargetMode="External"/><Relationship Id="rId160" Type="http://schemas.openxmlformats.org/officeDocument/2006/relationships/hyperlink" Target="https://fasih-sm.bps.go.id/app/assignment/fd68e454-ba45-4b85-8205-f3bf777ded24/bedc8177-794c-4a48-a4bc-a7350efc7c36" TargetMode="External"/><Relationship Id="rId826" Type="http://schemas.openxmlformats.org/officeDocument/2006/relationships/hyperlink" Target="https://fasih-sm.bps.go.id/app/assignment/fd68e454-ba45-4b85-8205-f3bf777ded24/11f51227-8b67-4fc4-b0de-3650f1a1d383" TargetMode="External"/><Relationship Id="rId1011" Type="http://schemas.openxmlformats.org/officeDocument/2006/relationships/hyperlink" Target="https://fasih-sm.bps.go.id/app/assignment/fd68e454-ba45-4b85-8205-f3bf777ded24/2fa0a850-0ad8-4750-909c-9809fe2822c8" TargetMode="External"/><Relationship Id="rId258" Type="http://schemas.openxmlformats.org/officeDocument/2006/relationships/hyperlink" Target="https://fasih-sm.bps.go.id/app/assignment/fd68e454-ba45-4b85-8205-f3bf777ded24/0bdd0626-4840-4012-99da-128fd7155e80" TargetMode="External"/><Relationship Id="rId465" Type="http://schemas.openxmlformats.org/officeDocument/2006/relationships/hyperlink" Target="https://fasih-sm.bps.go.id/app/assignment/fd68e454-ba45-4b85-8205-f3bf777ded24/2ba7e4c1-0ecf-4897-9b11-06341c5a3cb6" TargetMode="External"/><Relationship Id="rId672" Type="http://schemas.openxmlformats.org/officeDocument/2006/relationships/hyperlink" Target="https://fasih-sm.bps.go.id/app/assignment/fd68e454-ba45-4b85-8205-f3bf777ded24/ae4d7cfc-a9e3-49ec-811e-414842421a2c" TargetMode="External"/><Relationship Id="rId22" Type="http://schemas.openxmlformats.org/officeDocument/2006/relationships/hyperlink" Target="https://fasih-sm.bps.go.id/app/assignment/fd68e454-ba45-4b85-8205-f3bf777ded24/e634b6ba-027d-4536-84c7-3ca21c5109d0" TargetMode="External"/><Relationship Id="rId118" Type="http://schemas.openxmlformats.org/officeDocument/2006/relationships/hyperlink" Target="https://fasih-sm.bps.go.id/app/assignment/fd68e454-ba45-4b85-8205-f3bf777ded24/4fce3584-4f00-4c81-9a11-62b6f1bdc241" TargetMode="External"/><Relationship Id="rId325" Type="http://schemas.openxmlformats.org/officeDocument/2006/relationships/hyperlink" Target="https://fasih-sm.bps.go.id/app/assignment/fd68e454-ba45-4b85-8205-f3bf777ded24/155157fe-76d9-4efa-b277-94028e9f5dcb" TargetMode="External"/><Relationship Id="rId532" Type="http://schemas.openxmlformats.org/officeDocument/2006/relationships/hyperlink" Target="https://fasih-sm.bps.go.id/app/assignment/fd68e454-ba45-4b85-8205-f3bf777ded24/cf8f8312-7915-4a6c-a393-f05d4f4894f1" TargetMode="External"/><Relationship Id="rId977" Type="http://schemas.openxmlformats.org/officeDocument/2006/relationships/hyperlink" Target="https://fasih-sm.bps.go.id/app/assignment/fd68e454-ba45-4b85-8205-f3bf777ded24/2b0b0c95-b3ff-4f07-a02f-0af51f295a3e" TargetMode="External"/><Relationship Id="rId171" Type="http://schemas.openxmlformats.org/officeDocument/2006/relationships/hyperlink" Target="https://fasih-sm.bps.go.id/app/assignment/fd68e454-ba45-4b85-8205-f3bf777ded24/dbb1d7ea-c094-4131-ae8a-e7c9d70f09cd" TargetMode="External"/><Relationship Id="rId837" Type="http://schemas.openxmlformats.org/officeDocument/2006/relationships/hyperlink" Target="https://fasih-sm.bps.go.id/app/assignment/fd68e454-ba45-4b85-8205-f3bf777ded24/13bfff81-07c5-4908-ac97-22c703d98e62" TargetMode="External"/><Relationship Id="rId1022" Type="http://schemas.openxmlformats.org/officeDocument/2006/relationships/hyperlink" Target="https://fasih-sm.bps.go.id/app/assignment/fd68e454-ba45-4b85-8205-f3bf777ded24/3186a9f1-5dc1-4b19-a1ad-b3af4bd7038e" TargetMode="External"/><Relationship Id="rId269" Type="http://schemas.openxmlformats.org/officeDocument/2006/relationships/hyperlink" Target="https://fasih-sm.bps.go.id/app/assignment/fd68e454-ba45-4b85-8205-f3bf777ded24/0cce69f6-1e1e-4ddb-a0eb-e599be7a544f" TargetMode="External"/><Relationship Id="rId476" Type="http://schemas.openxmlformats.org/officeDocument/2006/relationships/hyperlink" Target="https://fasih-sm.bps.go.id/app/assignment/fd68e454-ba45-4b85-8205-f3bf777ded24/2d3ffb33-4374-4da8-9063-ebdb2fcc19da" TargetMode="External"/><Relationship Id="rId683" Type="http://schemas.openxmlformats.org/officeDocument/2006/relationships/hyperlink" Target="https://fasih-sm.bps.go.id/app/assignment/fd68e454-ba45-4b85-8205-f3bf777ded24/c57dbc3a-1eb0-4a8b-bbc1-b21e996d6b28" TargetMode="External"/><Relationship Id="rId890" Type="http://schemas.openxmlformats.org/officeDocument/2006/relationships/hyperlink" Target="https://fasih-sm.bps.go.id/app/assignment/fd68e454-ba45-4b85-8205-f3bf777ded24/1bdc2d89-453c-4615-8aef-f4a69059a8e7" TargetMode="External"/><Relationship Id="rId904" Type="http://schemas.openxmlformats.org/officeDocument/2006/relationships/hyperlink" Target="https://fasih-sm.bps.go.id/app/assignment/fd68e454-ba45-4b85-8205-f3bf777ded24/1d9d3fa4-e72d-4d18-bfe5-0826c29a6c8f" TargetMode="External"/><Relationship Id="rId33" Type="http://schemas.openxmlformats.org/officeDocument/2006/relationships/hyperlink" Target="https://fasih-sm.bps.go.id/app/assignment/fd68e454-ba45-4b85-8205-f3bf777ded24/4202dab7-1d36-480e-9678-82beb70fac84" TargetMode="External"/><Relationship Id="rId129" Type="http://schemas.openxmlformats.org/officeDocument/2006/relationships/hyperlink" Target="https://fasih-sm.bps.go.id/app/assignment/fd68e454-ba45-4b85-8205-f3bf777ded24/701b1574-1b3a-40a0-a07c-d9d4174809be" TargetMode="External"/><Relationship Id="rId336" Type="http://schemas.openxmlformats.org/officeDocument/2006/relationships/hyperlink" Target="https://fasih-sm.bps.go.id/app/assignment/fd68e454-ba45-4b85-8205-f3bf777ded24/17787b46-2ed1-4c5d-8b90-53589bca5f67" TargetMode="External"/><Relationship Id="rId543" Type="http://schemas.openxmlformats.org/officeDocument/2006/relationships/hyperlink" Target="https://fasih-sm.bps.go.id/app/assignment/fd68e454-ba45-4b85-8205-f3bf777ded24/e634b6ba-027d-4536-84c7-3ca21c5109d0" TargetMode="External"/><Relationship Id="rId988" Type="http://schemas.openxmlformats.org/officeDocument/2006/relationships/hyperlink" Target="https://fasih-sm.bps.go.id/app/assignment/fd68e454-ba45-4b85-8205-f3bf777ded24/2bc08322-f300-495f-8fbf-a85a410ae7d4" TargetMode="External"/><Relationship Id="rId182" Type="http://schemas.openxmlformats.org/officeDocument/2006/relationships/hyperlink" Target="https://fasih-sm.bps.go.id/app/assignment/fd68e454-ba45-4b85-8205-f3bf777ded24/f68409d3-ab54-4a02-b88b-44f949bc9a98" TargetMode="External"/><Relationship Id="rId403" Type="http://schemas.openxmlformats.org/officeDocument/2006/relationships/hyperlink" Target="https://fasih-sm.bps.go.id/app/assignment/fd68e454-ba45-4b85-8205-f3bf777ded24/206b0902-33f2-4c3c-be48-6b8676ab68b6" TargetMode="External"/><Relationship Id="rId750" Type="http://schemas.openxmlformats.org/officeDocument/2006/relationships/hyperlink" Target="https://fasih-sm.bps.go.id/app/assignment/fd68e454-ba45-4b85-8205-f3bf777ded24/068cc16f-4b75-43f1-8756-fe8529c86ec4" TargetMode="External"/><Relationship Id="rId848" Type="http://schemas.openxmlformats.org/officeDocument/2006/relationships/hyperlink" Target="https://fasih-sm.bps.go.id/app/assignment/fd68e454-ba45-4b85-8205-f3bf777ded24/160e74aa-696a-4f7a-a7f6-58d86d2c995c" TargetMode="External"/><Relationship Id="rId1033" Type="http://schemas.openxmlformats.org/officeDocument/2006/relationships/hyperlink" Target="https://fasih-sm.bps.go.id/app/assignment/fd68e454-ba45-4b85-8205-f3bf777ded24/32bd51b8-d37e-4027-9a4c-bc05daa0866b" TargetMode="External"/><Relationship Id="rId487" Type="http://schemas.openxmlformats.org/officeDocument/2006/relationships/hyperlink" Target="https://fasih-sm.bps.go.id/app/assignment/fd68e454-ba45-4b85-8205-f3bf777ded24/2f5a774e-4d8b-4b0a-9d63-f951717ffd7b" TargetMode="External"/><Relationship Id="rId610" Type="http://schemas.openxmlformats.org/officeDocument/2006/relationships/hyperlink" Target="https://fasih-sm.bps.go.id/app/assignment/fd68e454-ba45-4b85-8205-f3bf777ded24/0ff1e300-d0a0-4235-81e4-aed9062efab1" TargetMode="External"/><Relationship Id="rId694" Type="http://schemas.openxmlformats.org/officeDocument/2006/relationships/hyperlink" Target="https://fasih-sm.bps.go.id/app/assignment/fd68e454-ba45-4b85-8205-f3bf777ded24/e342d712-5391-4f3e-9b0c-8fa66992f117" TargetMode="External"/><Relationship Id="rId708" Type="http://schemas.openxmlformats.org/officeDocument/2006/relationships/hyperlink" Target="https://fasih-sm.bps.go.id/app/assignment/fd68e454-ba45-4b85-8205-f3bf777ded24/0021e17a-9f58-486b-b2e5-d1f0c2552160" TargetMode="External"/><Relationship Id="rId915" Type="http://schemas.openxmlformats.org/officeDocument/2006/relationships/hyperlink" Target="https://fasih-sm.bps.go.id/app/assignment/fd68e454-ba45-4b85-8205-f3bf777ded24/1eddf6d2-7b4e-4425-b256-f308b2b1859e" TargetMode="External"/><Relationship Id="rId347" Type="http://schemas.openxmlformats.org/officeDocument/2006/relationships/hyperlink" Target="https://fasih-sm.bps.go.id/app/assignment/fd68e454-ba45-4b85-8205-f3bf777ded24/191e430c-b2d4-48ec-9e3b-3422987e0453" TargetMode="External"/><Relationship Id="rId999" Type="http://schemas.openxmlformats.org/officeDocument/2006/relationships/hyperlink" Target="https://fasih-sm.bps.go.id/app/assignment/fd68e454-ba45-4b85-8205-f3bf777ded24/2d9082ac-fd7c-48c1-8324-183c1b178434" TargetMode="External"/><Relationship Id="rId44" Type="http://schemas.openxmlformats.org/officeDocument/2006/relationships/hyperlink" Target="https://fasih-sm.bps.go.id/app/assignment/fd68e454-ba45-4b85-8205-f3bf777ded24/38637d0c-94fb-4c47-8d1d-f6f334287a86" TargetMode="External"/><Relationship Id="rId554" Type="http://schemas.openxmlformats.org/officeDocument/2006/relationships/hyperlink" Target="https://fasih-sm.bps.go.id/app/assignment/fd68e454-ba45-4b85-8205-f3bf777ded24/4202dab7-1d36-480e-9678-82beb70fac84" TargetMode="External"/><Relationship Id="rId761" Type="http://schemas.openxmlformats.org/officeDocument/2006/relationships/hyperlink" Target="https://fasih-sm.bps.go.id/app/assignment/fd68e454-ba45-4b85-8205-f3bf777ded24/07dc6a53-2f9f-412f-9110-bd24708493bd" TargetMode="External"/><Relationship Id="rId859" Type="http://schemas.openxmlformats.org/officeDocument/2006/relationships/hyperlink" Target="https://fasih-sm.bps.go.id/app/assignment/fd68e454-ba45-4b85-8205-f3bf777ded24/178e9f64-7a19-4c4b-aabc-c27dde7f7269" TargetMode="External"/><Relationship Id="rId193" Type="http://schemas.openxmlformats.org/officeDocument/2006/relationships/hyperlink" Target="https://fasih-sm.bps.go.id/app/assignment/fd68e454-ba45-4b85-8205-f3bf777ded24/01602039-dd5f-420b-a91f-5aebb0c745d3" TargetMode="External"/><Relationship Id="rId207" Type="http://schemas.openxmlformats.org/officeDocument/2006/relationships/hyperlink" Target="https://fasih-sm.bps.go.id/app/assignment/fd68e454-ba45-4b85-8205-f3bf777ded24/03ceaf88-31e5-4283-a559-736a46a43f3c" TargetMode="External"/><Relationship Id="rId414" Type="http://schemas.openxmlformats.org/officeDocument/2006/relationships/hyperlink" Target="https://fasih-sm.bps.go.id/app/assignment/fd68e454-ba45-4b85-8205-f3bf777ded24/23121c38-b5ff-4d67-8356-78e78b1185c1" TargetMode="External"/><Relationship Id="rId498" Type="http://schemas.openxmlformats.org/officeDocument/2006/relationships/hyperlink" Target="https://fasih-sm.bps.go.id/app/assignment/fd68e454-ba45-4b85-8205-f3bf777ded24/316872e2-2119-4ecb-8422-1c3af38a7098" TargetMode="External"/><Relationship Id="rId621" Type="http://schemas.openxmlformats.org/officeDocument/2006/relationships/hyperlink" Target="https://fasih-sm.bps.go.id/app/assignment/fd68e454-ba45-4b85-8205-f3bf777ded24/27ccf637-70b1-43b1-8f13-58fa698d5163" TargetMode="External"/><Relationship Id="rId260" Type="http://schemas.openxmlformats.org/officeDocument/2006/relationships/hyperlink" Target="https://fasih-sm.bps.go.id/app/assignment/fd68e454-ba45-4b85-8205-f3bf777ded24/0be7c2ff-59e1-499f-984f-1ea77f3c7ca8" TargetMode="External"/><Relationship Id="rId719" Type="http://schemas.openxmlformats.org/officeDocument/2006/relationships/hyperlink" Target="https://fasih-sm.bps.go.id/app/assignment/fd68e454-ba45-4b85-8205-f3bf777ded24/029318a4-a8af-47a5-92d7-f51e480d3272" TargetMode="External"/><Relationship Id="rId926" Type="http://schemas.openxmlformats.org/officeDocument/2006/relationships/hyperlink" Target="https://fasih-sm.bps.go.id/app/assignment/fd68e454-ba45-4b85-8205-f3bf777ded24/20ad9e44-52a5-4262-a7f6-dbe4d8408377" TargetMode="External"/><Relationship Id="rId55" Type="http://schemas.openxmlformats.org/officeDocument/2006/relationships/hyperlink" Target="https://fasih-sm.bps.go.id/app/assignment/fd68e454-ba45-4b85-8205-f3bf777ded24/baa5b26c-ca3d-4f6e-82ed-56ebe1a1579a" TargetMode="External"/><Relationship Id="rId120" Type="http://schemas.openxmlformats.org/officeDocument/2006/relationships/hyperlink" Target="https://fasih-sm.bps.go.id/app/assignment/fd68e454-ba45-4b85-8205-f3bf777ded24/516c7aa7-b1d7-4ece-9491-df81295beab9" TargetMode="External"/><Relationship Id="rId358" Type="http://schemas.openxmlformats.org/officeDocument/2006/relationships/hyperlink" Target="https://fasih-sm.bps.go.id/app/assignment/fd68e454-ba45-4b85-8205-f3bf777ded24/1a3b4013-8dc7-4f68-8e76-23e5dbf81a70" TargetMode="External"/><Relationship Id="rId565" Type="http://schemas.openxmlformats.org/officeDocument/2006/relationships/hyperlink" Target="https://fasih-sm.bps.go.id/app/assignment/fd68e454-ba45-4b85-8205-f3bf777ded24/38637d0c-94fb-4c47-8d1d-f6f334287a86" TargetMode="External"/><Relationship Id="rId772" Type="http://schemas.openxmlformats.org/officeDocument/2006/relationships/hyperlink" Target="https://fasih-sm.bps.go.id/app/assignment/fd68e454-ba45-4b85-8205-f3bf777ded24/0a09fa63-b30f-45e0-ad96-b78616d1e03b" TargetMode="External"/><Relationship Id="rId218" Type="http://schemas.openxmlformats.org/officeDocument/2006/relationships/hyperlink" Target="https://fasih-sm.bps.go.id/app/assignment/fd68e454-ba45-4b85-8205-f3bf777ded24/04db1d5c-735c-48bc-8438-d47f4db4d99a" TargetMode="External"/><Relationship Id="rId425" Type="http://schemas.openxmlformats.org/officeDocument/2006/relationships/hyperlink" Target="https://fasih-sm.bps.go.id/app/assignment/fd68e454-ba45-4b85-8205-f3bf777ded24/24ae97b3-e717-41ae-aee1-06eec4422f9a" TargetMode="External"/><Relationship Id="rId632" Type="http://schemas.openxmlformats.org/officeDocument/2006/relationships/hyperlink" Target="https://fasih-sm.bps.go.id/app/assignment/fd68e454-ba45-4b85-8205-f3bf777ded24/43635ee9-202b-4b74-9ac7-238fe6d78777" TargetMode="External"/><Relationship Id="rId271" Type="http://schemas.openxmlformats.org/officeDocument/2006/relationships/hyperlink" Target="https://fasih-sm.bps.go.id/app/assignment/fd68e454-ba45-4b85-8205-f3bf777ded24/0d1728cd-e3de-426c-8054-3185a58b90c8" TargetMode="External"/><Relationship Id="rId937" Type="http://schemas.openxmlformats.org/officeDocument/2006/relationships/hyperlink" Target="https://fasih-sm.bps.go.id/app/assignment/fd68e454-ba45-4b85-8205-f3bf777ded24/23639cb8-5aae-497e-a280-faaab0b96d9c" TargetMode="External"/><Relationship Id="rId66" Type="http://schemas.openxmlformats.org/officeDocument/2006/relationships/hyperlink" Target="https://fasih-sm.bps.go.id/app/assignment/fd68e454-ba45-4b85-8205-f3bf777ded24/74be78d3-f523-462b-bde8-d658724aa215" TargetMode="External"/><Relationship Id="rId131" Type="http://schemas.openxmlformats.org/officeDocument/2006/relationships/hyperlink" Target="https://fasih-sm.bps.go.id/app/assignment/fd68e454-ba45-4b85-8205-f3bf777ded24/760b9241-2933-4bad-93cf-a4ab1252458b" TargetMode="External"/><Relationship Id="rId369" Type="http://schemas.openxmlformats.org/officeDocument/2006/relationships/hyperlink" Target="https://fasih-sm.bps.go.id/app/assignment/fd68e454-ba45-4b85-8205-f3bf777ded24/1bdc2d89-453c-4615-8aef-f4a69059a8e7" TargetMode="External"/><Relationship Id="rId576" Type="http://schemas.openxmlformats.org/officeDocument/2006/relationships/hyperlink" Target="https://fasih-sm.bps.go.id/app/assignment/fd68e454-ba45-4b85-8205-f3bf777ded24/baa5b26c-ca3d-4f6e-82ed-56ebe1a1579a" TargetMode="External"/><Relationship Id="rId783" Type="http://schemas.openxmlformats.org/officeDocument/2006/relationships/hyperlink" Target="https://fasih-sm.bps.go.id/app/assignment/fd68e454-ba45-4b85-8205-f3bf777ded24/0bfa712f-5d43-460c-834c-fa9fcda95873" TargetMode="External"/><Relationship Id="rId990" Type="http://schemas.openxmlformats.org/officeDocument/2006/relationships/hyperlink" Target="https://fasih-sm.bps.go.id/app/assignment/fd68e454-ba45-4b85-8205-f3bf777ded24/2bea94c3-98bf-488f-9dae-7ca0827dcb7e" TargetMode="External"/><Relationship Id="rId229" Type="http://schemas.openxmlformats.org/officeDocument/2006/relationships/hyperlink" Target="https://fasih-sm.bps.go.id/app/assignment/fd68e454-ba45-4b85-8205-f3bf777ded24/068cc16f-4b75-43f1-8756-fe8529c86ec4" TargetMode="External"/><Relationship Id="rId436" Type="http://schemas.openxmlformats.org/officeDocument/2006/relationships/hyperlink" Target="https://fasih-sm.bps.go.id/app/assignment/fd68e454-ba45-4b85-8205-f3bf777ded24/2687e7df-8f98-4aec-a121-b2d637827959" TargetMode="External"/><Relationship Id="rId643" Type="http://schemas.openxmlformats.org/officeDocument/2006/relationships/hyperlink" Target="https://fasih-sm.bps.go.id/app/assignment/fd68e454-ba45-4b85-8205-f3bf777ded24/520804a2-1a2d-4603-a6ca-b8cac9579195" TargetMode="External"/><Relationship Id="rId850" Type="http://schemas.openxmlformats.org/officeDocument/2006/relationships/hyperlink" Target="https://fasih-sm.bps.go.id/app/assignment/fd68e454-ba45-4b85-8205-f3bf777ded24/16484c54-3a5d-45d7-a2b2-1f1021985168" TargetMode="External"/><Relationship Id="rId948" Type="http://schemas.openxmlformats.org/officeDocument/2006/relationships/hyperlink" Target="https://fasih-sm.bps.go.id/app/assignment/fd68e454-ba45-4b85-8205-f3bf777ded24/25099861-1e44-40f0-80f4-b1a163d104b6" TargetMode="External"/><Relationship Id="rId77" Type="http://schemas.openxmlformats.org/officeDocument/2006/relationships/hyperlink" Target="https://fasih-sm.bps.go.id/app/assignment/fd68e454-ba45-4b85-8205-f3bf777ded24/71b4b86c-c13a-4770-945a-33c80e6a5f02" TargetMode="External"/><Relationship Id="rId282" Type="http://schemas.openxmlformats.org/officeDocument/2006/relationships/hyperlink" Target="https://fasih-sm.bps.go.id/app/assignment/fd68e454-ba45-4b85-8205-f3bf777ded24/0e81649e-ecd4-4c74-8a1f-520dd8759a9b" TargetMode="External"/><Relationship Id="rId503" Type="http://schemas.openxmlformats.org/officeDocument/2006/relationships/hyperlink" Target="https://fasih-sm.bps.go.id/app/assignment/fd68e454-ba45-4b85-8205-f3bf777ded24/31c174b4-ff79-4a2b-b9a6-d2692cbd530d" TargetMode="External"/><Relationship Id="rId587" Type="http://schemas.openxmlformats.org/officeDocument/2006/relationships/hyperlink" Target="https://fasih-sm.bps.go.id/app/assignment/fd68e454-ba45-4b85-8205-f3bf777ded24/74be78d3-f523-462b-bde8-d658724aa215" TargetMode="External"/><Relationship Id="rId710" Type="http://schemas.openxmlformats.org/officeDocument/2006/relationships/hyperlink" Target="https://fasih-sm.bps.go.id/app/assignment/fd68e454-ba45-4b85-8205-f3bf777ded24/00681c7f-0884-416d-887f-a8ea8bd0cab2" TargetMode="External"/><Relationship Id="rId808" Type="http://schemas.openxmlformats.org/officeDocument/2006/relationships/hyperlink" Target="https://fasih-sm.bps.go.id/app/assignment/fd68e454-ba45-4b85-8205-f3bf777ded24/0ffa0ebd-8e21-4e4b-afa6-d9b2972ac385" TargetMode="External"/><Relationship Id="rId8" Type="http://schemas.openxmlformats.org/officeDocument/2006/relationships/hyperlink" Target="https://fasih-sm.bps.go.id/app/assignment/fd68e454-ba45-4b85-8205-f3bf777ded24/03089b39-d7ee-4a7e-8cde-0462109dee42" TargetMode="External"/><Relationship Id="rId142" Type="http://schemas.openxmlformats.org/officeDocument/2006/relationships/hyperlink" Target="https://fasih-sm.bps.go.id/app/assignment/fd68e454-ba45-4b85-8205-f3bf777ded24/9bf84321-3525-4582-9457-133e39762b8c" TargetMode="External"/><Relationship Id="rId447" Type="http://schemas.openxmlformats.org/officeDocument/2006/relationships/hyperlink" Target="https://fasih-sm.bps.go.id/app/assignment/fd68e454-ba45-4b85-8205-f3bf777ded24/28de94b8-8987-42c9-b65c-974949ea4086" TargetMode="External"/><Relationship Id="rId794" Type="http://schemas.openxmlformats.org/officeDocument/2006/relationships/hyperlink" Target="https://fasih-sm.bps.go.id/app/assignment/fd68e454-ba45-4b85-8205-f3bf777ded24/0d53e2c2-ba4e-41db-8fe1-64b70cbf2d87" TargetMode="External"/><Relationship Id="rId654" Type="http://schemas.openxmlformats.org/officeDocument/2006/relationships/hyperlink" Target="https://fasih-sm.bps.go.id/app/assignment/fd68e454-ba45-4b85-8205-f3bf777ded24/7f6eb45e-ff0c-4169-9ea5-2a27b0646958" TargetMode="External"/><Relationship Id="rId861" Type="http://schemas.openxmlformats.org/officeDocument/2006/relationships/hyperlink" Target="https://fasih-sm.bps.go.id/app/assignment/fd68e454-ba45-4b85-8205-f3bf777ded24/17d80f09-95e6-4aff-9d01-3c707d1c5424" TargetMode="External"/><Relationship Id="rId959" Type="http://schemas.openxmlformats.org/officeDocument/2006/relationships/hyperlink" Target="https://fasih-sm.bps.go.id/app/assignment/fd68e454-ba45-4b85-8205-f3bf777ded24/26c67eb6-d37f-4c22-97ac-c6c78ae4dd8c" TargetMode="External"/><Relationship Id="rId293" Type="http://schemas.openxmlformats.org/officeDocument/2006/relationships/hyperlink" Target="https://fasih-sm.bps.go.id/app/assignment/fd68e454-ba45-4b85-8205-f3bf777ded24/1091bd7c-7c60-4a93-b87b-97748cd1ecae" TargetMode="External"/><Relationship Id="rId307" Type="http://schemas.openxmlformats.org/officeDocument/2006/relationships/hyperlink" Target="https://fasih-sm.bps.go.id/app/assignment/fd68e454-ba45-4b85-8205-f3bf777ded24/120efddf-897a-4d87-b79a-ecda4f28c952" TargetMode="External"/><Relationship Id="rId514" Type="http://schemas.openxmlformats.org/officeDocument/2006/relationships/hyperlink" Target="https://fasih-sm.bps.go.id/app/assignment/fd68e454-ba45-4b85-8205-f3bf777ded24/331b0bae-9c35-4880-a696-0b5c64fc56ee" TargetMode="External"/><Relationship Id="rId721" Type="http://schemas.openxmlformats.org/officeDocument/2006/relationships/hyperlink" Target="https://fasih-sm.bps.go.id/app/assignment/fd68e454-ba45-4b85-8205-f3bf777ded24/02b873f5-4045-4f09-a4f2-f372e212c2f7" TargetMode="External"/><Relationship Id="rId88" Type="http://schemas.openxmlformats.org/officeDocument/2006/relationships/hyperlink" Target="https://fasih-sm.bps.go.id/app/assignment/fd68e454-ba45-4b85-8205-f3bf777ded24/0f394aa5-9051-4172-83de-45b19770a5f4" TargetMode="External"/><Relationship Id="rId153" Type="http://schemas.openxmlformats.org/officeDocument/2006/relationships/hyperlink" Target="https://fasih-sm.bps.go.id/app/assignment/fd68e454-ba45-4b85-8205-f3bf777ded24/b0d2c78b-8895-48ac-a63c-97b667d22bee" TargetMode="External"/><Relationship Id="rId360" Type="http://schemas.openxmlformats.org/officeDocument/2006/relationships/hyperlink" Target="https://fasih-sm.bps.go.id/app/assignment/fd68e454-ba45-4b85-8205-f3bf777ded24/1a4f379d-6417-49da-b11e-2417d5a6afc3" TargetMode="External"/><Relationship Id="rId598" Type="http://schemas.openxmlformats.org/officeDocument/2006/relationships/hyperlink" Target="https://fasih-sm.bps.go.id/app/assignment/fd68e454-ba45-4b85-8205-f3bf777ded24/71b4b86c-c13a-4770-945a-33c80e6a5f02" TargetMode="External"/><Relationship Id="rId819" Type="http://schemas.openxmlformats.org/officeDocument/2006/relationships/hyperlink" Target="https://fasih-sm.bps.go.id/app/assignment/fd68e454-ba45-4b85-8205-f3bf777ded24/1140e6c9-df26-4c2e-9398-114bb483d326" TargetMode="External"/><Relationship Id="rId1004" Type="http://schemas.openxmlformats.org/officeDocument/2006/relationships/hyperlink" Target="https://fasih-sm.bps.go.id/app/assignment/fd68e454-ba45-4b85-8205-f3bf777ded24/2ea695f4-8f6f-44b3-b590-bb7f64cd6194" TargetMode="External"/><Relationship Id="rId220" Type="http://schemas.openxmlformats.org/officeDocument/2006/relationships/hyperlink" Target="https://fasih-sm.bps.go.id/app/assignment/fd68e454-ba45-4b85-8205-f3bf777ded24/0551f03d-f0b6-42a8-9fe4-88ebff3610ad" TargetMode="External"/><Relationship Id="rId458" Type="http://schemas.openxmlformats.org/officeDocument/2006/relationships/hyperlink" Target="https://fasih-sm.bps.go.id/app/assignment/fd68e454-ba45-4b85-8205-f3bf777ded24/2b26e009-866c-4e03-a4f9-61a4190d44f5" TargetMode="External"/><Relationship Id="rId665" Type="http://schemas.openxmlformats.org/officeDocument/2006/relationships/hyperlink" Target="https://fasih-sm.bps.go.id/app/assignment/fd68e454-ba45-4b85-8205-f3bf777ded24/9e7a7c2b-f0fd-4617-aa73-c835070df5ae" TargetMode="External"/><Relationship Id="rId872" Type="http://schemas.openxmlformats.org/officeDocument/2006/relationships/hyperlink" Target="https://fasih-sm.bps.go.id/app/assignment/fd68e454-ba45-4b85-8205-f3bf777ded24/1984434e-8122-4c2e-95b6-a1d417b49d6d" TargetMode="External"/><Relationship Id="rId15" Type="http://schemas.openxmlformats.org/officeDocument/2006/relationships/hyperlink" Target="https://fasih-sm.bps.go.id/app/assignment/fd68e454-ba45-4b85-8205-f3bf777ded24/0470f905-47b8-4a76-905b-779f4c1053ae" TargetMode="External"/><Relationship Id="rId318" Type="http://schemas.openxmlformats.org/officeDocument/2006/relationships/hyperlink" Target="https://fasih-sm.bps.go.id/app/assignment/fd68e454-ba45-4b85-8205-f3bf777ded24/13cc4360-dba7-4aea-a06f-523d11a8462a" TargetMode="External"/><Relationship Id="rId525" Type="http://schemas.openxmlformats.org/officeDocument/2006/relationships/hyperlink" Target="https://fasih-sm.bps.go.id/app/assignment/fd68e454-ba45-4b85-8205-f3bf777ded24/ebb3c929-270d-4e08-8cc6-bfe4a258c9de" TargetMode="External"/><Relationship Id="rId732" Type="http://schemas.openxmlformats.org/officeDocument/2006/relationships/hyperlink" Target="https://fasih-sm.bps.go.id/app/assignment/fd68e454-ba45-4b85-8205-f3bf777ded24/043001b3-df4a-41f6-a645-5cd5f9d1d577" TargetMode="External"/><Relationship Id="rId99" Type="http://schemas.openxmlformats.org/officeDocument/2006/relationships/hyperlink" Target="https://fasih-sm.bps.go.id/app/assignment/fd68e454-ba45-4b85-8205-f3bf777ded24/279a9092-238d-4449-956d-445392fcb4a2" TargetMode="External"/><Relationship Id="rId164" Type="http://schemas.openxmlformats.org/officeDocument/2006/relationships/hyperlink" Target="https://fasih-sm.bps.go.id/app/assignment/fd68e454-ba45-4b85-8205-f3bf777ded24/ccaae76d-33da-42ec-a247-faf91600e254" TargetMode="External"/><Relationship Id="rId371" Type="http://schemas.openxmlformats.org/officeDocument/2006/relationships/hyperlink" Target="https://fasih-sm.bps.go.id/app/assignment/fd68e454-ba45-4b85-8205-f3bf777ded24/1c2bcc79-959f-404b-a1d7-847ceb4ff236" TargetMode="External"/><Relationship Id="rId1015" Type="http://schemas.openxmlformats.org/officeDocument/2006/relationships/hyperlink" Target="https://fasih-sm.bps.go.id/app/assignment/fd68e454-ba45-4b85-8205-f3bf777ded24/31460005-af67-44aa-82fc-327691891088" TargetMode="External"/><Relationship Id="rId469" Type="http://schemas.openxmlformats.org/officeDocument/2006/relationships/hyperlink" Target="https://fasih-sm.bps.go.id/app/assignment/fd68e454-ba45-4b85-8205-f3bf777ded24/2bea94c3-98bf-488f-9dae-7ca0827dcb7e" TargetMode="External"/><Relationship Id="rId676" Type="http://schemas.openxmlformats.org/officeDocument/2006/relationships/hyperlink" Target="https://fasih-sm.bps.go.id/app/assignment/fd68e454-ba45-4b85-8205-f3bf777ded24/b8561ba0-6f83-41cb-982e-332a34bc08b3" TargetMode="External"/><Relationship Id="rId883" Type="http://schemas.openxmlformats.org/officeDocument/2006/relationships/hyperlink" Target="https://fasih-sm.bps.go.id/app/assignment/fd68e454-ba45-4b85-8205-f3bf777ded24/1a8e1216-0729-4557-9ba9-3b695b940e82" TargetMode="External"/><Relationship Id="rId26" Type="http://schemas.openxmlformats.org/officeDocument/2006/relationships/hyperlink" Target="https://fasih-sm.bps.go.id/app/assignment/fd68e454-ba45-4b85-8205-f3bf777ded24/7c249487-172b-4e18-bc8e-e622321670b1" TargetMode="External"/><Relationship Id="rId231" Type="http://schemas.openxmlformats.org/officeDocument/2006/relationships/hyperlink" Target="https://fasih-sm.bps.go.id/app/assignment/fd68e454-ba45-4b85-8205-f3bf777ded24/06e9d6ef-f450-4d86-b1eb-8b8f956788ff" TargetMode="External"/><Relationship Id="rId329" Type="http://schemas.openxmlformats.org/officeDocument/2006/relationships/hyperlink" Target="https://fasih-sm.bps.go.id/app/assignment/fd68e454-ba45-4b85-8205-f3bf777ded24/16484c54-3a5d-45d7-a2b2-1f1021985168" TargetMode="External"/><Relationship Id="rId536" Type="http://schemas.openxmlformats.org/officeDocument/2006/relationships/hyperlink" Target="https://fasih-sm.bps.go.id/app/assignment/fd68e454-ba45-4b85-8205-f3bf777ded24/0470f905-47b8-4a76-905b-779f4c1053ae" TargetMode="External"/><Relationship Id="rId175" Type="http://schemas.openxmlformats.org/officeDocument/2006/relationships/hyperlink" Target="https://fasih-sm.bps.go.id/app/assignment/fd68e454-ba45-4b85-8205-f3bf777ded24/e7c94e3d-ed7b-4de4-8bef-7b4a339e3365" TargetMode="External"/><Relationship Id="rId743" Type="http://schemas.openxmlformats.org/officeDocument/2006/relationships/hyperlink" Target="https://fasih-sm.bps.go.id/app/assignment/fd68e454-ba45-4b85-8205-f3bf777ded24/056f99de-6014-4fdf-8fc5-9c1d899b2cb0" TargetMode="External"/><Relationship Id="rId950" Type="http://schemas.openxmlformats.org/officeDocument/2006/relationships/hyperlink" Target="https://fasih-sm.bps.go.id/app/assignment/fd68e454-ba45-4b85-8205-f3bf777ded24/255d50de-959d-480c-81d2-ce21a6bc7a13" TargetMode="External"/><Relationship Id="rId1026" Type="http://schemas.openxmlformats.org/officeDocument/2006/relationships/hyperlink" Target="https://fasih-sm.bps.go.id/app/assignment/fd68e454-ba45-4b85-8205-f3bf777ded24/31d447ae-36d1-4f2f-aa94-2e7ef1100c67" TargetMode="External"/><Relationship Id="rId382" Type="http://schemas.openxmlformats.org/officeDocument/2006/relationships/hyperlink" Target="https://fasih-sm.bps.go.id/app/assignment/fd68e454-ba45-4b85-8205-f3bf777ded24/1d8e5c22-bf0e-417e-84f5-9e13775f9b6a" TargetMode="External"/><Relationship Id="rId603" Type="http://schemas.openxmlformats.org/officeDocument/2006/relationships/hyperlink" Target="https://fasih-sm.bps.go.id/app/assignment/fd68e454-ba45-4b85-8205-f3bf777ded24/850aa7c8-8aef-40e7-8e86-251867aaa234" TargetMode="External"/><Relationship Id="rId687" Type="http://schemas.openxmlformats.org/officeDocument/2006/relationships/hyperlink" Target="https://fasih-sm.bps.go.id/app/assignment/fd68e454-ba45-4b85-8205-f3bf777ded24/cf256a2f-7716-4084-a012-dafb4359e529" TargetMode="External"/><Relationship Id="rId810" Type="http://schemas.openxmlformats.org/officeDocument/2006/relationships/hyperlink" Target="https://fasih-sm.bps.go.id/app/assignment/fd68e454-ba45-4b85-8205-f3bf777ded24/10307c41-40ab-4c6e-80a9-82b29205b7ac" TargetMode="External"/><Relationship Id="rId908" Type="http://schemas.openxmlformats.org/officeDocument/2006/relationships/hyperlink" Target="https://fasih-sm.bps.go.id/app/assignment/fd68e454-ba45-4b85-8205-f3bf777ded24/1e215243-5f26-4440-81c3-c5bbb8b51a06" TargetMode="External"/><Relationship Id="rId242" Type="http://schemas.openxmlformats.org/officeDocument/2006/relationships/hyperlink" Target="https://fasih-sm.bps.go.id/app/assignment/fd68e454-ba45-4b85-8205-f3bf777ded24/0844d1b2-10aa-45fc-8fe5-ba36cada8bec" TargetMode="External"/><Relationship Id="rId894" Type="http://schemas.openxmlformats.org/officeDocument/2006/relationships/hyperlink" Target="https://fasih-sm.bps.go.id/app/assignment/fd68e454-ba45-4b85-8205-f3bf777ded24/1c879ab1-9399-48b9-b1d4-7edd9fe26d4d" TargetMode="External"/><Relationship Id="rId37" Type="http://schemas.openxmlformats.org/officeDocument/2006/relationships/hyperlink" Target="https://fasih-sm.bps.go.id/app/assignment/fd68e454-ba45-4b85-8205-f3bf777ded24/c1c7b572-1218-4871-99ce-0836c8557956" TargetMode="External"/><Relationship Id="rId102" Type="http://schemas.openxmlformats.org/officeDocument/2006/relationships/hyperlink" Target="https://fasih-sm.bps.go.id/app/assignment/fd68e454-ba45-4b85-8205-f3bf777ded24/2ee6458a-eb08-49c9-bfd9-7149ce0c2a2e" TargetMode="External"/><Relationship Id="rId547" Type="http://schemas.openxmlformats.org/officeDocument/2006/relationships/hyperlink" Target="https://fasih-sm.bps.go.id/app/assignment/fd68e454-ba45-4b85-8205-f3bf777ded24/7c249487-172b-4e18-bc8e-e622321670b1" TargetMode="External"/><Relationship Id="rId754" Type="http://schemas.openxmlformats.org/officeDocument/2006/relationships/hyperlink" Target="https://fasih-sm.bps.go.id/app/assignment/fd68e454-ba45-4b85-8205-f3bf777ded24/073e3247-832c-4da8-bd26-3cacecbd0330" TargetMode="External"/><Relationship Id="rId961" Type="http://schemas.openxmlformats.org/officeDocument/2006/relationships/hyperlink" Target="https://fasih-sm.bps.go.id/app/assignment/fd68e454-ba45-4b85-8205-f3bf777ded24/2756007d-3671-4123-9ef1-277f835ac47b" TargetMode="External"/><Relationship Id="rId90" Type="http://schemas.openxmlformats.org/officeDocument/2006/relationships/hyperlink" Target="https://fasih-sm.bps.go.id/app/assignment/fd68e454-ba45-4b85-8205-f3bf777ded24/1031504e-d05d-40fd-8b22-b8dd4b468752" TargetMode="External"/><Relationship Id="rId186" Type="http://schemas.openxmlformats.org/officeDocument/2006/relationships/hyperlink" Target="https://fasih-sm.bps.go.id/app/assignment/fd68e454-ba45-4b85-8205-f3bf777ded24/fd0d53b9-4560-440e-b7ba-4e87da8292e7" TargetMode="External"/><Relationship Id="rId393" Type="http://schemas.openxmlformats.org/officeDocument/2006/relationships/hyperlink" Target="https://fasih-sm.bps.go.id/app/assignment/fd68e454-ba45-4b85-8205-f3bf777ded24/1e941ba0-1d4d-498b-afbc-a0a2e0fc63dd" TargetMode="External"/><Relationship Id="rId407" Type="http://schemas.openxmlformats.org/officeDocument/2006/relationships/hyperlink" Target="https://fasih-sm.bps.go.id/app/assignment/fd68e454-ba45-4b85-8205-f3bf777ded24/212a37e8-56e0-451e-8a27-34f55c7b6b0a" TargetMode="External"/><Relationship Id="rId614" Type="http://schemas.openxmlformats.org/officeDocument/2006/relationships/hyperlink" Target="https://fasih-sm.bps.go.id/app/assignment/fd68e454-ba45-4b85-8205-f3bf777ded24/1689bdd4-8e9e-4f61-983f-d77db1878167" TargetMode="External"/><Relationship Id="rId821" Type="http://schemas.openxmlformats.org/officeDocument/2006/relationships/hyperlink" Target="https://fasih-sm.bps.go.id/app/assignment/fd68e454-ba45-4b85-8205-f3bf777ded24/11bd68d6-e117-4093-aba3-ed2fd44b104a" TargetMode="External"/><Relationship Id="rId1037" Type="http://schemas.openxmlformats.org/officeDocument/2006/relationships/hyperlink" Target="https://fasih-sm.bps.go.id/app/assignment/fd68e454-ba45-4b85-8205-f3bf777ded24/3334d5cc-d2f4-46c4-bb88-45f11d1146c5" TargetMode="External"/><Relationship Id="rId253" Type="http://schemas.openxmlformats.org/officeDocument/2006/relationships/hyperlink" Target="https://fasih-sm.bps.go.id/app/assignment/fd68e454-ba45-4b85-8205-f3bf777ded24/0a6443fc-af61-4f60-88af-c1d71ddfed6e" TargetMode="External"/><Relationship Id="rId460" Type="http://schemas.openxmlformats.org/officeDocument/2006/relationships/hyperlink" Target="https://fasih-sm.bps.go.id/app/assignment/fd68e454-ba45-4b85-8205-f3bf777ded24/2b6f1974-928d-4956-8209-5cc5937bc6f4" TargetMode="External"/><Relationship Id="rId698" Type="http://schemas.openxmlformats.org/officeDocument/2006/relationships/hyperlink" Target="https://fasih-sm.bps.go.id/app/assignment/fd68e454-ba45-4b85-8205-f3bf777ded24/ed3b1c9a-7929-428b-a842-b16b56fbcc7c" TargetMode="External"/><Relationship Id="rId919" Type="http://schemas.openxmlformats.org/officeDocument/2006/relationships/hyperlink" Target="https://fasih-sm.bps.go.id/app/assignment/fd68e454-ba45-4b85-8205-f3bf777ded24/1fc7cc52-5002-4db6-813e-c2d909541a7f" TargetMode="External"/><Relationship Id="rId48" Type="http://schemas.openxmlformats.org/officeDocument/2006/relationships/hyperlink" Target="https://fasih-sm.bps.go.id/app/assignment/fd68e454-ba45-4b85-8205-f3bf777ded24/56e36c76-5b1c-4222-bdcb-028355152b71" TargetMode="External"/><Relationship Id="rId113" Type="http://schemas.openxmlformats.org/officeDocument/2006/relationships/hyperlink" Target="https://fasih-sm.bps.go.id/app/assignment/fd68e454-ba45-4b85-8205-f3bf777ded24/4603e617-b7f8-4a5f-a30a-a81317eb438a" TargetMode="External"/><Relationship Id="rId320" Type="http://schemas.openxmlformats.org/officeDocument/2006/relationships/hyperlink" Target="https://fasih-sm.bps.go.id/app/assignment/fd68e454-ba45-4b85-8205-f3bf777ded24/14550d11-48a3-4f72-8d87-d79ae07e6843" TargetMode="External"/><Relationship Id="rId558" Type="http://schemas.openxmlformats.org/officeDocument/2006/relationships/hyperlink" Target="https://fasih-sm.bps.go.id/app/assignment/fd68e454-ba45-4b85-8205-f3bf777ded24/c1c7b572-1218-4871-99ce-0836c8557956" TargetMode="External"/><Relationship Id="rId765" Type="http://schemas.openxmlformats.org/officeDocument/2006/relationships/hyperlink" Target="https://fasih-sm.bps.go.id/app/assignment/fd68e454-ba45-4b85-8205-f3bf777ded24/0859fc75-8f3c-4259-90fe-e6a78cef46d5" TargetMode="External"/><Relationship Id="rId972" Type="http://schemas.openxmlformats.org/officeDocument/2006/relationships/hyperlink" Target="https://fasih-sm.bps.go.id/app/assignment/fd68e454-ba45-4b85-8205-f3bf777ded24/2a4bfd49-cd04-44a6-9c2d-47dfd678a516" TargetMode="External"/><Relationship Id="rId197" Type="http://schemas.openxmlformats.org/officeDocument/2006/relationships/hyperlink" Target="https://fasih-sm.bps.go.id/app/assignment/fd68e454-ba45-4b85-8205-f3bf777ded24/0210e931-959f-4465-b69c-209e69ff5f6d" TargetMode="External"/><Relationship Id="rId418" Type="http://schemas.openxmlformats.org/officeDocument/2006/relationships/hyperlink" Target="https://fasih-sm.bps.go.id/app/assignment/fd68e454-ba45-4b85-8205-f3bf777ded24/23670322-9bea-4c6f-b70c-81d056bef641" TargetMode="External"/><Relationship Id="rId625" Type="http://schemas.openxmlformats.org/officeDocument/2006/relationships/hyperlink" Target="https://fasih-sm.bps.go.id/app/assignment/fd68e454-ba45-4b85-8205-f3bf777ded24/3541927f-4218-4ced-af87-acbd88c70096" TargetMode="External"/><Relationship Id="rId832" Type="http://schemas.openxmlformats.org/officeDocument/2006/relationships/hyperlink" Target="https://fasih-sm.bps.go.id/app/assignment/fd68e454-ba45-4b85-8205-f3bf777ded24/12691f6f-a7d5-4268-95d8-7edc1ab289f2" TargetMode="External"/><Relationship Id="rId264" Type="http://schemas.openxmlformats.org/officeDocument/2006/relationships/hyperlink" Target="https://fasih-sm.bps.go.id/app/assignment/fd68e454-ba45-4b85-8205-f3bf777ded24/0bfce414-3e42-4f30-b0ce-0f2d145cc804" TargetMode="External"/><Relationship Id="rId471" Type="http://schemas.openxmlformats.org/officeDocument/2006/relationships/hyperlink" Target="https://fasih-sm.bps.go.id/app/assignment/fd68e454-ba45-4b85-8205-f3bf777ded24/2c71c312-f5b6-4c87-a797-3303bb6ed569" TargetMode="External"/><Relationship Id="rId59" Type="http://schemas.openxmlformats.org/officeDocument/2006/relationships/hyperlink" Target="https://fasih-sm.bps.go.id/app/assignment/fd68e454-ba45-4b85-8205-f3bf777ded24/8cec8b38-888f-4da8-a977-8a6a8dc22251" TargetMode="External"/><Relationship Id="rId124" Type="http://schemas.openxmlformats.org/officeDocument/2006/relationships/hyperlink" Target="https://fasih-sm.bps.go.id/app/assignment/fd68e454-ba45-4b85-8205-f3bf777ded24/54ec53da-2056-4bfe-b16c-f5c9f36ff6e9" TargetMode="External"/><Relationship Id="rId569" Type="http://schemas.openxmlformats.org/officeDocument/2006/relationships/hyperlink" Target="https://fasih-sm.bps.go.id/app/assignment/fd68e454-ba45-4b85-8205-f3bf777ded24/56e36c76-5b1c-4222-bdcb-028355152b71" TargetMode="External"/><Relationship Id="rId776" Type="http://schemas.openxmlformats.org/officeDocument/2006/relationships/hyperlink" Target="https://fasih-sm.bps.go.id/app/assignment/fd68e454-ba45-4b85-8205-f3bf777ded24/0af79813-fdd8-422b-b2db-22f54a25247d" TargetMode="External"/><Relationship Id="rId983" Type="http://schemas.openxmlformats.org/officeDocument/2006/relationships/hyperlink" Target="https://fasih-sm.bps.go.id/app/assignment/fd68e454-ba45-4b85-8205-f3bf777ded24/2b7ff37a-cd98-42ef-8017-55fbe08171f3" TargetMode="External"/><Relationship Id="rId331" Type="http://schemas.openxmlformats.org/officeDocument/2006/relationships/hyperlink" Target="https://fasih-sm.bps.go.id/app/assignment/fd68e454-ba45-4b85-8205-f3bf777ded24/165ee7f9-6c32-4a20-a656-e80887957432" TargetMode="External"/><Relationship Id="rId429" Type="http://schemas.openxmlformats.org/officeDocument/2006/relationships/hyperlink" Target="https://fasih-sm.bps.go.id/app/assignment/fd68e454-ba45-4b85-8205-f3bf777ded24/255d50de-959d-480c-81d2-ce21a6bc7a13" TargetMode="External"/><Relationship Id="rId636" Type="http://schemas.openxmlformats.org/officeDocument/2006/relationships/hyperlink" Target="https://fasih-sm.bps.go.id/app/assignment/fd68e454-ba45-4b85-8205-f3bf777ded24/4a9d8012-be46-4263-9602-8ccae405d340" TargetMode="External"/><Relationship Id="rId843" Type="http://schemas.openxmlformats.org/officeDocument/2006/relationships/hyperlink" Target="https://fasih-sm.bps.go.id/app/assignment/fd68e454-ba45-4b85-8205-f3bf777ded24/14e01287-6cdd-4a75-897b-711b0e0385f8" TargetMode="External"/><Relationship Id="rId275" Type="http://schemas.openxmlformats.org/officeDocument/2006/relationships/hyperlink" Target="https://fasih-sm.bps.go.id/app/assignment/fd68e454-ba45-4b85-8205-f3bf777ded24/0dddbfd3-0b91-423c-9562-c59fcb0fadf6" TargetMode="External"/><Relationship Id="rId482" Type="http://schemas.openxmlformats.org/officeDocument/2006/relationships/hyperlink" Target="https://fasih-sm.bps.go.id/app/assignment/fd68e454-ba45-4b85-8205-f3bf777ded24/2e49adfa-34dd-42d1-9b7d-3d9bcc553f9f" TargetMode="External"/><Relationship Id="rId703" Type="http://schemas.openxmlformats.org/officeDocument/2006/relationships/hyperlink" Target="https://fasih-sm.bps.go.id/app/assignment/fd68e454-ba45-4b85-8205-f3bf777ded24/f68409d3-ab54-4a02-b88b-44f949bc9a98" TargetMode="External"/><Relationship Id="rId910" Type="http://schemas.openxmlformats.org/officeDocument/2006/relationships/hyperlink" Target="https://fasih-sm.bps.go.id/app/assignment/fd68e454-ba45-4b85-8205-f3bf777ded24/1e31c816-f3c0-420d-b8c4-d7960191be83" TargetMode="External"/><Relationship Id="rId135" Type="http://schemas.openxmlformats.org/officeDocument/2006/relationships/hyperlink" Target="https://fasih-sm.bps.go.id/app/assignment/fd68e454-ba45-4b85-8205-f3bf777ded24/8b097225-7294-4f0a-ad33-9efac706c3a3" TargetMode="External"/><Relationship Id="rId342" Type="http://schemas.openxmlformats.org/officeDocument/2006/relationships/hyperlink" Target="https://fasih-sm.bps.go.id/app/assignment/fd68e454-ba45-4b85-8205-f3bf777ded24/17e249a9-988b-498b-90e4-5b352016706d" TargetMode="External"/><Relationship Id="rId787" Type="http://schemas.openxmlformats.org/officeDocument/2006/relationships/hyperlink" Target="https://fasih-sm.bps.go.id/app/assignment/fd68e454-ba45-4b85-8205-f3bf777ded24/0c68119d-dd5a-4470-9ec9-cf04a5ac74df" TargetMode="External"/><Relationship Id="rId994" Type="http://schemas.openxmlformats.org/officeDocument/2006/relationships/hyperlink" Target="https://fasih-sm.bps.go.id/app/assignment/fd68e454-ba45-4b85-8205-f3bf777ded24/2c9c9893-0273-47e1-9477-151e5d67025c" TargetMode="External"/><Relationship Id="rId202" Type="http://schemas.openxmlformats.org/officeDocument/2006/relationships/hyperlink" Target="https://fasih-sm.bps.go.id/app/assignment/fd68e454-ba45-4b85-8205-f3bf777ded24/03358ec1-5721-4e31-8af1-93434b85253f" TargetMode="External"/><Relationship Id="rId647" Type="http://schemas.openxmlformats.org/officeDocument/2006/relationships/hyperlink" Target="https://fasih-sm.bps.go.id/app/assignment/fd68e454-ba45-4b85-8205-f3bf777ded24/60082e65-7903-4fb0-b73f-cbd07223e18a" TargetMode="External"/><Relationship Id="rId854" Type="http://schemas.openxmlformats.org/officeDocument/2006/relationships/hyperlink" Target="https://fasih-sm.bps.go.id/app/assignment/fd68e454-ba45-4b85-8205-f3bf777ded24/174d9ce1-c067-47c0-bd64-6265bb0a6c23" TargetMode="External"/><Relationship Id="rId286" Type="http://schemas.openxmlformats.org/officeDocument/2006/relationships/hyperlink" Target="https://fasih-sm.bps.go.id/app/assignment/fd68e454-ba45-4b85-8205-f3bf777ded24/0fd75b85-581c-416f-952c-23cb7bc511f3" TargetMode="External"/><Relationship Id="rId493" Type="http://schemas.openxmlformats.org/officeDocument/2006/relationships/hyperlink" Target="https://fasih-sm.bps.go.id/app/assignment/fd68e454-ba45-4b85-8205-f3bf777ded24/305d1be8-54c7-416c-ad9e-7a90ae0a08bd" TargetMode="External"/><Relationship Id="rId507" Type="http://schemas.openxmlformats.org/officeDocument/2006/relationships/hyperlink" Target="https://fasih-sm.bps.go.id/app/assignment/fd68e454-ba45-4b85-8205-f3bf777ded24/321ff544-33c7-4be0-b871-fb3222c3fde9" TargetMode="External"/><Relationship Id="rId714" Type="http://schemas.openxmlformats.org/officeDocument/2006/relationships/hyperlink" Target="https://fasih-sm.bps.go.id/app/assignment/fd68e454-ba45-4b85-8205-f3bf777ded24/01602039-dd5f-420b-a91f-5aebb0c745d3" TargetMode="External"/><Relationship Id="rId921" Type="http://schemas.openxmlformats.org/officeDocument/2006/relationships/hyperlink" Target="https://fasih-sm.bps.go.id/app/assignment/fd68e454-ba45-4b85-8205-f3bf777ded24/2033cf52-f09a-4f68-8446-a79b3b704210" TargetMode="External"/><Relationship Id="rId50" Type="http://schemas.openxmlformats.org/officeDocument/2006/relationships/hyperlink" Target="https://fasih-sm.bps.go.id/app/assignment/fd68e454-ba45-4b85-8205-f3bf777ded24/6af5ddc6-f4b8-4286-ae66-f364d0834c47" TargetMode="External"/><Relationship Id="rId146" Type="http://schemas.openxmlformats.org/officeDocument/2006/relationships/hyperlink" Target="https://fasih-sm.bps.go.id/app/assignment/fd68e454-ba45-4b85-8205-f3bf777ded24/a5b7d15c-634a-4a92-870d-0c1429e30011" TargetMode="External"/><Relationship Id="rId353" Type="http://schemas.openxmlformats.org/officeDocument/2006/relationships/hyperlink" Target="https://fasih-sm.bps.go.id/app/assignment/fd68e454-ba45-4b85-8205-f3bf777ded24/198c0a10-99e8-4b7a-99e9-1c12cf2eb5bc" TargetMode="External"/><Relationship Id="rId560" Type="http://schemas.openxmlformats.org/officeDocument/2006/relationships/hyperlink" Target="https://fasih-sm.bps.go.id/app/assignment/fd68e454-ba45-4b85-8205-f3bf777ded24/3a5fb3df-69a3-41a8-902f-ee5a0b71ae99" TargetMode="External"/><Relationship Id="rId798" Type="http://schemas.openxmlformats.org/officeDocument/2006/relationships/hyperlink" Target="https://fasih-sm.bps.go.id/app/assignment/fd68e454-ba45-4b85-8205-f3bf777ded24/0e185841-ab38-4705-b7be-5b3645135a3c" TargetMode="External"/><Relationship Id="rId213" Type="http://schemas.openxmlformats.org/officeDocument/2006/relationships/hyperlink" Target="https://fasih-sm.bps.go.id/app/assignment/fd68e454-ba45-4b85-8205-f3bf777ded24/043fb895-3edb-4a08-abcd-887595296145" TargetMode="External"/><Relationship Id="rId420" Type="http://schemas.openxmlformats.org/officeDocument/2006/relationships/hyperlink" Target="https://fasih-sm.bps.go.id/app/assignment/fd68e454-ba45-4b85-8205-f3bf777ded24/23d2c4aa-c185-4747-95f1-cba2d007cfa9" TargetMode="External"/><Relationship Id="rId658" Type="http://schemas.openxmlformats.org/officeDocument/2006/relationships/hyperlink" Target="https://fasih-sm.bps.go.id/app/assignment/fd68e454-ba45-4b85-8205-f3bf777ded24/915f4d54-1632-4938-9907-c6f1822665c3" TargetMode="External"/><Relationship Id="rId865" Type="http://schemas.openxmlformats.org/officeDocument/2006/relationships/hyperlink" Target="https://fasih-sm.bps.go.id/app/assignment/fd68e454-ba45-4b85-8205-f3bf777ded24/186898db-91ee-4890-a009-d590fb0dc6dc" TargetMode="External"/><Relationship Id="rId297" Type="http://schemas.openxmlformats.org/officeDocument/2006/relationships/hyperlink" Target="https://fasih-sm.bps.go.id/app/assignment/fd68e454-ba45-4b85-8205-f3bf777ded24/11394846-eaab-4587-bd58-3e7020291018" TargetMode="External"/><Relationship Id="rId518" Type="http://schemas.openxmlformats.org/officeDocument/2006/relationships/hyperlink" Target="https://fasih-sm.bps.go.id/app/assignment/fd68e454-ba45-4b85-8205-f3bf777ded24/335ba929-2f09-4927-8c63-8340512460cb" TargetMode="External"/><Relationship Id="rId725" Type="http://schemas.openxmlformats.org/officeDocument/2006/relationships/hyperlink" Target="https://fasih-sm.bps.go.id/app/assignment/fd68e454-ba45-4b85-8205-f3bf777ded24/0362eaab-0f37-4bcc-aa3c-b614ee85864b" TargetMode="External"/><Relationship Id="rId932" Type="http://schemas.openxmlformats.org/officeDocument/2006/relationships/hyperlink" Target="https://fasih-sm.bps.go.id/app/assignment/fd68e454-ba45-4b85-8205-f3bf777ded24/22a39b78-af5a-4191-af3a-2fa9102bd6c9" TargetMode="External"/><Relationship Id="rId157" Type="http://schemas.openxmlformats.org/officeDocument/2006/relationships/hyperlink" Target="https://fasih-sm.bps.go.id/app/assignment/fd68e454-ba45-4b85-8205-f3bf777ded24/bccaa92d-4982-4ff0-98e5-022912327087" TargetMode="External"/><Relationship Id="rId364" Type="http://schemas.openxmlformats.org/officeDocument/2006/relationships/hyperlink" Target="https://fasih-sm.bps.go.id/app/assignment/fd68e454-ba45-4b85-8205-f3bf777ded24/1b046965-909b-40f7-904d-fa55540ee75c" TargetMode="External"/><Relationship Id="rId1008" Type="http://schemas.openxmlformats.org/officeDocument/2006/relationships/hyperlink" Target="https://fasih-sm.bps.go.id/app/assignment/fd68e454-ba45-4b85-8205-f3bf777ded24/2f5a774e-4d8b-4b0a-9d63-f951717ffd7b" TargetMode="External"/><Relationship Id="rId61" Type="http://schemas.openxmlformats.org/officeDocument/2006/relationships/hyperlink" Target="https://fasih-sm.bps.go.id/app/assignment/fd68e454-ba45-4b85-8205-f3bf777ded24/e11ec15c-033c-4229-a37f-d11cbda15871" TargetMode="External"/><Relationship Id="rId571" Type="http://schemas.openxmlformats.org/officeDocument/2006/relationships/hyperlink" Target="https://fasih-sm.bps.go.id/app/assignment/fd68e454-ba45-4b85-8205-f3bf777ded24/6af5ddc6-f4b8-4286-ae66-f364d0834c47" TargetMode="External"/><Relationship Id="rId669" Type="http://schemas.openxmlformats.org/officeDocument/2006/relationships/hyperlink" Target="https://fasih-sm.bps.go.id/app/assignment/fd68e454-ba45-4b85-8205-f3bf777ded24/a97de013-542f-463a-9f50-94808dbb93ff" TargetMode="External"/><Relationship Id="rId876" Type="http://schemas.openxmlformats.org/officeDocument/2006/relationships/hyperlink" Target="https://fasih-sm.bps.go.id/app/assignment/fd68e454-ba45-4b85-8205-f3bf777ded24/19b08b8f-219d-49b1-9cc9-5bd405f8e3f8" TargetMode="External"/><Relationship Id="rId19" Type="http://schemas.openxmlformats.org/officeDocument/2006/relationships/hyperlink" Target="https://fasih-sm.bps.go.id/app/assignment/fd68e454-ba45-4b85-8205-f3bf777ded24/b16c8f85-1eb0-4d0e-bdf7-f85f7d0cfbc2" TargetMode="External"/><Relationship Id="rId224" Type="http://schemas.openxmlformats.org/officeDocument/2006/relationships/hyperlink" Target="https://fasih-sm.bps.go.id/app/assignment/fd68e454-ba45-4b85-8205-f3bf777ded24/05dbf2b5-f9df-4937-8459-963eb632ad43" TargetMode="External"/><Relationship Id="rId431" Type="http://schemas.openxmlformats.org/officeDocument/2006/relationships/hyperlink" Target="https://fasih-sm.bps.go.id/app/assignment/fd68e454-ba45-4b85-8205-f3bf777ded24/25efa362-98fb-49aa-b65a-03782b8c7cd8" TargetMode="External"/><Relationship Id="rId529" Type="http://schemas.openxmlformats.org/officeDocument/2006/relationships/hyperlink" Target="https://fasih-sm.bps.go.id/app/assignment/fd68e454-ba45-4b85-8205-f3bf777ded24/03089b39-d7ee-4a7e-8cde-0462109dee42" TargetMode="External"/><Relationship Id="rId736" Type="http://schemas.openxmlformats.org/officeDocument/2006/relationships/hyperlink" Target="https://fasih-sm.bps.go.id/app/assignment/fd68e454-ba45-4b85-8205-f3bf777ded24/0463eb4a-364f-4770-8431-14836861618a" TargetMode="External"/><Relationship Id="rId168" Type="http://schemas.openxmlformats.org/officeDocument/2006/relationships/hyperlink" Target="https://fasih-sm.bps.go.id/app/assignment/fd68e454-ba45-4b85-8205-f3bf777ded24/d255c57b-2c78-4abc-9b54-b7c77ddbd27a" TargetMode="External"/><Relationship Id="rId943" Type="http://schemas.openxmlformats.org/officeDocument/2006/relationships/hyperlink" Target="https://fasih-sm.bps.go.id/app/assignment/fd68e454-ba45-4b85-8205-f3bf777ded24/23f697e1-9ff7-4927-b23b-0bfcab7f5090" TargetMode="External"/><Relationship Id="rId1019" Type="http://schemas.openxmlformats.org/officeDocument/2006/relationships/hyperlink" Target="https://fasih-sm.bps.go.id/app/assignment/fd68e454-ba45-4b85-8205-f3bf777ded24/316872e2-2119-4ecb-8422-1c3af38a7098" TargetMode="External"/><Relationship Id="rId72" Type="http://schemas.openxmlformats.org/officeDocument/2006/relationships/hyperlink" Target="https://fasih-sm.bps.go.id/app/assignment/fd68e454-ba45-4b85-8205-f3bf777ded24/369ff27a-56ba-47ed-bb29-3e15a2f19b17" TargetMode="External"/><Relationship Id="rId375" Type="http://schemas.openxmlformats.org/officeDocument/2006/relationships/hyperlink" Target="https://fasih-sm.bps.go.id/app/assignment/fd68e454-ba45-4b85-8205-f3bf777ded24/1c8dcc25-e42c-403e-b95e-43379bc28926" TargetMode="External"/><Relationship Id="rId582" Type="http://schemas.openxmlformats.org/officeDocument/2006/relationships/hyperlink" Target="https://fasih-sm.bps.go.id/app/assignment/fd68e454-ba45-4b85-8205-f3bf777ded24/e11ec15c-033c-4229-a37f-d11cbda15871" TargetMode="External"/><Relationship Id="rId803" Type="http://schemas.openxmlformats.org/officeDocument/2006/relationships/hyperlink" Target="https://fasih-sm.bps.go.id/app/assignment/fd68e454-ba45-4b85-8205-f3bf777ded24/0e81649e-ecd4-4c74-8a1f-520dd8759a9b" TargetMode="External"/><Relationship Id="rId3" Type="http://schemas.openxmlformats.org/officeDocument/2006/relationships/hyperlink" Target="https://fasih-sm.bps.go.id/app/assignment/fd68e454-ba45-4b85-8205-f3bf777ded24/cd889a40-93fd-4f5b-8bdb-0de1313db386" TargetMode="External"/><Relationship Id="rId235" Type="http://schemas.openxmlformats.org/officeDocument/2006/relationships/hyperlink" Target="https://fasih-sm.bps.go.id/app/assignment/fd68e454-ba45-4b85-8205-f3bf777ded24/07969a20-ec68-4c9d-9538-825d4ec1f4d7" TargetMode="External"/><Relationship Id="rId442" Type="http://schemas.openxmlformats.org/officeDocument/2006/relationships/hyperlink" Target="https://fasih-sm.bps.go.id/app/assignment/fd68e454-ba45-4b85-8205-f3bf777ded24/28754f58-83e4-4dc2-ba14-e725671993e5" TargetMode="External"/><Relationship Id="rId887" Type="http://schemas.openxmlformats.org/officeDocument/2006/relationships/hyperlink" Target="https://fasih-sm.bps.go.id/app/assignment/fd68e454-ba45-4b85-8205-f3bf777ded24/1b97773b-f17e-4ec6-9343-65b0c18018e1" TargetMode="External"/><Relationship Id="rId302" Type="http://schemas.openxmlformats.org/officeDocument/2006/relationships/hyperlink" Target="https://fasih-sm.bps.go.id/app/assignment/fd68e454-ba45-4b85-8205-f3bf777ded24/11cb0a38-f580-4df1-b6ed-58891b03ddee" TargetMode="External"/><Relationship Id="rId747" Type="http://schemas.openxmlformats.org/officeDocument/2006/relationships/hyperlink" Target="https://fasih-sm.bps.go.id/app/assignment/fd68e454-ba45-4b85-8205-f3bf777ded24/062f46f4-92c8-4078-8c9e-e44fd486e9a4" TargetMode="External"/><Relationship Id="rId954" Type="http://schemas.openxmlformats.org/officeDocument/2006/relationships/hyperlink" Target="https://fasih-sm.bps.go.id/app/assignment/fd68e454-ba45-4b85-8205-f3bf777ded24/261e4ef0-ce46-454f-94c5-40a4cbd522e5" TargetMode="External"/><Relationship Id="rId83" Type="http://schemas.openxmlformats.org/officeDocument/2006/relationships/hyperlink" Target="https://fasih-sm.bps.go.id/app/assignment/fd68e454-ba45-4b85-8205-f3bf777ded24/0023e5ef-e11f-4b9e-9e3c-a6ffea87ce23" TargetMode="External"/><Relationship Id="rId179" Type="http://schemas.openxmlformats.org/officeDocument/2006/relationships/hyperlink" Target="https://fasih-sm.bps.go.id/app/assignment/fd68e454-ba45-4b85-8205-f3bf777ded24/f2c127f6-39e7-48f0-8cd3-006808886377" TargetMode="External"/><Relationship Id="rId386" Type="http://schemas.openxmlformats.org/officeDocument/2006/relationships/hyperlink" Target="https://fasih-sm.bps.go.id/app/assignment/fd68e454-ba45-4b85-8205-f3bf777ded24/1e1ea49d-4837-4dd0-8f53-c12909ff50fb" TargetMode="External"/><Relationship Id="rId593" Type="http://schemas.openxmlformats.org/officeDocument/2006/relationships/hyperlink" Target="https://fasih-sm.bps.go.id/app/assignment/fd68e454-ba45-4b85-8205-f3bf777ded24/369ff27a-56ba-47ed-bb29-3e15a2f19b17" TargetMode="External"/><Relationship Id="rId607" Type="http://schemas.openxmlformats.org/officeDocument/2006/relationships/hyperlink" Target="https://fasih-sm.bps.go.id/app/assignment/fd68e454-ba45-4b85-8205-f3bf777ded24/04ba4abc-1b54-4672-8266-0eb79969c285" TargetMode="External"/><Relationship Id="rId814" Type="http://schemas.openxmlformats.org/officeDocument/2006/relationships/hyperlink" Target="https://fasih-sm.bps.go.id/app/assignment/fd68e454-ba45-4b85-8205-f3bf777ded24/1091bd7c-7c60-4a93-b87b-97748cd1ecae" TargetMode="External"/><Relationship Id="rId246" Type="http://schemas.openxmlformats.org/officeDocument/2006/relationships/hyperlink" Target="https://fasih-sm.bps.go.id/app/assignment/fd68e454-ba45-4b85-8205-f3bf777ded24/088172eb-5419-4258-aa48-33abe7149257" TargetMode="External"/><Relationship Id="rId453" Type="http://schemas.openxmlformats.org/officeDocument/2006/relationships/hyperlink" Target="https://fasih-sm.bps.go.id/app/assignment/fd68e454-ba45-4b85-8205-f3bf777ded24/2a6df51d-f0b1-462f-9c82-41fe0ddfa9ec" TargetMode="External"/><Relationship Id="rId660" Type="http://schemas.openxmlformats.org/officeDocument/2006/relationships/hyperlink" Target="https://fasih-sm.bps.go.id/app/assignment/fd68e454-ba45-4b85-8205-f3bf777ded24/95eef9bc-406f-4152-8dc1-2c8ef40e3a19" TargetMode="External"/><Relationship Id="rId898" Type="http://schemas.openxmlformats.org/officeDocument/2006/relationships/hyperlink" Target="https://fasih-sm.bps.go.id/app/assignment/fd68e454-ba45-4b85-8205-f3bf777ded24/1cd7bcb9-8aac-404f-9516-80fde7afefe3" TargetMode="External"/><Relationship Id="rId106" Type="http://schemas.openxmlformats.org/officeDocument/2006/relationships/hyperlink" Target="https://fasih-sm.bps.go.id/app/assignment/fd68e454-ba45-4b85-8205-f3bf777ded24/36777236-2f4e-4e9d-939a-75fe9eacbfe5" TargetMode="External"/><Relationship Id="rId313" Type="http://schemas.openxmlformats.org/officeDocument/2006/relationships/hyperlink" Target="https://fasih-sm.bps.go.id/app/assignment/fd68e454-ba45-4b85-8205-f3bf777ded24/1285ec71-3966-4805-96a4-5ba8cc46aac7" TargetMode="External"/><Relationship Id="rId758" Type="http://schemas.openxmlformats.org/officeDocument/2006/relationships/hyperlink" Target="https://fasih-sm.bps.go.id/app/assignment/fd68e454-ba45-4b85-8205-f3bf777ded24/07a4caa1-72f4-4f42-8cb8-e7e823507cdd" TargetMode="External"/><Relationship Id="rId965" Type="http://schemas.openxmlformats.org/officeDocument/2006/relationships/hyperlink" Target="https://fasih-sm.bps.go.id/app/assignment/fd68e454-ba45-4b85-8205-f3bf777ded24/28b3238b-da43-4d94-90d7-6a9667609ea1" TargetMode="External"/><Relationship Id="rId10" Type="http://schemas.openxmlformats.org/officeDocument/2006/relationships/hyperlink" Target="https://fasih-sm.bps.go.id/app/assignment/fd68e454-ba45-4b85-8205-f3bf777ded24/80af4909-885c-4c4c-ae41-8af291f501ea" TargetMode="External"/><Relationship Id="rId94" Type="http://schemas.openxmlformats.org/officeDocument/2006/relationships/hyperlink" Target="https://fasih-sm.bps.go.id/app/assignment/fd68e454-ba45-4b85-8205-f3bf777ded24/16e6cef3-7939-4d14-8a93-78a222646360" TargetMode="External"/><Relationship Id="rId397" Type="http://schemas.openxmlformats.org/officeDocument/2006/relationships/hyperlink" Target="https://fasih-sm.bps.go.id/app/assignment/fd68e454-ba45-4b85-8205-f3bf777ded24/1fae60c8-e119-4308-8939-70944e27c522" TargetMode="External"/><Relationship Id="rId520" Type="http://schemas.openxmlformats.org/officeDocument/2006/relationships/hyperlink" Target="https://fasih-sm.bps.go.id/app/assignment/fd68e454-ba45-4b85-8205-f3bf777ded24/34cd934b-a381-4910-acf8-082ef309b7a6" TargetMode="External"/><Relationship Id="rId618" Type="http://schemas.openxmlformats.org/officeDocument/2006/relationships/hyperlink" Target="https://fasih-sm.bps.go.id/app/assignment/fd68e454-ba45-4b85-8205-f3bf777ded24/1b3a7b60-d84a-4e42-8493-27c06746deac" TargetMode="External"/><Relationship Id="rId825" Type="http://schemas.openxmlformats.org/officeDocument/2006/relationships/hyperlink" Target="https://fasih-sm.bps.go.id/app/assignment/fd68e454-ba45-4b85-8205-f3bf777ded24/11d80f2c-74df-4edb-b812-749048d897b2" TargetMode="External"/><Relationship Id="rId257" Type="http://schemas.openxmlformats.org/officeDocument/2006/relationships/hyperlink" Target="https://fasih-sm.bps.go.id/app/assignment/fd68e454-ba45-4b85-8205-f3bf777ded24/0b925cb9-a39c-4ff9-b60a-86fe8eb58aee" TargetMode="External"/><Relationship Id="rId464" Type="http://schemas.openxmlformats.org/officeDocument/2006/relationships/hyperlink" Target="https://fasih-sm.bps.go.id/app/assignment/fd68e454-ba45-4b85-8205-f3bf777ded24/2b8bc75d-0290-42c9-8e97-e3372b0fcfdf" TargetMode="External"/><Relationship Id="rId1010" Type="http://schemas.openxmlformats.org/officeDocument/2006/relationships/hyperlink" Target="https://fasih-sm.bps.go.id/app/assignment/fd68e454-ba45-4b85-8205-f3bf777ded24/2f8859cd-f1fa-41da-bcea-df5dcaeab911" TargetMode="External"/><Relationship Id="rId117" Type="http://schemas.openxmlformats.org/officeDocument/2006/relationships/hyperlink" Target="https://fasih-sm.bps.go.id/app/assignment/fd68e454-ba45-4b85-8205-f3bf777ded24/4d4bee02-eb46-4a5f-b59a-908562d1a64c" TargetMode="External"/><Relationship Id="rId671" Type="http://schemas.openxmlformats.org/officeDocument/2006/relationships/hyperlink" Target="https://fasih-sm.bps.go.id/app/assignment/fd68e454-ba45-4b85-8205-f3bf777ded24/ae3b216e-696e-4e4f-b07c-eaa064827313" TargetMode="External"/><Relationship Id="rId769" Type="http://schemas.openxmlformats.org/officeDocument/2006/relationships/hyperlink" Target="https://fasih-sm.bps.go.id/app/assignment/fd68e454-ba45-4b85-8205-f3bf777ded24/08fb39aa-9dec-4302-8aa2-8f3dc8ad6dd0" TargetMode="External"/><Relationship Id="rId976" Type="http://schemas.openxmlformats.org/officeDocument/2006/relationships/hyperlink" Target="https://fasih-sm.bps.go.id/app/assignment/fd68e454-ba45-4b85-8205-f3bf777ded24/2ab99435-46ac-4140-a77c-05a14e9985d8" TargetMode="External"/><Relationship Id="rId324" Type="http://schemas.openxmlformats.org/officeDocument/2006/relationships/hyperlink" Target="https://fasih-sm.bps.go.id/app/assignment/fd68e454-ba45-4b85-8205-f3bf777ded24/15218b8f-17f6-42ce-967b-21c29ef48b7d" TargetMode="External"/><Relationship Id="rId531" Type="http://schemas.openxmlformats.org/officeDocument/2006/relationships/hyperlink" Target="https://fasih-sm.bps.go.id/app/assignment/fd68e454-ba45-4b85-8205-f3bf777ded24/80af4909-885c-4c4c-ae41-8af291f501ea" TargetMode="External"/><Relationship Id="rId629" Type="http://schemas.openxmlformats.org/officeDocument/2006/relationships/hyperlink" Target="https://fasih-sm.bps.go.id/app/assignment/fd68e454-ba45-4b85-8205-f3bf777ded24/36c67618-a20d-4d83-9dac-b3097ae1a634" TargetMode="External"/><Relationship Id="rId836" Type="http://schemas.openxmlformats.org/officeDocument/2006/relationships/hyperlink" Target="https://fasih-sm.bps.go.id/app/assignment/fd68e454-ba45-4b85-8205-f3bf777ded24/12fecc1a-f99f-4867-bf5f-7c9fed7ac868" TargetMode="External"/><Relationship Id="rId1021" Type="http://schemas.openxmlformats.org/officeDocument/2006/relationships/hyperlink" Target="https://fasih-sm.bps.go.id/app/assignment/fd68e454-ba45-4b85-8205-f3bf777ded24/3182a9d1-6ae7-4eff-b182-aa6aefd20ea0" TargetMode="External"/><Relationship Id="rId903" Type="http://schemas.openxmlformats.org/officeDocument/2006/relationships/hyperlink" Target="https://fasih-sm.bps.go.id/app/assignment/fd68e454-ba45-4b85-8205-f3bf777ded24/1d8e5c22-bf0e-417e-84f5-9e13775f9b6a" TargetMode="External"/><Relationship Id="rId32" Type="http://schemas.openxmlformats.org/officeDocument/2006/relationships/hyperlink" Target="https://fasih-sm.bps.go.id/app/assignment/fd68e454-ba45-4b85-8205-f3bf777ded24/3fd5c539-46b9-4bf2-9184-973e90e622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32B6-6F51-4BEB-8628-E728B2A22D82}">
  <dimension ref="A1:BG522"/>
  <sheetViews>
    <sheetView tabSelected="1" topLeftCell="AN1" workbookViewId="0">
      <pane ySplit="1" topLeftCell="A503" activePane="bottomLeft" state="frozen"/>
      <selection activeCell="B1" sqref="B1"/>
      <selection pane="bottomLeft" activeCell="BA503" sqref="BA503"/>
    </sheetView>
  </sheetViews>
  <sheetFormatPr defaultRowHeight="15" x14ac:dyDescent="0.25"/>
  <cols>
    <col min="19" max="22" width="13.5703125" bestFit="1" customWidth="1"/>
    <col min="23" max="23" width="13.42578125" bestFit="1" customWidth="1"/>
    <col min="24" max="24" width="13.7109375" bestFit="1" customWidth="1"/>
    <col min="25" max="26" width="13.5703125" bestFit="1" customWidth="1"/>
    <col min="28" max="28" width="13.5703125" bestFit="1" customWidth="1"/>
    <col min="29" max="29" width="13.7109375" bestFit="1" customWidth="1"/>
    <col min="50" max="50" width="24" bestFit="1" customWidth="1"/>
    <col min="51" max="51" width="22" bestFit="1" customWidth="1"/>
    <col min="52" max="52" width="24.85546875" bestFit="1" customWidth="1"/>
    <col min="53" max="53" width="24.140625" bestFit="1" customWidth="1"/>
    <col min="54" max="54" width="31.7109375" bestFit="1" customWidth="1"/>
  </cols>
  <sheetData>
    <row r="1" spans="1:59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12" t="s">
        <v>2370</v>
      </c>
      <c r="AS1" s="12" t="s">
        <v>2367</v>
      </c>
      <c r="AT1" s="12" t="s">
        <v>2368</v>
      </c>
      <c r="AU1" s="12" t="s">
        <v>2369</v>
      </c>
      <c r="AV1" s="2" t="s">
        <v>15</v>
      </c>
      <c r="AW1" s="2" t="s">
        <v>35</v>
      </c>
      <c r="AX1" t="s">
        <v>2359</v>
      </c>
      <c r="AY1" t="s">
        <v>2360</v>
      </c>
      <c r="AZ1" t="s">
        <v>2361</v>
      </c>
      <c r="BA1" t="s">
        <v>2362</v>
      </c>
      <c r="BB1" t="s">
        <v>2363</v>
      </c>
      <c r="BC1" s="2" t="s">
        <v>13</v>
      </c>
      <c r="BD1" s="2" t="s">
        <v>14</v>
      </c>
      <c r="BE1" t="s">
        <v>2364</v>
      </c>
      <c r="BF1" t="s">
        <v>2365</v>
      </c>
      <c r="BG1" t="s">
        <v>2366</v>
      </c>
    </row>
    <row r="2" spans="1:59" ht="270.75" thickBot="1" x14ac:dyDescent="0.3">
      <c r="A2" s="4" t="s">
        <v>43</v>
      </c>
      <c r="B2" s="4">
        <v>3</v>
      </c>
      <c r="C2" s="5">
        <v>2</v>
      </c>
      <c r="D2" s="4" t="s">
        <v>44</v>
      </c>
      <c r="E2" s="6">
        <v>46209.945580925923</v>
      </c>
      <c r="F2" s="4" t="s">
        <v>45</v>
      </c>
      <c r="G2" s="4" t="s">
        <v>46</v>
      </c>
      <c r="H2" s="4">
        <v>53</v>
      </c>
      <c r="I2" s="4" t="s">
        <v>47</v>
      </c>
      <c r="J2" s="4">
        <v>5309</v>
      </c>
      <c r="K2" s="4" t="s">
        <v>48</v>
      </c>
      <c r="L2" s="4">
        <v>5309010</v>
      </c>
      <c r="M2" s="4">
        <v>5309010015</v>
      </c>
      <c r="N2" s="4" t="s">
        <v>49</v>
      </c>
      <c r="O2" s="4">
        <v>46201</v>
      </c>
      <c r="P2" s="4" t="s">
        <v>50</v>
      </c>
      <c r="Q2" s="5">
        <v>2</v>
      </c>
      <c r="R2" s="5">
        <v>0</v>
      </c>
      <c r="S2" s="5">
        <v>50000</v>
      </c>
      <c r="T2" s="5">
        <v>0</v>
      </c>
      <c r="U2" s="5">
        <v>50000</v>
      </c>
      <c r="V2" s="5">
        <v>0</v>
      </c>
      <c r="W2" s="5">
        <v>100000</v>
      </c>
      <c r="X2" s="5">
        <v>500000</v>
      </c>
      <c r="Y2" s="5">
        <v>0</v>
      </c>
      <c r="Z2" s="5">
        <f>X2-SUM(S2:U2)</f>
        <v>400000</v>
      </c>
      <c r="AA2" s="5">
        <v>10000000</v>
      </c>
      <c r="AB2" s="5">
        <f>X2-T2</f>
        <v>500000</v>
      </c>
      <c r="AC2" s="5">
        <v>0</v>
      </c>
      <c r="AD2" s="4" t="s">
        <v>51</v>
      </c>
      <c r="AE2" s="5">
        <f>Z2/AB2</f>
        <v>0.8</v>
      </c>
      <c r="AF2" s="5">
        <v>250000</v>
      </c>
      <c r="AG2" s="5">
        <v>1</v>
      </c>
      <c r="AH2" s="5">
        <v>1</v>
      </c>
      <c r="AI2" s="5">
        <v>1</v>
      </c>
      <c r="AJ2" s="7" t="s">
        <v>53</v>
      </c>
      <c r="AK2" s="5">
        <v>0</v>
      </c>
      <c r="AL2" s="5">
        <v>0</v>
      </c>
      <c r="AM2" s="4">
        <v>2010</v>
      </c>
      <c r="AN2" s="5">
        <v>0</v>
      </c>
      <c r="AO2" s="5">
        <v>2</v>
      </c>
      <c r="AP2" s="8"/>
      <c r="AQ2" s="8"/>
      <c r="AR2" s="8">
        <f>IF(Z2&lt;=0,1,0)</f>
        <v>0</v>
      </c>
      <c r="AS2" s="8">
        <f>AB2-Z2</f>
        <v>100000</v>
      </c>
      <c r="AT2" s="8">
        <f>IF(AE2&gt;0.78,(Z2*0.74/AE2),IF(Z2&lt;0.64,(Z2*0.68/AE2),Z2))</f>
        <v>370000</v>
      </c>
      <c r="AU2" s="8">
        <f>AB2-AT2</f>
        <v>130000</v>
      </c>
      <c r="AV2" s="4" t="s">
        <v>50</v>
      </c>
      <c r="AW2" s="7" t="s">
        <v>53</v>
      </c>
      <c r="AX2" s="5">
        <v>0</v>
      </c>
      <c r="AY2">
        <f>AU2-AZ2</f>
        <v>65000</v>
      </c>
      <c r="AZ2">
        <f>U2*AU2/AS2</f>
        <v>65000</v>
      </c>
      <c r="BA2" s="5">
        <v>500000</v>
      </c>
      <c r="BB2" s="5">
        <v>0</v>
      </c>
      <c r="BC2" s="4" t="s">
        <v>49</v>
      </c>
      <c r="BD2" s="4">
        <v>46201</v>
      </c>
      <c r="BE2" t="s">
        <v>54</v>
      </c>
    </row>
    <row r="3" spans="1:59" ht="255.75" thickBot="1" x14ac:dyDescent="0.3">
      <c r="A3" s="4" t="s">
        <v>55</v>
      </c>
      <c r="B3" s="4">
        <v>2</v>
      </c>
      <c r="C3" s="5">
        <v>2</v>
      </c>
      <c r="D3" s="4" t="s">
        <v>56</v>
      </c>
      <c r="E3" s="6">
        <v>46302.305383159721</v>
      </c>
      <c r="F3" s="4" t="s">
        <v>57</v>
      </c>
      <c r="G3" s="4" t="s">
        <v>46</v>
      </c>
      <c r="H3" s="4">
        <v>53</v>
      </c>
      <c r="I3" s="4" t="s">
        <v>47</v>
      </c>
      <c r="J3" s="4">
        <v>5309</v>
      </c>
      <c r="K3" s="4" t="s">
        <v>48</v>
      </c>
      <c r="L3" s="4">
        <v>5309010</v>
      </c>
      <c r="M3" s="4">
        <v>5309010015</v>
      </c>
      <c r="N3" s="4" t="s">
        <v>49</v>
      </c>
      <c r="O3" s="4">
        <v>46201</v>
      </c>
      <c r="P3" s="4" t="s">
        <v>58</v>
      </c>
      <c r="Q3" s="5">
        <v>2</v>
      </c>
      <c r="R3" s="5">
        <v>0</v>
      </c>
      <c r="S3" s="5">
        <v>50000</v>
      </c>
      <c r="T3" s="5">
        <v>0</v>
      </c>
      <c r="U3" s="5">
        <v>50000</v>
      </c>
      <c r="V3" s="5">
        <v>0</v>
      </c>
      <c r="W3" s="5">
        <v>100000</v>
      </c>
      <c r="X3" s="5">
        <v>1500000</v>
      </c>
      <c r="Y3" s="5">
        <v>0</v>
      </c>
      <c r="Z3" s="5">
        <f t="shared" ref="Z3:Z66" si="0">X3-SUM(S3:U3)</f>
        <v>1400000</v>
      </c>
      <c r="AA3" s="5">
        <v>0</v>
      </c>
      <c r="AB3" s="5">
        <f t="shared" ref="AB3:AB66" si="1">X3-T3</f>
        <v>1500000</v>
      </c>
      <c r="AC3" s="5">
        <v>0</v>
      </c>
      <c r="AD3" s="4" t="s">
        <v>51</v>
      </c>
      <c r="AE3" s="5">
        <f t="shared" ref="AE3:AE66" si="2">Z3/AB3</f>
        <v>0.93333333333333335</v>
      </c>
      <c r="AF3" s="5">
        <v>750000</v>
      </c>
      <c r="AG3" s="4"/>
      <c r="AH3" s="5">
        <v>1</v>
      </c>
      <c r="AI3" s="5">
        <v>1</v>
      </c>
      <c r="AJ3" s="7" t="s">
        <v>59</v>
      </c>
      <c r="AK3" s="5">
        <v>0</v>
      </c>
      <c r="AL3" s="5">
        <v>0</v>
      </c>
      <c r="AM3" s="4">
        <v>2010</v>
      </c>
      <c r="AN3" s="5">
        <v>0</v>
      </c>
      <c r="AO3" s="5">
        <v>2</v>
      </c>
      <c r="AP3" s="8"/>
      <c r="AQ3" s="8"/>
      <c r="AR3" s="8">
        <f t="shared" ref="AR3:AR66" si="3">IF(Z3&lt;=0,1,0)</f>
        <v>0</v>
      </c>
      <c r="AS3" s="8">
        <f t="shared" ref="AS3:AS66" si="4">AB3-Z3</f>
        <v>100000</v>
      </c>
      <c r="AT3" s="8">
        <f t="shared" ref="AT3:AT66" si="5">IF(AE3&gt;0.78,(Z3*0.74/AE3),IF(Z3&lt;0.64,(Z3*0.68/AE3),Z3))</f>
        <v>1110000</v>
      </c>
      <c r="AU3" s="8">
        <f t="shared" ref="AU3:AU66" si="6">AB3-AT3</f>
        <v>390000</v>
      </c>
      <c r="AV3" s="4" t="s">
        <v>58</v>
      </c>
      <c r="AW3" s="7" t="s">
        <v>59</v>
      </c>
      <c r="AX3" s="5">
        <v>0</v>
      </c>
      <c r="AY3">
        <f t="shared" ref="AY3:AY66" si="7">AU3-AZ3</f>
        <v>195000</v>
      </c>
      <c r="AZ3">
        <f t="shared" ref="AZ3:AZ66" si="8">U3*AU3/AS3</f>
        <v>195000</v>
      </c>
      <c r="BA3" s="5">
        <v>1500000</v>
      </c>
      <c r="BB3" s="5">
        <v>0</v>
      </c>
      <c r="BC3" s="4" t="s">
        <v>49</v>
      </c>
      <c r="BD3" s="4">
        <v>46201</v>
      </c>
      <c r="BE3" t="s">
        <v>54</v>
      </c>
    </row>
    <row r="4" spans="1:59" ht="270.75" thickBot="1" x14ac:dyDescent="0.3">
      <c r="A4" s="4" t="s">
        <v>61</v>
      </c>
      <c r="B4" s="4">
        <v>1006</v>
      </c>
      <c r="C4" s="5">
        <v>2</v>
      </c>
      <c r="D4" s="4" t="s">
        <v>60</v>
      </c>
      <c r="E4" s="6">
        <v>46280.619748912039</v>
      </c>
      <c r="F4" s="4" t="s">
        <v>62</v>
      </c>
      <c r="G4" s="4" t="s">
        <v>46</v>
      </c>
      <c r="H4" s="4">
        <v>53</v>
      </c>
      <c r="I4" s="4" t="s">
        <v>47</v>
      </c>
      <c r="J4" s="4">
        <v>5309</v>
      </c>
      <c r="K4" s="4" t="s">
        <v>48</v>
      </c>
      <c r="L4" s="4">
        <v>5309010</v>
      </c>
      <c r="M4" s="4">
        <v>5309010015</v>
      </c>
      <c r="N4" s="4" t="s">
        <v>49</v>
      </c>
      <c r="O4" s="4">
        <v>46201</v>
      </c>
      <c r="P4" s="4" t="s">
        <v>63</v>
      </c>
      <c r="Q4" s="5">
        <v>2</v>
      </c>
      <c r="R4" s="5">
        <v>0</v>
      </c>
      <c r="S4" s="5">
        <v>300000</v>
      </c>
      <c r="T4" s="5">
        <v>0</v>
      </c>
      <c r="U4" s="5">
        <v>0</v>
      </c>
      <c r="V4" s="5">
        <v>100000</v>
      </c>
      <c r="W4" s="5">
        <v>400000</v>
      </c>
      <c r="X4" s="5">
        <v>7000000</v>
      </c>
      <c r="Y4" s="5">
        <v>0</v>
      </c>
      <c r="Z4" s="5">
        <f t="shared" si="0"/>
        <v>6700000</v>
      </c>
      <c r="AA4" s="5">
        <v>15000000</v>
      </c>
      <c r="AB4" s="5">
        <f t="shared" si="1"/>
        <v>7000000</v>
      </c>
      <c r="AC4" s="5">
        <v>0</v>
      </c>
      <c r="AD4" s="4" t="s">
        <v>51</v>
      </c>
      <c r="AE4" s="5">
        <f t="shared" si="2"/>
        <v>0.95714285714285718</v>
      </c>
      <c r="AF4" s="5">
        <v>3500000</v>
      </c>
      <c r="AG4" s="5">
        <v>1</v>
      </c>
      <c r="AH4" s="5">
        <v>1</v>
      </c>
      <c r="AI4" s="5">
        <v>1</v>
      </c>
      <c r="AJ4" s="7" t="s">
        <v>64</v>
      </c>
      <c r="AK4" s="5">
        <v>0</v>
      </c>
      <c r="AL4" s="5">
        <v>0</v>
      </c>
      <c r="AM4" s="4">
        <v>2024</v>
      </c>
      <c r="AN4" s="5">
        <v>0</v>
      </c>
      <c r="AO4" s="5">
        <v>2</v>
      </c>
      <c r="AP4" s="8"/>
      <c r="AQ4" s="8"/>
      <c r="AR4" s="8">
        <f t="shared" si="3"/>
        <v>0</v>
      </c>
      <c r="AS4" s="8">
        <f t="shared" si="4"/>
        <v>300000</v>
      </c>
      <c r="AT4" s="8">
        <f t="shared" si="5"/>
        <v>5180000</v>
      </c>
      <c r="AU4" s="8">
        <f t="shared" si="6"/>
        <v>1820000</v>
      </c>
      <c r="AV4" s="4" t="s">
        <v>63</v>
      </c>
      <c r="AW4" s="7" t="s">
        <v>64</v>
      </c>
      <c r="AX4" s="5">
        <v>0</v>
      </c>
      <c r="AY4">
        <f t="shared" si="7"/>
        <v>1820000</v>
      </c>
      <c r="AZ4">
        <f t="shared" si="8"/>
        <v>0</v>
      </c>
      <c r="BA4" s="5">
        <v>7000000</v>
      </c>
      <c r="BB4" s="5">
        <v>0</v>
      </c>
      <c r="BC4" s="4" t="s">
        <v>49</v>
      </c>
      <c r="BD4" s="4">
        <v>46201</v>
      </c>
      <c r="BE4" t="s">
        <v>54</v>
      </c>
    </row>
    <row r="5" spans="1:59" ht="270.75" thickBot="1" x14ac:dyDescent="0.3">
      <c r="A5" s="4" t="s">
        <v>65</v>
      </c>
      <c r="B5" s="4">
        <v>3001</v>
      </c>
      <c r="C5" s="5">
        <v>2</v>
      </c>
      <c r="D5" s="4" t="s">
        <v>44</v>
      </c>
      <c r="E5" s="6">
        <v>46219.869457870373</v>
      </c>
      <c r="F5" s="4" t="s">
        <v>66</v>
      </c>
      <c r="G5" s="4" t="s">
        <v>46</v>
      </c>
      <c r="H5" s="4">
        <v>53</v>
      </c>
      <c r="I5" s="4" t="s">
        <v>47</v>
      </c>
      <c r="J5" s="4">
        <v>5309</v>
      </c>
      <c r="K5" s="4" t="s">
        <v>48</v>
      </c>
      <c r="L5" s="4">
        <v>5309010</v>
      </c>
      <c r="M5" s="4">
        <v>5309010015</v>
      </c>
      <c r="N5" s="4" t="s">
        <v>49</v>
      </c>
      <c r="O5" s="4">
        <v>46201</v>
      </c>
      <c r="P5" s="4" t="s">
        <v>67</v>
      </c>
      <c r="Q5" s="5">
        <v>2</v>
      </c>
      <c r="R5" s="5">
        <v>0</v>
      </c>
      <c r="S5" s="5">
        <v>0</v>
      </c>
      <c r="T5" s="5">
        <v>0</v>
      </c>
      <c r="U5" s="5">
        <v>100000</v>
      </c>
      <c r="V5" s="5">
        <v>0</v>
      </c>
      <c r="W5" s="5">
        <v>100000</v>
      </c>
      <c r="X5" s="5">
        <v>1300000</v>
      </c>
      <c r="Y5" s="5">
        <v>0</v>
      </c>
      <c r="Z5" s="5">
        <f t="shared" si="0"/>
        <v>1200000</v>
      </c>
      <c r="AA5" s="5">
        <v>15000000</v>
      </c>
      <c r="AB5" s="5">
        <f t="shared" si="1"/>
        <v>1300000</v>
      </c>
      <c r="AC5" s="5">
        <v>0</v>
      </c>
      <c r="AD5" s="4" t="s">
        <v>51</v>
      </c>
      <c r="AE5" s="5">
        <f t="shared" si="2"/>
        <v>0.92307692307692313</v>
      </c>
      <c r="AF5" s="5">
        <v>650000</v>
      </c>
      <c r="AG5" s="5">
        <v>1</v>
      </c>
      <c r="AH5" s="5">
        <v>1</v>
      </c>
      <c r="AI5" s="5">
        <v>1</v>
      </c>
      <c r="AJ5" s="7" t="s">
        <v>68</v>
      </c>
      <c r="AK5" s="5">
        <v>0</v>
      </c>
      <c r="AL5" s="5">
        <v>0</v>
      </c>
      <c r="AM5" s="4">
        <v>2010</v>
      </c>
      <c r="AN5" s="5">
        <v>0</v>
      </c>
      <c r="AO5" s="5">
        <v>2</v>
      </c>
      <c r="AP5" s="8"/>
      <c r="AQ5" s="8"/>
      <c r="AR5" s="8">
        <f t="shared" si="3"/>
        <v>0</v>
      </c>
      <c r="AS5" s="8">
        <f t="shared" si="4"/>
        <v>100000</v>
      </c>
      <c r="AT5" s="8">
        <f t="shared" si="5"/>
        <v>962000</v>
      </c>
      <c r="AU5" s="8">
        <f t="shared" si="6"/>
        <v>338000</v>
      </c>
      <c r="AV5" s="4" t="s">
        <v>67</v>
      </c>
      <c r="AW5" s="7" t="s">
        <v>68</v>
      </c>
      <c r="AX5" s="5">
        <v>0</v>
      </c>
      <c r="AY5">
        <f t="shared" si="7"/>
        <v>0</v>
      </c>
      <c r="AZ5">
        <f t="shared" si="8"/>
        <v>338000</v>
      </c>
      <c r="BA5" s="5">
        <v>1300000</v>
      </c>
      <c r="BB5" s="5">
        <v>0</v>
      </c>
      <c r="BC5" s="4" t="s">
        <v>49</v>
      </c>
      <c r="BD5" s="4">
        <v>46201</v>
      </c>
      <c r="BE5" t="s">
        <v>54</v>
      </c>
    </row>
    <row r="6" spans="1:59" ht="270.75" thickBot="1" x14ac:dyDescent="0.3">
      <c r="A6" s="4" t="s">
        <v>69</v>
      </c>
      <c r="B6" s="4">
        <v>3</v>
      </c>
      <c r="C6" s="5">
        <v>2</v>
      </c>
      <c r="D6" s="4" t="s">
        <v>44</v>
      </c>
      <c r="E6" s="6">
        <v>46210.201115625001</v>
      </c>
      <c r="F6" s="4" t="s">
        <v>70</v>
      </c>
      <c r="G6" s="4" t="s">
        <v>46</v>
      </c>
      <c r="H6" s="4">
        <v>53</v>
      </c>
      <c r="I6" s="4" t="s">
        <v>47</v>
      </c>
      <c r="J6" s="4">
        <v>5309</v>
      </c>
      <c r="K6" s="4" t="s">
        <v>48</v>
      </c>
      <c r="L6" s="4">
        <v>5309010</v>
      </c>
      <c r="M6" s="4">
        <v>5309010015</v>
      </c>
      <c r="N6" s="4" t="s">
        <v>49</v>
      </c>
      <c r="O6" s="4">
        <v>46201</v>
      </c>
      <c r="P6" s="4" t="s">
        <v>58</v>
      </c>
      <c r="Q6" s="5">
        <v>1</v>
      </c>
      <c r="R6" s="5">
        <v>0</v>
      </c>
      <c r="S6" s="5">
        <v>50000</v>
      </c>
      <c r="T6" s="5">
        <v>0</v>
      </c>
      <c r="U6" s="5">
        <v>50000</v>
      </c>
      <c r="V6" s="5">
        <v>0</v>
      </c>
      <c r="W6" s="5">
        <v>100000</v>
      </c>
      <c r="X6" s="5">
        <v>1000000</v>
      </c>
      <c r="Y6" s="5">
        <v>0</v>
      </c>
      <c r="Z6" s="5">
        <f t="shared" si="0"/>
        <v>900000</v>
      </c>
      <c r="AA6" s="5">
        <v>10000000</v>
      </c>
      <c r="AB6" s="5">
        <f t="shared" si="1"/>
        <v>1000000</v>
      </c>
      <c r="AC6" s="5">
        <v>0</v>
      </c>
      <c r="AD6" s="4" t="s">
        <v>51</v>
      </c>
      <c r="AE6" s="5">
        <f t="shared" si="2"/>
        <v>0.9</v>
      </c>
      <c r="AF6" s="5">
        <v>1000000</v>
      </c>
      <c r="AG6" s="5">
        <v>1</v>
      </c>
      <c r="AH6" s="5">
        <v>1</v>
      </c>
      <c r="AI6" s="5">
        <v>1</v>
      </c>
      <c r="AJ6" s="7" t="s">
        <v>72</v>
      </c>
      <c r="AK6" s="5">
        <v>0</v>
      </c>
      <c r="AL6" s="5">
        <v>0</v>
      </c>
      <c r="AM6" s="4">
        <v>2010</v>
      </c>
      <c r="AN6" s="5">
        <v>0</v>
      </c>
      <c r="AO6" s="5">
        <v>1</v>
      </c>
      <c r="AP6" s="8"/>
      <c r="AQ6" s="8"/>
      <c r="AR6" s="8">
        <f t="shared" si="3"/>
        <v>0</v>
      </c>
      <c r="AS6" s="8">
        <f t="shared" si="4"/>
        <v>100000</v>
      </c>
      <c r="AT6" s="8">
        <f t="shared" si="5"/>
        <v>740000</v>
      </c>
      <c r="AU6" s="8">
        <f t="shared" si="6"/>
        <v>260000</v>
      </c>
      <c r="AV6" s="4" t="s">
        <v>58</v>
      </c>
      <c r="AW6" s="7" t="s">
        <v>72</v>
      </c>
      <c r="AX6" s="5">
        <v>0</v>
      </c>
      <c r="AY6">
        <f t="shared" si="7"/>
        <v>130000</v>
      </c>
      <c r="AZ6">
        <f t="shared" si="8"/>
        <v>130000</v>
      </c>
      <c r="BA6" s="5">
        <v>1000000</v>
      </c>
      <c r="BB6" s="5">
        <v>0</v>
      </c>
      <c r="BC6" s="4" t="s">
        <v>49</v>
      </c>
      <c r="BD6" s="4">
        <v>46201</v>
      </c>
      <c r="BE6" t="s">
        <v>54</v>
      </c>
    </row>
    <row r="7" spans="1:59" ht="270.75" thickBot="1" x14ac:dyDescent="0.3">
      <c r="A7" s="4" t="s">
        <v>73</v>
      </c>
      <c r="B7" s="4">
        <v>3</v>
      </c>
      <c r="C7" s="5">
        <v>2</v>
      </c>
      <c r="D7" s="4" t="s">
        <v>44</v>
      </c>
      <c r="E7" s="6">
        <v>46212.808454143516</v>
      </c>
      <c r="F7" s="4" t="s">
        <v>74</v>
      </c>
      <c r="G7" s="4" t="s">
        <v>46</v>
      </c>
      <c r="H7" s="4">
        <v>53</v>
      </c>
      <c r="I7" s="4" t="s">
        <v>47</v>
      </c>
      <c r="J7" s="4">
        <v>5309</v>
      </c>
      <c r="K7" s="4" t="s">
        <v>48</v>
      </c>
      <c r="L7" s="4">
        <v>5309010</v>
      </c>
      <c r="M7" s="4">
        <v>5309010015</v>
      </c>
      <c r="N7" s="4" t="s">
        <v>49</v>
      </c>
      <c r="O7" s="4">
        <v>46201</v>
      </c>
      <c r="P7" s="4" t="s">
        <v>75</v>
      </c>
      <c r="Q7" s="5">
        <v>4</v>
      </c>
      <c r="R7" s="5">
        <v>0</v>
      </c>
      <c r="S7" s="5">
        <v>50000</v>
      </c>
      <c r="T7" s="5">
        <v>0</v>
      </c>
      <c r="U7" s="5">
        <v>30000</v>
      </c>
      <c r="V7" s="5">
        <v>20000</v>
      </c>
      <c r="W7" s="5">
        <v>100000</v>
      </c>
      <c r="X7" s="5">
        <v>500000</v>
      </c>
      <c r="Y7" s="5">
        <v>200000</v>
      </c>
      <c r="Z7" s="5">
        <f t="shared" si="0"/>
        <v>420000</v>
      </c>
      <c r="AA7" s="5">
        <v>15000000</v>
      </c>
      <c r="AB7" s="5">
        <f t="shared" si="1"/>
        <v>500000</v>
      </c>
      <c r="AC7" s="5">
        <v>0</v>
      </c>
      <c r="AD7" s="4" t="s">
        <v>51</v>
      </c>
      <c r="AE7" s="5">
        <f t="shared" si="2"/>
        <v>0.84</v>
      </c>
      <c r="AF7" s="5">
        <v>125000</v>
      </c>
      <c r="AG7" s="5">
        <v>1</v>
      </c>
      <c r="AH7" s="5">
        <v>1</v>
      </c>
      <c r="AI7" s="5">
        <v>1</v>
      </c>
      <c r="AJ7" s="7" t="s">
        <v>77</v>
      </c>
      <c r="AK7" s="5">
        <v>0</v>
      </c>
      <c r="AL7" s="5">
        <v>0</v>
      </c>
      <c r="AM7" s="4">
        <v>2016</v>
      </c>
      <c r="AN7" s="5">
        <v>0</v>
      </c>
      <c r="AO7" s="5">
        <v>4</v>
      </c>
      <c r="AP7" s="8"/>
      <c r="AQ7" s="8"/>
      <c r="AR7" s="8">
        <f t="shared" si="3"/>
        <v>0</v>
      </c>
      <c r="AS7" s="8">
        <f t="shared" si="4"/>
        <v>80000</v>
      </c>
      <c r="AT7" s="8">
        <f t="shared" si="5"/>
        <v>370000</v>
      </c>
      <c r="AU7" s="8">
        <f t="shared" si="6"/>
        <v>130000</v>
      </c>
      <c r="AV7" s="4" t="s">
        <v>75</v>
      </c>
      <c r="AW7" s="7" t="s">
        <v>77</v>
      </c>
      <c r="AX7" s="5">
        <v>0</v>
      </c>
      <c r="AY7">
        <f t="shared" si="7"/>
        <v>81250</v>
      </c>
      <c r="AZ7">
        <f t="shared" si="8"/>
        <v>48750</v>
      </c>
      <c r="BA7" s="5">
        <v>500000</v>
      </c>
      <c r="BB7" s="5">
        <v>200000</v>
      </c>
      <c r="BC7" s="4" t="s">
        <v>49</v>
      </c>
      <c r="BD7" s="4">
        <v>46201</v>
      </c>
      <c r="BE7" t="s">
        <v>54</v>
      </c>
    </row>
    <row r="8" spans="1:59" ht="270.75" thickBot="1" x14ac:dyDescent="0.3">
      <c r="A8" s="4" t="s">
        <v>78</v>
      </c>
      <c r="B8" s="4">
        <v>1001</v>
      </c>
      <c r="C8" s="5">
        <v>2</v>
      </c>
      <c r="D8" s="4" t="s">
        <v>44</v>
      </c>
      <c r="E8" s="6">
        <v>46218.241502407407</v>
      </c>
      <c r="F8" s="4" t="s">
        <v>79</v>
      </c>
      <c r="G8" s="4" t="s">
        <v>46</v>
      </c>
      <c r="H8" s="4">
        <v>53</v>
      </c>
      <c r="I8" s="4" t="s">
        <v>47</v>
      </c>
      <c r="J8" s="4">
        <v>5309</v>
      </c>
      <c r="K8" s="4" t="s">
        <v>48</v>
      </c>
      <c r="L8" s="4">
        <v>5309010</v>
      </c>
      <c r="M8" s="4">
        <v>5309010015</v>
      </c>
      <c r="N8" s="4" t="s">
        <v>49</v>
      </c>
      <c r="O8" s="4">
        <v>46201</v>
      </c>
      <c r="P8" s="4" t="s">
        <v>80</v>
      </c>
      <c r="Q8" s="5">
        <v>2</v>
      </c>
      <c r="R8" s="5">
        <v>0</v>
      </c>
      <c r="S8" s="5">
        <v>0</v>
      </c>
      <c r="T8" s="5">
        <v>0</v>
      </c>
      <c r="U8" s="5">
        <v>100000</v>
      </c>
      <c r="V8" s="5">
        <v>0</v>
      </c>
      <c r="W8" s="5">
        <v>100000</v>
      </c>
      <c r="X8" s="5">
        <v>2400000</v>
      </c>
      <c r="Y8" s="5">
        <v>1500000</v>
      </c>
      <c r="Z8" s="5">
        <f t="shared" si="0"/>
        <v>2300000</v>
      </c>
      <c r="AA8" s="5">
        <v>25000000</v>
      </c>
      <c r="AB8" s="5">
        <f t="shared" si="1"/>
        <v>2400000</v>
      </c>
      <c r="AC8" s="5">
        <v>0</v>
      </c>
      <c r="AD8" s="4" t="s">
        <v>51</v>
      </c>
      <c r="AE8" s="5">
        <f t="shared" si="2"/>
        <v>0.95833333333333337</v>
      </c>
      <c r="AF8" s="5">
        <v>1200000</v>
      </c>
      <c r="AG8" s="5">
        <v>1</v>
      </c>
      <c r="AH8" s="5">
        <v>1</v>
      </c>
      <c r="AI8" s="5">
        <v>1</v>
      </c>
      <c r="AJ8" s="7" t="s">
        <v>81</v>
      </c>
      <c r="AK8" s="5">
        <v>0</v>
      </c>
      <c r="AL8" s="5">
        <v>0</v>
      </c>
      <c r="AM8" s="4">
        <v>2011</v>
      </c>
      <c r="AN8" s="5">
        <v>0</v>
      </c>
      <c r="AO8" s="5">
        <v>2</v>
      </c>
      <c r="AP8" s="8"/>
      <c r="AQ8" s="8"/>
      <c r="AR8" s="8">
        <f t="shared" si="3"/>
        <v>0</v>
      </c>
      <c r="AS8" s="8">
        <f t="shared" si="4"/>
        <v>100000</v>
      </c>
      <c r="AT8" s="8">
        <f t="shared" si="5"/>
        <v>1776000</v>
      </c>
      <c r="AU8" s="8">
        <f t="shared" si="6"/>
        <v>624000</v>
      </c>
      <c r="AV8" s="4" t="s">
        <v>80</v>
      </c>
      <c r="AW8" s="7" t="s">
        <v>81</v>
      </c>
      <c r="AX8" s="5">
        <v>0</v>
      </c>
      <c r="AY8">
        <f t="shared" si="7"/>
        <v>0</v>
      </c>
      <c r="AZ8">
        <f t="shared" si="8"/>
        <v>624000</v>
      </c>
      <c r="BA8" s="5">
        <v>2400000</v>
      </c>
      <c r="BB8" s="5">
        <v>1500000</v>
      </c>
      <c r="BC8" s="4" t="s">
        <v>49</v>
      </c>
      <c r="BD8" s="4">
        <v>46201</v>
      </c>
      <c r="BE8" t="s">
        <v>54</v>
      </c>
    </row>
    <row r="9" spans="1:59" ht="270.75" thickBot="1" x14ac:dyDescent="0.3">
      <c r="A9" s="4" t="s">
        <v>82</v>
      </c>
      <c r="B9" s="4" t="s">
        <v>83</v>
      </c>
      <c r="C9" s="5">
        <v>2</v>
      </c>
      <c r="D9" s="4" t="s">
        <v>44</v>
      </c>
      <c r="E9" s="6">
        <v>46260.495536099537</v>
      </c>
      <c r="F9" s="4" t="s">
        <v>84</v>
      </c>
      <c r="G9" s="4" t="s">
        <v>85</v>
      </c>
      <c r="H9" s="4">
        <v>53</v>
      </c>
      <c r="I9" s="4" t="s">
        <v>47</v>
      </c>
      <c r="J9" s="4">
        <v>5309</v>
      </c>
      <c r="K9" s="4" t="s">
        <v>48</v>
      </c>
      <c r="L9" s="4">
        <v>5309060</v>
      </c>
      <c r="M9" s="4">
        <v>5309060042</v>
      </c>
      <c r="N9" s="4" t="s">
        <v>49</v>
      </c>
      <c r="O9" s="4">
        <v>46202</v>
      </c>
      <c r="P9" s="4" t="s">
        <v>86</v>
      </c>
      <c r="Q9" s="5">
        <v>6</v>
      </c>
      <c r="R9" s="5">
        <v>85500000</v>
      </c>
      <c r="S9" s="5">
        <v>375000000</v>
      </c>
      <c r="T9" s="5">
        <v>4375800000</v>
      </c>
      <c r="U9" s="5">
        <v>12500000</v>
      </c>
      <c r="V9" s="5">
        <v>32500000</v>
      </c>
      <c r="W9" s="5">
        <v>4881300000</v>
      </c>
      <c r="X9" s="5">
        <v>6165900000</v>
      </c>
      <c r="Y9" s="5">
        <v>125000000</v>
      </c>
      <c r="Z9" s="5">
        <f t="shared" si="0"/>
        <v>1402600000</v>
      </c>
      <c r="AA9" s="5">
        <v>852000000</v>
      </c>
      <c r="AB9" s="5">
        <f t="shared" si="1"/>
        <v>1790100000</v>
      </c>
      <c r="AC9" s="5" t="s">
        <v>87</v>
      </c>
      <c r="AD9" s="4" t="s">
        <v>88</v>
      </c>
      <c r="AE9" s="5">
        <f t="shared" si="2"/>
        <v>0.78353164627674432</v>
      </c>
      <c r="AF9" s="5">
        <v>298350000</v>
      </c>
      <c r="AG9" s="5">
        <v>1</v>
      </c>
      <c r="AH9" s="5">
        <v>1</v>
      </c>
      <c r="AI9" s="5">
        <v>1</v>
      </c>
      <c r="AJ9" s="7" t="s">
        <v>89</v>
      </c>
      <c r="AK9" s="5">
        <v>0</v>
      </c>
      <c r="AL9" s="5">
        <v>0</v>
      </c>
      <c r="AM9" s="4">
        <v>2014</v>
      </c>
      <c r="AN9" s="4"/>
      <c r="AO9" s="4"/>
      <c r="AP9" s="8"/>
      <c r="AQ9" s="8"/>
      <c r="AR9" s="8">
        <f t="shared" si="3"/>
        <v>0</v>
      </c>
      <c r="AS9" s="8">
        <f t="shared" si="4"/>
        <v>387500000</v>
      </c>
      <c r="AT9" s="8">
        <f t="shared" si="5"/>
        <v>1324674000</v>
      </c>
      <c r="AU9" s="8">
        <f t="shared" si="6"/>
        <v>465426000</v>
      </c>
      <c r="AV9" s="4" t="s">
        <v>86</v>
      </c>
      <c r="AW9" s="7" t="s">
        <v>89</v>
      </c>
      <c r="AX9" s="5">
        <v>4375800000</v>
      </c>
      <c r="AY9">
        <f t="shared" si="7"/>
        <v>450412258.06451613</v>
      </c>
      <c r="AZ9">
        <f t="shared" si="8"/>
        <v>15013741.935483871</v>
      </c>
      <c r="BA9" s="5">
        <v>6165900000</v>
      </c>
      <c r="BB9" s="5">
        <v>125000000</v>
      </c>
      <c r="BC9" s="4" t="s">
        <v>49</v>
      </c>
      <c r="BD9" s="4">
        <v>46202</v>
      </c>
      <c r="BE9" t="s">
        <v>54</v>
      </c>
    </row>
    <row r="10" spans="1:59" ht="270.75" thickBot="1" x14ac:dyDescent="0.3">
      <c r="A10" s="4" t="s">
        <v>95</v>
      </c>
      <c r="B10" s="4">
        <v>1</v>
      </c>
      <c r="C10" s="5">
        <v>2</v>
      </c>
      <c r="D10" s="4" t="s">
        <v>44</v>
      </c>
      <c r="E10" s="9">
        <v>46211.250405092593</v>
      </c>
      <c r="F10" s="4" t="s">
        <v>96</v>
      </c>
      <c r="G10" s="4" t="s">
        <v>46</v>
      </c>
      <c r="H10" s="4">
        <v>53</v>
      </c>
      <c r="I10" s="4" t="s">
        <v>47</v>
      </c>
      <c r="J10" s="4">
        <v>5309</v>
      </c>
      <c r="K10" s="4" t="s">
        <v>48</v>
      </c>
      <c r="L10" s="4">
        <v>5309032</v>
      </c>
      <c r="M10" s="4">
        <v>5309032005</v>
      </c>
      <c r="N10" s="4" t="s">
        <v>49</v>
      </c>
      <c r="O10" s="4">
        <v>46203</v>
      </c>
      <c r="P10" s="4" t="s">
        <v>97</v>
      </c>
      <c r="Q10" s="5">
        <v>2</v>
      </c>
      <c r="R10" s="5">
        <v>0</v>
      </c>
      <c r="S10" s="5">
        <v>1250000</v>
      </c>
      <c r="T10" s="5">
        <v>2500000</v>
      </c>
      <c r="U10" s="5">
        <v>250000</v>
      </c>
      <c r="V10" s="5">
        <v>0</v>
      </c>
      <c r="W10" s="5">
        <v>4000000</v>
      </c>
      <c r="X10" s="5">
        <v>12750000</v>
      </c>
      <c r="Y10" s="5">
        <v>0</v>
      </c>
      <c r="Z10" s="5">
        <f t="shared" si="0"/>
        <v>8750000</v>
      </c>
      <c r="AA10" s="5">
        <v>2250000</v>
      </c>
      <c r="AB10" s="5">
        <f t="shared" si="1"/>
        <v>10250000</v>
      </c>
      <c r="AC10" s="5" t="s">
        <v>98</v>
      </c>
      <c r="AD10" s="4" t="s">
        <v>51</v>
      </c>
      <c r="AE10" s="5">
        <f t="shared" si="2"/>
        <v>0.85365853658536583</v>
      </c>
      <c r="AF10" s="5">
        <v>5125000</v>
      </c>
      <c r="AG10" s="5">
        <v>1</v>
      </c>
      <c r="AH10" s="5">
        <v>1</v>
      </c>
      <c r="AI10" s="5">
        <v>1</v>
      </c>
      <c r="AJ10" s="7" t="s">
        <v>99</v>
      </c>
      <c r="AK10" s="5">
        <v>0</v>
      </c>
      <c r="AL10" s="5">
        <v>0</v>
      </c>
      <c r="AM10" s="4">
        <v>2018</v>
      </c>
      <c r="AN10" s="5">
        <v>0</v>
      </c>
      <c r="AO10" s="5">
        <v>2</v>
      </c>
      <c r="AP10" s="8"/>
      <c r="AQ10" s="8"/>
      <c r="AR10" s="8">
        <f t="shared" si="3"/>
        <v>0</v>
      </c>
      <c r="AS10" s="8">
        <f t="shared" si="4"/>
        <v>1500000</v>
      </c>
      <c r="AT10" s="8">
        <f t="shared" si="5"/>
        <v>7585000</v>
      </c>
      <c r="AU10" s="8">
        <f t="shared" si="6"/>
        <v>2665000</v>
      </c>
      <c r="AV10" s="4" t="s">
        <v>97</v>
      </c>
      <c r="AW10" s="7" t="s">
        <v>99</v>
      </c>
      <c r="AX10" s="5">
        <v>2500000</v>
      </c>
      <c r="AY10">
        <f t="shared" si="7"/>
        <v>2220833.3333333335</v>
      </c>
      <c r="AZ10">
        <f t="shared" si="8"/>
        <v>444166.66666666669</v>
      </c>
      <c r="BA10" s="5">
        <v>12750000</v>
      </c>
      <c r="BB10" s="5">
        <v>0</v>
      </c>
      <c r="BC10" s="4" t="s">
        <v>49</v>
      </c>
      <c r="BD10" s="4">
        <v>46203</v>
      </c>
      <c r="BE10" t="s">
        <v>54</v>
      </c>
    </row>
    <row r="11" spans="1:59" ht="270.75" thickBot="1" x14ac:dyDescent="0.3">
      <c r="A11" s="4" t="s">
        <v>103</v>
      </c>
      <c r="B11" s="4">
        <v>3005</v>
      </c>
      <c r="C11" s="5">
        <v>2</v>
      </c>
      <c r="D11" s="4" t="s">
        <v>44</v>
      </c>
      <c r="E11" s="6">
        <v>46236.119198333334</v>
      </c>
      <c r="F11" s="4" t="s">
        <v>104</v>
      </c>
      <c r="G11" s="4" t="s">
        <v>46</v>
      </c>
      <c r="H11" s="4">
        <v>53</v>
      </c>
      <c r="I11" s="4" t="s">
        <v>47</v>
      </c>
      <c r="J11" s="4">
        <v>5309</v>
      </c>
      <c r="K11" s="4" t="s">
        <v>48</v>
      </c>
      <c r="L11" s="4">
        <v>5309011</v>
      </c>
      <c r="M11" s="4">
        <v>5309011001</v>
      </c>
      <c r="N11" s="4" t="s">
        <v>49</v>
      </c>
      <c r="O11" s="4">
        <v>46207</v>
      </c>
      <c r="P11" s="4" t="s">
        <v>105</v>
      </c>
      <c r="Q11" s="5">
        <v>2</v>
      </c>
      <c r="R11" s="5">
        <v>7000000</v>
      </c>
      <c r="S11" s="5">
        <v>350000</v>
      </c>
      <c r="T11" s="5">
        <v>3000000</v>
      </c>
      <c r="U11" s="5">
        <v>600000</v>
      </c>
      <c r="V11" s="5">
        <v>130000</v>
      </c>
      <c r="W11" s="5">
        <v>11080000</v>
      </c>
      <c r="X11" s="5">
        <v>40000000</v>
      </c>
      <c r="Y11" s="5">
        <v>0</v>
      </c>
      <c r="Z11" s="5">
        <f t="shared" si="0"/>
        <v>36050000</v>
      </c>
      <c r="AA11" s="5">
        <v>15000000</v>
      </c>
      <c r="AB11" s="5">
        <f t="shared" si="1"/>
        <v>37000000</v>
      </c>
      <c r="AC11" s="5" t="s">
        <v>106</v>
      </c>
      <c r="AD11" s="4" t="s">
        <v>51</v>
      </c>
      <c r="AE11" s="5">
        <f t="shared" si="2"/>
        <v>0.97432432432432436</v>
      </c>
      <c r="AF11" s="5">
        <v>18500000</v>
      </c>
      <c r="AG11" s="5">
        <v>1</v>
      </c>
      <c r="AH11" s="5">
        <v>1</v>
      </c>
      <c r="AI11" s="5">
        <v>1</v>
      </c>
      <c r="AJ11" s="7" t="s">
        <v>107</v>
      </c>
      <c r="AK11" s="5">
        <v>0</v>
      </c>
      <c r="AL11" s="5">
        <v>0</v>
      </c>
      <c r="AM11" s="4">
        <v>2023</v>
      </c>
      <c r="AN11" s="5">
        <v>1</v>
      </c>
      <c r="AO11" s="5">
        <v>1</v>
      </c>
      <c r="AP11" s="8"/>
      <c r="AQ11" s="8"/>
      <c r="AR11" s="8">
        <f t="shared" si="3"/>
        <v>0</v>
      </c>
      <c r="AS11" s="8">
        <f t="shared" si="4"/>
        <v>950000</v>
      </c>
      <c r="AT11" s="8">
        <f t="shared" si="5"/>
        <v>27380000</v>
      </c>
      <c r="AU11" s="8">
        <f t="shared" si="6"/>
        <v>9620000</v>
      </c>
      <c r="AV11" s="4" t="s">
        <v>105</v>
      </c>
      <c r="AW11" s="7" t="s">
        <v>107</v>
      </c>
      <c r="AX11" s="5">
        <v>3000000</v>
      </c>
      <c r="AY11">
        <f t="shared" si="7"/>
        <v>3544210.5263157897</v>
      </c>
      <c r="AZ11">
        <f t="shared" si="8"/>
        <v>6075789.4736842103</v>
      </c>
      <c r="BA11" s="5">
        <v>40000000</v>
      </c>
      <c r="BB11" s="5">
        <v>0</v>
      </c>
      <c r="BC11" s="4" t="s">
        <v>49</v>
      </c>
      <c r="BD11" s="4">
        <v>46207</v>
      </c>
      <c r="BE11" t="s">
        <v>54</v>
      </c>
    </row>
    <row r="12" spans="1:59" ht="270.75" thickBot="1" x14ac:dyDescent="0.3">
      <c r="A12" s="4" t="s">
        <v>108</v>
      </c>
      <c r="B12" s="4">
        <v>1001</v>
      </c>
      <c r="C12" s="5">
        <v>2</v>
      </c>
      <c r="D12" s="4" t="s">
        <v>56</v>
      </c>
      <c r="E12" s="6">
        <v>46310.562353032408</v>
      </c>
      <c r="F12" s="4" t="s">
        <v>109</v>
      </c>
      <c r="G12" s="4" t="s">
        <v>46</v>
      </c>
      <c r="H12" s="4">
        <v>53</v>
      </c>
      <c r="I12" s="4" t="s">
        <v>47</v>
      </c>
      <c r="J12" s="4">
        <v>5309</v>
      </c>
      <c r="K12" s="4" t="s">
        <v>48</v>
      </c>
      <c r="L12" s="4">
        <v>5309060</v>
      </c>
      <c r="M12" s="4">
        <v>5309060028</v>
      </c>
      <c r="N12" s="4" t="s">
        <v>49</v>
      </c>
      <c r="O12" s="4">
        <v>46207</v>
      </c>
      <c r="P12" s="4" t="s">
        <v>110</v>
      </c>
      <c r="Q12" s="5">
        <v>1</v>
      </c>
      <c r="R12" s="5">
        <v>0</v>
      </c>
      <c r="S12" s="5">
        <v>500000</v>
      </c>
      <c r="T12" s="5">
        <v>0</v>
      </c>
      <c r="U12" s="5">
        <v>500000</v>
      </c>
      <c r="V12" s="5">
        <v>0</v>
      </c>
      <c r="W12" s="5">
        <v>1000000</v>
      </c>
      <c r="X12" s="5">
        <v>20000000</v>
      </c>
      <c r="Y12" s="5">
        <v>0</v>
      </c>
      <c r="Z12" s="5">
        <f t="shared" si="0"/>
        <v>19000000</v>
      </c>
      <c r="AA12" s="5">
        <v>15000000</v>
      </c>
      <c r="AB12" s="5">
        <f t="shared" si="1"/>
        <v>20000000</v>
      </c>
      <c r="AC12" s="5">
        <v>0</v>
      </c>
      <c r="AD12" s="4" t="s">
        <v>51</v>
      </c>
      <c r="AE12" s="5">
        <f t="shared" si="2"/>
        <v>0.95</v>
      </c>
      <c r="AF12" s="5">
        <v>20000000</v>
      </c>
      <c r="AG12" s="5">
        <v>1</v>
      </c>
      <c r="AH12" s="5">
        <v>1</v>
      </c>
      <c r="AI12" s="5">
        <v>1</v>
      </c>
      <c r="AJ12" s="7" t="s">
        <v>112</v>
      </c>
      <c r="AK12" s="5">
        <v>0</v>
      </c>
      <c r="AL12" s="5">
        <v>0</v>
      </c>
      <c r="AM12" s="4">
        <v>2025</v>
      </c>
      <c r="AN12" s="5">
        <v>0</v>
      </c>
      <c r="AO12" s="5">
        <v>1</v>
      </c>
      <c r="AP12" s="8"/>
      <c r="AQ12" s="8"/>
      <c r="AR12" s="8">
        <f t="shared" si="3"/>
        <v>0</v>
      </c>
      <c r="AS12" s="8">
        <f t="shared" si="4"/>
        <v>1000000</v>
      </c>
      <c r="AT12" s="8">
        <f t="shared" si="5"/>
        <v>14800000</v>
      </c>
      <c r="AU12" s="8">
        <f t="shared" si="6"/>
        <v>5200000</v>
      </c>
      <c r="AV12" s="4" t="s">
        <v>110</v>
      </c>
      <c r="AW12" s="7" t="s">
        <v>112</v>
      </c>
      <c r="AX12" s="5">
        <v>0</v>
      </c>
      <c r="AY12">
        <f t="shared" si="7"/>
        <v>2600000</v>
      </c>
      <c r="AZ12">
        <f t="shared" si="8"/>
        <v>2600000</v>
      </c>
      <c r="BA12" s="5">
        <v>20000000</v>
      </c>
      <c r="BB12" s="5">
        <v>0</v>
      </c>
      <c r="BC12" s="4" t="s">
        <v>49</v>
      </c>
      <c r="BD12" s="4">
        <v>46207</v>
      </c>
      <c r="BE12" t="s">
        <v>54</v>
      </c>
    </row>
    <row r="13" spans="1:59" ht="270.75" thickBot="1" x14ac:dyDescent="0.3">
      <c r="A13" s="4" t="s">
        <v>113</v>
      </c>
      <c r="B13" s="4">
        <v>1001</v>
      </c>
      <c r="C13" s="5">
        <v>2</v>
      </c>
      <c r="D13" s="4" t="s">
        <v>56</v>
      </c>
      <c r="E13" s="6">
        <v>46312.212503356481</v>
      </c>
      <c r="F13" s="4" t="s">
        <v>114</v>
      </c>
      <c r="G13" s="4" t="s">
        <v>46</v>
      </c>
      <c r="H13" s="4">
        <v>53</v>
      </c>
      <c r="I13" s="4" t="s">
        <v>47</v>
      </c>
      <c r="J13" s="4">
        <v>5309</v>
      </c>
      <c r="K13" s="4" t="s">
        <v>48</v>
      </c>
      <c r="L13" s="4">
        <v>5309061</v>
      </c>
      <c r="M13" s="4">
        <v>5309061008</v>
      </c>
      <c r="N13" s="4" t="s">
        <v>49</v>
      </c>
      <c r="O13" s="4">
        <v>46207</v>
      </c>
      <c r="P13" s="4" t="s">
        <v>115</v>
      </c>
      <c r="Q13" s="5">
        <v>1</v>
      </c>
      <c r="R13" s="5">
        <v>0</v>
      </c>
      <c r="S13" s="5">
        <v>0</v>
      </c>
      <c r="T13" s="5">
        <v>0</v>
      </c>
      <c r="U13" s="5">
        <v>100000</v>
      </c>
      <c r="V13" s="5">
        <v>0</v>
      </c>
      <c r="W13" s="5">
        <v>100000</v>
      </c>
      <c r="X13" s="5">
        <v>4000000</v>
      </c>
      <c r="Y13" s="5">
        <v>0</v>
      </c>
      <c r="Z13" s="5">
        <f t="shared" si="0"/>
        <v>3900000</v>
      </c>
      <c r="AA13" s="5">
        <v>30000000</v>
      </c>
      <c r="AB13" s="5">
        <f t="shared" si="1"/>
        <v>4000000</v>
      </c>
      <c r="AC13" s="5">
        <v>0</v>
      </c>
      <c r="AD13" s="4" t="s">
        <v>51</v>
      </c>
      <c r="AE13" s="5">
        <f t="shared" si="2"/>
        <v>0.97499999999999998</v>
      </c>
      <c r="AF13" s="5">
        <v>4000000</v>
      </c>
      <c r="AG13" s="5">
        <v>1</v>
      </c>
      <c r="AH13" s="5">
        <v>1</v>
      </c>
      <c r="AI13" s="5">
        <v>1</v>
      </c>
      <c r="AJ13" s="7" t="s">
        <v>116</v>
      </c>
      <c r="AK13" s="5">
        <v>0</v>
      </c>
      <c r="AL13" s="5">
        <v>0</v>
      </c>
      <c r="AM13" s="4">
        <v>2010</v>
      </c>
      <c r="AN13" s="5">
        <v>0</v>
      </c>
      <c r="AO13" s="5">
        <v>1</v>
      </c>
      <c r="AP13" s="8"/>
      <c r="AQ13" s="8"/>
      <c r="AR13" s="8">
        <f t="shared" si="3"/>
        <v>0</v>
      </c>
      <c r="AS13" s="8">
        <f t="shared" si="4"/>
        <v>100000</v>
      </c>
      <c r="AT13" s="8">
        <f t="shared" si="5"/>
        <v>2960000</v>
      </c>
      <c r="AU13" s="8">
        <f t="shared" si="6"/>
        <v>1040000</v>
      </c>
      <c r="AV13" s="4" t="s">
        <v>115</v>
      </c>
      <c r="AW13" s="7" t="s">
        <v>116</v>
      </c>
      <c r="AX13" s="5">
        <v>0</v>
      </c>
      <c r="AY13">
        <f t="shared" si="7"/>
        <v>0</v>
      </c>
      <c r="AZ13">
        <f t="shared" si="8"/>
        <v>1040000</v>
      </c>
      <c r="BA13" s="5">
        <v>4000000</v>
      </c>
      <c r="BB13" s="5">
        <v>0</v>
      </c>
      <c r="BC13" s="4" t="s">
        <v>49</v>
      </c>
      <c r="BD13" s="4">
        <v>46207</v>
      </c>
      <c r="BE13" t="s">
        <v>54</v>
      </c>
    </row>
    <row r="14" spans="1:59" ht="270.75" thickBot="1" x14ac:dyDescent="0.3">
      <c r="A14" s="4" t="s">
        <v>118</v>
      </c>
      <c r="B14" s="4">
        <v>2001</v>
      </c>
      <c r="C14" s="5">
        <v>2</v>
      </c>
      <c r="D14" s="4" t="s">
        <v>44</v>
      </c>
      <c r="E14" s="6">
        <v>46226.144620879626</v>
      </c>
      <c r="F14" s="4" t="s">
        <v>119</v>
      </c>
      <c r="G14" s="4" t="s">
        <v>46</v>
      </c>
      <c r="H14" s="4">
        <v>53</v>
      </c>
      <c r="I14" s="4" t="s">
        <v>47</v>
      </c>
      <c r="J14" s="4">
        <v>5309</v>
      </c>
      <c r="K14" s="4" t="s">
        <v>48</v>
      </c>
      <c r="L14" s="4">
        <v>5309020</v>
      </c>
      <c r="M14" s="4">
        <v>5309020019</v>
      </c>
      <c r="N14" s="4" t="s">
        <v>49</v>
      </c>
      <c r="O14" s="4">
        <v>46311</v>
      </c>
      <c r="P14" s="4" t="s">
        <v>120</v>
      </c>
      <c r="Q14" s="5">
        <v>3</v>
      </c>
      <c r="R14" s="5">
        <v>500000</v>
      </c>
      <c r="S14" s="5">
        <v>60000000</v>
      </c>
      <c r="T14" s="5">
        <v>0</v>
      </c>
      <c r="U14" s="5">
        <v>5000000</v>
      </c>
      <c r="V14" s="5">
        <v>0</v>
      </c>
      <c r="W14" s="5">
        <v>65500000</v>
      </c>
      <c r="X14" s="5">
        <v>80000000</v>
      </c>
      <c r="Y14" s="5">
        <v>0</v>
      </c>
      <c r="Z14" s="5">
        <f t="shared" si="0"/>
        <v>15000000</v>
      </c>
      <c r="AA14" s="5">
        <v>1</v>
      </c>
      <c r="AB14" s="5">
        <f t="shared" si="1"/>
        <v>80000000</v>
      </c>
      <c r="AC14" s="5">
        <v>0</v>
      </c>
      <c r="AD14" s="4" t="s">
        <v>51</v>
      </c>
      <c r="AE14" s="5">
        <f t="shared" si="2"/>
        <v>0.1875</v>
      </c>
      <c r="AF14" s="5" t="s">
        <v>121</v>
      </c>
      <c r="AG14" s="5">
        <v>1</v>
      </c>
      <c r="AH14" s="5">
        <v>1</v>
      </c>
      <c r="AI14" s="5">
        <v>1</v>
      </c>
      <c r="AJ14" s="7" t="s">
        <v>122</v>
      </c>
      <c r="AK14" s="5">
        <v>0</v>
      </c>
      <c r="AL14" s="5">
        <v>0</v>
      </c>
      <c r="AM14" s="4">
        <v>2025</v>
      </c>
      <c r="AN14" s="5">
        <v>3</v>
      </c>
      <c r="AO14" s="5">
        <v>0</v>
      </c>
      <c r="AP14" s="8"/>
      <c r="AQ14" s="8"/>
      <c r="AR14" s="8">
        <f t="shared" si="3"/>
        <v>0</v>
      </c>
      <c r="AS14" s="8">
        <f t="shared" si="4"/>
        <v>65000000</v>
      </c>
      <c r="AT14" s="8">
        <f t="shared" si="5"/>
        <v>15000000</v>
      </c>
      <c r="AU14" s="8">
        <f t="shared" si="6"/>
        <v>65000000</v>
      </c>
      <c r="AV14" s="4" t="s">
        <v>120</v>
      </c>
      <c r="AW14" s="7" t="s">
        <v>122</v>
      </c>
      <c r="AX14" s="5">
        <v>0</v>
      </c>
      <c r="AY14">
        <f t="shared" si="7"/>
        <v>60000000</v>
      </c>
      <c r="AZ14">
        <f t="shared" si="8"/>
        <v>5000000</v>
      </c>
      <c r="BA14" s="5">
        <v>80000000</v>
      </c>
      <c r="BB14" s="5">
        <v>0</v>
      </c>
      <c r="BC14" s="4" t="s">
        <v>49</v>
      </c>
      <c r="BD14" s="4">
        <v>46311</v>
      </c>
      <c r="BE14" t="s">
        <v>54</v>
      </c>
    </row>
    <row r="15" spans="1:59" ht="270.75" thickBot="1" x14ac:dyDescent="0.3">
      <c r="A15" s="4" t="s">
        <v>123</v>
      </c>
      <c r="B15" s="4">
        <v>1001</v>
      </c>
      <c r="C15" s="5">
        <v>2</v>
      </c>
      <c r="D15" s="4" t="s">
        <v>44</v>
      </c>
      <c r="E15" s="6">
        <v>46268.002426770836</v>
      </c>
      <c r="F15" s="4" t="s">
        <v>124</v>
      </c>
      <c r="G15" s="4" t="s">
        <v>46</v>
      </c>
      <c r="H15" s="4">
        <v>53</v>
      </c>
      <c r="I15" s="4" t="s">
        <v>47</v>
      </c>
      <c r="J15" s="4">
        <v>5309</v>
      </c>
      <c r="K15" s="4" t="s">
        <v>48</v>
      </c>
      <c r="L15" s="4">
        <v>5309061</v>
      </c>
      <c r="M15" s="4">
        <v>5309061008</v>
      </c>
      <c r="N15" s="4" t="s">
        <v>49</v>
      </c>
      <c r="O15" s="4">
        <v>46312</v>
      </c>
      <c r="P15" s="4" t="s">
        <v>125</v>
      </c>
      <c r="Q15" s="5">
        <v>2</v>
      </c>
      <c r="R15" s="5">
        <v>0</v>
      </c>
      <c r="S15" s="5">
        <v>0</v>
      </c>
      <c r="T15" s="5">
        <v>5000000</v>
      </c>
      <c r="U15" s="5">
        <v>2000000</v>
      </c>
      <c r="V15" s="5">
        <v>0</v>
      </c>
      <c r="W15" s="5">
        <v>7000000</v>
      </c>
      <c r="X15" s="5">
        <v>48000000</v>
      </c>
      <c r="Y15" s="5">
        <v>0</v>
      </c>
      <c r="Z15" s="5">
        <f t="shared" si="0"/>
        <v>41000000</v>
      </c>
      <c r="AA15" s="5">
        <v>0</v>
      </c>
      <c r="AB15" s="5">
        <f t="shared" si="1"/>
        <v>43000000</v>
      </c>
      <c r="AC15" s="5" t="s">
        <v>126</v>
      </c>
      <c r="AD15" s="4" t="s">
        <v>51</v>
      </c>
      <c r="AE15" s="5">
        <f t="shared" si="2"/>
        <v>0.95348837209302328</v>
      </c>
      <c r="AF15" s="5">
        <v>21500000</v>
      </c>
      <c r="AG15" s="4"/>
      <c r="AH15" s="5">
        <v>1</v>
      </c>
      <c r="AI15" s="5">
        <v>1</v>
      </c>
      <c r="AJ15" s="7" t="s">
        <v>127</v>
      </c>
      <c r="AK15" s="5">
        <v>0</v>
      </c>
      <c r="AL15" s="5">
        <v>0</v>
      </c>
      <c r="AM15" s="4">
        <v>2025</v>
      </c>
      <c r="AN15" s="5">
        <v>0</v>
      </c>
      <c r="AO15" s="5">
        <v>2</v>
      </c>
      <c r="AP15" s="8"/>
      <c r="AQ15" s="8"/>
      <c r="AR15" s="8">
        <f t="shared" si="3"/>
        <v>0</v>
      </c>
      <c r="AS15" s="8">
        <f t="shared" si="4"/>
        <v>2000000</v>
      </c>
      <c r="AT15" s="8">
        <f t="shared" si="5"/>
        <v>31820000</v>
      </c>
      <c r="AU15" s="8">
        <f t="shared" si="6"/>
        <v>11180000</v>
      </c>
      <c r="AV15" s="4" t="s">
        <v>125</v>
      </c>
      <c r="AW15" s="7" t="s">
        <v>127</v>
      </c>
      <c r="AX15" s="5">
        <v>5000000</v>
      </c>
      <c r="AY15">
        <f t="shared" si="7"/>
        <v>0</v>
      </c>
      <c r="AZ15">
        <f t="shared" si="8"/>
        <v>11180000</v>
      </c>
      <c r="BA15" s="5">
        <v>48000000</v>
      </c>
      <c r="BB15" s="5">
        <v>0</v>
      </c>
      <c r="BC15" s="4" t="s">
        <v>49</v>
      </c>
      <c r="BD15" s="4">
        <v>46312</v>
      </c>
      <c r="BE15" t="s">
        <v>54</v>
      </c>
    </row>
    <row r="16" spans="1:59" ht="270.75" thickBot="1" x14ac:dyDescent="0.3">
      <c r="A16" s="4" t="s">
        <v>128</v>
      </c>
      <c r="B16" s="4">
        <v>1101</v>
      </c>
      <c r="C16" s="5">
        <v>2</v>
      </c>
      <c r="D16" s="4" t="s">
        <v>44</v>
      </c>
      <c r="E16" s="6">
        <v>46265.159089652778</v>
      </c>
      <c r="F16" s="4" t="s">
        <v>129</v>
      </c>
      <c r="G16" s="4" t="s">
        <v>46</v>
      </c>
      <c r="H16" s="4">
        <v>53</v>
      </c>
      <c r="I16" s="4" t="s">
        <v>47</v>
      </c>
      <c r="J16" s="4">
        <v>5309</v>
      </c>
      <c r="K16" s="4" t="s">
        <v>48</v>
      </c>
      <c r="L16" s="4">
        <v>5309073</v>
      </c>
      <c r="M16" s="4">
        <v>5309073006</v>
      </c>
      <c r="N16" s="4" t="s">
        <v>49</v>
      </c>
      <c r="O16" s="4">
        <v>46313</v>
      </c>
      <c r="P16" s="4" t="s">
        <v>130</v>
      </c>
      <c r="Q16" s="5">
        <v>1</v>
      </c>
      <c r="R16" s="5">
        <v>0</v>
      </c>
      <c r="S16" s="5">
        <v>0</v>
      </c>
      <c r="T16" s="5">
        <v>28650000</v>
      </c>
      <c r="U16" s="5">
        <v>4800000</v>
      </c>
      <c r="V16" s="5">
        <v>0</v>
      </c>
      <c r="W16" s="5">
        <v>33450000</v>
      </c>
      <c r="X16" s="5">
        <v>33600000</v>
      </c>
      <c r="Y16" s="5">
        <v>0</v>
      </c>
      <c r="Z16" s="5">
        <f t="shared" si="0"/>
        <v>150000</v>
      </c>
      <c r="AA16" s="5">
        <v>250000</v>
      </c>
      <c r="AB16" s="5">
        <f t="shared" si="1"/>
        <v>4950000</v>
      </c>
      <c r="AC16" s="5" t="s">
        <v>131</v>
      </c>
      <c r="AD16" s="4" t="s">
        <v>51</v>
      </c>
      <c r="AE16" s="5">
        <f t="shared" si="2"/>
        <v>3.0303030303030304E-2</v>
      </c>
      <c r="AF16" s="5">
        <v>4950000</v>
      </c>
      <c r="AG16" s="5">
        <v>1</v>
      </c>
      <c r="AH16" s="5">
        <v>1</v>
      </c>
      <c r="AI16" s="5">
        <v>1</v>
      </c>
      <c r="AJ16" s="7" t="s">
        <v>132</v>
      </c>
      <c r="AK16" s="5">
        <v>0</v>
      </c>
      <c r="AL16" s="5">
        <v>0</v>
      </c>
      <c r="AM16" s="4">
        <v>2021</v>
      </c>
      <c r="AN16" s="5">
        <v>0</v>
      </c>
      <c r="AO16" s="5">
        <v>1</v>
      </c>
      <c r="AP16" s="8"/>
      <c r="AQ16" s="8"/>
      <c r="AR16" s="8">
        <f t="shared" si="3"/>
        <v>0</v>
      </c>
      <c r="AS16" s="8">
        <f t="shared" si="4"/>
        <v>4800000</v>
      </c>
      <c r="AT16" s="8">
        <f t="shared" si="5"/>
        <v>150000</v>
      </c>
      <c r="AU16" s="8">
        <f t="shared" si="6"/>
        <v>4800000</v>
      </c>
      <c r="AV16" s="4" t="s">
        <v>130</v>
      </c>
      <c r="AW16" s="7" t="s">
        <v>132</v>
      </c>
      <c r="AX16" s="5">
        <v>28650000</v>
      </c>
      <c r="AY16">
        <f t="shared" si="7"/>
        <v>0</v>
      </c>
      <c r="AZ16">
        <f t="shared" si="8"/>
        <v>4800000</v>
      </c>
      <c r="BA16" s="5">
        <v>33600000</v>
      </c>
      <c r="BB16" s="5">
        <v>0</v>
      </c>
      <c r="BC16" s="4" t="s">
        <v>49</v>
      </c>
      <c r="BD16" s="4">
        <v>46313</v>
      </c>
      <c r="BE16" t="s">
        <v>54</v>
      </c>
    </row>
    <row r="17" spans="1:57" ht="270.75" thickBot="1" x14ac:dyDescent="0.3">
      <c r="A17" s="4" t="s">
        <v>133</v>
      </c>
      <c r="B17" s="4">
        <v>1002</v>
      </c>
      <c r="C17" s="5">
        <v>2</v>
      </c>
      <c r="D17" s="4" t="s">
        <v>44</v>
      </c>
      <c r="E17" s="6">
        <v>46277.092280335652</v>
      </c>
      <c r="F17" s="4" t="s">
        <v>134</v>
      </c>
      <c r="G17" s="4" t="s">
        <v>46</v>
      </c>
      <c r="H17" s="4">
        <v>53</v>
      </c>
      <c r="I17" s="4" t="s">
        <v>47</v>
      </c>
      <c r="J17" s="4">
        <v>5309</v>
      </c>
      <c r="K17" s="4" t="s">
        <v>48</v>
      </c>
      <c r="L17" s="4">
        <v>5309071</v>
      </c>
      <c r="M17" s="4">
        <v>5309071008</v>
      </c>
      <c r="N17" s="4" t="s">
        <v>49</v>
      </c>
      <c r="O17" s="4">
        <v>46313</v>
      </c>
      <c r="P17" s="4" t="s">
        <v>135</v>
      </c>
      <c r="Q17" s="5">
        <v>4</v>
      </c>
      <c r="R17" s="5">
        <v>0</v>
      </c>
      <c r="S17" s="5">
        <v>300000</v>
      </c>
      <c r="T17" s="5">
        <v>12000000</v>
      </c>
      <c r="U17" s="5">
        <v>0</v>
      </c>
      <c r="V17" s="5">
        <v>0</v>
      </c>
      <c r="W17" s="5">
        <v>12300000</v>
      </c>
      <c r="X17" s="5">
        <v>15000000</v>
      </c>
      <c r="Y17" s="5">
        <v>0</v>
      </c>
      <c r="Z17" s="5">
        <f t="shared" si="0"/>
        <v>2700000</v>
      </c>
      <c r="AA17" s="5">
        <v>10000000</v>
      </c>
      <c r="AB17" s="5">
        <f t="shared" si="1"/>
        <v>3000000</v>
      </c>
      <c r="AC17" s="5" t="s">
        <v>52</v>
      </c>
      <c r="AD17" s="4" t="s">
        <v>51</v>
      </c>
      <c r="AE17" s="5">
        <f t="shared" si="2"/>
        <v>0.9</v>
      </c>
      <c r="AF17" s="5">
        <v>750000</v>
      </c>
      <c r="AG17" s="5">
        <v>0</v>
      </c>
      <c r="AH17" s="5">
        <v>1</v>
      </c>
      <c r="AI17" s="5">
        <v>1</v>
      </c>
      <c r="AJ17" s="7" t="s">
        <v>136</v>
      </c>
      <c r="AK17" s="5">
        <v>0</v>
      </c>
      <c r="AL17" s="5">
        <v>0</v>
      </c>
      <c r="AM17" s="4">
        <v>2018</v>
      </c>
      <c r="AN17" s="5">
        <v>0</v>
      </c>
      <c r="AO17" s="5">
        <v>4</v>
      </c>
      <c r="AP17" s="8"/>
      <c r="AQ17" s="8"/>
      <c r="AR17" s="8">
        <f t="shared" si="3"/>
        <v>0</v>
      </c>
      <c r="AS17" s="8">
        <f t="shared" si="4"/>
        <v>300000</v>
      </c>
      <c r="AT17" s="8">
        <f t="shared" si="5"/>
        <v>2220000</v>
      </c>
      <c r="AU17" s="8">
        <f t="shared" si="6"/>
        <v>780000</v>
      </c>
      <c r="AV17" s="4" t="s">
        <v>135</v>
      </c>
      <c r="AW17" s="7" t="s">
        <v>136</v>
      </c>
      <c r="AX17" s="5">
        <v>12000000</v>
      </c>
      <c r="AY17">
        <f t="shared" si="7"/>
        <v>780000</v>
      </c>
      <c r="AZ17">
        <f t="shared" si="8"/>
        <v>0</v>
      </c>
      <c r="BA17" s="5">
        <v>15000000</v>
      </c>
      <c r="BB17" s="5">
        <v>0</v>
      </c>
      <c r="BC17" s="4" t="s">
        <v>49</v>
      </c>
      <c r="BD17" s="4">
        <v>46313</v>
      </c>
      <c r="BE17" t="s">
        <v>54</v>
      </c>
    </row>
    <row r="18" spans="1:57" ht="270.75" thickBot="1" x14ac:dyDescent="0.3">
      <c r="A18" s="4" t="s">
        <v>137</v>
      </c>
      <c r="B18" s="4">
        <v>1002</v>
      </c>
      <c r="C18" s="5">
        <v>2</v>
      </c>
      <c r="D18" s="4" t="s">
        <v>44</v>
      </c>
      <c r="E18" s="6">
        <v>46265.198819305559</v>
      </c>
      <c r="F18" s="4" t="s">
        <v>138</v>
      </c>
      <c r="G18" s="4" t="s">
        <v>46</v>
      </c>
      <c r="H18" s="4">
        <v>53</v>
      </c>
      <c r="I18" s="4" t="s">
        <v>47</v>
      </c>
      <c r="J18" s="4">
        <v>5309</v>
      </c>
      <c r="K18" s="4" t="s">
        <v>48</v>
      </c>
      <c r="L18" s="4">
        <v>5309070</v>
      </c>
      <c r="M18" s="4">
        <v>5309070010</v>
      </c>
      <c r="N18" s="4" t="s">
        <v>49</v>
      </c>
      <c r="O18" s="4">
        <v>46313</v>
      </c>
      <c r="P18" s="4" t="s">
        <v>139</v>
      </c>
      <c r="Q18" s="5">
        <v>2</v>
      </c>
      <c r="R18" s="5">
        <v>0</v>
      </c>
      <c r="S18" s="5">
        <v>3456000</v>
      </c>
      <c r="T18" s="5">
        <v>38400000</v>
      </c>
      <c r="U18" s="5">
        <v>4320000</v>
      </c>
      <c r="V18" s="5">
        <v>0</v>
      </c>
      <c r="W18" s="5">
        <v>46176000</v>
      </c>
      <c r="X18" s="5">
        <v>57600000</v>
      </c>
      <c r="Y18" s="5">
        <v>0</v>
      </c>
      <c r="Z18" s="5">
        <f t="shared" si="0"/>
        <v>11424000</v>
      </c>
      <c r="AA18" s="5">
        <v>500000</v>
      </c>
      <c r="AB18" s="5">
        <f t="shared" si="1"/>
        <v>19200000</v>
      </c>
      <c r="AC18" s="5" t="s">
        <v>102</v>
      </c>
      <c r="AD18" s="4" t="s">
        <v>51</v>
      </c>
      <c r="AE18" s="5">
        <f t="shared" si="2"/>
        <v>0.59499999999999997</v>
      </c>
      <c r="AF18" s="5">
        <v>9600000</v>
      </c>
      <c r="AG18" s="5">
        <v>1</v>
      </c>
      <c r="AH18" s="5">
        <v>1</v>
      </c>
      <c r="AI18" s="5">
        <v>1</v>
      </c>
      <c r="AJ18" s="7" t="s">
        <v>140</v>
      </c>
      <c r="AK18" s="5">
        <v>0</v>
      </c>
      <c r="AL18" s="5">
        <v>0</v>
      </c>
      <c r="AM18" s="4">
        <v>2011</v>
      </c>
      <c r="AN18" s="5">
        <v>0</v>
      </c>
      <c r="AO18" s="5">
        <v>2</v>
      </c>
      <c r="AP18" s="8"/>
      <c r="AQ18" s="8"/>
      <c r="AR18" s="8">
        <f t="shared" si="3"/>
        <v>0</v>
      </c>
      <c r="AS18" s="8">
        <f t="shared" si="4"/>
        <v>7776000</v>
      </c>
      <c r="AT18" s="8">
        <f t="shared" si="5"/>
        <v>11424000</v>
      </c>
      <c r="AU18" s="8">
        <f t="shared" si="6"/>
        <v>7776000</v>
      </c>
      <c r="AV18" s="4" t="s">
        <v>139</v>
      </c>
      <c r="AW18" s="7" t="s">
        <v>140</v>
      </c>
      <c r="AX18" s="5">
        <v>38400000</v>
      </c>
      <c r="AY18">
        <f t="shared" si="7"/>
        <v>3456000</v>
      </c>
      <c r="AZ18">
        <f t="shared" si="8"/>
        <v>4320000</v>
      </c>
      <c r="BA18" s="5">
        <v>57600000</v>
      </c>
      <c r="BB18" s="5">
        <v>0</v>
      </c>
      <c r="BC18" s="4" t="s">
        <v>49</v>
      </c>
      <c r="BD18" s="4">
        <v>46313</v>
      </c>
      <c r="BE18" t="s">
        <v>54</v>
      </c>
    </row>
    <row r="19" spans="1:57" ht="270.75" thickBot="1" x14ac:dyDescent="0.3">
      <c r="A19" s="4" t="s">
        <v>141</v>
      </c>
      <c r="B19" s="4">
        <v>2001</v>
      </c>
      <c r="C19" s="5">
        <v>2</v>
      </c>
      <c r="D19" s="4" t="s">
        <v>44</v>
      </c>
      <c r="E19" s="6">
        <v>46293.073889710649</v>
      </c>
      <c r="F19" s="4" t="s">
        <v>142</v>
      </c>
      <c r="G19" s="4" t="s">
        <v>46</v>
      </c>
      <c r="H19" s="4">
        <v>53</v>
      </c>
      <c r="I19" s="4" t="s">
        <v>47</v>
      </c>
      <c r="J19" s="4">
        <v>5309</v>
      </c>
      <c r="K19" s="4" t="s">
        <v>48</v>
      </c>
      <c r="L19" s="4">
        <v>5309030</v>
      </c>
      <c r="M19" s="4">
        <v>5309030027</v>
      </c>
      <c r="N19" s="4" t="s">
        <v>49</v>
      </c>
      <c r="O19" s="4">
        <v>46313</v>
      </c>
      <c r="P19" s="4" t="s">
        <v>143</v>
      </c>
      <c r="Q19" s="5">
        <v>1</v>
      </c>
      <c r="R19" s="5">
        <v>0</v>
      </c>
      <c r="S19" s="5">
        <v>0</v>
      </c>
      <c r="T19" s="5">
        <v>240000000</v>
      </c>
      <c r="U19" s="5">
        <v>2400000</v>
      </c>
      <c r="V19" s="5">
        <v>13008000</v>
      </c>
      <c r="W19" s="5">
        <v>255408000</v>
      </c>
      <c r="X19" s="5">
        <v>420000000</v>
      </c>
      <c r="Y19" s="5">
        <v>0</v>
      </c>
      <c r="Z19" s="5">
        <f t="shared" si="0"/>
        <v>177600000</v>
      </c>
      <c r="AA19" s="5">
        <v>0</v>
      </c>
      <c r="AB19" s="5">
        <f t="shared" si="1"/>
        <v>180000000</v>
      </c>
      <c r="AC19" s="5" t="s">
        <v>144</v>
      </c>
      <c r="AD19" s="4" t="s">
        <v>51</v>
      </c>
      <c r="AE19" s="5">
        <f t="shared" si="2"/>
        <v>0.98666666666666669</v>
      </c>
      <c r="AF19" s="5">
        <v>180000000</v>
      </c>
      <c r="AG19" s="4"/>
      <c r="AH19" s="5">
        <v>1</v>
      </c>
      <c r="AI19" s="5">
        <v>1</v>
      </c>
      <c r="AJ19" s="7" t="s">
        <v>145</v>
      </c>
      <c r="AK19" s="5">
        <v>0</v>
      </c>
      <c r="AL19" s="5">
        <v>0</v>
      </c>
      <c r="AM19" s="4">
        <v>2026</v>
      </c>
      <c r="AN19" s="5">
        <v>0</v>
      </c>
      <c r="AO19" s="5">
        <v>1</v>
      </c>
      <c r="AP19" s="8"/>
      <c r="AQ19" s="8"/>
      <c r="AR19" s="8">
        <f t="shared" si="3"/>
        <v>0</v>
      </c>
      <c r="AS19" s="8">
        <f t="shared" si="4"/>
        <v>2400000</v>
      </c>
      <c r="AT19" s="8">
        <f t="shared" si="5"/>
        <v>133200000</v>
      </c>
      <c r="AU19" s="8">
        <f t="shared" si="6"/>
        <v>46800000</v>
      </c>
      <c r="AV19" s="4" t="s">
        <v>143</v>
      </c>
      <c r="AW19" s="7" t="s">
        <v>145</v>
      </c>
      <c r="AX19" s="5">
        <v>240000000</v>
      </c>
      <c r="AY19">
        <f t="shared" si="7"/>
        <v>0</v>
      </c>
      <c r="AZ19">
        <f t="shared" si="8"/>
        <v>46800000</v>
      </c>
      <c r="BA19" s="5">
        <v>420000000</v>
      </c>
      <c r="BB19" s="5">
        <v>0</v>
      </c>
      <c r="BC19" s="4" t="s">
        <v>49</v>
      </c>
      <c r="BD19" s="4">
        <v>46313</v>
      </c>
      <c r="BE19" t="s">
        <v>54</v>
      </c>
    </row>
    <row r="20" spans="1:57" ht="270.75" thickBot="1" x14ac:dyDescent="0.3">
      <c r="A20" s="4" t="s">
        <v>146</v>
      </c>
      <c r="B20" s="4">
        <v>1001</v>
      </c>
      <c r="C20" s="5">
        <v>2</v>
      </c>
      <c r="D20" s="4" t="s">
        <v>44</v>
      </c>
      <c r="E20" s="6">
        <v>46265.162883541663</v>
      </c>
      <c r="F20" s="4" t="s">
        <v>147</v>
      </c>
      <c r="G20" s="4" t="s">
        <v>46</v>
      </c>
      <c r="H20" s="4">
        <v>53</v>
      </c>
      <c r="I20" s="4" t="s">
        <v>47</v>
      </c>
      <c r="J20" s="4">
        <v>5309</v>
      </c>
      <c r="K20" s="4" t="s">
        <v>48</v>
      </c>
      <c r="L20" s="4">
        <v>5309070</v>
      </c>
      <c r="M20" s="4">
        <v>5309070010</v>
      </c>
      <c r="N20" s="4" t="s">
        <v>49</v>
      </c>
      <c r="O20" s="4">
        <v>46313</v>
      </c>
      <c r="P20" s="4" t="s">
        <v>148</v>
      </c>
      <c r="Q20" s="5">
        <v>2</v>
      </c>
      <c r="R20" s="5">
        <v>0</v>
      </c>
      <c r="S20" s="5">
        <v>550000</v>
      </c>
      <c r="T20" s="5">
        <v>12560000</v>
      </c>
      <c r="U20" s="5">
        <v>960000</v>
      </c>
      <c r="V20" s="5">
        <v>0</v>
      </c>
      <c r="W20" s="5">
        <v>14070000</v>
      </c>
      <c r="X20" s="5">
        <v>20540000</v>
      </c>
      <c r="Y20" s="5">
        <v>0</v>
      </c>
      <c r="Z20" s="5">
        <f t="shared" si="0"/>
        <v>6470000</v>
      </c>
      <c r="AA20" s="5">
        <v>400000</v>
      </c>
      <c r="AB20" s="5">
        <f t="shared" si="1"/>
        <v>7980000</v>
      </c>
      <c r="AC20" s="5" t="s">
        <v>149</v>
      </c>
      <c r="AD20" s="4" t="s">
        <v>51</v>
      </c>
      <c r="AE20" s="5">
        <f t="shared" si="2"/>
        <v>0.81077694235588971</v>
      </c>
      <c r="AF20" s="5">
        <v>3990000</v>
      </c>
      <c r="AG20" s="5">
        <v>1</v>
      </c>
      <c r="AH20" s="5">
        <v>1</v>
      </c>
      <c r="AI20" s="5">
        <v>1</v>
      </c>
      <c r="AJ20" s="7" t="s">
        <v>150</v>
      </c>
      <c r="AK20" s="5">
        <v>0</v>
      </c>
      <c r="AL20" s="5">
        <v>0</v>
      </c>
      <c r="AM20" s="4">
        <v>2023</v>
      </c>
      <c r="AN20" s="5">
        <v>0</v>
      </c>
      <c r="AO20" s="5">
        <v>2</v>
      </c>
      <c r="AP20" s="8"/>
      <c r="AQ20" s="8"/>
      <c r="AR20" s="8">
        <f t="shared" si="3"/>
        <v>0</v>
      </c>
      <c r="AS20" s="8">
        <f t="shared" si="4"/>
        <v>1510000</v>
      </c>
      <c r="AT20" s="8">
        <f t="shared" si="5"/>
        <v>5905200</v>
      </c>
      <c r="AU20" s="8">
        <f t="shared" si="6"/>
        <v>2074800</v>
      </c>
      <c r="AV20" s="4" t="s">
        <v>148</v>
      </c>
      <c r="AW20" s="7" t="s">
        <v>150</v>
      </c>
      <c r="AX20" s="5">
        <v>12560000</v>
      </c>
      <c r="AY20">
        <f t="shared" si="7"/>
        <v>755721.85430463566</v>
      </c>
      <c r="AZ20">
        <f t="shared" si="8"/>
        <v>1319078.1456953643</v>
      </c>
      <c r="BA20" s="5">
        <v>20540000</v>
      </c>
      <c r="BB20" s="5">
        <v>0</v>
      </c>
      <c r="BC20" s="4" t="s">
        <v>49</v>
      </c>
      <c r="BD20" s="4">
        <v>46313</v>
      </c>
      <c r="BE20" t="s">
        <v>54</v>
      </c>
    </row>
    <row r="21" spans="1:57" ht="270.75" thickBot="1" x14ac:dyDescent="0.3">
      <c r="A21" s="4" t="s">
        <v>151</v>
      </c>
      <c r="B21" s="4">
        <v>1003</v>
      </c>
      <c r="C21" s="5">
        <v>2</v>
      </c>
      <c r="D21" s="4" t="s">
        <v>44</v>
      </c>
      <c r="E21" s="6">
        <v>46217.170033981478</v>
      </c>
      <c r="F21" s="4" t="s">
        <v>152</v>
      </c>
      <c r="G21" s="4" t="s">
        <v>46</v>
      </c>
      <c r="H21" s="4">
        <v>53</v>
      </c>
      <c r="I21" s="4" t="s">
        <v>47</v>
      </c>
      <c r="J21" s="4">
        <v>5309</v>
      </c>
      <c r="K21" s="4" t="s">
        <v>48</v>
      </c>
      <c r="L21" s="4">
        <v>5309061</v>
      </c>
      <c r="M21" s="4">
        <v>5309061006</v>
      </c>
      <c r="N21" s="4" t="s">
        <v>49</v>
      </c>
      <c r="O21" s="4">
        <v>46313</v>
      </c>
      <c r="P21" s="4" t="s">
        <v>153</v>
      </c>
      <c r="Q21" s="5">
        <v>1</v>
      </c>
      <c r="R21" s="5">
        <v>0</v>
      </c>
      <c r="S21" s="5">
        <v>0</v>
      </c>
      <c r="T21" s="5">
        <v>1000000</v>
      </c>
      <c r="U21" s="5">
        <v>500000</v>
      </c>
      <c r="V21" s="5">
        <v>0</v>
      </c>
      <c r="W21" s="5">
        <v>1500000</v>
      </c>
      <c r="X21" s="5">
        <v>22200000</v>
      </c>
      <c r="Y21" s="5">
        <v>0</v>
      </c>
      <c r="Z21" s="5">
        <f t="shared" si="0"/>
        <v>20700000</v>
      </c>
      <c r="AA21" s="5">
        <v>0</v>
      </c>
      <c r="AB21" s="5">
        <f t="shared" si="1"/>
        <v>21200000</v>
      </c>
      <c r="AC21" s="5" t="s">
        <v>154</v>
      </c>
      <c r="AD21" s="4" t="s">
        <v>51</v>
      </c>
      <c r="AE21" s="5">
        <f t="shared" si="2"/>
        <v>0.97641509433962259</v>
      </c>
      <c r="AF21" s="5">
        <v>21200000</v>
      </c>
      <c r="AG21" s="4"/>
      <c r="AH21" s="5">
        <v>1</v>
      </c>
      <c r="AI21" s="5">
        <v>1</v>
      </c>
      <c r="AJ21" s="7" t="s">
        <v>155</v>
      </c>
      <c r="AK21" s="5">
        <v>0</v>
      </c>
      <c r="AL21" s="5">
        <v>0</v>
      </c>
      <c r="AM21" s="4">
        <v>2020</v>
      </c>
      <c r="AN21" s="5">
        <v>0</v>
      </c>
      <c r="AO21" s="5">
        <v>1</v>
      </c>
      <c r="AP21" s="8"/>
      <c r="AQ21" s="8"/>
      <c r="AR21" s="8">
        <f t="shared" si="3"/>
        <v>0</v>
      </c>
      <c r="AS21" s="8">
        <f t="shared" si="4"/>
        <v>500000</v>
      </c>
      <c r="AT21" s="8">
        <f t="shared" si="5"/>
        <v>15688000</v>
      </c>
      <c r="AU21" s="8">
        <f t="shared" si="6"/>
        <v>5512000</v>
      </c>
      <c r="AV21" s="4" t="s">
        <v>153</v>
      </c>
      <c r="AW21" s="7" t="s">
        <v>155</v>
      </c>
      <c r="AX21" s="5">
        <v>1000000</v>
      </c>
      <c r="AY21">
        <f t="shared" si="7"/>
        <v>0</v>
      </c>
      <c r="AZ21">
        <f t="shared" si="8"/>
        <v>5512000</v>
      </c>
      <c r="BA21" s="5">
        <v>22200000</v>
      </c>
      <c r="BB21" s="5">
        <v>0</v>
      </c>
      <c r="BC21" s="4" t="s">
        <v>49</v>
      </c>
      <c r="BD21" s="4">
        <v>46313</v>
      </c>
      <c r="BE21" t="s">
        <v>54</v>
      </c>
    </row>
    <row r="22" spans="1:57" ht="270.75" thickBot="1" x14ac:dyDescent="0.3">
      <c r="A22" s="4" t="s">
        <v>156</v>
      </c>
      <c r="B22" s="4">
        <v>1002</v>
      </c>
      <c r="C22" s="5">
        <v>2</v>
      </c>
      <c r="D22" s="4" t="s">
        <v>44</v>
      </c>
      <c r="E22" s="6">
        <v>46278.434659687497</v>
      </c>
      <c r="F22" s="4" t="s">
        <v>157</v>
      </c>
      <c r="G22" s="4" t="s">
        <v>46</v>
      </c>
      <c r="H22" s="4">
        <v>53</v>
      </c>
      <c r="I22" s="4" t="s">
        <v>47</v>
      </c>
      <c r="J22" s="4">
        <v>5309</v>
      </c>
      <c r="K22" s="4" t="s">
        <v>48</v>
      </c>
      <c r="L22" s="4">
        <v>5309030</v>
      </c>
      <c r="M22" s="4">
        <v>5309030012</v>
      </c>
      <c r="N22" s="4" t="s">
        <v>49</v>
      </c>
      <c r="O22" s="4">
        <v>46313</v>
      </c>
      <c r="P22" s="4" t="s">
        <v>158</v>
      </c>
      <c r="Q22" s="5">
        <v>1</v>
      </c>
      <c r="R22" s="5">
        <v>0</v>
      </c>
      <c r="S22" s="5">
        <v>500000</v>
      </c>
      <c r="T22" s="5">
        <v>0</v>
      </c>
      <c r="U22" s="5">
        <v>100000</v>
      </c>
      <c r="V22" s="5">
        <v>0</v>
      </c>
      <c r="W22" s="5">
        <v>600000</v>
      </c>
      <c r="X22" s="5">
        <v>1500000</v>
      </c>
      <c r="Y22" s="5">
        <v>0</v>
      </c>
      <c r="Z22" s="5">
        <f t="shared" si="0"/>
        <v>900000</v>
      </c>
      <c r="AA22" s="5">
        <v>1500000</v>
      </c>
      <c r="AB22" s="5">
        <f t="shared" si="1"/>
        <v>1500000</v>
      </c>
      <c r="AC22" s="5">
        <v>0</v>
      </c>
      <c r="AD22" s="4" t="s">
        <v>51</v>
      </c>
      <c r="AE22" s="5">
        <f t="shared" si="2"/>
        <v>0.6</v>
      </c>
      <c r="AF22" s="5">
        <v>1500000</v>
      </c>
      <c r="AG22" s="5">
        <v>1</v>
      </c>
      <c r="AH22" s="5">
        <v>1</v>
      </c>
      <c r="AI22" s="5">
        <v>1</v>
      </c>
      <c r="AJ22" s="7" t="s">
        <v>159</v>
      </c>
      <c r="AK22" s="5">
        <v>0</v>
      </c>
      <c r="AL22" s="5">
        <v>0</v>
      </c>
      <c r="AM22" s="4">
        <v>2000</v>
      </c>
      <c r="AN22" s="5">
        <v>0</v>
      </c>
      <c r="AO22" s="5">
        <v>1</v>
      </c>
      <c r="AP22" s="8"/>
      <c r="AQ22" s="8"/>
      <c r="AR22" s="8">
        <f t="shared" si="3"/>
        <v>0</v>
      </c>
      <c r="AS22" s="8">
        <f t="shared" si="4"/>
        <v>600000</v>
      </c>
      <c r="AT22" s="8">
        <f t="shared" si="5"/>
        <v>900000</v>
      </c>
      <c r="AU22" s="8">
        <f t="shared" si="6"/>
        <v>600000</v>
      </c>
      <c r="AV22" s="4" t="s">
        <v>158</v>
      </c>
      <c r="AW22" s="7" t="s">
        <v>159</v>
      </c>
      <c r="AX22" s="5">
        <v>0</v>
      </c>
      <c r="AY22">
        <f t="shared" si="7"/>
        <v>500000</v>
      </c>
      <c r="AZ22">
        <f t="shared" si="8"/>
        <v>100000</v>
      </c>
      <c r="BA22" s="5">
        <v>1500000</v>
      </c>
      <c r="BB22" s="5">
        <v>0</v>
      </c>
      <c r="BC22" s="4" t="s">
        <v>49</v>
      </c>
      <c r="BD22" s="4">
        <v>46313</v>
      </c>
      <c r="BE22" t="s">
        <v>54</v>
      </c>
    </row>
    <row r="23" spans="1:57" ht="270.75" thickBot="1" x14ac:dyDescent="0.3">
      <c r="A23" s="4" t="s">
        <v>160</v>
      </c>
      <c r="B23" s="4">
        <v>2001</v>
      </c>
      <c r="C23" s="5">
        <v>2</v>
      </c>
      <c r="D23" s="4" t="s">
        <v>44</v>
      </c>
      <c r="E23" s="6">
        <v>46290.922906018517</v>
      </c>
      <c r="F23" s="4" t="s">
        <v>161</v>
      </c>
      <c r="G23" s="4" t="s">
        <v>46</v>
      </c>
      <c r="H23" s="4">
        <v>53</v>
      </c>
      <c r="I23" s="4" t="s">
        <v>47</v>
      </c>
      <c r="J23" s="4">
        <v>5309</v>
      </c>
      <c r="K23" s="4" t="s">
        <v>48</v>
      </c>
      <c r="L23" s="4">
        <v>5309030</v>
      </c>
      <c r="M23" s="4">
        <v>5309030027</v>
      </c>
      <c r="N23" s="4" t="s">
        <v>49</v>
      </c>
      <c r="O23" s="4">
        <v>46313</v>
      </c>
      <c r="P23" s="4" t="s">
        <v>162</v>
      </c>
      <c r="Q23" s="5">
        <v>2</v>
      </c>
      <c r="R23" s="5">
        <v>0</v>
      </c>
      <c r="S23" s="5">
        <v>0</v>
      </c>
      <c r="T23" s="5">
        <v>360000000</v>
      </c>
      <c r="U23" s="5">
        <v>5000000</v>
      </c>
      <c r="V23" s="5">
        <v>30000000</v>
      </c>
      <c r="W23" s="5">
        <v>395000000</v>
      </c>
      <c r="X23" s="5">
        <v>720000000</v>
      </c>
      <c r="Y23" s="5">
        <v>0</v>
      </c>
      <c r="Z23" s="5">
        <f t="shared" si="0"/>
        <v>355000000</v>
      </c>
      <c r="AA23" s="5">
        <v>10000000</v>
      </c>
      <c r="AB23" s="5">
        <f t="shared" si="1"/>
        <v>360000000</v>
      </c>
      <c r="AC23" s="5" t="s">
        <v>93</v>
      </c>
      <c r="AD23" s="4" t="s">
        <v>51</v>
      </c>
      <c r="AE23" s="5">
        <f t="shared" si="2"/>
        <v>0.98611111111111116</v>
      </c>
      <c r="AF23" s="5">
        <v>180000000</v>
      </c>
      <c r="AG23" s="5">
        <v>1</v>
      </c>
      <c r="AH23" s="5">
        <v>1</v>
      </c>
      <c r="AI23" s="5">
        <v>1</v>
      </c>
      <c r="AJ23" s="7" t="s">
        <v>163</v>
      </c>
      <c r="AK23" s="5">
        <v>0</v>
      </c>
      <c r="AL23" s="5">
        <v>0</v>
      </c>
      <c r="AM23" s="4">
        <v>2021</v>
      </c>
      <c r="AN23" s="5">
        <v>0</v>
      </c>
      <c r="AO23" s="5">
        <v>2</v>
      </c>
      <c r="AP23" s="8"/>
      <c r="AQ23" s="8"/>
      <c r="AR23" s="8">
        <f t="shared" si="3"/>
        <v>0</v>
      </c>
      <c r="AS23" s="8">
        <f t="shared" si="4"/>
        <v>5000000</v>
      </c>
      <c r="AT23" s="8">
        <f t="shared" si="5"/>
        <v>266400000</v>
      </c>
      <c r="AU23" s="8">
        <f t="shared" si="6"/>
        <v>93600000</v>
      </c>
      <c r="AV23" s="4" t="s">
        <v>162</v>
      </c>
      <c r="AW23" s="7" t="s">
        <v>163</v>
      </c>
      <c r="AX23" s="5">
        <v>360000000</v>
      </c>
      <c r="AY23">
        <f t="shared" si="7"/>
        <v>0</v>
      </c>
      <c r="AZ23">
        <f t="shared" si="8"/>
        <v>93600000</v>
      </c>
      <c r="BA23" s="5">
        <v>720000000</v>
      </c>
      <c r="BB23" s="5">
        <v>0</v>
      </c>
      <c r="BC23" s="4" t="s">
        <v>49</v>
      </c>
      <c r="BD23" s="4">
        <v>46313</v>
      </c>
      <c r="BE23" t="s">
        <v>54</v>
      </c>
    </row>
    <row r="24" spans="1:57" ht="270.75" thickBot="1" x14ac:dyDescent="0.3">
      <c r="A24" s="4" t="s">
        <v>164</v>
      </c>
      <c r="B24" s="4">
        <v>1001</v>
      </c>
      <c r="C24" s="5">
        <v>2</v>
      </c>
      <c r="D24" s="4" t="s">
        <v>44</v>
      </c>
      <c r="E24" s="6">
        <v>46267.263856018515</v>
      </c>
      <c r="F24" s="4" t="s">
        <v>165</v>
      </c>
      <c r="G24" s="4" t="s">
        <v>46</v>
      </c>
      <c r="H24" s="4">
        <v>53</v>
      </c>
      <c r="I24" s="4" t="s">
        <v>47</v>
      </c>
      <c r="J24" s="4">
        <v>5309</v>
      </c>
      <c r="K24" s="4" t="s">
        <v>48</v>
      </c>
      <c r="L24" s="4">
        <v>5309074</v>
      </c>
      <c r="M24" s="4">
        <v>5309074004</v>
      </c>
      <c r="N24" s="4" t="s">
        <v>49</v>
      </c>
      <c r="O24" s="4">
        <v>46313</v>
      </c>
      <c r="P24" s="4" t="s">
        <v>166</v>
      </c>
      <c r="Q24" s="5">
        <v>1</v>
      </c>
      <c r="R24" s="5">
        <v>0</v>
      </c>
      <c r="S24" s="5">
        <v>1000000</v>
      </c>
      <c r="T24" s="5">
        <v>12000000</v>
      </c>
      <c r="U24" s="5">
        <v>200000</v>
      </c>
      <c r="V24" s="5">
        <v>0</v>
      </c>
      <c r="W24" s="5">
        <v>13200000</v>
      </c>
      <c r="X24" s="5">
        <v>30000000</v>
      </c>
      <c r="Y24" s="5">
        <v>0</v>
      </c>
      <c r="Z24" s="5">
        <f t="shared" si="0"/>
        <v>16800000</v>
      </c>
      <c r="AA24" s="5">
        <v>4000000</v>
      </c>
      <c r="AB24" s="5">
        <f t="shared" si="1"/>
        <v>18000000</v>
      </c>
      <c r="AC24" s="5" t="s">
        <v>167</v>
      </c>
      <c r="AD24" s="4" t="s">
        <v>51</v>
      </c>
      <c r="AE24" s="5">
        <f t="shared" si="2"/>
        <v>0.93333333333333335</v>
      </c>
      <c r="AF24" s="5">
        <v>18000000</v>
      </c>
      <c r="AG24" s="5">
        <v>1</v>
      </c>
      <c r="AH24" s="5">
        <v>1</v>
      </c>
      <c r="AI24" s="5">
        <v>1</v>
      </c>
      <c r="AJ24" s="7" t="s">
        <v>168</v>
      </c>
      <c r="AK24" s="5">
        <v>0</v>
      </c>
      <c r="AL24" s="5">
        <v>0</v>
      </c>
      <c r="AM24" s="4">
        <v>2000</v>
      </c>
      <c r="AN24" s="5">
        <v>0</v>
      </c>
      <c r="AO24" s="5">
        <v>1</v>
      </c>
      <c r="AP24" s="8"/>
      <c r="AQ24" s="8"/>
      <c r="AR24" s="8">
        <f t="shared" si="3"/>
        <v>0</v>
      </c>
      <c r="AS24" s="8">
        <f t="shared" si="4"/>
        <v>1200000</v>
      </c>
      <c r="AT24" s="8">
        <f t="shared" si="5"/>
        <v>13320000</v>
      </c>
      <c r="AU24" s="8">
        <f t="shared" si="6"/>
        <v>4680000</v>
      </c>
      <c r="AV24" s="4" t="s">
        <v>166</v>
      </c>
      <c r="AW24" s="7" t="s">
        <v>168</v>
      </c>
      <c r="AX24" s="5">
        <v>12000000</v>
      </c>
      <c r="AY24">
        <f t="shared" si="7"/>
        <v>3900000</v>
      </c>
      <c r="AZ24">
        <f t="shared" si="8"/>
        <v>780000</v>
      </c>
      <c r="BA24" s="5">
        <v>30000000</v>
      </c>
      <c r="BB24" s="5">
        <v>0</v>
      </c>
      <c r="BC24" s="4" t="s">
        <v>49</v>
      </c>
      <c r="BD24" s="4">
        <v>46313</v>
      </c>
      <c r="BE24" t="s">
        <v>54</v>
      </c>
    </row>
    <row r="25" spans="1:57" ht="270.75" thickBot="1" x14ac:dyDescent="0.3">
      <c r="A25" s="4" t="s">
        <v>169</v>
      </c>
      <c r="B25" s="4">
        <v>3001</v>
      </c>
      <c r="C25" s="5">
        <v>2</v>
      </c>
      <c r="D25" s="4" t="s">
        <v>44</v>
      </c>
      <c r="E25" s="6">
        <v>46263.94915216435</v>
      </c>
      <c r="F25" s="4" t="s">
        <v>170</v>
      </c>
      <c r="G25" s="4" t="s">
        <v>46</v>
      </c>
      <c r="H25" s="4">
        <v>53</v>
      </c>
      <c r="I25" s="4" t="s">
        <v>47</v>
      </c>
      <c r="J25" s="4">
        <v>5309</v>
      </c>
      <c r="K25" s="4" t="s">
        <v>48</v>
      </c>
      <c r="L25" s="4">
        <v>5309074</v>
      </c>
      <c r="M25" s="4">
        <v>5309074006</v>
      </c>
      <c r="N25" s="4" t="s">
        <v>49</v>
      </c>
      <c r="O25" s="4">
        <v>46313</v>
      </c>
      <c r="P25" s="4" t="s">
        <v>171</v>
      </c>
      <c r="Q25" s="5">
        <v>1</v>
      </c>
      <c r="R25" s="5">
        <v>0</v>
      </c>
      <c r="S25" s="5">
        <v>200000</v>
      </c>
      <c r="T25" s="5">
        <v>1000000</v>
      </c>
      <c r="U25" s="5">
        <v>0</v>
      </c>
      <c r="V25" s="5">
        <v>0</v>
      </c>
      <c r="W25" s="5">
        <v>1200000</v>
      </c>
      <c r="X25" s="5">
        <v>3000000</v>
      </c>
      <c r="Y25" s="5">
        <v>0</v>
      </c>
      <c r="Z25" s="5">
        <f t="shared" si="0"/>
        <v>1800000</v>
      </c>
      <c r="AA25" s="5">
        <v>0</v>
      </c>
      <c r="AB25" s="5">
        <f t="shared" si="1"/>
        <v>2000000</v>
      </c>
      <c r="AC25" s="5" t="s">
        <v>172</v>
      </c>
      <c r="AD25" s="4" t="s">
        <v>51</v>
      </c>
      <c r="AE25" s="5">
        <f t="shared" si="2"/>
        <v>0.9</v>
      </c>
      <c r="AF25" s="5">
        <v>2000000</v>
      </c>
      <c r="AG25" s="4"/>
      <c r="AH25" s="5">
        <v>1</v>
      </c>
      <c r="AI25" s="5">
        <v>1</v>
      </c>
      <c r="AJ25" s="7" t="s">
        <v>173</v>
      </c>
      <c r="AK25" s="5">
        <v>0</v>
      </c>
      <c r="AL25" s="5">
        <v>0</v>
      </c>
      <c r="AM25" s="4">
        <v>2025</v>
      </c>
      <c r="AN25" s="5">
        <v>0</v>
      </c>
      <c r="AO25" s="5">
        <v>1</v>
      </c>
      <c r="AP25" s="8"/>
      <c r="AQ25" s="8"/>
      <c r="AR25" s="8">
        <f t="shared" si="3"/>
        <v>0</v>
      </c>
      <c r="AS25" s="8">
        <f t="shared" si="4"/>
        <v>200000</v>
      </c>
      <c r="AT25" s="8">
        <f t="shared" si="5"/>
        <v>1480000</v>
      </c>
      <c r="AU25" s="8">
        <f t="shared" si="6"/>
        <v>520000</v>
      </c>
      <c r="AV25" s="4" t="s">
        <v>171</v>
      </c>
      <c r="AW25" s="7" t="s">
        <v>173</v>
      </c>
      <c r="AX25" s="5">
        <v>1000000</v>
      </c>
      <c r="AY25">
        <f t="shared" si="7"/>
        <v>520000</v>
      </c>
      <c r="AZ25">
        <f t="shared" si="8"/>
        <v>0</v>
      </c>
      <c r="BA25" s="5">
        <v>3000000</v>
      </c>
      <c r="BB25" s="5">
        <v>0</v>
      </c>
      <c r="BC25" s="4" t="s">
        <v>49</v>
      </c>
      <c r="BD25" s="4">
        <v>46313</v>
      </c>
      <c r="BE25" t="s">
        <v>54</v>
      </c>
    </row>
    <row r="26" spans="1:57" ht="255.75" thickBot="1" x14ac:dyDescent="0.3">
      <c r="A26" s="4" t="s">
        <v>174</v>
      </c>
      <c r="B26" s="4">
        <v>1002</v>
      </c>
      <c r="C26" s="5">
        <v>2</v>
      </c>
      <c r="D26" s="4" t="s">
        <v>44</v>
      </c>
      <c r="E26" s="6">
        <v>46241.265752858795</v>
      </c>
      <c r="F26" s="4" t="s">
        <v>175</v>
      </c>
      <c r="G26" s="4" t="s">
        <v>46</v>
      </c>
      <c r="H26" s="4">
        <v>53</v>
      </c>
      <c r="I26" s="4" t="s">
        <v>47</v>
      </c>
      <c r="J26" s="4">
        <v>5309</v>
      </c>
      <c r="K26" s="4" t="s">
        <v>48</v>
      </c>
      <c r="L26" s="4">
        <v>5309040</v>
      </c>
      <c r="M26" s="4">
        <v>5309040010</v>
      </c>
      <c r="N26" s="4" t="s">
        <v>49</v>
      </c>
      <c r="O26" s="4">
        <v>46324</v>
      </c>
      <c r="P26" s="4" t="s">
        <v>176</v>
      </c>
      <c r="Q26" s="5">
        <v>1</v>
      </c>
      <c r="R26" s="5">
        <v>0</v>
      </c>
      <c r="S26" s="5">
        <v>0</v>
      </c>
      <c r="T26" s="5">
        <v>1800000</v>
      </c>
      <c r="U26" s="5">
        <v>200000</v>
      </c>
      <c r="V26" s="5">
        <v>0</v>
      </c>
      <c r="W26" s="5">
        <v>2000000</v>
      </c>
      <c r="X26" s="5">
        <v>5700000</v>
      </c>
      <c r="Y26" s="5">
        <v>0</v>
      </c>
      <c r="Z26" s="5">
        <f t="shared" si="0"/>
        <v>3700000</v>
      </c>
      <c r="AA26" s="5">
        <v>0</v>
      </c>
      <c r="AB26" s="5">
        <f t="shared" si="1"/>
        <v>3900000</v>
      </c>
      <c r="AC26" s="5" t="s">
        <v>177</v>
      </c>
      <c r="AD26" s="4" t="s">
        <v>51</v>
      </c>
      <c r="AE26" s="5">
        <f t="shared" si="2"/>
        <v>0.94871794871794868</v>
      </c>
      <c r="AF26" s="5">
        <v>3900000</v>
      </c>
      <c r="AG26" s="4"/>
      <c r="AH26" s="5">
        <v>1</v>
      </c>
      <c r="AI26" s="5">
        <v>1</v>
      </c>
      <c r="AJ26" s="7" t="s">
        <v>178</v>
      </c>
      <c r="AK26" s="5">
        <v>0</v>
      </c>
      <c r="AL26" s="5">
        <v>0</v>
      </c>
      <c r="AM26" s="4">
        <v>2025</v>
      </c>
      <c r="AN26" s="5">
        <v>0</v>
      </c>
      <c r="AO26" s="5">
        <v>1</v>
      </c>
      <c r="AP26" s="8"/>
      <c r="AQ26" s="8"/>
      <c r="AR26" s="8">
        <f t="shared" si="3"/>
        <v>0</v>
      </c>
      <c r="AS26" s="8">
        <f t="shared" si="4"/>
        <v>200000</v>
      </c>
      <c r="AT26" s="8">
        <f t="shared" si="5"/>
        <v>2886000</v>
      </c>
      <c r="AU26" s="8">
        <f t="shared" si="6"/>
        <v>1014000</v>
      </c>
      <c r="AV26" s="4" t="s">
        <v>176</v>
      </c>
      <c r="AW26" s="7" t="s">
        <v>178</v>
      </c>
      <c r="AX26" s="5">
        <v>1800000</v>
      </c>
      <c r="AY26">
        <f t="shared" si="7"/>
        <v>0</v>
      </c>
      <c r="AZ26">
        <f t="shared" si="8"/>
        <v>1014000</v>
      </c>
      <c r="BA26" s="5">
        <v>5700000</v>
      </c>
      <c r="BB26" s="5">
        <v>0</v>
      </c>
      <c r="BC26" s="4" t="s">
        <v>49</v>
      </c>
      <c r="BD26" s="4">
        <v>46324</v>
      </c>
      <c r="BE26" t="s">
        <v>54</v>
      </c>
    </row>
    <row r="27" spans="1:57" ht="270.75" thickBot="1" x14ac:dyDescent="0.3">
      <c r="A27" s="4" t="s">
        <v>179</v>
      </c>
      <c r="B27" s="4">
        <v>1002</v>
      </c>
      <c r="C27" s="5">
        <v>2</v>
      </c>
      <c r="D27" s="4" t="s">
        <v>44</v>
      </c>
      <c r="E27" s="6">
        <v>46240.01506672454</v>
      </c>
      <c r="F27" s="4" t="s">
        <v>180</v>
      </c>
      <c r="G27" s="4" t="s">
        <v>46</v>
      </c>
      <c r="H27" s="4">
        <v>53</v>
      </c>
      <c r="I27" s="4" t="s">
        <v>47</v>
      </c>
      <c r="J27" s="4">
        <v>5309</v>
      </c>
      <c r="K27" s="4" t="s">
        <v>48</v>
      </c>
      <c r="L27" s="4">
        <v>5309040</v>
      </c>
      <c r="M27" s="4">
        <v>5309040010</v>
      </c>
      <c r="N27" s="4" t="s">
        <v>49</v>
      </c>
      <c r="O27" s="4">
        <v>46324</v>
      </c>
      <c r="P27" s="4" t="s">
        <v>181</v>
      </c>
      <c r="Q27" s="5">
        <v>1</v>
      </c>
      <c r="R27" s="5">
        <v>0</v>
      </c>
      <c r="S27" s="5">
        <v>0</v>
      </c>
      <c r="T27" s="5">
        <v>1500000</v>
      </c>
      <c r="U27" s="5">
        <v>400000</v>
      </c>
      <c r="V27" s="5">
        <v>0</v>
      </c>
      <c r="W27" s="5">
        <v>1900000</v>
      </c>
      <c r="X27" s="5">
        <v>3800000</v>
      </c>
      <c r="Y27" s="5">
        <v>0</v>
      </c>
      <c r="Z27" s="5">
        <f t="shared" si="0"/>
        <v>1900000</v>
      </c>
      <c r="AA27" s="5">
        <v>0</v>
      </c>
      <c r="AB27" s="5">
        <f t="shared" si="1"/>
        <v>2300000</v>
      </c>
      <c r="AC27" s="5" t="s">
        <v>182</v>
      </c>
      <c r="AD27" s="4" t="s">
        <v>51</v>
      </c>
      <c r="AE27" s="5">
        <f t="shared" si="2"/>
        <v>0.82608695652173914</v>
      </c>
      <c r="AF27" s="5">
        <v>2300000</v>
      </c>
      <c r="AG27" s="4"/>
      <c r="AH27" s="5">
        <v>1</v>
      </c>
      <c r="AI27" s="5">
        <v>1</v>
      </c>
      <c r="AJ27" s="7" t="s">
        <v>183</v>
      </c>
      <c r="AK27" s="5">
        <v>0</v>
      </c>
      <c r="AL27" s="5">
        <v>0</v>
      </c>
      <c r="AM27" s="4">
        <v>2025</v>
      </c>
      <c r="AN27" s="5">
        <v>0</v>
      </c>
      <c r="AO27" s="5">
        <v>1</v>
      </c>
      <c r="AP27" s="8"/>
      <c r="AQ27" s="8"/>
      <c r="AR27" s="8">
        <f t="shared" si="3"/>
        <v>0</v>
      </c>
      <c r="AS27" s="8">
        <f t="shared" si="4"/>
        <v>400000</v>
      </c>
      <c r="AT27" s="8">
        <f t="shared" si="5"/>
        <v>1702000</v>
      </c>
      <c r="AU27" s="8">
        <f t="shared" si="6"/>
        <v>598000</v>
      </c>
      <c r="AV27" s="4" t="s">
        <v>181</v>
      </c>
      <c r="AW27" s="7" t="s">
        <v>183</v>
      </c>
      <c r="AX27" s="5">
        <v>1500000</v>
      </c>
      <c r="AY27">
        <f t="shared" si="7"/>
        <v>0</v>
      </c>
      <c r="AZ27">
        <f t="shared" si="8"/>
        <v>598000</v>
      </c>
      <c r="BA27" s="5">
        <v>3800000</v>
      </c>
      <c r="BB27" s="5">
        <v>0</v>
      </c>
      <c r="BC27" s="4" t="s">
        <v>49</v>
      </c>
      <c r="BD27" s="4">
        <v>46324</v>
      </c>
      <c r="BE27" t="s">
        <v>54</v>
      </c>
    </row>
    <row r="28" spans="1:57" ht="270.75" thickBot="1" x14ac:dyDescent="0.3">
      <c r="A28" s="4" t="s">
        <v>184</v>
      </c>
      <c r="B28" s="4">
        <v>2001</v>
      </c>
      <c r="C28" s="5">
        <v>2</v>
      </c>
      <c r="D28" s="4" t="s">
        <v>44</v>
      </c>
      <c r="E28" s="6">
        <v>46256.17614030093</v>
      </c>
      <c r="F28" s="4" t="s">
        <v>185</v>
      </c>
      <c r="G28" s="4" t="s">
        <v>46</v>
      </c>
      <c r="H28" s="4">
        <v>53</v>
      </c>
      <c r="I28" s="4" t="s">
        <v>47</v>
      </c>
      <c r="J28" s="4">
        <v>5309</v>
      </c>
      <c r="K28" s="4" t="s">
        <v>48</v>
      </c>
      <c r="L28" s="4">
        <v>5309050</v>
      </c>
      <c r="M28" s="4">
        <v>5309050012</v>
      </c>
      <c r="N28" s="4" t="s">
        <v>49</v>
      </c>
      <c r="O28" s="4">
        <v>46324</v>
      </c>
      <c r="P28" s="4" t="s">
        <v>186</v>
      </c>
      <c r="Q28" s="5">
        <v>1</v>
      </c>
      <c r="R28" s="5">
        <v>0</v>
      </c>
      <c r="S28" s="5">
        <v>6800000</v>
      </c>
      <c r="T28" s="5">
        <v>170000000</v>
      </c>
      <c r="U28" s="5">
        <v>33600000</v>
      </c>
      <c r="V28" s="5">
        <v>0</v>
      </c>
      <c r="W28" s="5">
        <v>210400000</v>
      </c>
      <c r="X28" s="5">
        <v>270000000</v>
      </c>
      <c r="Y28" s="5">
        <v>0</v>
      </c>
      <c r="Z28" s="5">
        <f t="shared" si="0"/>
        <v>59600000</v>
      </c>
      <c r="AA28" s="5">
        <v>30000000</v>
      </c>
      <c r="AB28" s="5">
        <f t="shared" si="1"/>
        <v>100000000</v>
      </c>
      <c r="AC28" s="5" t="s">
        <v>187</v>
      </c>
      <c r="AD28" s="4" t="s">
        <v>51</v>
      </c>
      <c r="AE28" s="5">
        <f t="shared" si="2"/>
        <v>0.59599999999999997</v>
      </c>
      <c r="AF28" s="5">
        <v>100000000</v>
      </c>
      <c r="AG28" s="5">
        <v>1</v>
      </c>
      <c r="AH28" s="5">
        <v>1</v>
      </c>
      <c r="AI28" s="5">
        <v>1</v>
      </c>
      <c r="AJ28" s="7" t="s">
        <v>188</v>
      </c>
      <c r="AK28" s="5">
        <v>0</v>
      </c>
      <c r="AL28" s="5">
        <v>0</v>
      </c>
      <c r="AM28" s="4">
        <v>1998</v>
      </c>
      <c r="AN28" s="5">
        <v>0</v>
      </c>
      <c r="AO28" s="5">
        <v>1</v>
      </c>
      <c r="AP28" s="8"/>
      <c r="AQ28" s="8"/>
      <c r="AR28" s="8">
        <f t="shared" si="3"/>
        <v>0</v>
      </c>
      <c r="AS28" s="8">
        <f t="shared" si="4"/>
        <v>40400000</v>
      </c>
      <c r="AT28" s="8">
        <f t="shared" si="5"/>
        <v>59600000</v>
      </c>
      <c r="AU28" s="8">
        <f t="shared" si="6"/>
        <v>40400000</v>
      </c>
      <c r="AV28" s="4" t="s">
        <v>186</v>
      </c>
      <c r="AW28" s="7" t="s">
        <v>188</v>
      </c>
      <c r="AX28" s="5">
        <v>170000000</v>
      </c>
      <c r="AY28">
        <f t="shared" si="7"/>
        <v>6800000</v>
      </c>
      <c r="AZ28">
        <f t="shared" si="8"/>
        <v>33600000</v>
      </c>
      <c r="BA28" s="5">
        <v>270000000</v>
      </c>
      <c r="BB28" s="5">
        <v>0</v>
      </c>
      <c r="BC28" s="4" t="s">
        <v>49</v>
      </c>
      <c r="BD28" s="4">
        <v>46324</v>
      </c>
      <c r="BE28" t="s">
        <v>54</v>
      </c>
    </row>
    <row r="29" spans="1:57" ht="270.75" thickBot="1" x14ac:dyDescent="0.3">
      <c r="A29" s="4" t="s">
        <v>189</v>
      </c>
      <c r="B29" s="4">
        <v>1002</v>
      </c>
      <c r="C29" s="5">
        <v>2</v>
      </c>
      <c r="D29" s="4" t="s">
        <v>44</v>
      </c>
      <c r="E29" s="9">
        <v>46241.010613425926</v>
      </c>
      <c r="F29" s="4" t="s">
        <v>190</v>
      </c>
      <c r="G29" s="4" t="s">
        <v>46</v>
      </c>
      <c r="H29" s="4">
        <v>53</v>
      </c>
      <c r="I29" s="4" t="s">
        <v>47</v>
      </c>
      <c r="J29" s="4">
        <v>5309</v>
      </c>
      <c r="K29" s="4" t="s">
        <v>48</v>
      </c>
      <c r="L29" s="4">
        <v>5309040</v>
      </c>
      <c r="M29" s="4">
        <v>5309040010</v>
      </c>
      <c r="N29" s="4" t="s">
        <v>49</v>
      </c>
      <c r="O29" s="4">
        <v>46324</v>
      </c>
      <c r="P29" s="4" t="s">
        <v>191</v>
      </c>
      <c r="Q29" s="5">
        <v>1</v>
      </c>
      <c r="R29" s="5">
        <v>0</v>
      </c>
      <c r="S29" s="5">
        <v>0</v>
      </c>
      <c r="T29" s="5">
        <v>3000000</v>
      </c>
      <c r="U29" s="5">
        <v>500000</v>
      </c>
      <c r="V29" s="5">
        <v>0</v>
      </c>
      <c r="W29" s="5">
        <v>3500000</v>
      </c>
      <c r="X29" s="5">
        <v>6000000</v>
      </c>
      <c r="Y29" s="5">
        <v>0</v>
      </c>
      <c r="Z29" s="5">
        <f t="shared" si="0"/>
        <v>2500000</v>
      </c>
      <c r="AA29" s="5">
        <v>0</v>
      </c>
      <c r="AB29" s="5">
        <f t="shared" si="1"/>
        <v>3000000</v>
      </c>
      <c r="AC29" s="5" t="s">
        <v>93</v>
      </c>
      <c r="AD29" s="4" t="s">
        <v>51</v>
      </c>
      <c r="AE29" s="5">
        <f t="shared" si="2"/>
        <v>0.83333333333333337</v>
      </c>
      <c r="AF29" s="5">
        <v>3000000</v>
      </c>
      <c r="AG29" s="4"/>
      <c r="AH29" s="5">
        <v>1</v>
      </c>
      <c r="AI29" s="5">
        <v>1</v>
      </c>
      <c r="AJ29" s="7" t="s">
        <v>193</v>
      </c>
      <c r="AK29" s="5">
        <v>0</v>
      </c>
      <c r="AL29" s="5">
        <v>0</v>
      </c>
      <c r="AM29" s="4">
        <v>2010</v>
      </c>
      <c r="AN29" s="5">
        <v>0</v>
      </c>
      <c r="AO29" s="5">
        <v>1</v>
      </c>
      <c r="AP29" s="8"/>
      <c r="AQ29" s="8"/>
      <c r="AR29" s="8">
        <f t="shared" si="3"/>
        <v>0</v>
      </c>
      <c r="AS29" s="8">
        <f t="shared" si="4"/>
        <v>500000</v>
      </c>
      <c r="AT29" s="8">
        <f t="shared" si="5"/>
        <v>2220000</v>
      </c>
      <c r="AU29" s="8">
        <f t="shared" si="6"/>
        <v>780000</v>
      </c>
      <c r="AV29" s="4" t="s">
        <v>191</v>
      </c>
      <c r="AW29" s="7" t="s">
        <v>193</v>
      </c>
      <c r="AX29" s="5">
        <v>3000000</v>
      </c>
      <c r="AY29">
        <f t="shared" si="7"/>
        <v>0</v>
      </c>
      <c r="AZ29">
        <f t="shared" si="8"/>
        <v>780000</v>
      </c>
      <c r="BA29" s="5">
        <v>6000000</v>
      </c>
      <c r="BB29" s="5">
        <v>0</v>
      </c>
      <c r="BC29" s="4" t="s">
        <v>49</v>
      </c>
      <c r="BD29" s="4">
        <v>46324</v>
      </c>
      <c r="BE29" t="s">
        <v>54</v>
      </c>
    </row>
    <row r="30" spans="1:57" ht="270.75" thickBot="1" x14ac:dyDescent="0.3">
      <c r="A30" s="4" t="s">
        <v>194</v>
      </c>
      <c r="B30" s="4">
        <v>2001</v>
      </c>
      <c r="C30" s="5">
        <v>2</v>
      </c>
      <c r="D30" s="4" t="s">
        <v>44</v>
      </c>
      <c r="E30" s="6">
        <v>46244.9657046875</v>
      </c>
      <c r="F30" s="4" t="s">
        <v>195</v>
      </c>
      <c r="G30" s="4" t="s">
        <v>46</v>
      </c>
      <c r="H30" s="4">
        <v>53</v>
      </c>
      <c r="I30" s="4" t="s">
        <v>47</v>
      </c>
      <c r="J30" s="4">
        <v>5309</v>
      </c>
      <c r="K30" s="4" t="s">
        <v>48</v>
      </c>
      <c r="L30" s="4">
        <v>5309020</v>
      </c>
      <c r="M30" s="4">
        <v>5309020017</v>
      </c>
      <c r="N30" s="4" t="s">
        <v>49</v>
      </c>
      <c r="O30" s="4">
        <v>46325</v>
      </c>
      <c r="P30" s="4" t="s">
        <v>196</v>
      </c>
      <c r="Q30" s="5">
        <v>2</v>
      </c>
      <c r="R30" s="5">
        <v>0</v>
      </c>
      <c r="S30" s="5">
        <v>2500000</v>
      </c>
      <c r="T30" s="5">
        <v>0</v>
      </c>
      <c r="U30" s="5">
        <v>1000000</v>
      </c>
      <c r="V30" s="5">
        <v>0</v>
      </c>
      <c r="W30" s="5">
        <v>3500000</v>
      </c>
      <c r="X30" s="5">
        <v>9000000</v>
      </c>
      <c r="Y30" s="5">
        <v>0</v>
      </c>
      <c r="Z30" s="5">
        <f t="shared" si="0"/>
        <v>5500000</v>
      </c>
      <c r="AA30" s="5">
        <v>500000</v>
      </c>
      <c r="AB30" s="5">
        <f t="shared" si="1"/>
        <v>9000000</v>
      </c>
      <c r="AC30" s="5">
        <v>0</v>
      </c>
      <c r="AD30" s="4" t="s">
        <v>51</v>
      </c>
      <c r="AE30" s="5">
        <f t="shared" si="2"/>
        <v>0.61111111111111116</v>
      </c>
      <c r="AF30" s="5">
        <v>4500000</v>
      </c>
      <c r="AG30" s="5">
        <v>1</v>
      </c>
      <c r="AH30" s="5">
        <v>1</v>
      </c>
      <c r="AI30" s="5">
        <v>1</v>
      </c>
      <c r="AJ30" s="7" t="s">
        <v>198</v>
      </c>
      <c r="AK30" s="5">
        <v>0</v>
      </c>
      <c r="AL30" s="5">
        <v>0</v>
      </c>
      <c r="AM30" s="4">
        <v>2020</v>
      </c>
      <c r="AN30" s="5">
        <v>0</v>
      </c>
      <c r="AO30" s="5">
        <v>2</v>
      </c>
      <c r="AP30" s="8"/>
      <c r="AQ30" s="8"/>
      <c r="AR30" s="8">
        <f t="shared" si="3"/>
        <v>0</v>
      </c>
      <c r="AS30" s="8">
        <f t="shared" si="4"/>
        <v>3500000</v>
      </c>
      <c r="AT30" s="8">
        <f t="shared" si="5"/>
        <v>5500000</v>
      </c>
      <c r="AU30" s="8">
        <f t="shared" si="6"/>
        <v>3500000</v>
      </c>
      <c r="AV30" s="4" t="s">
        <v>196</v>
      </c>
      <c r="AW30" s="7" t="s">
        <v>198</v>
      </c>
      <c r="AX30" s="5">
        <v>0</v>
      </c>
      <c r="AY30">
        <f t="shared" si="7"/>
        <v>2500000</v>
      </c>
      <c r="AZ30">
        <f t="shared" si="8"/>
        <v>1000000</v>
      </c>
      <c r="BA30" s="5">
        <v>9000000</v>
      </c>
      <c r="BB30" s="5">
        <v>0</v>
      </c>
      <c r="BC30" s="4" t="s">
        <v>49</v>
      </c>
      <c r="BD30" s="4">
        <v>46325</v>
      </c>
      <c r="BE30" t="s">
        <v>54</v>
      </c>
    </row>
    <row r="31" spans="1:57" ht="270.75" thickBot="1" x14ac:dyDescent="0.3">
      <c r="A31" s="4" t="s">
        <v>199</v>
      </c>
      <c r="B31" s="4">
        <v>3001</v>
      </c>
      <c r="C31" s="5">
        <v>2</v>
      </c>
      <c r="D31" s="4" t="s">
        <v>44</v>
      </c>
      <c r="E31" s="6">
        <v>46263.957559212962</v>
      </c>
      <c r="F31" s="4" t="s">
        <v>200</v>
      </c>
      <c r="G31" s="4" t="s">
        <v>46</v>
      </c>
      <c r="H31" s="4">
        <v>53</v>
      </c>
      <c r="I31" s="4" t="s">
        <v>47</v>
      </c>
      <c r="J31" s="4">
        <v>5309</v>
      </c>
      <c r="K31" s="4" t="s">
        <v>48</v>
      </c>
      <c r="L31" s="4">
        <v>5309011</v>
      </c>
      <c r="M31" s="4">
        <v>5309011009</v>
      </c>
      <c r="N31" s="4" t="s">
        <v>49</v>
      </c>
      <c r="O31" s="4">
        <v>46329</v>
      </c>
      <c r="P31" s="4" t="s">
        <v>201</v>
      </c>
      <c r="Q31" s="5">
        <v>15</v>
      </c>
      <c r="R31" s="5">
        <v>1000000</v>
      </c>
      <c r="S31" s="5">
        <v>500000</v>
      </c>
      <c r="T31" s="5">
        <v>500000</v>
      </c>
      <c r="U31" s="5">
        <v>100000</v>
      </c>
      <c r="V31" s="5">
        <v>0</v>
      </c>
      <c r="W31" s="5">
        <v>2100000</v>
      </c>
      <c r="X31" s="5">
        <v>10000000</v>
      </c>
      <c r="Y31" s="5">
        <v>0</v>
      </c>
      <c r="Z31" s="5">
        <f t="shared" si="0"/>
        <v>8900000</v>
      </c>
      <c r="AA31" s="5">
        <v>5000000</v>
      </c>
      <c r="AB31" s="5">
        <f t="shared" si="1"/>
        <v>9500000</v>
      </c>
      <c r="AC31" s="5" t="s">
        <v>202</v>
      </c>
      <c r="AD31" s="4" t="s">
        <v>51</v>
      </c>
      <c r="AE31" s="5">
        <f t="shared" si="2"/>
        <v>0.93684210526315792</v>
      </c>
      <c r="AF31" s="10">
        <v>6333333333</v>
      </c>
      <c r="AG31" s="5">
        <v>1</v>
      </c>
      <c r="AH31" s="5">
        <v>1</v>
      </c>
      <c r="AI31" s="5">
        <v>1</v>
      </c>
      <c r="AJ31" s="7" t="s">
        <v>203</v>
      </c>
      <c r="AK31" s="5">
        <v>0</v>
      </c>
      <c r="AL31" s="5">
        <v>0</v>
      </c>
      <c r="AM31" s="4">
        <v>2014</v>
      </c>
      <c r="AN31" s="5">
        <v>15</v>
      </c>
      <c r="AO31" s="5">
        <v>0</v>
      </c>
      <c r="AP31" s="8"/>
      <c r="AQ31" s="8"/>
      <c r="AR31" s="8">
        <f t="shared" si="3"/>
        <v>0</v>
      </c>
      <c r="AS31" s="8">
        <f t="shared" si="4"/>
        <v>600000</v>
      </c>
      <c r="AT31" s="8">
        <f t="shared" si="5"/>
        <v>7030000</v>
      </c>
      <c r="AU31" s="8">
        <f t="shared" si="6"/>
        <v>2470000</v>
      </c>
      <c r="AV31" s="4" t="s">
        <v>201</v>
      </c>
      <c r="AW31" s="7" t="s">
        <v>203</v>
      </c>
      <c r="AX31" s="5">
        <v>500000</v>
      </c>
      <c r="AY31">
        <f t="shared" si="7"/>
        <v>2058333.3333333333</v>
      </c>
      <c r="AZ31">
        <f t="shared" si="8"/>
        <v>411666.66666666669</v>
      </c>
      <c r="BA31" s="5">
        <v>10000000</v>
      </c>
      <c r="BB31" s="5">
        <v>0</v>
      </c>
      <c r="BC31" s="4" t="s">
        <v>49</v>
      </c>
      <c r="BD31" s="4">
        <v>46329</v>
      </c>
      <c r="BE31" t="s">
        <v>54</v>
      </c>
    </row>
    <row r="32" spans="1:57" ht="270.75" thickBot="1" x14ac:dyDescent="0.3">
      <c r="A32" s="4" t="s">
        <v>204</v>
      </c>
      <c r="B32" s="4">
        <v>3002</v>
      </c>
      <c r="C32" s="5">
        <v>2</v>
      </c>
      <c r="D32" s="4" t="s">
        <v>44</v>
      </c>
      <c r="E32" s="6">
        <v>46218.011628460648</v>
      </c>
      <c r="F32" s="4" t="s">
        <v>205</v>
      </c>
      <c r="G32" s="4" t="s">
        <v>46</v>
      </c>
      <c r="H32" s="4">
        <v>53</v>
      </c>
      <c r="I32" s="4" t="s">
        <v>47</v>
      </c>
      <c r="J32" s="4">
        <v>5309</v>
      </c>
      <c r="K32" s="4" t="s">
        <v>48</v>
      </c>
      <c r="L32" s="4">
        <v>5309061</v>
      </c>
      <c r="M32" s="4">
        <v>5309061006</v>
      </c>
      <c r="N32" s="4" t="s">
        <v>49</v>
      </c>
      <c r="O32" s="4">
        <v>46329</v>
      </c>
      <c r="P32" s="4" t="s">
        <v>206</v>
      </c>
      <c r="Q32" s="5">
        <v>1</v>
      </c>
      <c r="R32" s="5">
        <v>0</v>
      </c>
      <c r="S32" s="5">
        <v>1000000</v>
      </c>
      <c r="T32" s="5">
        <v>0</v>
      </c>
      <c r="U32" s="5">
        <v>100000</v>
      </c>
      <c r="V32" s="5">
        <v>115000</v>
      </c>
      <c r="W32" s="5">
        <v>1215000</v>
      </c>
      <c r="X32" s="5">
        <v>12000000</v>
      </c>
      <c r="Y32" s="5">
        <v>0</v>
      </c>
      <c r="Z32" s="5">
        <f t="shared" si="0"/>
        <v>10900000</v>
      </c>
      <c r="AA32" s="5">
        <v>0</v>
      </c>
      <c r="AB32" s="5">
        <f t="shared" si="1"/>
        <v>12000000</v>
      </c>
      <c r="AC32" s="5">
        <v>0</v>
      </c>
      <c r="AD32" s="4" t="s">
        <v>51</v>
      </c>
      <c r="AE32" s="5">
        <f t="shared" si="2"/>
        <v>0.90833333333333333</v>
      </c>
      <c r="AF32" s="5">
        <v>12000000</v>
      </c>
      <c r="AG32" s="4"/>
      <c r="AH32" s="5">
        <v>1</v>
      </c>
      <c r="AI32" s="5">
        <v>1</v>
      </c>
      <c r="AJ32" s="7" t="s">
        <v>207</v>
      </c>
      <c r="AK32" s="5">
        <v>0</v>
      </c>
      <c r="AL32" s="5">
        <v>0</v>
      </c>
      <c r="AM32" s="4">
        <v>2015</v>
      </c>
      <c r="AN32" s="5">
        <v>0</v>
      </c>
      <c r="AO32" s="5">
        <v>1</v>
      </c>
      <c r="AP32" s="8"/>
      <c r="AQ32" s="8"/>
      <c r="AR32" s="8">
        <f t="shared" si="3"/>
        <v>0</v>
      </c>
      <c r="AS32" s="8">
        <f t="shared" si="4"/>
        <v>1100000</v>
      </c>
      <c r="AT32" s="8">
        <f t="shared" si="5"/>
        <v>8880000</v>
      </c>
      <c r="AU32" s="8">
        <f t="shared" si="6"/>
        <v>3120000</v>
      </c>
      <c r="AV32" s="4" t="s">
        <v>206</v>
      </c>
      <c r="AW32" s="7" t="s">
        <v>207</v>
      </c>
      <c r="AX32" s="5">
        <v>0</v>
      </c>
      <c r="AY32">
        <f t="shared" si="7"/>
        <v>2836363.6363636362</v>
      </c>
      <c r="AZ32">
        <f t="shared" si="8"/>
        <v>283636.36363636365</v>
      </c>
      <c r="BA32" s="5">
        <v>12000000</v>
      </c>
      <c r="BB32" s="5">
        <v>0</v>
      </c>
      <c r="BC32" s="4" t="s">
        <v>49</v>
      </c>
      <c r="BD32" s="4">
        <v>46329</v>
      </c>
      <c r="BE32" t="s">
        <v>54</v>
      </c>
    </row>
    <row r="33" spans="1:57" ht="270.75" thickBot="1" x14ac:dyDescent="0.3">
      <c r="A33" s="4" t="s">
        <v>208</v>
      </c>
      <c r="B33" s="4">
        <v>1002</v>
      </c>
      <c r="C33" s="5">
        <v>2</v>
      </c>
      <c r="D33" s="4" t="s">
        <v>44</v>
      </c>
      <c r="E33" s="6">
        <v>46265.155254097219</v>
      </c>
      <c r="F33" s="4" t="s">
        <v>209</v>
      </c>
      <c r="G33" s="4" t="s">
        <v>46</v>
      </c>
      <c r="H33" s="4">
        <v>53</v>
      </c>
      <c r="I33" s="4" t="s">
        <v>47</v>
      </c>
      <c r="J33" s="4">
        <v>5309</v>
      </c>
      <c r="K33" s="4" t="s">
        <v>48</v>
      </c>
      <c r="L33" s="4">
        <v>5309011</v>
      </c>
      <c r="M33" s="4">
        <v>5309011009</v>
      </c>
      <c r="N33" s="4" t="s">
        <v>49</v>
      </c>
      <c r="O33" s="4">
        <v>46329</v>
      </c>
      <c r="P33" s="4" t="s">
        <v>210</v>
      </c>
      <c r="Q33" s="5">
        <v>1</v>
      </c>
      <c r="R33" s="5">
        <v>0</v>
      </c>
      <c r="S33" s="5">
        <v>0</v>
      </c>
      <c r="T33" s="5">
        <v>0</v>
      </c>
      <c r="U33" s="5">
        <v>100000</v>
      </c>
      <c r="V33" s="5">
        <v>100000</v>
      </c>
      <c r="W33" s="5">
        <v>200000</v>
      </c>
      <c r="X33" s="5">
        <v>800000</v>
      </c>
      <c r="Y33" s="5">
        <v>0</v>
      </c>
      <c r="Z33" s="5">
        <f t="shared" si="0"/>
        <v>700000</v>
      </c>
      <c r="AA33" s="5">
        <v>200000</v>
      </c>
      <c r="AB33" s="5">
        <f t="shared" si="1"/>
        <v>800000</v>
      </c>
      <c r="AC33" s="5">
        <v>0</v>
      </c>
      <c r="AD33" s="4" t="s">
        <v>51</v>
      </c>
      <c r="AE33" s="5">
        <f t="shared" si="2"/>
        <v>0.875</v>
      </c>
      <c r="AF33" s="5">
        <v>800000</v>
      </c>
      <c r="AG33" s="5">
        <v>1</v>
      </c>
      <c r="AH33" s="5">
        <v>1</v>
      </c>
      <c r="AI33" s="5">
        <v>1</v>
      </c>
      <c r="AJ33" s="7" t="s">
        <v>212</v>
      </c>
      <c r="AK33" s="5">
        <v>0</v>
      </c>
      <c r="AL33" s="5">
        <v>0</v>
      </c>
      <c r="AM33" s="4">
        <v>2014</v>
      </c>
      <c r="AN33" s="5">
        <v>0</v>
      </c>
      <c r="AO33" s="5">
        <v>1</v>
      </c>
      <c r="AP33" s="8"/>
      <c r="AQ33" s="8"/>
      <c r="AR33" s="8">
        <f t="shared" si="3"/>
        <v>0</v>
      </c>
      <c r="AS33" s="8">
        <f t="shared" si="4"/>
        <v>100000</v>
      </c>
      <c r="AT33" s="8">
        <f t="shared" si="5"/>
        <v>592000</v>
      </c>
      <c r="AU33" s="8">
        <f t="shared" si="6"/>
        <v>208000</v>
      </c>
      <c r="AV33" s="4" t="s">
        <v>210</v>
      </c>
      <c r="AW33" s="7" t="s">
        <v>212</v>
      </c>
      <c r="AX33" s="5">
        <v>0</v>
      </c>
      <c r="AY33">
        <f t="shared" si="7"/>
        <v>0</v>
      </c>
      <c r="AZ33">
        <f t="shared" si="8"/>
        <v>208000</v>
      </c>
      <c r="BA33" s="5">
        <v>800000</v>
      </c>
      <c r="BB33" s="5">
        <v>0</v>
      </c>
      <c r="BC33" s="4" t="s">
        <v>49</v>
      </c>
      <c r="BD33" s="4">
        <v>46329</v>
      </c>
      <c r="BE33" t="s">
        <v>54</v>
      </c>
    </row>
    <row r="34" spans="1:57" ht="270.75" thickBot="1" x14ac:dyDescent="0.3">
      <c r="A34" s="4" t="s">
        <v>213</v>
      </c>
      <c r="B34" s="4">
        <v>3001</v>
      </c>
      <c r="C34" s="5">
        <v>2</v>
      </c>
      <c r="D34" s="4" t="s">
        <v>60</v>
      </c>
      <c r="E34" s="6">
        <v>46314.262155046294</v>
      </c>
      <c r="F34" s="4" t="s">
        <v>214</v>
      </c>
      <c r="G34" s="4" t="s">
        <v>46</v>
      </c>
      <c r="H34" s="4">
        <v>53</v>
      </c>
      <c r="I34" s="4" t="s">
        <v>47</v>
      </c>
      <c r="J34" s="4">
        <v>5309</v>
      </c>
      <c r="K34" s="4" t="s">
        <v>48</v>
      </c>
      <c r="L34" s="4">
        <v>5309062</v>
      </c>
      <c r="M34" s="4">
        <v>5309062006</v>
      </c>
      <c r="N34" s="4" t="s">
        <v>49</v>
      </c>
      <c r="O34" s="4">
        <v>46329</v>
      </c>
      <c r="P34" s="4" t="s">
        <v>215</v>
      </c>
      <c r="Q34" s="5">
        <v>1</v>
      </c>
      <c r="R34" s="5">
        <v>0</v>
      </c>
      <c r="S34" s="5">
        <v>1000000</v>
      </c>
      <c r="T34" s="5">
        <v>0</v>
      </c>
      <c r="U34" s="5">
        <v>0</v>
      </c>
      <c r="V34" s="5">
        <v>0</v>
      </c>
      <c r="W34" s="5">
        <v>1000000</v>
      </c>
      <c r="X34" s="5">
        <v>6000000</v>
      </c>
      <c r="Y34" s="5">
        <v>0</v>
      </c>
      <c r="Z34" s="5">
        <f t="shared" si="0"/>
        <v>5000000</v>
      </c>
      <c r="AA34" s="5">
        <v>400000</v>
      </c>
      <c r="AB34" s="5">
        <f t="shared" si="1"/>
        <v>6000000</v>
      </c>
      <c r="AC34" s="5">
        <v>0</v>
      </c>
      <c r="AD34" s="4" t="s">
        <v>51</v>
      </c>
      <c r="AE34" s="5">
        <f t="shared" si="2"/>
        <v>0.83333333333333337</v>
      </c>
      <c r="AF34" s="5">
        <v>6000000</v>
      </c>
      <c r="AG34" s="5">
        <v>1</v>
      </c>
      <c r="AH34" s="5">
        <v>1</v>
      </c>
      <c r="AI34" s="5">
        <v>1</v>
      </c>
      <c r="AJ34" s="7" t="s">
        <v>216</v>
      </c>
      <c r="AK34" s="5">
        <v>0</v>
      </c>
      <c r="AL34" s="5">
        <v>0</v>
      </c>
      <c r="AM34" s="4">
        <v>2024</v>
      </c>
      <c r="AN34" s="5">
        <v>0</v>
      </c>
      <c r="AO34" s="5">
        <v>1</v>
      </c>
      <c r="AP34" s="8"/>
      <c r="AQ34" s="8"/>
      <c r="AR34" s="8">
        <f t="shared" si="3"/>
        <v>0</v>
      </c>
      <c r="AS34" s="8">
        <f t="shared" si="4"/>
        <v>1000000</v>
      </c>
      <c r="AT34" s="8">
        <f t="shared" si="5"/>
        <v>4440000</v>
      </c>
      <c r="AU34" s="8">
        <f t="shared" si="6"/>
        <v>1560000</v>
      </c>
      <c r="AV34" s="4" t="s">
        <v>215</v>
      </c>
      <c r="AW34" s="7" t="s">
        <v>216</v>
      </c>
      <c r="AX34" s="5">
        <v>0</v>
      </c>
      <c r="AY34">
        <f t="shared" si="7"/>
        <v>1560000</v>
      </c>
      <c r="AZ34">
        <f t="shared" si="8"/>
        <v>0</v>
      </c>
      <c r="BA34" s="5">
        <v>6000000</v>
      </c>
      <c r="BB34" s="5">
        <v>0</v>
      </c>
      <c r="BC34" s="4" t="s">
        <v>49</v>
      </c>
      <c r="BD34" s="4">
        <v>46329</v>
      </c>
      <c r="BE34" t="s">
        <v>54</v>
      </c>
    </row>
    <row r="35" spans="1:57" ht="270.75" thickBot="1" x14ac:dyDescent="0.3">
      <c r="A35" s="4" t="s">
        <v>217</v>
      </c>
      <c r="B35" s="4">
        <v>3001</v>
      </c>
      <c r="C35" s="5">
        <v>2</v>
      </c>
      <c r="D35" s="4" t="s">
        <v>60</v>
      </c>
      <c r="E35" s="6">
        <v>46280.678498333335</v>
      </c>
      <c r="F35" s="4" t="s">
        <v>218</v>
      </c>
      <c r="G35" s="4" t="s">
        <v>46</v>
      </c>
      <c r="H35" s="4">
        <v>53</v>
      </c>
      <c r="I35" s="4" t="s">
        <v>47</v>
      </c>
      <c r="J35" s="4">
        <v>5309</v>
      </c>
      <c r="K35" s="4" t="s">
        <v>48</v>
      </c>
      <c r="L35" s="4">
        <v>5309011</v>
      </c>
      <c r="M35" s="4">
        <v>5309011002</v>
      </c>
      <c r="N35" s="4" t="s">
        <v>49</v>
      </c>
      <c r="O35" s="4">
        <v>46329</v>
      </c>
      <c r="P35" s="4" t="s">
        <v>219</v>
      </c>
      <c r="Q35" s="5">
        <v>2</v>
      </c>
      <c r="R35" s="5">
        <v>0</v>
      </c>
      <c r="S35" s="5">
        <v>25000</v>
      </c>
      <c r="T35" s="5">
        <v>600000</v>
      </c>
      <c r="U35" s="5">
        <v>25000</v>
      </c>
      <c r="V35" s="5">
        <v>25000</v>
      </c>
      <c r="W35" s="5">
        <v>675000</v>
      </c>
      <c r="X35" s="5">
        <v>675000</v>
      </c>
      <c r="Y35" s="5">
        <v>0</v>
      </c>
      <c r="Z35" s="5">
        <f t="shared" si="0"/>
        <v>25000</v>
      </c>
      <c r="AA35" s="5">
        <v>0</v>
      </c>
      <c r="AB35" s="5">
        <f t="shared" si="1"/>
        <v>75000</v>
      </c>
      <c r="AC35" s="5" t="s">
        <v>220</v>
      </c>
      <c r="AD35" s="4" t="s">
        <v>51</v>
      </c>
      <c r="AE35" s="5">
        <f t="shared" si="2"/>
        <v>0.33333333333333331</v>
      </c>
      <c r="AF35" s="5">
        <v>37500</v>
      </c>
      <c r="AG35" s="4"/>
      <c r="AH35" s="5">
        <v>1</v>
      </c>
      <c r="AI35" s="5">
        <v>1</v>
      </c>
      <c r="AJ35" s="7" t="s">
        <v>221</v>
      </c>
      <c r="AK35" s="5">
        <v>0</v>
      </c>
      <c r="AL35" s="5">
        <v>0</v>
      </c>
      <c r="AM35" s="4">
        <v>2025</v>
      </c>
      <c r="AN35" s="5">
        <v>0</v>
      </c>
      <c r="AO35" s="5">
        <v>2</v>
      </c>
      <c r="AP35" s="8"/>
      <c r="AQ35" s="8"/>
      <c r="AR35" s="8">
        <f t="shared" si="3"/>
        <v>0</v>
      </c>
      <c r="AS35" s="8">
        <f t="shared" si="4"/>
        <v>50000</v>
      </c>
      <c r="AT35" s="8">
        <f t="shared" si="5"/>
        <v>25000</v>
      </c>
      <c r="AU35" s="8">
        <f t="shared" si="6"/>
        <v>50000</v>
      </c>
      <c r="AV35" s="4" t="s">
        <v>219</v>
      </c>
      <c r="AW35" s="7" t="s">
        <v>221</v>
      </c>
      <c r="AX35" s="5">
        <v>600000</v>
      </c>
      <c r="AY35">
        <f t="shared" si="7"/>
        <v>25000</v>
      </c>
      <c r="AZ35">
        <f t="shared" si="8"/>
        <v>25000</v>
      </c>
      <c r="BA35" s="5">
        <v>675000</v>
      </c>
      <c r="BB35" s="5">
        <v>0</v>
      </c>
      <c r="BC35" s="4" t="s">
        <v>49</v>
      </c>
      <c r="BD35" s="4">
        <v>46329</v>
      </c>
      <c r="BE35" t="s">
        <v>54</v>
      </c>
    </row>
    <row r="36" spans="1:57" ht="270.75" thickBot="1" x14ac:dyDescent="0.3">
      <c r="A36" s="4" t="s">
        <v>222</v>
      </c>
      <c r="B36" s="4">
        <v>1001</v>
      </c>
      <c r="C36" s="5">
        <v>2</v>
      </c>
      <c r="D36" s="4" t="s">
        <v>44</v>
      </c>
      <c r="E36" s="6">
        <v>46214.493414293982</v>
      </c>
      <c r="F36" s="4" t="s">
        <v>223</v>
      </c>
      <c r="G36" s="4" t="s">
        <v>46</v>
      </c>
      <c r="H36" s="4">
        <v>53</v>
      </c>
      <c r="I36" s="4" t="s">
        <v>47</v>
      </c>
      <c r="J36" s="4">
        <v>5309</v>
      </c>
      <c r="K36" s="4" t="s">
        <v>48</v>
      </c>
      <c r="L36" s="4">
        <v>5309062</v>
      </c>
      <c r="M36" s="4">
        <v>5309062003</v>
      </c>
      <c r="N36" s="4" t="s">
        <v>49</v>
      </c>
      <c r="O36" s="4">
        <v>46329</v>
      </c>
      <c r="P36" s="4" t="s">
        <v>224</v>
      </c>
      <c r="Q36" s="5">
        <v>2</v>
      </c>
      <c r="R36" s="5">
        <v>0</v>
      </c>
      <c r="S36" s="5">
        <v>100000</v>
      </c>
      <c r="T36" s="5">
        <v>2000000</v>
      </c>
      <c r="U36" s="5">
        <v>500000</v>
      </c>
      <c r="V36" s="5">
        <v>0</v>
      </c>
      <c r="W36" s="5">
        <v>2600000</v>
      </c>
      <c r="X36" s="5">
        <v>8000000</v>
      </c>
      <c r="Y36" s="5">
        <v>0</v>
      </c>
      <c r="Z36" s="5">
        <f t="shared" si="0"/>
        <v>5400000</v>
      </c>
      <c r="AA36" s="5">
        <v>8300000</v>
      </c>
      <c r="AB36" s="5">
        <f t="shared" si="1"/>
        <v>6000000</v>
      </c>
      <c r="AC36" s="5" t="s">
        <v>101</v>
      </c>
      <c r="AD36" s="4" t="s">
        <v>51</v>
      </c>
      <c r="AE36" s="5">
        <f t="shared" si="2"/>
        <v>0.9</v>
      </c>
      <c r="AF36" s="5">
        <v>3000000</v>
      </c>
      <c r="AG36" s="5">
        <v>1</v>
      </c>
      <c r="AH36" s="5">
        <v>1</v>
      </c>
      <c r="AI36" s="5">
        <v>1</v>
      </c>
      <c r="AJ36" s="7" t="s">
        <v>225</v>
      </c>
      <c r="AK36" s="5">
        <v>0</v>
      </c>
      <c r="AL36" s="5">
        <v>0</v>
      </c>
      <c r="AM36" s="4">
        <v>2020</v>
      </c>
      <c r="AN36" s="5">
        <v>0</v>
      </c>
      <c r="AO36" s="5">
        <v>2</v>
      </c>
      <c r="AP36" s="8"/>
      <c r="AQ36" s="8"/>
      <c r="AR36" s="8">
        <f t="shared" si="3"/>
        <v>0</v>
      </c>
      <c r="AS36" s="8">
        <f t="shared" si="4"/>
        <v>600000</v>
      </c>
      <c r="AT36" s="8">
        <f t="shared" si="5"/>
        <v>4440000</v>
      </c>
      <c r="AU36" s="8">
        <f t="shared" si="6"/>
        <v>1560000</v>
      </c>
      <c r="AV36" s="4" t="s">
        <v>224</v>
      </c>
      <c r="AW36" s="7" t="s">
        <v>225</v>
      </c>
      <c r="AX36" s="5">
        <v>2000000</v>
      </c>
      <c r="AY36">
        <f t="shared" si="7"/>
        <v>260000</v>
      </c>
      <c r="AZ36">
        <f t="shared" si="8"/>
        <v>1300000</v>
      </c>
      <c r="BA36" s="5">
        <v>8000000</v>
      </c>
      <c r="BB36" s="5">
        <v>0</v>
      </c>
      <c r="BC36" s="4" t="s">
        <v>49</v>
      </c>
      <c r="BD36" s="4">
        <v>46329</v>
      </c>
      <c r="BE36" t="s">
        <v>54</v>
      </c>
    </row>
    <row r="37" spans="1:57" ht="255.75" thickBot="1" x14ac:dyDescent="0.3">
      <c r="A37" s="4" t="s">
        <v>226</v>
      </c>
      <c r="B37" s="4">
        <v>1</v>
      </c>
      <c r="C37" s="5">
        <v>2</v>
      </c>
      <c r="D37" s="4" t="s">
        <v>44</v>
      </c>
      <c r="E37" s="6">
        <v>46266.419818553244</v>
      </c>
      <c r="F37" s="4" t="s">
        <v>227</v>
      </c>
      <c r="G37" s="4" t="s">
        <v>46</v>
      </c>
      <c r="H37" s="4">
        <v>53</v>
      </c>
      <c r="I37" s="4" t="s">
        <v>47</v>
      </c>
      <c r="J37" s="4">
        <v>5309</v>
      </c>
      <c r="K37" s="4" t="s">
        <v>48</v>
      </c>
      <c r="L37" s="4">
        <v>5309030</v>
      </c>
      <c r="M37" s="4">
        <v>5309030020</v>
      </c>
      <c r="N37" s="4" t="s">
        <v>49</v>
      </c>
      <c r="O37" s="4">
        <v>46329</v>
      </c>
      <c r="P37" s="4" t="s">
        <v>228</v>
      </c>
      <c r="Q37" s="5">
        <v>2</v>
      </c>
      <c r="R37" s="5">
        <v>0</v>
      </c>
      <c r="S37" s="5">
        <v>24000000</v>
      </c>
      <c r="T37" s="5">
        <v>0</v>
      </c>
      <c r="U37" s="5">
        <v>12000000</v>
      </c>
      <c r="V37" s="5">
        <v>0</v>
      </c>
      <c r="W37" s="5">
        <v>36000000</v>
      </c>
      <c r="X37" s="5">
        <v>54300000</v>
      </c>
      <c r="Y37" s="5">
        <v>0</v>
      </c>
      <c r="Z37" s="5">
        <f t="shared" si="0"/>
        <v>18300000</v>
      </c>
      <c r="AA37" s="5">
        <v>80000000</v>
      </c>
      <c r="AB37" s="5">
        <f t="shared" si="1"/>
        <v>54300000</v>
      </c>
      <c r="AC37" s="5">
        <v>0</v>
      </c>
      <c r="AD37" s="4" t="s">
        <v>51</v>
      </c>
      <c r="AE37" s="5">
        <f t="shared" si="2"/>
        <v>0.33701657458563539</v>
      </c>
      <c r="AF37" s="5">
        <v>27150000</v>
      </c>
      <c r="AG37" s="5">
        <v>1</v>
      </c>
      <c r="AH37" s="5">
        <v>1</v>
      </c>
      <c r="AI37" s="5">
        <v>1</v>
      </c>
      <c r="AJ37" s="7" t="s">
        <v>229</v>
      </c>
      <c r="AK37" s="5">
        <v>0</v>
      </c>
      <c r="AL37" s="5">
        <v>0</v>
      </c>
      <c r="AM37" s="4">
        <v>2018</v>
      </c>
      <c r="AN37" s="5">
        <v>0</v>
      </c>
      <c r="AO37" s="5">
        <v>2</v>
      </c>
      <c r="AP37" s="8"/>
      <c r="AQ37" s="8"/>
      <c r="AR37" s="8">
        <f t="shared" si="3"/>
        <v>0</v>
      </c>
      <c r="AS37" s="8">
        <f t="shared" si="4"/>
        <v>36000000</v>
      </c>
      <c r="AT37" s="8">
        <f t="shared" si="5"/>
        <v>18300000</v>
      </c>
      <c r="AU37" s="8">
        <f t="shared" si="6"/>
        <v>36000000</v>
      </c>
      <c r="AV37" s="4" t="s">
        <v>228</v>
      </c>
      <c r="AW37" s="7" t="s">
        <v>229</v>
      </c>
      <c r="AX37" s="5">
        <v>0</v>
      </c>
      <c r="AY37">
        <f t="shared" si="7"/>
        <v>24000000</v>
      </c>
      <c r="AZ37">
        <f t="shared" si="8"/>
        <v>12000000</v>
      </c>
      <c r="BA37" s="5">
        <v>54300000</v>
      </c>
      <c r="BB37" s="5">
        <v>0</v>
      </c>
      <c r="BC37" s="4" t="s">
        <v>49</v>
      </c>
      <c r="BD37" s="4">
        <v>46329</v>
      </c>
      <c r="BE37" t="s">
        <v>54</v>
      </c>
    </row>
    <row r="38" spans="1:57" ht="270.75" thickBot="1" x14ac:dyDescent="0.3">
      <c r="A38" s="4" t="s">
        <v>230</v>
      </c>
      <c r="B38" s="4">
        <v>3001</v>
      </c>
      <c r="C38" s="5">
        <v>2</v>
      </c>
      <c r="D38" s="4" t="s">
        <v>60</v>
      </c>
      <c r="E38" s="6">
        <v>46316.275236956018</v>
      </c>
      <c r="F38" s="4" t="s">
        <v>231</v>
      </c>
      <c r="G38" s="4" t="s">
        <v>46</v>
      </c>
      <c r="H38" s="4">
        <v>53</v>
      </c>
      <c r="I38" s="4" t="s">
        <v>47</v>
      </c>
      <c r="J38" s="4">
        <v>5309</v>
      </c>
      <c r="K38" s="4" t="s">
        <v>48</v>
      </c>
      <c r="L38" s="4">
        <v>5309030</v>
      </c>
      <c r="M38" s="4">
        <v>5309030028</v>
      </c>
      <c r="N38" s="4" t="s">
        <v>49</v>
      </c>
      <c r="O38" s="4">
        <v>46329</v>
      </c>
      <c r="P38" s="4" t="s">
        <v>232</v>
      </c>
      <c r="Q38" s="5">
        <v>1</v>
      </c>
      <c r="R38" s="5">
        <v>0</v>
      </c>
      <c r="S38" s="5">
        <v>19200000</v>
      </c>
      <c r="T38" s="5">
        <v>0</v>
      </c>
      <c r="U38" s="5">
        <v>0</v>
      </c>
      <c r="V38" s="5">
        <v>0</v>
      </c>
      <c r="W38" s="5">
        <v>19200000</v>
      </c>
      <c r="X38" s="5">
        <v>24000000</v>
      </c>
      <c r="Y38" s="5">
        <v>0</v>
      </c>
      <c r="Z38" s="5">
        <f t="shared" si="0"/>
        <v>4800000</v>
      </c>
      <c r="AA38" s="5">
        <v>35000000</v>
      </c>
      <c r="AB38" s="5">
        <f t="shared" si="1"/>
        <v>24000000</v>
      </c>
      <c r="AC38" s="5">
        <v>0</v>
      </c>
      <c r="AD38" s="4" t="s">
        <v>51</v>
      </c>
      <c r="AE38" s="5">
        <f t="shared" si="2"/>
        <v>0.2</v>
      </c>
      <c r="AF38" s="5">
        <v>24000000</v>
      </c>
      <c r="AG38" s="5">
        <v>1</v>
      </c>
      <c r="AH38" s="5">
        <v>1</v>
      </c>
      <c r="AI38" s="5">
        <v>1</v>
      </c>
      <c r="AJ38" s="7" t="s">
        <v>234</v>
      </c>
      <c r="AK38" s="5">
        <v>0</v>
      </c>
      <c r="AL38" s="5">
        <v>0</v>
      </c>
      <c r="AM38" s="4">
        <v>2025</v>
      </c>
      <c r="AN38" s="5">
        <v>0</v>
      </c>
      <c r="AO38" s="5">
        <v>1</v>
      </c>
      <c r="AP38" s="8"/>
      <c r="AQ38" s="8"/>
      <c r="AR38" s="8">
        <f t="shared" si="3"/>
        <v>0</v>
      </c>
      <c r="AS38" s="8">
        <f t="shared" si="4"/>
        <v>19200000</v>
      </c>
      <c r="AT38" s="8">
        <f t="shared" si="5"/>
        <v>4800000</v>
      </c>
      <c r="AU38" s="8">
        <f t="shared" si="6"/>
        <v>19200000</v>
      </c>
      <c r="AV38" s="4" t="s">
        <v>232</v>
      </c>
      <c r="AW38" s="7" t="s">
        <v>234</v>
      </c>
      <c r="AX38" s="5">
        <v>0</v>
      </c>
      <c r="AY38">
        <f t="shared" si="7"/>
        <v>19200000</v>
      </c>
      <c r="AZ38">
        <f t="shared" si="8"/>
        <v>0</v>
      </c>
      <c r="BA38" s="5">
        <v>24000000</v>
      </c>
      <c r="BB38" s="5">
        <v>0</v>
      </c>
      <c r="BC38" s="4" t="s">
        <v>49</v>
      </c>
      <c r="BD38" s="4">
        <v>46329</v>
      </c>
      <c r="BE38" t="s">
        <v>54</v>
      </c>
    </row>
    <row r="39" spans="1:57" ht="270.75" thickBot="1" x14ac:dyDescent="0.3">
      <c r="A39" s="4" t="s">
        <v>235</v>
      </c>
      <c r="B39" s="4">
        <v>3002</v>
      </c>
      <c r="C39" s="5">
        <v>2</v>
      </c>
      <c r="D39" s="4" t="s">
        <v>44</v>
      </c>
      <c r="E39" s="6">
        <v>46230.591369571761</v>
      </c>
      <c r="F39" s="4" t="s">
        <v>236</v>
      </c>
      <c r="G39" s="4" t="s">
        <v>46</v>
      </c>
      <c r="H39" s="4">
        <v>53</v>
      </c>
      <c r="I39" s="4" t="s">
        <v>47</v>
      </c>
      <c r="J39" s="4">
        <v>5309</v>
      </c>
      <c r="K39" s="4" t="s">
        <v>48</v>
      </c>
      <c r="L39" s="4">
        <v>5309020</v>
      </c>
      <c r="M39" s="4">
        <v>5309020009</v>
      </c>
      <c r="N39" s="4" t="s">
        <v>49</v>
      </c>
      <c r="O39" s="4">
        <v>46329</v>
      </c>
      <c r="P39" s="4" t="s">
        <v>237</v>
      </c>
      <c r="Q39" s="5">
        <v>3</v>
      </c>
      <c r="R39" s="5">
        <v>150000</v>
      </c>
      <c r="S39" s="5">
        <v>1000000</v>
      </c>
      <c r="T39" s="5">
        <v>0</v>
      </c>
      <c r="U39" s="5">
        <v>300000</v>
      </c>
      <c r="V39" s="5">
        <v>0</v>
      </c>
      <c r="W39" s="5">
        <v>1450000</v>
      </c>
      <c r="X39" s="5">
        <v>2000000</v>
      </c>
      <c r="Y39" s="5">
        <v>0</v>
      </c>
      <c r="Z39" s="5">
        <f t="shared" si="0"/>
        <v>700000</v>
      </c>
      <c r="AA39" s="5">
        <v>15000000</v>
      </c>
      <c r="AB39" s="5">
        <f t="shared" si="1"/>
        <v>2000000</v>
      </c>
      <c r="AC39" s="5">
        <v>0</v>
      </c>
      <c r="AD39" s="4" t="s">
        <v>51</v>
      </c>
      <c r="AE39" s="5">
        <f t="shared" si="2"/>
        <v>0.35</v>
      </c>
      <c r="AF39" s="10">
        <v>6666666667</v>
      </c>
      <c r="AG39" s="5">
        <v>1</v>
      </c>
      <c r="AH39" s="5">
        <v>1</v>
      </c>
      <c r="AI39" s="5">
        <v>1</v>
      </c>
      <c r="AJ39" s="7" t="s">
        <v>238</v>
      </c>
      <c r="AK39" s="5">
        <v>0</v>
      </c>
      <c r="AL39" s="5">
        <v>0</v>
      </c>
      <c r="AM39" s="4">
        <v>2019</v>
      </c>
      <c r="AN39" s="5">
        <v>2</v>
      </c>
      <c r="AO39" s="5">
        <v>1</v>
      </c>
      <c r="AP39" s="8"/>
      <c r="AQ39" s="8"/>
      <c r="AR39" s="8">
        <f t="shared" si="3"/>
        <v>0</v>
      </c>
      <c r="AS39" s="8">
        <f t="shared" si="4"/>
        <v>1300000</v>
      </c>
      <c r="AT39" s="8">
        <f t="shared" si="5"/>
        <v>700000</v>
      </c>
      <c r="AU39" s="8">
        <f t="shared" si="6"/>
        <v>1300000</v>
      </c>
      <c r="AV39" s="4" t="s">
        <v>237</v>
      </c>
      <c r="AW39" s="7" t="s">
        <v>238</v>
      </c>
      <c r="AX39" s="5">
        <v>0</v>
      </c>
      <c r="AY39">
        <f t="shared" si="7"/>
        <v>1000000</v>
      </c>
      <c r="AZ39">
        <f t="shared" si="8"/>
        <v>300000</v>
      </c>
      <c r="BA39" s="5">
        <v>2000000</v>
      </c>
      <c r="BB39" s="5">
        <v>0</v>
      </c>
      <c r="BC39" s="4" t="s">
        <v>49</v>
      </c>
      <c r="BD39" s="4">
        <v>46329</v>
      </c>
      <c r="BE39" t="s">
        <v>54</v>
      </c>
    </row>
    <row r="40" spans="1:57" ht="270.75" thickBot="1" x14ac:dyDescent="0.3">
      <c r="A40" s="4" t="s">
        <v>239</v>
      </c>
      <c r="B40" s="4">
        <v>2001</v>
      </c>
      <c r="C40" s="5">
        <v>2</v>
      </c>
      <c r="D40" s="4" t="s">
        <v>44</v>
      </c>
      <c r="E40" s="6">
        <v>46290.922801562498</v>
      </c>
      <c r="F40" s="4" t="s">
        <v>240</v>
      </c>
      <c r="G40" s="4" t="s">
        <v>46</v>
      </c>
      <c r="H40" s="4">
        <v>53</v>
      </c>
      <c r="I40" s="4" t="s">
        <v>47</v>
      </c>
      <c r="J40" s="4">
        <v>5309</v>
      </c>
      <c r="K40" s="4" t="s">
        <v>48</v>
      </c>
      <c r="L40" s="4">
        <v>5309030</v>
      </c>
      <c r="M40" s="4">
        <v>5309030019</v>
      </c>
      <c r="N40" s="4" t="s">
        <v>49</v>
      </c>
      <c r="O40" s="4">
        <v>46332</v>
      </c>
      <c r="P40" s="4" t="s">
        <v>241</v>
      </c>
      <c r="Q40" s="5">
        <v>5</v>
      </c>
      <c r="R40" s="5">
        <v>62400000</v>
      </c>
      <c r="S40" s="5">
        <v>0</v>
      </c>
      <c r="T40" s="5">
        <v>600000000</v>
      </c>
      <c r="U40" s="5">
        <v>96000000</v>
      </c>
      <c r="V40" s="5">
        <v>0</v>
      </c>
      <c r="W40" s="5">
        <v>758400000</v>
      </c>
      <c r="X40" s="5">
        <v>1200000000</v>
      </c>
      <c r="Y40" s="5">
        <v>0</v>
      </c>
      <c r="Z40" s="5">
        <f t="shared" si="0"/>
        <v>504000000</v>
      </c>
      <c r="AA40" s="5">
        <v>1060000000</v>
      </c>
      <c r="AB40" s="5">
        <f t="shared" si="1"/>
        <v>600000000</v>
      </c>
      <c r="AC40" s="5" t="s">
        <v>93</v>
      </c>
      <c r="AD40" s="4" t="s">
        <v>51</v>
      </c>
      <c r="AE40" s="5">
        <f t="shared" si="2"/>
        <v>0.84</v>
      </c>
      <c r="AF40" s="5">
        <v>120000000</v>
      </c>
      <c r="AG40" s="5">
        <v>1</v>
      </c>
      <c r="AH40" s="5">
        <v>1</v>
      </c>
      <c r="AI40" s="5">
        <v>1</v>
      </c>
      <c r="AJ40" s="7" t="s">
        <v>242</v>
      </c>
      <c r="AK40" s="5">
        <v>0</v>
      </c>
      <c r="AL40" s="5">
        <v>0</v>
      </c>
      <c r="AM40" s="4">
        <v>2024</v>
      </c>
      <c r="AN40" s="5">
        <v>4</v>
      </c>
      <c r="AO40" s="5">
        <v>1</v>
      </c>
      <c r="AP40" s="8"/>
      <c r="AQ40" s="8"/>
      <c r="AR40" s="8">
        <f t="shared" si="3"/>
        <v>0</v>
      </c>
      <c r="AS40" s="8">
        <f t="shared" si="4"/>
        <v>96000000</v>
      </c>
      <c r="AT40" s="8">
        <f t="shared" si="5"/>
        <v>444000000</v>
      </c>
      <c r="AU40" s="8">
        <f t="shared" si="6"/>
        <v>156000000</v>
      </c>
      <c r="AV40" s="4" t="s">
        <v>241</v>
      </c>
      <c r="AW40" s="7" t="s">
        <v>242</v>
      </c>
      <c r="AX40" s="5">
        <v>600000000</v>
      </c>
      <c r="AY40">
        <f t="shared" si="7"/>
        <v>0</v>
      </c>
      <c r="AZ40">
        <f t="shared" si="8"/>
        <v>156000000</v>
      </c>
      <c r="BA40" s="5">
        <v>1200000000</v>
      </c>
      <c r="BB40" s="5">
        <v>0</v>
      </c>
      <c r="BC40" s="4" t="s">
        <v>49</v>
      </c>
      <c r="BD40" s="4">
        <v>46332</v>
      </c>
      <c r="BE40" t="s">
        <v>54</v>
      </c>
    </row>
    <row r="41" spans="1:57" ht="270.75" thickBot="1" x14ac:dyDescent="0.3">
      <c r="A41" s="4" t="s">
        <v>243</v>
      </c>
      <c r="B41" s="4">
        <v>1001</v>
      </c>
      <c r="C41" s="5">
        <v>2</v>
      </c>
      <c r="D41" s="4" t="s">
        <v>44</v>
      </c>
      <c r="E41" s="6">
        <v>46280.605232210648</v>
      </c>
      <c r="F41" s="4" t="s">
        <v>244</v>
      </c>
      <c r="G41" s="4" t="s">
        <v>46</v>
      </c>
      <c r="H41" s="4">
        <v>53</v>
      </c>
      <c r="I41" s="4" t="s">
        <v>47</v>
      </c>
      <c r="J41" s="4">
        <v>5309</v>
      </c>
      <c r="K41" s="4" t="s">
        <v>48</v>
      </c>
      <c r="L41" s="4">
        <v>5309070</v>
      </c>
      <c r="M41" s="4">
        <v>5309070006</v>
      </c>
      <c r="N41" s="4" t="s">
        <v>49</v>
      </c>
      <c r="O41" s="4">
        <v>46334</v>
      </c>
      <c r="P41" s="4" t="s">
        <v>245</v>
      </c>
      <c r="Q41" s="5">
        <v>1</v>
      </c>
      <c r="R41" s="5">
        <v>0</v>
      </c>
      <c r="S41" s="5">
        <v>1750000</v>
      </c>
      <c r="T41" s="5">
        <v>1500000</v>
      </c>
      <c r="U41" s="5">
        <v>150000</v>
      </c>
      <c r="V41" s="5">
        <v>0</v>
      </c>
      <c r="W41" s="5">
        <v>3400000</v>
      </c>
      <c r="X41" s="5">
        <v>3550000</v>
      </c>
      <c r="Y41" s="5">
        <v>0</v>
      </c>
      <c r="Z41" s="5">
        <f t="shared" si="0"/>
        <v>150000</v>
      </c>
      <c r="AA41" s="5">
        <v>0</v>
      </c>
      <c r="AB41" s="5">
        <f t="shared" si="1"/>
        <v>2050000</v>
      </c>
      <c r="AC41" s="5" t="s">
        <v>246</v>
      </c>
      <c r="AD41" s="4" t="s">
        <v>51</v>
      </c>
      <c r="AE41" s="5">
        <f t="shared" si="2"/>
        <v>7.3170731707317069E-2</v>
      </c>
      <c r="AF41" s="5">
        <v>2050000</v>
      </c>
      <c r="AG41" s="4"/>
      <c r="AH41" s="5">
        <v>1</v>
      </c>
      <c r="AI41" s="5">
        <v>1</v>
      </c>
      <c r="AJ41" s="7" t="s">
        <v>247</v>
      </c>
      <c r="AK41" s="5">
        <v>0</v>
      </c>
      <c r="AL41" s="5">
        <v>0</v>
      </c>
      <c r="AM41" s="4">
        <v>2017</v>
      </c>
      <c r="AN41" s="5">
        <v>0</v>
      </c>
      <c r="AO41" s="5">
        <v>1</v>
      </c>
      <c r="AP41" s="8"/>
      <c r="AQ41" s="8"/>
      <c r="AR41" s="8">
        <f t="shared" si="3"/>
        <v>0</v>
      </c>
      <c r="AS41" s="8">
        <f t="shared" si="4"/>
        <v>1900000</v>
      </c>
      <c r="AT41" s="8">
        <f t="shared" si="5"/>
        <v>150000</v>
      </c>
      <c r="AU41" s="8">
        <f t="shared" si="6"/>
        <v>1900000</v>
      </c>
      <c r="AV41" s="4" t="s">
        <v>245</v>
      </c>
      <c r="AW41" s="7" t="s">
        <v>247</v>
      </c>
      <c r="AX41" s="5">
        <v>1500000</v>
      </c>
      <c r="AY41">
        <f t="shared" si="7"/>
        <v>1750000</v>
      </c>
      <c r="AZ41">
        <f t="shared" si="8"/>
        <v>150000</v>
      </c>
      <c r="BA41" s="5">
        <v>3550000</v>
      </c>
      <c r="BB41" s="5">
        <v>0</v>
      </c>
      <c r="BC41" s="4" t="s">
        <v>49</v>
      </c>
      <c r="BD41" s="4">
        <v>46334</v>
      </c>
      <c r="BE41" t="s">
        <v>54</v>
      </c>
    </row>
    <row r="42" spans="1:57" ht="270.75" thickBot="1" x14ac:dyDescent="0.3">
      <c r="A42" s="4" t="s">
        <v>248</v>
      </c>
      <c r="B42" s="4">
        <v>1002</v>
      </c>
      <c r="C42" s="5">
        <v>2</v>
      </c>
      <c r="D42" s="4" t="s">
        <v>44</v>
      </c>
      <c r="E42" s="6">
        <v>46293.103473888892</v>
      </c>
      <c r="F42" s="4" t="s">
        <v>249</v>
      </c>
      <c r="G42" s="4" t="s">
        <v>46</v>
      </c>
      <c r="H42" s="4">
        <v>53</v>
      </c>
      <c r="I42" s="4" t="s">
        <v>47</v>
      </c>
      <c r="J42" s="4">
        <v>5309</v>
      </c>
      <c r="K42" s="4" t="s">
        <v>48</v>
      </c>
      <c r="L42" s="4">
        <v>5309040</v>
      </c>
      <c r="M42" s="4">
        <v>5309040005</v>
      </c>
      <c r="N42" s="4" t="s">
        <v>49</v>
      </c>
      <c r="O42" s="4">
        <v>46334</v>
      </c>
      <c r="P42" s="4" t="s">
        <v>250</v>
      </c>
      <c r="Q42" s="5">
        <v>1</v>
      </c>
      <c r="R42" s="5">
        <v>0</v>
      </c>
      <c r="S42" s="5">
        <v>300000</v>
      </c>
      <c r="T42" s="5">
        <v>0</v>
      </c>
      <c r="U42" s="5">
        <v>100000</v>
      </c>
      <c r="V42" s="5">
        <v>0</v>
      </c>
      <c r="W42" s="5">
        <v>400000</v>
      </c>
      <c r="X42" s="5">
        <v>1000000</v>
      </c>
      <c r="Y42" s="5">
        <v>500000</v>
      </c>
      <c r="Z42" s="5">
        <f t="shared" si="0"/>
        <v>600000</v>
      </c>
      <c r="AA42" s="5">
        <v>4500000</v>
      </c>
      <c r="AB42" s="5">
        <f t="shared" si="1"/>
        <v>1000000</v>
      </c>
      <c r="AC42" s="5">
        <v>0</v>
      </c>
      <c r="AD42" s="4" t="s">
        <v>51</v>
      </c>
      <c r="AE42" s="5">
        <f t="shared" si="2"/>
        <v>0.6</v>
      </c>
      <c r="AF42" s="5">
        <v>1000000</v>
      </c>
      <c r="AG42" s="5">
        <v>0</v>
      </c>
      <c r="AH42" s="5">
        <v>1</v>
      </c>
      <c r="AI42" s="5">
        <v>1</v>
      </c>
      <c r="AJ42" s="7" t="s">
        <v>251</v>
      </c>
      <c r="AK42" s="5">
        <v>0</v>
      </c>
      <c r="AL42" s="5">
        <v>0</v>
      </c>
      <c r="AM42" s="4">
        <v>2012</v>
      </c>
      <c r="AN42" s="5">
        <v>0</v>
      </c>
      <c r="AO42" s="5">
        <v>1</v>
      </c>
      <c r="AP42" s="8"/>
      <c r="AQ42" s="8"/>
      <c r="AR42" s="8">
        <f t="shared" si="3"/>
        <v>0</v>
      </c>
      <c r="AS42" s="8">
        <f t="shared" si="4"/>
        <v>400000</v>
      </c>
      <c r="AT42" s="8">
        <f t="shared" si="5"/>
        <v>600000</v>
      </c>
      <c r="AU42" s="8">
        <f t="shared" si="6"/>
        <v>400000</v>
      </c>
      <c r="AV42" s="4" t="s">
        <v>250</v>
      </c>
      <c r="AW42" s="7" t="s">
        <v>251</v>
      </c>
      <c r="AX42" s="5">
        <v>0</v>
      </c>
      <c r="AY42">
        <f t="shared" si="7"/>
        <v>300000</v>
      </c>
      <c r="AZ42">
        <f t="shared" si="8"/>
        <v>100000</v>
      </c>
      <c r="BA42" s="5">
        <v>1000000</v>
      </c>
      <c r="BB42" s="5">
        <v>500000</v>
      </c>
      <c r="BC42" s="4" t="s">
        <v>49</v>
      </c>
      <c r="BD42" s="4">
        <v>46334</v>
      </c>
      <c r="BE42" t="s">
        <v>54</v>
      </c>
    </row>
    <row r="43" spans="1:57" ht="270.75" thickBot="1" x14ac:dyDescent="0.3">
      <c r="A43" s="4" t="s">
        <v>252</v>
      </c>
      <c r="B43" s="4">
        <v>1002</v>
      </c>
      <c r="C43" s="5">
        <v>2</v>
      </c>
      <c r="D43" s="4" t="s">
        <v>44</v>
      </c>
      <c r="E43" s="6">
        <v>46290.910287349536</v>
      </c>
      <c r="F43" s="4" t="s">
        <v>253</v>
      </c>
      <c r="G43" s="4" t="s">
        <v>46</v>
      </c>
      <c r="H43" s="4">
        <v>53</v>
      </c>
      <c r="I43" s="4" t="s">
        <v>47</v>
      </c>
      <c r="J43" s="4">
        <v>5309</v>
      </c>
      <c r="K43" s="4" t="s">
        <v>48</v>
      </c>
      <c r="L43" s="4">
        <v>5309070</v>
      </c>
      <c r="M43" s="4">
        <v>5309070006</v>
      </c>
      <c r="N43" s="4" t="s">
        <v>49</v>
      </c>
      <c r="O43" s="4">
        <v>46334</v>
      </c>
      <c r="P43" s="4" t="s">
        <v>254</v>
      </c>
      <c r="Q43" s="5">
        <v>1</v>
      </c>
      <c r="R43" s="5">
        <v>0</v>
      </c>
      <c r="S43" s="5">
        <v>500000</v>
      </c>
      <c r="T43" s="5">
        <v>1500000</v>
      </c>
      <c r="U43" s="5">
        <v>100000</v>
      </c>
      <c r="V43" s="5">
        <v>0</v>
      </c>
      <c r="W43" s="5">
        <v>2100000</v>
      </c>
      <c r="X43" s="5">
        <v>3000000</v>
      </c>
      <c r="Y43" s="5">
        <v>150000</v>
      </c>
      <c r="Z43" s="5">
        <f t="shared" si="0"/>
        <v>900000</v>
      </c>
      <c r="AA43" s="5">
        <v>0</v>
      </c>
      <c r="AB43" s="5">
        <f t="shared" si="1"/>
        <v>1500000</v>
      </c>
      <c r="AC43" s="5" t="s">
        <v>255</v>
      </c>
      <c r="AD43" s="4" t="s">
        <v>51</v>
      </c>
      <c r="AE43" s="5">
        <f t="shared" si="2"/>
        <v>0.6</v>
      </c>
      <c r="AF43" s="5">
        <v>500000</v>
      </c>
      <c r="AG43" s="4"/>
      <c r="AH43" s="5">
        <v>1</v>
      </c>
      <c r="AI43" s="5">
        <v>1</v>
      </c>
      <c r="AJ43" s="7" t="s">
        <v>256</v>
      </c>
      <c r="AK43" s="5">
        <v>0</v>
      </c>
      <c r="AL43" s="5">
        <v>0</v>
      </c>
      <c r="AM43" s="4">
        <v>2018</v>
      </c>
      <c r="AN43" s="5">
        <v>0</v>
      </c>
      <c r="AO43" s="5">
        <v>1</v>
      </c>
      <c r="AP43" s="8"/>
      <c r="AQ43" s="8"/>
      <c r="AR43" s="8">
        <f t="shared" si="3"/>
        <v>0</v>
      </c>
      <c r="AS43" s="8">
        <f t="shared" si="4"/>
        <v>600000</v>
      </c>
      <c r="AT43" s="8">
        <f t="shared" si="5"/>
        <v>900000</v>
      </c>
      <c r="AU43" s="8">
        <f t="shared" si="6"/>
        <v>600000</v>
      </c>
      <c r="AV43" s="4" t="s">
        <v>254</v>
      </c>
      <c r="AW43" s="7" t="s">
        <v>256</v>
      </c>
      <c r="AX43" s="5">
        <v>1500000</v>
      </c>
      <c r="AY43">
        <f t="shared" si="7"/>
        <v>500000</v>
      </c>
      <c r="AZ43">
        <f t="shared" si="8"/>
        <v>100000</v>
      </c>
      <c r="BA43" s="5">
        <v>3000000</v>
      </c>
      <c r="BB43" s="5">
        <v>150000</v>
      </c>
      <c r="BC43" s="4" t="s">
        <v>49</v>
      </c>
      <c r="BD43" s="4">
        <v>46334</v>
      </c>
      <c r="BE43" t="s">
        <v>54</v>
      </c>
    </row>
    <row r="44" spans="1:57" ht="270.75" thickBot="1" x14ac:dyDescent="0.3">
      <c r="A44" s="4" t="s">
        <v>257</v>
      </c>
      <c r="B44" s="4">
        <v>2001</v>
      </c>
      <c r="C44" s="5">
        <v>2</v>
      </c>
      <c r="D44" s="4" t="s">
        <v>56</v>
      </c>
      <c r="E44" s="6">
        <v>46316.246824560185</v>
      </c>
      <c r="F44" s="4" t="s">
        <v>258</v>
      </c>
      <c r="G44" s="4" t="s">
        <v>46</v>
      </c>
      <c r="H44" s="4">
        <v>53</v>
      </c>
      <c r="I44" s="4" t="s">
        <v>47</v>
      </c>
      <c r="J44" s="4">
        <v>5309</v>
      </c>
      <c r="K44" s="4" t="s">
        <v>48</v>
      </c>
      <c r="L44" s="4">
        <v>5309030</v>
      </c>
      <c r="M44" s="4">
        <v>5309030022</v>
      </c>
      <c r="N44" s="4" t="s">
        <v>49</v>
      </c>
      <c r="O44" s="4">
        <v>46335</v>
      </c>
      <c r="P44" s="4" t="s">
        <v>259</v>
      </c>
      <c r="Q44" s="5">
        <v>2</v>
      </c>
      <c r="R44" s="5">
        <v>12000000</v>
      </c>
      <c r="S44" s="5">
        <v>0</v>
      </c>
      <c r="T44" s="5">
        <v>30000000</v>
      </c>
      <c r="U44" s="5">
        <v>2700000</v>
      </c>
      <c r="V44" s="5">
        <v>17100000</v>
      </c>
      <c r="W44" s="5">
        <v>61800000</v>
      </c>
      <c r="X44" s="5">
        <v>72000000</v>
      </c>
      <c r="Y44" s="5">
        <v>0</v>
      </c>
      <c r="Z44" s="5">
        <f t="shared" si="0"/>
        <v>39300000</v>
      </c>
      <c r="AA44" s="5">
        <v>0</v>
      </c>
      <c r="AB44" s="5">
        <f t="shared" si="1"/>
        <v>42000000</v>
      </c>
      <c r="AC44" s="5" t="s">
        <v>260</v>
      </c>
      <c r="AD44" s="4" t="s">
        <v>51</v>
      </c>
      <c r="AE44" s="5">
        <f t="shared" si="2"/>
        <v>0.93571428571428572</v>
      </c>
      <c r="AF44" s="5">
        <v>21000000</v>
      </c>
      <c r="AG44" s="4"/>
      <c r="AH44" s="5">
        <v>1</v>
      </c>
      <c r="AI44" s="5">
        <v>1</v>
      </c>
      <c r="AJ44" s="7" t="s">
        <v>261</v>
      </c>
      <c r="AK44" s="5">
        <v>0</v>
      </c>
      <c r="AL44" s="5">
        <v>0</v>
      </c>
      <c r="AM44" s="4">
        <v>2026</v>
      </c>
      <c r="AN44" s="5">
        <v>1</v>
      </c>
      <c r="AO44" s="5">
        <v>1</v>
      </c>
      <c r="AP44" s="8"/>
      <c r="AQ44" s="8"/>
      <c r="AR44" s="8">
        <f t="shared" si="3"/>
        <v>0</v>
      </c>
      <c r="AS44" s="8">
        <f t="shared" si="4"/>
        <v>2700000</v>
      </c>
      <c r="AT44" s="8">
        <f t="shared" si="5"/>
        <v>31080000</v>
      </c>
      <c r="AU44" s="8">
        <f t="shared" si="6"/>
        <v>10920000</v>
      </c>
      <c r="AV44" s="4" t="s">
        <v>259</v>
      </c>
      <c r="AW44" s="7" t="s">
        <v>261</v>
      </c>
      <c r="AX44" s="5">
        <v>30000000</v>
      </c>
      <c r="AY44">
        <f t="shared" si="7"/>
        <v>0</v>
      </c>
      <c r="AZ44">
        <f t="shared" si="8"/>
        <v>10920000</v>
      </c>
      <c r="BA44" s="5">
        <v>72000000</v>
      </c>
      <c r="BB44" s="5">
        <v>0</v>
      </c>
      <c r="BC44" s="4" t="s">
        <v>49</v>
      </c>
      <c r="BD44" s="4">
        <v>46335</v>
      </c>
      <c r="BE44" t="s">
        <v>54</v>
      </c>
    </row>
    <row r="45" spans="1:57" ht="270.75" thickBot="1" x14ac:dyDescent="0.3">
      <c r="A45" s="4" t="s">
        <v>262</v>
      </c>
      <c r="B45" s="4">
        <v>3002</v>
      </c>
      <c r="C45" s="5">
        <v>2</v>
      </c>
      <c r="D45" s="4" t="s">
        <v>44</v>
      </c>
      <c r="E45" s="6">
        <v>46231.116408217589</v>
      </c>
      <c r="F45" s="4" t="s">
        <v>263</v>
      </c>
      <c r="G45" s="4" t="s">
        <v>46</v>
      </c>
      <c r="H45" s="4">
        <v>53</v>
      </c>
      <c r="I45" s="4" t="s">
        <v>47</v>
      </c>
      <c r="J45" s="4">
        <v>5309</v>
      </c>
      <c r="K45" s="4" t="s">
        <v>48</v>
      </c>
      <c r="L45" s="4">
        <v>5309072</v>
      </c>
      <c r="M45" s="4">
        <v>5309072007</v>
      </c>
      <c r="N45" s="4" t="s">
        <v>49</v>
      </c>
      <c r="O45" s="4">
        <v>46339</v>
      </c>
      <c r="P45" s="4" t="s">
        <v>264</v>
      </c>
      <c r="Q45" s="5">
        <v>1</v>
      </c>
      <c r="R45" s="5">
        <v>0</v>
      </c>
      <c r="S45" s="5">
        <v>400000</v>
      </c>
      <c r="T45" s="5">
        <v>1000000</v>
      </c>
      <c r="U45" s="5">
        <v>0</v>
      </c>
      <c r="V45" s="5">
        <v>0</v>
      </c>
      <c r="W45" s="5">
        <v>1400000</v>
      </c>
      <c r="X45" s="5">
        <v>2000000</v>
      </c>
      <c r="Y45" s="5">
        <v>0</v>
      </c>
      <c r="Z45" s="5">
        <f t="shared" si="0"/>
        <v>600000</v>
      </c>
      <c r="AA45" s="5">
        <v>500000</v>
      </c>
      <c r="AB45" s="5">
        <f t="shared" si="1"/>
        <v>1000000</v>
      </c>
      <c r="AC45" s="5" t="s">
        <v>93</v>
      </c>
      <c r="AD45" s="4" t="s">
        <v>51</v>
      </c>
      <c r="AE45" s="5">
        <f t="shared" si="2"/>
        <v>0.6</v>
      </c>
      <c r="AF45" s="5">
        <v>1000000</v>
      </c>
      <c r="AG45" s="5">
        <v>1</v>
      </c>
      <c r="AH45" s="5">
        <v>1</v>
      </c>
      <c r="AI45" s="5">
        <v>1</v>
      </c>
      <c r="AJ45" s="7" t="s">
        <v>265</v>
      </c>
      <c r="AK45" s="5">
        <v>0</v>
      </c>
      <c r="AL45" s="5">
        <v>0</v>
      </c>
      <c r="AM45" s="4">
        <v>2010</v>
      </c>
      <c r="AN45" s="5">
        <v>0</v>
      </c>
      <c r="AO45" s="5">
        <v>1</v>
      </c>
      <c r="AP45" s="8"/>
      <c r="AQ45" s="8"/>
      <c r="AR45" s="8">
        <f t="shared" si="3"/>
        <v>0</v>
      </c>
      <c r="AS45" s="8">
        <f t="shared" si="4"/>
        <v>400000</v>
      </c>
      <c r="AT45" s="8">
        <f t="shared" si="5"/>
        <v>600000</v>
      </c>
      <c r="AU45" s="8">
        <f t="shared" si="6"/>
        <v>400000</v>
      </c>
      <c r="AV45" s="4" t="s">
        <v>264</v>
      </c>
      <c r="AW45" s="7" t="s">
        <v>265</v>
      </c>
      <c r="AX45" s="5">
        <v>1000000</v>
      </c>
      <c r="AY45">
        <f t="shared" si="7"/>
        <v>400000</v>
      </c>
      <c r="AZ45">
        <f t="shared" si="8"/>
        <v>0</v>
      </c>
      <c r="BA45" s="5">
        <v>2000000</v>
      </c>
      <c r="BB45" s="5">
        <v>0</v>
      </c>
      <c r="BC45" s="4" t="s">
        <v>49</v>
      </c>
      <c r="BD45" s="4">
        <v>46339</v>
      </c>
      <c r="BE45" t="s">
        <v>54</v>
      </c>
    </row>
    <row r="46" spans="1:57" ht="270.75" thickBot="1" x14ac:dyDescent="0.3">
      <c r="A46" s="4" t="s">
        <v>266</v>
      </c>
      <c r="B46" s="4">
        <v>2001</v>
      </c>
      <c r="C46" s="5">
        <v>2</v>
      </c>
      <c r="D46" s="4" t="s">
        <v>44</v>
      </c>
      <c r="E46" s="6">
        <v>46245.024572048613</v>
      </c>
      <c r="F46" s="4" t="s">
        <v>267</v>
      </c>
      <c r="G46" s="4" t="s">
        <v>46</v>
      </c>
      <c r="H46" s="4">
        <v>53</v>
      </c>
      <c r="I46" s="4" t="s">
        <v>47</v>
      </c>
      <c r="J46" s="4">
        <v>5309</v>
      </c>
      <c r="K46" s="4" t="s">
        <v>48</v>
      </c>
      <c r="L46" s="4">
        <v>5309072</v>
      </c>
      <c r="M46" s="4">
        <v>5309072007</v>
      </c>
      <c r="N46" s="4" t="s">
        <v>49</v>
      </c>
      <c r="O46" s="4">
        <v>46339</v>
      </c>
      <c r="P46" s="4" t="s">
        <v>268</v>
      </c>
      <c r="Q46" s="5">
        <v>6</v>
      </c>
      <c r="R46" s="5">
        <v>4200000</v>
      </c>
      <c r="S46" s="5">
        <v>0</v>
      </c>
      <c r="T46" s="5">
        <v>50000000</v>
      </c>
      <c r="U46" s="5">
        <v>110000</v>
      </c>
      <c r="V46" s="5">
        <v>3520000</v>
      </c>
      <c r="W46" s="5">
        <v>57830000</v>
      </c>
      <c r="X46" s="5">
        <v>67000000</v>
      </c>
      <c r="Y46" s="5">
        <v>0</v>
      </c>
      <c r="Z46" s="5">
        <f t="shared" si="0"/>
        <v>16890000</v>
      </c>
      <c r="AA46" s="5">
        <v>8000000</v>
      </c>
      <c r="AB46" s="5">
        <f t="shared" si="1"/>
        <v>17000000</v>
      </c>
      <c r="AC46" s="5" t="s">
        <v>269</v>
      </c>
      <c r="AD46" s="4" t="s">
        <v>51</v>
      </c>
      <c r="AE46" s="5">
        <f t="shared" si="2"/>
        <v>0.99352941176470588</v>
      </c>
      <c r="AF46" s="10">
        <v>2833333333</v>
      </c>
      <c r="AG46" s="5">
        <v>1</v>
      </c>
      <c r="AH46" s="5">
        <v>1</v>
      </c>
      <c r="AI46" s="5">
        <v>1</v>
      </c>
      <c r="AJ46" s="7" t="s">
        <v>270</v>
      </c>
      <c r="AK46" s="5">
        <v>0</v>
      </c>
      <c r="AL46" s="5">
        <v>0</v>
      </c>
      <c r="AM46" s="4">
        <v>2015</v>
      </c>
      <c r="AN46" s="5">
        <v>5</v>
      </c>
      <c r="AO46" s="5">
        <v>1</v>
      </c>
      <c r="AP46" s="8"/>
      <c r="AQ46" s="8"/>
      <c r="AR46" s="8">
        <f t="shared" si="3"/>
        <v>0</v>
      </c>
      <c r="AS46" s="8">
        <f t="shared" si="4"/>
        <v>110000</v>
      </c>
      <c r="AT46" s="8">
        <f t="shared" si="5"/>
        <v>12580000</v>
      </c>
      <c r="AU46" s="8">
        <f t="shared" si="6"/>
        <v>4420000</v>
      </c>
      <c r="AV46" s="4" t="s">
        <v>268</v>
      </c>
      <c r="AW46" s="7" t="s">
        <v>270</v>
      </c>
      <c r="AX46" s="5">
        <v>50000000</v>
      </c>
      <c r="AY46">
        <f t="shared" si="7"/>
        <v>0</v>
      </c>
      <c r="AZ46">
        <f t="shared" si="8"/>
        <v>4420000</v>
      </c>
      <c r="BA46" s="5">
        <v>67000000</v>
      </c>
      <c r="BB46" s="5">
        <v>0</v>
      </c>
      <c r="BC46" s="4" t="s">
        <v>49</v>
      </c>
      <c r="BD46" s="4">
        <v>46339</v>
      </c>
      <c r="BE46" t="s">
        <v>54</v>
      </c>
    </row>
    <row r="47" spans="1:57" ht="270.75" thickBot="1" x14ac:dyDescent="0.3">
      <c r="A47" s="4" t="s">
        <v>271</v>
      </c>
      <c r="B47" s="4">
        <v>3002</v>
      </c>
      <c r="C47" s="5">
        <v>2</v>
      </c>
      <c r="D47" s="4" t="s">
        <v>44</v>
      </c>
      <c r="E47" s="6">
        <v>46259.681818865742</v>
      </c>
      <c r="F47" s="4" t="s">
        <v>272</v>
      </c>
      <c r="G47" s="4" t="s">
        <v>46</v>
      </c>
      <c r="H47" s="4">
        <v>53</v>
      </c>
      <c r="I47" s="4" t="s">
        <v>47</v>
      </c>
      <c r="J47" s="4">
        <v>5309</v>
      </c>
      <c r="K47" s="4" t="s">
        <v>48</v>
      </c>
      <c r="L47" s="4">
        <v>5309072</v>
      </c>
      <c r="M47" s="4">
        <v>5309072003</v>
      </c>
      <c r="N47" s="4" t="s">
        <v>49</v>
      </c>
      <c r="O47" s="4">
        <v>46339</v>
      </c>
      <c r="P47" s="4" t="s">
        <v>273</v>
      </c>
      <c r="Q47" s="5">
        <v>2</v>
      </c>
      <c r="R47" s="5">
        <v>0</v>
      </c>
      <c r="S47" s="5">
        <v>3500000</v>
      </c>
      <c r="T47" s="5">
        <v>5000000</v>
      </c>
      <c r="U47" s="5">
        <v>450000</v>
      </c>
      <c r="V47" s="5">
        <v>0</v>
      </c>
      <c r="W47" s="5">
        <v>8950000</v>
      </c>
      <c r="X47" s="5">
        <v>15000000</v>
      </c>
      <c r="Y47" s="5">
        <v>0</v>
      </c>
      <c r="Z47" s="5">
        <f t="shared" si="0"/>
        <v>6050000</v>
      </c>
      <c r="AA47" s="5">
        <v>10500000</v>
      </c>
      <c r="AB47" s="5">
        <f t="shared" si="1"/>
        <v>10000000</v>
      </c>
      <c r="AC47" s="5" t="s">
        <v>172</v>
      </c>
      <c r="AD47" s="4" t="s">
        <v>51</v>
      </c>
      <c r="AE47" s="5">
        <f t="shared" si="2"/>
        <v>0.60499999999999998</v>
      </c>
      <c r="AF47" s="5">
        <v>5000000</v>
      </c>
      <c r="AG47" s="5">
        <v>1</v>
      </c>
      <c r="AH47" s="5">
        <v>1</v>
      </c>
      <c r="AI47" s="5">
        <v>1</v>
      </c>
      <c r="AJ47" s="7" t="s">
        <v>274</v>
      </c>
      <c r="AK47" s="5">
        <v>0</v>
      </c>
      <c r="AL47" s="5">
        <v>0</v>
      </c>
      <c r="AM47" s="4">
        <v>2016</v>
      </c>
      <c r="AN47" s="5">
        <v>0</v>
      </c>
      <c r="AO47" s="5">
        <v>2</v>
      </c>
      <c r="AP47" s="8"/>
      <c r="AQ47" s="8"/>
      <c r="AR47" s="8">
        <f t="shared" si="3"/>
        <v>0</v>
      </c>
      <c r="AS47" s="8">
        <f t="shared" si="4"/>
        <v>3950000</v>
      </c>
      <c r="AT47" s="8">
        <f t="shared" si="5"/>
        <v>6050000</v>
      </c>
      <c r="AU47" s="8">
        <f t="shared" si="6"/>
        <v>3950000</v>
      </c>
      <c r="AV47" s="4" t="s">
        <v>273</v>
      </c>
      <c r="AW47" s="7" t="s">
        <v>274</v>
      </c>
      <c r="AX47" s="5">
        <v>5000000</v>
      </c>
      <c r="AY47">
        <f t="shared" si="7"/>
        <v>3500000</v>
      </c>
      <c r="AZ47">
        <f t="shared" si="8"/>
        <v>450000</v>
      </c>
      <c r="BA47" s="5">
        <v>15000000</v>
      </c>
      <c r="BB47" s="5">
        <v>0</v>
      </c>
      <c r="BC47" s="4" t="s">
        <v>49</v>
      </c>
      <c r="BD47" s="4">
        <v>46339</v>
      </c>
      <c r="BE47" t="s">
        <v>54</v>
      </c>
    </row>
    <row r="48" spans="1:57" ht="270.75" thickBot="1" x14ac:dyDescent="0.3">
      <c r="A48" s="4" t="s">
        <v>275</v>
      </c>
      <c r="B48" s="4">
        <v>3001</v>
      </c>
      <c r="C48" s="5">
        <v>2</v>
      </c>
      <c r="D48" s="4" t="s">
        <v>44</v>
      </c>
      <c r="E48" s="6">
        <v>46257.60323040509</v>
      </c>
      <c r="F48" s="4" t="s">
        <v>276</v>
      </c>
      <c r="G48" s="4" t="s">
        <v>46</v>
      </c>
      <c r="H48" s="4">
        <v>53</v>
      </c>
      <c r="I48" s="4" t="s">
        <v>47</v>
      </c>
      <c r="J48" s="4">
        <v>5309</v>
      </c>
      <c r="K48" s="4" t="s">
        <v>48</v>
      </c>
      <c r="L48" s="4">
        <v>5309072</v>
      </c>
      <c r="M48" s="4">
        <v>5309072002</v>
      </c>
      <c r="N48" s="4" t="s">
        <v>49</v>
      </c>
      <c r="O48" s="4">
        <v>46339</v>
      </c>
      <c r="P48" s="4" t="s">
        <v>277</v>
      </c>
      <c r="Q48" s="5">
        <v>1</v>
      </c>
      <c r="R48" s="5">
        <v>0</v>
      </c>
      <c r="S48" s="5">
        <v>1500000</v>
      </c>
      <c r="T48" s="5">
        <v>3500000</v>
      </c>
      <c r="U48" s="5">
        <v>350000</v>
      </c>
      <c r="V48" s="5">
        <v>0</v>
      </c>
      <c r="W48" s="5">
        <v>5350000</v>
      </c>
      <c r="X48" s="5">
        <v>7000000</v>
      </c>
      <c r="Y48" s="5">
        <v>0</v>
      </c>
      <c r="Z48" s="5">
        <f t="shared" si="0"/>
        <v>1650000</v>
      </c>
      <c r="AA48" s="5">
        <v>3250000</v>
      </c>
      <c r="AB48" s="5">
        <f t="shared" si="1"/>
        <v>3500000</v>
      </c>
      <c r="AC48" s="5" t="s">
        <v>93</v>
      </c>
      <c r="AD48" s="4" t="s">
        <v>51</v>
      </c>
      <c r="AE48" s="5">
        <f t="shared" si="2"/>
        <v>0.47142857142857142</v>
      </c>
      <c r="AF48" s="5">
        <v>3500000</v>
      </c>
      <c r="AG48" s="5">
        <v>1</v>
      </c>
      <c r="AH48" s="5">
        <v>1</v>
      </c>
      <c r="AI48" s="5">
        <v>1</v>
      </c>
      <c r="AJ48" s="7" t="s">
        <v>278</v>
      </c>
      <c r="AK48" s="5">
        <v>0</v>
      </c>
      <c r="AL48" s="5">
        <v>0</v>
      </c>
      <c r="AM48" s="4">
        <v>2022</v>
      </c>
      <c r="AN48" s="5">
        <v>0</v>
      </c>
      <c r="AO48" s="5">
        <v>1</v>
      </c>
      <c r="AP48" s="8"/>
      <c r="AQ48" s="8"/>
      <c r="AR48" s="8">
        <f t="shared" si="3"/>
        <v>0</v>
      </c>
      <c r="AS48" s="8">
        <f t="shared" si="4"/>
        <v>1850000</v>
      </c>
      <c r="AT48" s="8">
        <f t="shared" si="5"/>
        <v>1650000</v>
      </c>
      <c r="AU48" s="8">
        <f t="shared" si="6"/>
        <v>1850000</v>
      </c>
      <c r="AV48" s="4" t="s">
        <v>277</v>
      </c>
      <c r="AW48" s="7" t="s">
        <v>278</v>
      </c>
      <c r="AX48" s="5">
        <v>3500000</v>
      </c>
      <c r="AY48">
        <f t="shared" si="7"/>
        <v>1500000</v>
      </c>
      <c r="AZ48">
        <f t="shared" si="8"/>
        <v>350000</v>
      </c>
      <c r="BA48" s="5">
        <v>7000000</v>
      </c>
      <c r="BB48" s="5">
        <v>0</v>
      </c>
      <c r="BC48" s="4" t="s">
        <v>49</v>
      </c>
      <c r="BD48" s="4">
        <v>46339</v>
      </c>
      <c r="BE48" t="s">
        <v>54</v>
      </c>
    </row>
    <row r="49" spans="1:57" ht="270.75" thickBot="1" x14ac:dyDescent="0.3">
      <c r="A49" s="4" t="s">
        <v>279</v>
      </c>
      <c r="B49" s="4">
        <v>1002</v>
      </c>
      <c r="C49" s="5">
        <v>2</v>
      </c>
      <c r="D49" s="4" t="s">
        <v>44</v>
      </c>
      <c r="E49" s="6">
        <v>46221.360687476852</v>
      </c>
      <c r="F49" s="4" t="s">
        <v>280</v>
      </c>
      <c r="G49" s="4" t="s">
        <v>46</v>
      </c>
      <c r="H49" s="4">
        <v>53</v>
      </c>
      <c r="I49" s="4" t="s">
        <v>47</v>
      </c>
      <c r="J49" s="4">
        <v>5309</v>
      </c>
      <c r="K49" s="4" t="s">
        <v>48</v>
      </c>
      <c r="L49" s="4">
        <v>5309072</v>
      </c>
      <c r="M49" s="4">
        <v>5309072007</v>
      </c>
      <c r="N49" s="4" t="s">
        <v>49</v>
      </c>
      <c r="O49" s="4">
        <v>46339</v>
      </c>
      <c r="P49" s="4" t="s">
        <v>281</v>
      </c>
      <c r="Q49" s="5">
        <v>2</v>
      </c>
      <c r="R49" s="5">
        <v>0</v>
      </c>
      <c r="S49" s="5">
        <v>0</v>
      </c>
      <c r="T49" s="5">
        <v>500000</v>
      </c>
      <c r="U49" s="5">
        <v>0</v>
      </c>
      <c r="V49" s="5">
        <v>0</v>
      </c>
      <c r="W49" s="5">
        <v>500000</v>
      </c>
      <c r="X49" s="5">
        <v>1500000</v>
      </c>
      <c r="Y49" s="5">
        <v>0</v>
      </c>
      <c r="Z49" s="5">
        <f t="shared" si="0"/>
        <v>1000000</v>
      </c>
      <c r="AA49" s="5">
        <v>2800000</v>
      </c>
      <c r="AB49" s="5">
        <f t="shared" si="1"/>
        <v>1000000</v>
      </c>
      <c r="AC49" s="5" t="s">
        <v>172</v>
      </c>
      <c r="AD49" s="4" t="s">
        <v>51</v>
      </c>
      <c r="AE49" s="5">
        <f t="shared" si="2"/>
        <v>1</v>
      </c>
      <c r="AF49" s="5">
        <v>500000</v>
      </c>
      <c r="AG49" s="5">
        <v>0</v>
      </c>
      <c r="AH49" s="5">
        <v>1</v>
      </c>
      <c r="AI49" s="5">
        <v>1</v>
      </c>
      <c r="AJ49" s="7" t="s">
        <v>282</v>
      </c>
      <c r="AK49" s="5">
        <v>0</v>
      </c>
      <c r="AL49" s="5">
        <v>0</v>
      </c>
      <c r="AM49" s="4">
        <v>2023</v>
      </c>
      <c r="AN49" s="5">
        <v>0</v>
      </c>
      <c r="AO49" s="5">
        <v>2</v>
      </c>
      <c r="AP49" s="8"/>
      <c r="AQ49" s="8"/>
      <c r="AR49" s="8">
        <f t="shared" si="3"/>
        <v>0</v>
      </c>
      <c r="AS49" s="8">
        <f t="shared" si="4"/>
        <v>0</v>
      </c>
      <c r="AT49" s="8">
        <f t="shared" si="5"/>
        <v>740000</v>
      </c>
      <c r="AU49" s="8">
        <f t="shared" si="6"/>
        <v>260000</v>
      </c>
      <c r="AV49" s="4" t="s">
        <v>281</v>
      </c>
      <c r="AW49" s="7" t="s">
        <v>282</v>
      </c>
      <c r="AX49" s="5">
        <v>500000</v>
      </c>
      <c r="AY49" t="e">
        <f t="shared" si="7"/>
        <v>#DIV/0!</v>
      </c>
      <c r="AZ49" t="e">
        <f t="shared" si="8"/>
        <v>#DIV/0!</v>
      </c>
      <c r="BA49" s="5">
        <v>1500000</v>
      </c>
      <c r="BB49" s="5">
        <v>0</v>
      </c>
      <c r="BC49" s="4" t="s">
        <v>49</v>
      </c>
      <c r="BD49" s="4">
        <v>46339</v>
      </c>
      <c r="BE49" t="s">
        <v>54</v>
      </c>
    </row>
    <row r="50" spans="1:57" ht="270.75" thickBot="1" x14ac:dyDescent="0.3">
      <c r="A50" s="4" t="s">
        <v>283</v>
      </c>
      <c r="B50" s="4">
        <v>2001</v>
      </c>
      <c r="C50" s="5">
        <v>2</v>
      </c>
      <c r="D50" s="4" t="s">
        <v>44</v>
      </c>
      <c r="E50" s="6">
        <v>46231.032973472225</v>
      </c>
      <c r="F50" s="4" t="s">
        <v>284</v>
      </c>
      <c r="G50" s="4" t="s">
        <v>46</v>
      </c>
      <c r="H50" s="4">
        <v>53</v>
      </c>
      <c r="I50" s="4" t="s">
        <v>47</v>
      </c>
      <c r="J50" s="4">
        <v>5309</v>
      </c>
      <c r="K50" s="4" t="s">
        <v>48</v>
      </c>
      <c r="L50" s="4">
        <v>5309072</v>
      </c>
      <c r="M50" s="4">
        <v>5309072007</v>
      </c>
      <c r="N50" s="4" t="s">
        <v>49</v>
      </c>
      <c r="O50" s="4">
        <v>46339</v>
      </c>
      <c r="P50" s="4" t="s">
        <v>285</v>
      </c>
      <c r="Q50" s="5">
        <v>4</v>
      </c>
      <c r="R50" s="5">
        <v>5050000</v>
      </c>
      <c r="S50" s="5">
        <v>0</v>
      </c>
      <c r="T50" s="5">
        <v>25000000</v>
      </c>
      <c r="U50" s="5">
        <v>550000</v>
      </c>
      <c r="V50" s="5">
        <v>3000000</v>
      </c>
      <c r="W50" s="5">
        <v>33600000</v>
      </c>
      <c r="X50" s="5">
        <v>150000000</v>
      </c>
      <c r="Y50" s="5">
        <v>0</v>
      </c>
      <c r="Z50" s="5">
        <f t="shared" si="0"/>
        <v>124450000</v>
      </c>
      <c r="AA50" s="5">
        <v>25000000</v>
      </c>
      <c r="AB50" s="5">
        <f t="shared" si="1"/>
        <v>125000000</v>
      </c>
      <c r="AC50" s="5" t="s">
        <v>286</v>
      </c>
      <c r="AD50" s="4" t="s">
        <v>51</v>
      </c>
      <c r="AE50" s="5">
        <f t="shared" si="2"/>
        <v>0.99560000000000004</v>
      </c>
      <c r="AF50" s="5">
        <v>31250000</v>
      </c>
      <c r="AG50" s="5">
        <v>1</v>
      </c>
      <c r="AH50" s="5">
        <v>1</v>
      </c>
      <c r="AI50" s="5">
        <v>1</v>
      </c>
      <c r="AJ50" s="7" t="s">
        <v>287</v>
      </c>
      <c r="AK50" s="5">
        <v>0</v>
      </c>
      <c r="AL50" s="5">
        <v>0</v>
      </c>
      <c r="AM50" s="4">
        <v>2022</v>
      </c>
      <c r="AN50" s="5">
        <v>4</v>
      </c>
      <c r="AO50" s="5">
        <v>0</v>
      </c>
      <c r="AP50" s="8"/>
      <c r="AQ50" s="8"/>
      <c r="AR50" s="8">
        <f t="shared" si="3"/>
        <v>0</v>
      </c>
      <c r="AS50" s="8">
        <f t="shared" si="4"/>
        <v>550000</v>
      </c>
      <c r="AT50" s="8">
        <f t="shared" si="5"/>
        <v>92500000</v>
      </c>
      <c r="AU50" s="8">
        <f t="shared" si="6"/>
        <v>32500000</v>
      </c>
      <c r="AV50" s="4" t="s">
        <v>285</v>
      </c>
      <c r="AW50" s="7" t="s">
        <v>287</v>
      </c>
      <c r="AX50" s="5">
        <v>25000000</v>
      </c>
      <c r="AY50">
        <f t="shared" si="7"/>
        <v>0</v>
      </c>
      <c r="AZ50">
        <f t="shared" si="8"/>
        <v>32500000</v>
      </c>
      <c r="BA50" s="5">
        <v>150000000</v>
      </c>
      <c r="BB50" s="5">
        <v>0</v>
      </c>
      <c r="BC50" s="4" t="s">
        <v>49</v>
      </c>
      <c r="BD50" s="4">
        <v>46339</v>
      </c>
      <c r="BE50" t="s">
        <v>54</v>
      </c>
    </row>
    <row r="51" spans="1:57" ht="270.75" thickBot="1" x14ac:dyDescent="0.3">
      <c r="A51" s="4" t="s">
        <v>288</v>
      </c>
      <c r="B51" s="4">
        <v>3001</v>
      </c>
      <c r="C51" s="5">
        <v>2</v>
      </c>
      <c r="D51" s="4" t="s">
        <v>44</v>
      </c>
      <c r="E51" s="6">
        <v>46252.379417453703</v>
      </c>
      <c r="F51" s="4" t="s">
        <v>289</v>
      </c>
      <c r="G51" s="4" t="s">
        <v>46</v>
      </c>
      <c r="H51" s="4">
        <v>53</v>
      </c>
      <c r="I51" s="4" t="s">
        <v>47</v>
      </c>
      <c r="J51" s="4">
        <v>5309</v>
      </c>
      <c r="K51" s="4" t="s">
        <v>48</v>
      </c>
      <c r="L51" s="4">
        <v>5309072</v>
      </c>
      <c r="M51" s="4">
        <v>5309072007</v>
      </c>
      <c r="N51" s="4" t="s">
        <v>49</v>
      </c>
      <c r="O51" s="4">
        <v>46339</v>
      </c>
      <c r="P51" s="4" t="s">
        <v>290</v>
      </c>
      <c r="Q51" s="5">
        <v>3</v>
      </c>
      <c r="R51" s="5">
        <v>0</v>
      </c>
      <c r="S51" s="5">
        <v>0</v>
      </c>
      <c r="T51" s="5">
        <v>10000000</v>
      </c>
      <c r="U51" s="5">
        <v>150000</v>
      </c>
      <c r="V51" s="5">
        <v>0</v>
      </c>
      <c r="W51" s="5">
        <v>10150000</v>
      </c>
      <c r="X51" s="5">
        <v>12986540</v>
      </c>
      <c r="Y51" s="5">
        <v>0</v>
      </c>
      <c r="Z51" s="5">
        <f t="shared" si="0"/>
        <v>2836540</v>
      </c>
      <c r="AA51" s="5">
        <v>232800000</v>
      </c>
      <c r="AB51" s="5">
        <f t="shared" si="1"/>
        <v>2986540</v>
      </c>
      <c r="AC51" s="5" t="s">
        <v>291</v>
      </c>
      <c r="AD51" s="4" t="s">
        <v>51</v>
      </c>
      <c r="AE51" s="5">
        <f t="shared" si="2"/>
        <v>0.94977465562155539</v>
      </c>
      <c r="AF51" s="10">
        <v>9955133333</v>
      </c>
      <c r="AG51" s="5">
        <v>1</v>
      </c>
      <c r="AH51" s="5">
        <v>1</v>
      </c>
      <c r="AI51" s="5">
        <v>1</v>
      </c>
      <c r="AJ51" s="7" t="s">
        <v>292</v>
      </c>
      <c r="AK51" s="5">
        <v>0</v>
      </c>
      <c r="AL51" s="5">
        <v>0</v>
      </c>
      <c r="AM51" s="4">
        <v>1990</v>
      </c>
      <c r="AN51" s="5">
        <v>0</v>
      </c>
      <c r="AO51" s="5">
        <v>3</v>
      </c>
      <c r="AP51" s="8"/>
      <c r="AQ51" s="8"/>
      <c r="AR51" s="8">
        <f t="shared" si="3"/>
        <v>0</v>
      </c>
      <c r="AS51" s="8">
        <f t="shared" si="4"/>
        <v>150000</v>
      </c>
      <c r="AT51" s="8">
        <f t="shared" si="5"/>
        <v>2210039.6</v>
      </c>
      <c r="AU51" s="8">
        <f t="shared" si="6"/>
        <v>776500.39999999991</v>
      </c>
      <c r="AV51" s="4" t="s">
        <v>290</v>
      </c>
      <c r="AW51" s="7" t="s">
        <v>292</v>
      </c>
      <c r="AX51" s="5">
        <v>10000000</v>
      </c>
      <c r="AY51">
        <f t="shared" si="7"/>
        <v>0</v>
      </c>
      <c r="AZ51">
        <f t="shared" si="8"/>
        <v>776500.39999999991</v>
      </c>
      <c r="BA51" s="5">
        <v>12986540</v>
      </c>
      <c r="BB51" s="5">
        <v>0</v>
      </c>
      <c r="BC51" s="4" t="s">
        <v>49</v>
      </c>
      <c r="BD51" s="4">
        <v>46339</v>
      </c>
      <c r="BE51" t="s">
        <v>54</v>
      </c>
    </row>
    <row r="52" spans="1:57" ht="270.75" thickBot="1" x14ac:dyDescent="0.3">
      <c r="A52" s="4" t="s">
        <v>293</v>
      </c>
      <c r="B52" s="4">
        <v>3001</v>
      </c>
      <c r="C52" s="5">
        <v>2</v>
      </c>
      <c r="D52" s="4" t="s">
        <v>44</v>
      </c>
      <c r="E52" s="6">
        <v>46241.238744664355</v>
      </c>
      <c r="F52" s="4" t="s">
        <v>294</v>
      </c>
      <c r="G52" s="4" t="s">
        <v>46</v>
      </c>
      <c r="H52" s="4">
        <v>53</v>
      </c>
      <c r="I52" s="4" t="s">
        <v>47</v>
      </c>
      <c r="J52" s="4">
        <v>5309</v>
      </c>
      <c r="K52" s="4" t="s">
        <v>48</v>
      </c>
      <c r="L52" s="4">
        <v>5309072</v>
      </c>
      <c r="M52" s="4">
        <v>5309072007</v>
      </c>
      <c r="N52" s="4" t="s">
        <v>49</v>
      </c>
      <c r="O52" s="4">
        <v>46339</v>
      </c>
      <c r="P52" s="4" t="s">
        <v>295</v>
      </c>
      <c r="Q52" s="5">
        <v>2</v>
      </c>
      <c r="R52" s="5">
        <v>0</v>
      </c>
      <c r="S52" s="5">
        <v>4000000</v>
      </c>
      <c r="T52" s="5">
        <v>7500000</v>
      </c>
      <c r="U52" s="5">
        <v>0</v>
      </c>
      <c r="V52" s="5">
        <v>0</v>
      </c>
      <c r="W52" s="5">
        <v>11500000</v>
      </c>
      <c r="X52" s="5">
        <v>17500000</v>
      </c>
      <c r="Y52" s="5">
        <v>0</v>
      </c>
      <c r="Z52" s="5">
        <f t="shared" si="0"/>
        <v>6000000</v>
      </c>
      <c r="AA52" s="5">
        <v>1000000</v>
      </c>
      <c r="AB52" s="5">
        <f t="shared" si="1"/>
        <v>10000000</v>
      </c>
      <c r="AC52" s="5" t="s">
        <v>296</v>
      </c>
      <c r="AD52" s="4" t="s">
        <v>51</v>
      </c>
      <c r="AE52" s="5">
        <f t="shared" si="2"/>
        <v>0.6</v>
      </c>
      <c r="AF52" s="5">
        <v>5000000</v>
      </c>
      <c r="AG52" s="5">
        <v>1</v>
      </c>
      <c r="AH52" s="5">
        <v>1</v>
      </c>
      <c r="AI52" s="5">
        <v>1</v>
      </c>
      <c r="AJ52" s="7" t="s">
        <v>297</v>
      </c>
      <c r="AK52" s="5">
        <v>0</v>
      </c>
      <c r="AL52" s="5">
        <v>0</v>
      </c>
      <c r="AM52" s="4">
        <v>2019</v>
      </c>
      <c r="AN52" s="5">
        <v>0</v>
      </c>
      <c r="AO52" s="5">
        <v>2</v>
      </c>
      <c r="AP52" s="8"/>
      <c r="AQ52" s="8"/>
      <c r="AR52" s="8">
        <f t="shared" si="3"/>
        <v>0</v>
      </c>
      <c r="AS52" s="8">
        <f t="shared" si="4"/>
        <v>4000000</v>
      </c>
      <c r="AT52" s="8">
        <f t="shared" si="5"/>
        <v>6000000</v>
      </c>
      <c r="AU52" s="8">
        <f t="shared" si="6"/>
        <v>4000000</v>
      </c>
      <c r="AV52" s="4" t="s">
        <v>295</v>
      </c>
      <c r="AW52" s="7" t="s">
        <v>297</v>
      </c>
      <c r="AX52" s="5">
        <v>7500000</v>
      </c>
      <c r="AY52">
        <f t="shared" si="7"/>
        <v>4000000</v>
      </c>
      <c r="AZ52">
        <f t="shared" si="8"/>
        <v>0</v>
      </c>
      <c r="BA52" s="5">
        <v>17500000</v>
      </c>
      <c r="BB52" s="5">
        <v>0</v>
      </c>
      <c r="BC52" s="4" t="s">
        <v>49</v>
      </c>
      <c r="BD52" s="4">
        <v>46339</v>
      </c>
      <c r="BE52" t="s">
        <v>54</v>
      </c>
    </row>
    <row r="53" spans="1:57" ht="270.75" thickBot="1" x14ac:dyDescent="0.3">
      <c r="A53" s="4" t="s">
        <v>298</v>
      </c>
      <c r="B53" s="4">
        <v>2001</v>
      </c>
      <c r="C53" s="5">
        <v>2</v>
      </c>
      <c r="D53" s="4" t="s">
        <v>44</v>
      </c>
      <c r="E53" s="6">
        <v>46266.537890277781</v>
      </c>
      <c r="F53" s="4" t="s">
        <v>299</v>
      </c>
      <c r="G53" s="4" t="s">
        <v>46</v>
      </c>
      <c r="H53" s="4">
        <v>53</v>
      </c>
      <c r="I53" s="4" t="s">
        <v>47</v>
      </c>
      <c r="J53" s="4">
        <v>5309</v>
      </c>
      <c r="K53" s="4" t="s">
        <v>48</v>
      </c>
      <c r="L53" s="4">
        <v>5309072</v>
      </c>
      <c r="M53" s="4">
        <v>5309072002</v>
      </c>
      <c r="N53" s="4" t="s">
        <v>49</v>
      </c>
      <c r="O53" s="4">
        <v>46339</v>
      </c>
      <c r="P53" s="4" t="s">
        <v>300</v>
      </c>
      <c r="Q53" s="5">
        <v>1</v>
      </c>
      <c r="R53" s="5">
        <v>0</v>
      </c>
      <c r="S53" s="5">
        <v>0</v>
      </c>
      <c r="T53" s="5">
        <v>10000000</v>
      </c>
      <c r="U53" s="5">
        <v>160000</v>
      </c>
      <c r="V53" s="5">
        <v>830000</v>
      </c>
      <c r="W53" s="5">
        <v>10990000</v>
      </c>
      <c r="X53" s="5">
        <v>12000000</v>
      </c>
      <c r="Y53" s="5">
        <v>0</v>
      </c>
      <c r="Z53" s="5">
        <f t="shared" si="0"/>
        <v>1840000</v>
      </c>
      <c r="AA53" s="5">
        <v>33100000</v>
      </c>
      <c r="AB53" s="5">
        <f t="shared" si="1"/>
        <v>2000000</v>
      </c>
      <c r="AC53" s="5" t="s">
        <v>192</v>
      </c>
      <c r="AD53" s="4" t="s">
        <v>51</v>
      </c>
      <c r="AE53" s="5">
        <f t="shared" si="2"/>
        <v>0.92</v>
      </c>
      <c r="AF53" s="5">
        <v>2000000</v>
      </c>
      <c r="AG53" s="5">
        <v>1</v>
      </c>
      <c r="AH53" s="5">
        <v>1</v>
      </c>
      <c r="AI53" s="5">
        <v>1</v>
      </c>
      <c r="AJ53" s="7" t="s">
        <v>301</v>
      </c>
      <c r="AK53" s="5">
        <v>0</v>
      </c>
      <c r="AL53" s="5">
        <v>0</v>
      </c>
      <c r="AM53" s="4">
        <v>2016</v>
      </c>
      <c r="AN53" s="5">
        <v>0</v>
      </c>
      <c r="AO53" s="5">
        <v>1</v>
      </c>
      <c r="AP53" s="8"/>
      <c r="AQ53" s="8"/>
      <c r="AR53" s="8">
        <f t="shared" si="3"/>
        <v>0</v>
      </c>
      <c r="AS53" s="8">
        <f t="shared" si="4"/>
        <v>160000</v>
      </c>
      <c r="AT53" s="8">
        <f t="shared" si="5"/>
        <v>1480000</v>
      </c>
      <c r="AU53" s="8">
        <f t="shared" si="6"/>
        <v>520000</v>
      </c>
      <c r="AV53" s="4" t="s">
        <v>300</v>
      </c>
      <c r="AW53" s="7" t="s">
        <v>301</v>
      </c>
      <c r="AX53" s="5">
        <v>10000000</v>
      </c>
      <c r="AY53">
        <f t="shared" si="7"/>
        <v>0</v>
      </c>
      <c r="AZ53">
        <f t="shared" si="8"/>
        <v>520000</v>
      </c>
      <c r="BA53" s="5">
        <v>12000000</v>
      </c>
      <c r="BB53" s="5">
        <v>0</v>
      </c>
      <c r="BC53" s="4" t="s">
        <v>49</v>
      </c>
      <c r="BD53" s="4">
        <v>46339</v>
      </c>
      <c r="BE53" t="s">
        <v>54</v>
      </c>
    </row>
    <row r="54" spans="1:57" ht="270.75" thickBot="1" x14ac:dyDescent="0.3">
      <c r="A54" s="4" t="s">
        <v>302</v>
      </c>
      <c r="B54" s="4">
        <v>3001</v>
      </c>
      <c r="C54" s="5">
        <v>2</v>
      </c>
      <c r="D54" s="4" t="s">
        <v>44</v>
      </c>
      <c r="E54" s="6">
        <v>46265.108006226852</v>
      </c>
      <c r="F54" s="4" t="s">
        <v>303</v>
      </c>
      <c r="G54" s="4" t="s">
        <v>46</v>
      </c>
      <c r="H54" s="4">
        <v>53</v>
      </c>
      <c r="I54" s="4" t="s">
        <v>47</v>
      </c>
      <c r="J54" s="4">
        <v>5309</v>
      </c>
      <c r="K54" s="4" t="s">
        <v>48</v>
      </c>
      <c r="L54" s="4">
        <v>5309011</v>
      </c>
      <c r="M54" s="4">
        <v>5309011003</v>
      </c>
      <c r="N54" s="4" t="s">
        <v>49</v>
      </c>
      <c r="O54" s="4">
        <v>46339</v>
      </c>
      <c r="P54" s="4" t="s">
        <v>304</v>
      </c>
      <c r="Q54" s="5">
        <v>2</v>
      </c>
      <c r="R54" s="5">
        <v>200000</v>
      </c>
      <c r="S54" s="5">
        <v>40000000</v>
      </c>
      <c r="T54" s="5">
        <v>10000000</v>
      </c>
      <c r="U54" s="5">
        <v>800000</v>
      </c>
      <c r="V54" s="5">
        <v>200000</v>
      </c>
      <c r="W54" s="5">
        <v>51200000</v>
      </c>
      <c r="X54" s="5">
        <v>75000000</v>
      </c>
      <c r="Y54" s="5">
        <v>0</v>
      </c>
      <c r="Z54" s="5">
        <f t="shared" si="0"/>
        <v>24200000</v>
      </c>
      <c r="AA54" s="5">
        <v>15000000</v>
      </c>
      <c r="AB54" s="5">
        <f t="shared" si="1"/>
        <v>65000000</v>
      </c>
      <c r="AC54" s="5" t="s">
        <v>305</v>
      </c>
      <c r="AD54" s="4" t="s">
        <v>51</v>
      </c>
      <c r="AE54" s="5">
        <f t="shared" si="2"/>
        <v>0.37230769230769228</v>
      </c>
      <c r="AF54" s="5">
        <v>32500000</v>
      </c>
      <c r="AG54" s="5">
        <v>1</v>
      </c>
      <c r="AH54" s="5">
        <v>1</v>
      </c>
      <c r="AI54" s="5">
        <v>1</v>
      </c>
      <c r="AJ54" s="7" t="s">
        <v>306</v>
      </c>
      <c r="AK54" s="5">
        <v>0</v>
      </c>
      <c r="AL54" s="5">
        <v>0</v>
      </c>
      <c r="AM54" s="4">
        <v>2015</v>
      </c>
      <c r="AN54" s="5">
        <v>2</v>
      </c>
      <c r="AO54" s="5">
        <v>0</v>
      </c>
      <c r="AP54" s="8"/>
      <c r="AQ54" s="8"/>
      <c r="AR54" s="8">
        <f t="shared" si="3"/>
        <v>0</v>
      </c>
      <c r="AS54" s="8">
        <f t="shared" si="4"/>
        <v>40800000</v>
      </c>
      <c r="AT54" s="8">
        <f t="shared" si="5"/>
        <v>24200000</v>
      </c>
      <c r="AU54" s="8">
        <f t="shared" si="6"/>
        <v>40800000</v>
      </c>
      <c r="AV54" s="4" t="s">
        <v>304</v>
      </c>
      <c r="AW54" s="7" t="s">
        <v>306</v>
      </c>
      <c r="AX54" s="5">
        <v>10000000</v>
      </c>
      <c r="AY54">
        <f t="shared" si="7"/>
        <v>40000000</v>
      </c>
      <c r="AZ54">
        <f t="shared" si="8"/>
        <v>800000</v>
      </c>
      <c r="BA54" s="5">
        <v>75000000</v>
      </c>
      <c r="BB54" s="5">
        <v>0</v>
      </c>
      <c r="BC54" s="4" t="s">
        <v>49</v>
      </c>
      <c r="BD54" s="4">
        <v>46339</v>
      </c>
      <c r="BE54" t="s">
        <v>54</v>
      </c>
    </row>
    <row r="55" spans="1:57" ht="270.75" thickBot="1" x14ac:dyDescent="0.3">
      <c r="A55" s="4" t="s">
        <v>307</v>
      </c>
      <c r="B55" s="4">
        <v>1</v>
      </c>
      <c r="C55" s="5">
        <v>2</v>
      </c>
      <c r="D55" s="4" t="s">
        <v>44</v>
      </c>
      <c r="E55" s="6">
        <v>46269.929953194442</v>
      </c>
      <c r="F55" s="4" t="s">
        <v>308</v>
      </c>
      <c r="G55" s="4" t="s">
        <v>46</v>
      </c>
      <c r="H55" s="4">
        <v>53</v>
      </c>
      <c r="I55" s="4" t="s">
        <v>47</v>
      </c>
      <c r="J55" s="4">
        <v>5309</v>
      </c>
      <c r="K55" s="4" t="s">
        <v>48</v>
      </c>
      <c r="L55" s="4">
        <v>5309030</v>
      </c>
      <c r="M55" s="4">
        <v>5309030013</v>
      </c>
      <c r="N55" s="4" t="s">
        <v>49</v>
      </c>
      <c r="O55" s="4">
        <v>46339</v>
      </c>
      <c r="P55" s="4" t="s">
        <v>309</v>
      </c>
      <c r="Q55" s="5">
        <v>1</v>
      </c>
      <c r="R55" s="5">
        <v>0</v>
      </c>
      <c r="S55" s="5">
        <v>1000000</v>
      </c>
      <c r="T55" s="5">
        <v>200000</v>
      </c>
      <c r="U55" s="5">
        <v>200000</v>
      </c>
      <c r="V55" s="5">
        <v>0</v>
      </c>
      <c r="W55" s="5">
        <v>1400000</v>
      </c>
      <c r="X55" s="5">
        <v>2000000</v>
      </c>
      <c r="Y55" s="5">
        <v>300000</v>
      </c>
      <c r="Z55" s="5">
        <f t="shared" si="0"/>
        <v>600000</v>
      </c>
      <c r="AA55" s="5">
        <v>0</v>
      </c>
      <c r="AB55" s="5">
        <f t="shared" si="1"/>
        <v>1800000</v>
      </c>
      <c r="AC55" s="5" t="s">
        <v>310</v>
      </c>
      <c r="AD55" s="4" t="s">
        <v>51</v>
      </c>
      <c r="AE55" s="5">
        <f t="shared" si="2"/>
        <v>0.33333333333333331</v>
      </c>
      <c r="AF55" s="5">
        <v>1800000</v>
      </c>
      <c r="AG55" s="4"/>
      <c r="AH55" s="5">
        <v>1</v>
      </c>
      <c r="AI55" s="5">
        <v>1</v>
      </c>
      <c r="AJ55" s="7" t="s">
        <v>311</v>
      </c>
      <c r="AK55" s="5">
        <v>0</v>
      </c>
      <c r="AL55" s="5">
        <v>0</v>
      </c>
      <c r="AM55" s="4">
        <v>2024</v>
      </c>
      <c r="AN55" s="5">
        <v>0</v>
      </c>
      <c r="AO55" s="5">
        <v>1</v>
      </c>
      <c r="AP55" s="8"/>
      <c r="AQ55" s="8"/>
      <c r="AR55" s="8">
        <f t="shared" si="3"/>
        <v>0</v>
      </c>
      <c r="AS55" s="8">
        <f t="shared" si="4"/>
        <v>1200000</v>
      </c>
      <c r="AT55" s="8">
        <f t="shared" si="5"/>
        <v>600000</v>
      </c>
      <c r="AU55" s="8">
        <f t="shared" si="6"/>
        <v>1200000</v>
      </c>
      <c r="AV55" s="4" t="s">
        <v>309</v>
      </c>
      <c r="AW55" s="7" t="s">
        <v>311</v>
      </c>
      <c r="AX55" s="5">
        <v>200000</v>
      </c>
      <c r="AY55">
        <f t="shared" si="7"/>
        <v>1000000</v>
      </c>
      <c r="AZ55">
        <f t="shared" si="8"/>
        <v>200000</v>
      </c>
      <c r="BA55" s="5">
        <v>2000000</v>
      </c>
      <c r="BB55" s="5">
        <v>300000</v>
      </c>
      <c r="BC55" s="4" t="s">
        <v>49</v>
      </c>
      <c r="BD55" s="4">
        <v>46339</v>
      </c>
      <c r="BE55" t="s">
        <v>54</v>
      </c>
    </row>
    <row r="56" spans="1:57" ht="270.75" thickBot="1" x14ac:dyDescent="0.3">
      <c r="A56" s="4" t="s">
        <v>312</v>
      </c>
      <c r="B56" s="4">
        <v>3001</v>
      </c>
      <c r="C56" s="5">
        <v>2</v>
      </c>
      <c r="D56" s="4" t="s">
        <v>44</v>
      </c>
      <c r="E56" s="6">
        <v>46259.682366134257</v>
      </c>
      <c r="F56" s="4" t="s">
        <v>313</v>
      </c>
      <c r="G56" s="4" t="s">
        <v>46</v>
      </c>
      <c r="H56" s="4">
        <v>53</v>
      </c>
      <c r="I56" s="4" t="s">
        <v>47</v>
      </c>
      <c r="J56" s="4">
        <v>5309</v>
      </c>
      <c r="K56" s="4" t="s">
        <v>48</v>
      </c>
      <c r="L56" s="4">
        <v>5309072</v>
      </c>
      <c r="M56" s="4">
        <v>5309072003</v>
      </c>
      <c r="N56" s="4" t="s">
        <v>49</v>
      </c>
      <c r="O56" s="4">
        <v>46339</v>
      </c>
      <c r="P56" s="4" t="s">
        <v>314</v>
      </c>
      <c r="Q56" s="5">
        <v>2</v>
      </c>
      <c r="R56" s="5">
        <v>0</v>
      </c>
      <c r="S56" s="5">
        <v>2000000</v>
      </c>
      <c r="T56" s="5">
        <v>3500000</v>
      </c>
      <c r="U56" s="5">
        <v>350000</v>
      </c>
      <c r="V56" s="5">
        <v>0</v>
      </c>
      <c r="W56" s="5">
        <v>5850000</v>
      </c>
      <c r="X56" s="5">
        <v>8500000</v>
      </c>
      <c r="Y56" s="5">
        <v>0</v>
      </c>
      <c r="Z56" s="5">
        <f t="shared" si="0"/>
        <v>2650000</v>
      </c>
      <c r="AA56" s="5">
        <v>3500000</v>
      </c>
      <c r="AB56" s="5">
        <f t="shared" si="1"/>
        <v>5000000</v>
      </c>
      <c r="AC56" s="5" t="s">
        <v>315</v>
      </c>
      <c r="AD56" s="4" t="s">
        <v>51</v>
      </c>
      <c r="AE56" s="5">
        <f t="shared" si="2"/>
        <v>0.53</v>
      </c>
      <c r="AF56" s="5">
        <v>2500000</v>
      </c>
      <c r="AG56" s="5">
        <v>1</v>
      </c>
      <c r="AH56" s="5">
        <v>1</v>
      </c>
      <c r="AI56" s="5">
        <v>1</v>
      </c>
      <c r="AJ56" s="7" t="s">
        <v>316</v>
      </c>
      <c r="AK56" s="5">
        <v>0</v>
      </c>
      <c r="AL56" s="5">
        <v>0</v>
      </c>
      <c r="AM56" s="4">
        <v>2020</v>
      </c>
      <c r="AN56" s="5">
        <v>0</v>
      </c>
      <c r="AO56" s="5">
        <v>2</v>
      </c>
      <c r="AP56" s="8"/>
      <c r="AQ56" s="8"/>
      <c r="AR56" s="8">
        <f t="shared" si="3"/>
        <v>0</v>
      </c>
      <c r="AS56" s="8">
        <f t="shared" si="4"/>
        <v>2350000</v>
      </c>
      <c r="AT56" s="8">
        <f t="shared" si="5"/>
        <v>2650000</v>
      </c>
      <c r="AU56" s="8">
        <f t="shared" si="6"/>
        <v>2350000</v>
      </c>
      <c r="AV56" s="4" t="s">
        <v>314</v>
      </c>
      <c r="AW56" s="7" t="s">
        <v>316</v>
      </c>
      <c r="AX56" s="5">
        <v>3500000</v>
      </c>
      <c r="AY56">
        <f t="shared" si="7"/>
        <v>2000000</v>
      </c>
      <c r="AZ56">
        <f t="shared" si="8"/>
        <v>350000</v>
      </c>
      <c r="BA56" s="5">
        <v>8500000</v>
      </c>
      <c r="BB56" s="5">
        <v>0</v>
      </c>
      <c r="BC56" s="4" t="s">
        <v>49</v>
      </c>
      <c r="BD56" s="4">
        <v>46339</v>
      </c>
      <c r="BE56" t="s">
        <v>54</v>
      </c>
    </row>
    <row r="57" spans="1:57" ht="255.75" thickBot="1" x14ac:dyDescent="0.3">
      <c r="A57" s="4" t="s">
        <v>317</v>
      </c>
      <c r="B57" s="4">
        <v>3001</v>
      </c>
      <c r="C57" s="5">
        <v>2</v>
      </c>
      <c r="D57" s="4" t="s">
        <v>44</v>
      </c>
      <c r="E57" s="6">
        <v>46219.344319189811</v>
      </c>
      <c r="F57" s="4" t="s">
        <v>318</v>
      </c>
      <c r="G57" s="4" t="s">
        <v>46</v>
      </c>
      <c r="H57" s="4">
        <v>53</v>
      </c>
      <c r="I57" s="4" t="s">
        <v>47</v>
      </c>
      <c r="J57" s="4">
        <v>5309</v>
      </c>
      <c r="K57" s="4" t="s">
        <v>48</v>
      </c>
      <c r="L57" s="4">
        <v>5309072</v>
      </c>
      <c r="M57" s="4">
        <v>5309072007</v>
      </c>
      <c r="N57" s="4" t="s">
        <v>49</v>
      </c>
      <c r="O57" s="4">
        <v>46339</v>
      </c>
      <c r="P57" s="4" t="s">
        <v>319</v>
      </c>
      <c r="Q57" s="5">
        <v>1</v>
      </c>
      <c r="R57" s="5">
        <v>0</v>
      </c>
      <c r="S57" s="5">
        <v>0</v>
      </c>
      <c r="T57" s="5">
        <v>800000</v>
      </c>
      <c r="U57" s="5">
        <v>0</v>
      </c>
      <c r="V57" s="5">
        <v>0</v>
      </c>
      <c r="W57" s="5">
        <v>800000</v>
      </c>
      <c r="X57" s="5">
        <v>2500000</v>
      </c>
      <c r="Y57" s="5">
        <v>0</v>
      </c>
      <c r="Z57" s="5">
        <f t="shared" si="0"/>
        <v>1700000</v>
      </c>
      <c r="AA57" s="5">
        <v>500000</v>
      </c>
      <c r="AB57" s="5">
        <f t="shared" si="1"/>
        <v>1700000</v>
      </c>
      <c r="AC57" s="5" t="s">
        <v>320</v>
      </c>
      <c r="AD57" s="4" t="s">
        <v>51</v>
      </c>
      <c r="AE57" s="5">
        <f t="shared" si="2"/>
        <v>1</v>
      </c>
      <c r="AF57" s="5">
        <v>1700000</v>
      </c>
      <c r="AG57" s="5">
        <v>1</v>
      </c>
      <c r="AH57" s="5">
        <v>1</v>
      </c>
      <c r="AI57" s="5">
        <v>1</v>
      </c>
      <c r="AJ57" s="7" t="s">
        <v>321</v>
      </c>
      <c r="AK57" s="5">
        <v>0</v>
      </c>
      <c r="AL57" s="5">
        <v>0</v>
      </c>
      <c r="AM57" s="4">
        <v>2022</v>
      </c>
      <c r="AN57" s="5">
        <v>0</v>
      </c>
      <c r="AO57" s="5">
        <v>1</v>
      </c>
      <c r="AP57" s="8"/>
      <c r="AQ57" s="8"/>
      <c r="AR57" s="8">
        <f t="shared" si="3"/>
        <v>0</v>
      </c>
      <c r="AS57" s="8">
        <f t="shared" si="4"/>
        <v>0</v>
      </c>
      <c r="AT57" s="8">
        <f t="shared" si="5"/>
        <v>1258000</v>
      </c>
      <c r="AU57" s="8">
        <f t="shared" si="6"/>
        <v>442000</v>
      </c>
      <c r="AV57" s="4" t="s">
        <v>319</v>
      </c>
      <c r="AW57" s="7" t="s">
        <v>321</v>
      </c>
      <c r="AX57" s="5">
        <v>800000</v>
      </c>
      <c r="AY57" t="e">
        <f t="shared" si="7"/>
        <v>#DIV/0!</v>
      </c>
      <c r="AZ57" t="e">
        <f t="shared" si="8"/>
        <v>#DIV/0!</v>
      </c>
      <c r="BA57" s="5">
        <v>2500000</v>
      </c>
      <c r="BB57" s="5">
        <v>0</v>
      </c>
      <c r="BC57" s="4" t="s">
        <v>49</v>
      </c>
      <c r="BD57" s="4">
        <v>46339</v>
      </c>
      <c r="BE57" t="s">
        <v>54</v>
      </c>
    </row>
    <row r="58" spans="1:57" ht="270.75" thickBot="1" x14ac:dyDescent="0.3">
      <c r="A58" s="4" t="s">
        <v>322</v>
      </c>
      <c r="B58" s="4">
        <v>1</v>
      </c>
      <c r="C58" s="5">
        <v>2</v>
      </c>
      <c r="D58" s="4" t="s">
        <v>44</v>
      </c>
      <c r="E58" s="6">
        <v>46272.460181493057</v>
      </c>
      <c r="F58" s="4" t="s">
        <v>323</v>
      </c>
      <c r="G58" s="4" t="s">
        <v>46</v>
      </c>
      <c r="H58" s="4">
        <v>53</v>
      </c>
      <c r="I58" s="4" t="s">
        <v>47</v>
      </c>
      <c r="J58" s="4">
        <v>5309</v>
      </c>
      <c r="K58" s="4" t="s">
        <v>48</v>
      </c>
      <c r="L58" s="4">
        <v>5309030</v>
      </c>
      <c r="M58" s="4">
        <v>5309030011</v>
      </c>
      <c r="N58" s="4" t="s">
        <v>49</v>
      </c>
      <c r="O58" s="4">
        <v>46339</v>
      </c>
      <c r="P58" s="4" t="s">
        <v>324</v>
      </c>
      <c r="Q58" s="5">
        <v>1</v>
      </c>
      <c r="R58" s="5">
        <v>0</v>
      </c>
      <c r="S58" s="5">
        <v>2000000</v>
      </c>
      <c r="T58" s="5">
        <v>500000</v>
      </c>
      <c r="U58" s="5">
        <v>400000</v>
      </c>
      <c r="V58" s="5">
        <v>0</v>
      </c>
      <c r="W58" s="5">
        <v>2900000</v>
      </c>
      <c r="X58" s="5">
        <v>27000000</v>
      </c>
      <c r="Y58" s="5">
        <v>0</v>
      </c>
      <c r="Z58" s="5">
        <f t="shared" si="0"/>
        <v>24100000</v>
      </c>
      <c r="AA58" s="5">
        <v>1200000</v>
      </c>
      <c r="AB58" s="5">
        <f t="shared" si="1"/>
        <v>26500000</v>
      </c>
      <c r="AC58" s="5" t="s">
        <v>325</v>
      </c>
      <c r="AD58" s="4" t="s">
        <v>51</v>
      </c>
      <c r="AE58" s="5">
        <f t="shared" si="2"/>
        <v>0.90943396226415096</v>
      </c>
      <c r="AF58" s="5">
        <v>26500000</v>
      </c>
      <c r="AG58" s="5">
        <v>1</v>
      </c>
      <c r="AH58" s="5">
        <v>1</v>
      </c>
      <c r="AI58" s="5">
        <v>1</v>
      </c>
      <c r="AJ58" s="7" t="s">
        <v>326</v>
      </c>
      <c r="AK58" s="5">
        <v>0</v>
      </c>
      <c r="AL58" s="5">
        <v>0</v>
      </c>
      <c r="AM58" s="4">
        <v>1990</v>
      </c>
      <c r="AN58" s="5">
        <v>0</v>
      </c>
      <c r="AO58" s="5">
        <v>1</v>
      </c>
      <c r="AP58" s="8"/>
      <c r="AQ58" s="8"/>
      <c r="AR58" s="8">
        <f t="shared" si="3"/>
        <v>0</v>
      </c>
      <c r="AS58" s="8">
        <f t="shared" si="4"/>
        <v>2400000</v>
      </c>
      <c r="AT58" s="8">
        <f t="shared" si="5"/>
        <v>19610000</v>
      </c>
      <c r="AU58" s="8">
        <f t="shared" si="6"/>
        <v>6890000</v>
      </c>
      <c r="AV58" s="4" t="s">
        <v>324</v>
      </c>
      <c r="AW58" s="7" t="s">
        <v>326</v>
      </c>
      <c r="AX58" s="5">
        <v>500000</v>
      </c>
      <c r="AY58">
        <f t="shared" si="7"/>
        <v>5741666.666666667</v>
      </c>
      <c r="AZ58">
        <f t="shared" si="8"/>
        <v>1148333.3333333333</v>
      </c>
      <c r="BA58" s="5">
        <v>27000000</v>
      </c>
      <c r="BB58" s="5">
        <v>0</v>
      </c>
      <c r="BC58" s="4" t="s">
        <v>49</v>
      </c>
      <c r="BD58" s="4">
        <v>46339</v>
      </c>
      <c r="BE58" t="s">
        <v>54</v>
      </c>
    </row>
    <row r="59" spans="1:57" ht="270.75" thickBot="1" x14ac:dyDescent="0.3">
      <c r="A59" s="4" t="s">
        <v>327</v>
      </c>
      <c r="B59" s="4">
        <v>2001</v>
      </c>
      <c r="C59" s="5">
        <v>2</v>
      </c>
      <c r="D59" s="4" t="s">
        <v>44</v>
      </c>
      <c r="E59" s="6">
        <v>46293.268033680557</v>
      </c>
      <c r="F59" s="4" t="s">
        <v>328</v>
      </c>
      <c r="G59" s="4" t="s">
        <v>46</v>
      </c>
      <c r="H59" s="4">
        <v>53</v>
      </c>
      <c r="I59" s="4" t="s">
        <v>47</v>
      </c>
      <c r="J59" s="4">
        <v>5309</v>
      </c>
      <c r="K59" s="4" t="s">
        <v>48</v>
      </c>
      <c r="L59" s="4">
        <v>5309030</v>
      </c>
      <c r="M59" s="4">
        <v>5309030023</v>
      </c>
      <c r="N59" s="4" t="s">
        <v>49</v>
      </c>
      <c r="O59" s="4">
        <v>46339</v>
      </c>
      <c r="P59" s="4" t="s">
        <v>329</v>
      </c>
      <c r="Q59" s="5">
        <v>9</v>
      </c>
      <c r="R59" s="5">
        <v>144000000</v>
      </c>
      <c r="S59" s="5">
        <v>0</v>
      </c>
      <c r="T59" s="5">
        <v>13200000000</v>
      </c>
      <c r="U59" s="5">
        <v>120000000</v>
      </c>
      <c r="V59" s="5">
        <v>0</v>
      </c>
      <c r="W59" s="5">
        <v>13464000000</v>
      </c>
      <c r="X59" s="5">
        <v>16000000000</v>
      </c>
      <c r="Y59" s="5">
        <v>0</v>
      </c>
      <c r="Z59" s="5">
        <f t="shared" si="0"/>
        <v>2680000000</v>
      </c>
      <c r="AA59" s="5">
        <v>0</v>
      </c>
      <c r="AB59" s="5">
        <f>X59-T59</f>
        <v>2800000000</v>
      </c>
      <c r="AC59" s="5">
        <v>11</v>
      </c>
      <c r="AD59" s="4" t="s">
        <v>51</v>
      </c>
      <c r="AE59" s="5">
        <f t="shared" si="2"/>
        <v>0.95714285714285718</v>
      </c>
      <c r="AF59" s="5">
        <v>-1333333333</v>
      </c>
      <c r="AG59" s="4"/>
      <c r="AH59" s="5">
        <v>1</v>
      </c>
      <c r="AI59" s="5">
        <v>1</v>
      </c>
      <c r="AJ59" s="7" t="s">
        <v>330</v>
      </c>
      <c r="AK59" s="5">
        <v>0</v>
      </c>
      <c r="AL59" s="5">
        <v>0</v>
      </c>
      <c r="AM59" s="4">
        <v>2026</v>
      </c>
      <c r="AN59" s="5">
        <v>8</v>
      </c>
      <c r="AO59" s="5">
        <v>1</v>
      </c>
      <c r="AP59" s="8"/>
      <c r="AQ59" s="8"/>
      <c r="AR59" s="8">
        <f t="shared" si="3"/>
        <v>0</v>
      </c>
      <c r="AS59" s="8">
        <f t="shared" si="4"/>
        <v>120000000</v>
      </c>
      <c r="AT59" s="8">
        <f t="shared" si="5"/>
        <v>2072000000</v>
      </c>
      <c r="AU59" s="8">
        <f t="shared" si="6"/>
        <v>728000000</v>
      </c>
      <c r="AV59" s="4" t="s">
        <v>329</v>
      </c>
      <c r="AW59" s="7" t="s">
        <v>330</v>
      </c>
      <c r="AX59" s="5">
        <v>13200000000</v>
      </c>
      <c r="AY59">
        <f t="shared" si="7"/>
        <v>0</v>
      </c>
      <c r="AZ59">
        <f t="shared" si="8"/>
        <v>728000000</v>
      </c>
      <c r="BA59" s="5">
        <v>16000000000</v>
      </c>
      <c r="BB59" s="5">
        <v>0</v>
      </c>
      <c r="BC59" s="4" t="s">
        <v>49</v>
      </c>
      <c r="BD59" s="4">
        <v>46339</v>
      </c>
      <c r="BE59" t="s">
        <v>54</v>
      </c>
    </row>
    <row r="60" spans="1:57" ht="270.75" thickBot="1" x14ac:dyDescent="0.3">
      <c r="A60" s="4" t="s">
        <v>331</v>
      </c>
      <c r="B60" s="4">
        <v>3001</v>
      </c>
      <c r="C60" s="5">
        <v>2</v>
      </c>
      <c r="D60" s="4" t="s">
        <v>56</v>
      </c>
      <c r="E60" s="6">
        <v>46307.393268541666</v>
      </c>
      <c r="F60" s="4" t="s">
        <v>332</v>
      </c>
      <c r="G60" s="4" t="s">
        <v>46</v>
      </c>
      <c r="H60" s="4">
        <v>53</v>
      </c>
      <c r="I60" s="4" t="s">
        <v>47</v>
      </c>
      <c r="J60" s="4">
        <v>5309</v>
      </c>
      <c r="K60" s="4" t="s">
        <v>48</v>
      </c>
      <c r="L60" s="4">
        <v>5309073</v>
      </c>
      <c r="M60" s="4">
        <v>5309073005</v>
      </c>
      <c r="N60" s="4" t="s">
        <v>49</v>
      </c>
      <c r="O60" s="4">
        <v>46414</v>
      </c>
      <c r="P60" s="4" t="s">
        <v>333</v>
      </c>
      <c r="Q60" s="5">
        <v>1</v>
      </c>
      <c r="R60" s="5">
        <v>0</v>
      </c>
      <c r="S60" s="5"/>
      <c r="T60" s="5">
        <v>30000000</v>
      </c>
      <c r="U60" s="5">
        <v>7500000</v>
      </c>
      <c r="V60" s="5">
        <v>0</v>
      </c>
      <c r="W60" s="5">
        <v>30000000</v>
      </c>
      <c r="X60" s="5">
        <v>60000000</v>
      </c>
      <c r="Y60" s="5"/>
      <c r="Z60" s="5">
        <f t="shared" si="0"/>
        <v>22500000</v>
      </c>
      <c r="AA60" s="5">
        <v>600000</v>
      </c>
      <c r="AB60" s="5">
        <f t="shared" si="1"/>
        <v>30000000</v>
      </c>
      <c r="AC60" s="4"/>
      <c r="AD60" s="4" t="s">
        <v>51</v>
      </c>
      <c r="AE60" s="5">
        <f t="shared" si="2"/>
        <v>0.75</v>
      </c>
      <c r="AF60" s="5">
        <v>-30000000</v>
      </c>
      <c r="AG60" s="5">
        <v>1</v>
      </c>
      <c r="AH60" s="5">
        <v>1</v>
      </c>
      <c r="AI60" s="5">
        <v>1</v>
      </c>
      <c r="AJ60" s="7" t="s">
        <v>334</v>
      </c>
      <c r="AK60" s="5">
        <v>0</v>
      </c>
      <c r="AL60" s="5">
        <v>0</v>
      </c>
      <c r="AM60" s="4">
        <v>2019</v>
      </c>
      <c r="AN60" s="5">
        <v>0</v>
      </c>
      <c r="AO60" s="5">
        <v>1</v>
      </c>
      <c r="AP60" s="8"/>
      <c r="AQ60" s="8"/>
      <c r="AR60" s="8">
        <f t="shared" si="3"/>
        <v>0</v>
      </c>
      <c r="AS60" s="8">
        <f t="shared" si="4"/>
        <v>7500000</v>
      </c>
      <c r="AT60" s="8">
        <f t="shared" si="5"/>
        <v>22500000</v>
      </c>
      <c r="AU60" s="8">
        <f t="shared" si="6"/>
        <v>7500000</v>
      </c>
      <c r="AV60" s="4" t="s">
        <v>333</v>
      </c>
      <c r="AW60" s="7" t="s">
        <v>334</v>
      </c>
      <c r="AX60" s="5">
        <v>30000000</v>
      </c>
      <c r="AY60">
        <f t="shared" si="7"/>
        <v>0</v>
      </c>
      <c r="AZ60">
        <f t="shared" si="8"/>
        <v>7500000</v>
      </c>
      <c r="BA60" s="5">
        <v>60000000</v>
      </c>
      <c r="BB60" s="5"/>
      <c r="BC60" s="4" t="s">
        <v>49</v>
      </c>
      <c r="BD60" s="4">
        <v>46414</v>
      </c>
      <c r="BE60" t="s">
        <v>54</v>
      </c>
    </row>
    <row r="61" spans="1:57" ht="270.75" thickBot="1" x14ac:dyDescent="0.3">
      <c r="A61" s="4" t="s">
        <v>335</v>
      </c>
      <c r="B61" s="4">
        <v>2001</v>
      </c>
      <c r="C61" s="5">
        <v>2</v>
      </c>
      <c r="D61" s="4" t="s">
        <v>44</v>
      </c>
      <c r="E61" s="6">
        <v>46290.922798414351</v>
      </c>
      <c r="F61" s="4" t="s">
        <v>336</v>
      </c>
      <c r="G61" s="4" t="s">
        <v>46</v>
      </c>
      <c r="H61" s="4">
        <v>53</v>
      </c>
      <c r="I61" s="4" t="s">
        <v>47</v>
      </c>
      <c r="J61" s="4">
        <v>5309</v>
      </c>
      <c r="K61" s="4" t="s">
        <v>48</v>
      </c>
      <c r="L61" s="4">
        <v>5309030</v>
      </c>
      <c r="M61" s="4">
        <v>5309030019</v>
      </c>
      <c r="N61" s="4" t="s">
        <v>49</v>
      </c>
      <c r="O61" s="4">
        <v>46521</v>
      </c>
      <c r="P61" s="4" t="s">
        <v>337</v>
      </c>
      <c r="Q61" s="5">
        <v>1</v>
      </c>
      <c r="R61" s="5">
        <v>0</v>
      </c>
      <c r="S61" s="5">
        <v>0</v>
      </c>
      <c r="T61" s="5">
        <v>350000000</v>
      </c>
      <c r="U61" s="5">
        <v>10000000</v>
      </c>
      <c r="V61" s="5">
        <v>5000000</v>
      </c>
      <c r="W61" s="5">
        <v>365000000</v>
      </c>
      <c r="X61" s="5">
        <v>400000000</v>
      </c>
      <c r="Y61" s="5">
        <v>8</v>
      </c>
      <c r="Z61" s="5">
        <f t="shared" si="0"/>
        <v>40000000</v>
      </c>
      <c r="AA61" s="5">
        <v>15000000</v>
      </c>
      <c r="AB61" s="5">
        <f t="shared" si="1"/>
        <v>50000000</v>
      </c>
      <c r="AC61" s="5" t="s">
        <v>211</v>
      </c>
      <c r="AD61" s="4" t="s">
        <v>51</v>
      </c>
      <c r="AE61" s="5">
        <f t="shared" si="2"/>
        <v>0.8</v>
      </c>
      <c r="AF61" s="5">
        <v>50000000</v>
      </c>
      <c r="AG61" s="5">
        <v>1</v>
      </c>
      <c r="AH61" s="5">
        <v>1</v>
      </c>
      <c r="AI61" s="5">
        <v>1</v>
      </c>
      <c r="AJ61" s="7" t="s">
        <v>338</v>
      </c>
      <c r="AK61" s="5">
        <v>0</v>
      </c>
      <c r="AL61" s="5">
        <v>0</v>
      </c>
      <c r="AM61" s="4">
        <v>2001</v>
      </c>
      <c r="AN61" s="5">
        <v>0</v>
      </c>
      <c r="AO61" s="5">
        <v>1</v>
      </c>
      <c r="AP61" s="8"/>
      <c r="AQ61" s="8"/>
      <c r="AR61" s="8">
        <f t="shared" si="3"/>
        <v>0</v>
      </c>
      <c r="AS61" s="8">
        <f t="shared" si="4"/>
        <v>10000000</v>
      </c>
      <c r="AT61" s="8">
        <f t="shared" si="5"/>
        <v>37000000</v>
      </c>
      <c r="AU61" s="8">
        <f t="shared" si="6"/>
        <v>13000000</v>
      </c>
      <c r="AV61" s="4" t="s">
        <v>337</v>
      </c>
      <c r="AW61" s="7" t="s">
        <v>338</v>
      </c>
      <c r="AX61" s="5">
        <v>350000000</v>
      </c>
      <c r="AY61">
        <f t="shared" si="7"/>
        <v>0</v>
      </c>
      <c r="AZ61">
        <f t="shared" si="8"/>
        <v>13000000</v>
      </c>
      <c r="BA61" s="5">
        <v>400000000</v>
      </c>
      <c r="BB61" s="5">
        <v>8</v>
      </c>
      <c r="BC61" s="4" t="s">
        <v>49</v>
      </c>
      <c r="BD61" s="4">
        <v>46521</v>
      </c>
      <c r="BE61" t="s">
        <v>54</v>
      </c>
    </row>
    <row r="62" spans="1:57" ht="270.75" thickBot="1" x14ac:dyDescent="0.3">
      <c r="A62" s="4" t="s">
        <v>339</v>
      </c>
      <c r="B62" s="4">
        <v>1001</v>
      </c>
      <c r="C62" s="5">
        <v>2</v>
      </c>
      <c r="D62" s="4" t="s">
        <v>44</v>
      </c>
      <c r="E62" s="9">
        <v>46225.503020833334</v>
      </c>
      <c r="F62" s="4" t="s">
        <v>340</v>
      </c>
      <c r="G62" s="4" t="s">
        <v>46</v>
      </c>
      <c r="H62" s="4">
        <v>53</v>
      </c>
      <c r="I62" s="4" t="s">
        <v>47</v>
      </c>
      <c r="J62" s="4">
        <v>5309</v>
      </c>
      <c r="K62" s="4" t="s">
        <v>48</v>
      </c>
      <c r="L62" s="4">
        <v>5309010</v>
      </c>
      <c r="M62" s="4">
        <v>5309010011</v>
      </c>
      <c r="N62" s="4" t="s">
        <v>49</v>
      </c>
      <c r="O62" s="4">
        <v>46591</v>
      </c>
      <c r="P62" s="4" t="s">
        <v>341</v>
      </c>
      <c r="Q62" s="5">
        <v>2</v>
      </c>
      <c r="R62" s="5">
        <v>0</v>
      </c>
      <c r="S62" s="5">
        <v>500000</v>
      </c>
      <c r="T62" s="5">
        <v>1000000</v>
      </c>
      <c r="U62" s="5">
        <v>500000</v>
      </c>
      <c r="V62" s="5">
        <v>200000</v>
      </c>
      <c r="W62" s="5">
        <v>2200000</v>
      </c>
      <c r="X62" s="5">
        <v>36500000</v>
      </c>
      <c r="Y62" s="5">
        <v>0</v>
      </c>
      <c r="Z62" s="5">
        <f t="shared" si="0"/>
        <v>34500000</v>
      </c>
      <c r="AA62" s="5">
        <v>1000000</v>
      </c>
      <c r="AB62" s="5">
        <f t="shared" si="1"/>
        <v>35500000</v>
      </c>
      <c r="AC62" s="5" t="s">
        <v>342</v>
      </c>
      <c r="AD62" s="4" t="s">
        <v>51</v>
      </c>
      <c r="AE62" s="5">
        <f t="shared" si="2"/>
        <v>0.971830985915493</v>
      </c>
      <c r="AF62" s="5">
        <v>17750000</v>
      </c>
      <c r="AG62" s="5">
        <v>1</v>
      </c>
      <c r="AH62" s="5">
        <v>1</v>
      </c>
      <c r="AI62" s="5">
        <v>1</v>
      </c>
      <c r="AJ62" s="7" t="s">
        <v>343</v>
      </c>
      <c r="AK62" s="5">
        <v>0</v>
      </c>
      <c r="AL62" s="5">
        <v>0</v>
      </c>
      <c r="AM62" s="4">
        <v>2025</v>
      </c>
      <c r="AN62" s="5">
        <v>0</v>
      </c>
      <c r="AO62" s="5">
        <v>2</v>
      </c>
      <c r="AP62" s="8"/>
      <c r="AQ62" s="8"/>
      <c r="AR62" s="8">
        <f t="shared" si="3"/>
        <v>0</v>
      </c>
      <c r="AS62" s="8">
        <f t="shared" si="4"/>
        <v>1000000</v>
      </c>
      <c r="AT62" s="8">
        <f t="shared" si="5"/>
        <v>26270000</v>
      </c>
      <c r="AU62" s="8">
        <f t="shared" si="6"/>
        <v>9230000</v>
      </c>
      <c r="AV62" s="4" t="s">
        <v>341</v>
      </c>
      <c r="AW62" s="7" t="s">
        <v>343</v>
      </c>
      <c r="AX62" s="5">
        <v>1000000</v>
      </c>
      <c r="AY62">
        <f t="shared" si="7"/>
        <v>4615000</v>
      </c>
      <c r="AZ62">
        <f t="shared" si="8"/>
        <v>4615000</v>
      </c>
      <c r="BA62" s="5">
        <v>36500000</v>
      </c>
      <c r="BB62" s="5">
        <v>0</v>
      </c>
      <c r="BC62" s="4" t="s">
        <v>49</v>
      </c>
      <c r="BD62" s="4">
        <v>46591</v>
      </c>
      <c r="BE62" t="s">
        <v>54</v>
      </c>
    </row>
    <row r="63" spans="1:57" ht="270.75" thickBot="1" x14ac:dyDescent="0.3">
      <c r="A63" s="4" t="s">
        <v>344</v>
      </c>
      <c r="B63" s="4">
        <v>3002</v>
      </c>
      <c r="C63" s="5">
        <v>2</v>
      </c>
      <c r="D63" s="4" t="s">
        <v>44</v>
      </c>
      <c r="E63" s="6">
        <v>46290.922904236111</v>
      </c>
      <c r="F63" s="4" t="s">
        <v>345</v>
      </c>
      <c r="G63" s="4" t="s">
        <v>46</v>
      </c>
      <c r="H63" s="4">
        <v>53</v>
      </c>
      <c r="I63" s="4" t="s">
        <v>47</v>
      </c>
      <c r="J63" s="4">
        <v>5309</v>
      </c>
      <c r="K63" s="4" t="s">
        <v>48</v>
      </c>
      <c r="L63" s="4">
        <v>5309030</v>
      </c>
      <c r="M63" s="4">
        <v>5309030028</v>
      </c>
      <c r="N63" s="4" t="s">
        <v>49</v>
      </c>
      <c r="O63" s="4">
        <v>46599</v>
      </c>
      <c r="P63" s="4" t="s">
        <v>346</v>
      </c>
      <c r="Q63" s="5">
        <v>2</v>
      </c>
      <c r="R63" s="5">
        <v>0</v>
      </c>
      <c r="S63" s="5">
        <v>86400000</v>
      </c>
      <c r="T63" s="5">
        <v>420000000</v>
      </c>
      <c r="U63" s="5">
        <v>10000000</v>
      </c>
      <c r="V63" s="5">
        <v>0</v>
      </c>
      <c r="W63" s="5">
        <v>1284000000</v>
      </c>
      <c r="X63" s="5">
        <v>1080000000</v>
      </c>
      <c r="Y63" s="5">
        <v>0</v>
      </c>
      <c r="Z63" s="5">
        <f t="shared" si="0"/>
        <v>563600000</v>
      </c>
      <c r="AA63" s="5">
        <v>0</v>
      </c>
      <c r="AB63" s="5">
        <f t="shared" si="1"/>
        <v>660000000</v>
      </c>
      <c r="AC63" s="5" t="s">
        <v>347</v>
      </c>
      <c r="AD63" s="4" t="s">
        <v>51</v>
      </c>
      <c r="AE63" s="5">
        <f t="shared" si="2"/>
        <v>0.85393939393939389</v>
      </c>
      <c r="AF63" s="5">
        <v>330000000</v>
      </c>
      <c r="AG63" s="4"/>
      <c r="AH63" s="5">
        <v>1</v>
      </c>
      <c r="AI63" s="5">
        <v>1</v>
      </c>
      <c r="AJ63" s="7" t="s">
        <v>348</v>
      </c>
      <c r="AK63" s="5">
        <v>0</v>
      </c>
      <c r="AL63" s="5">
        <v>0</v>
      </c>
      <c r="AM63" s="4">
        <v>2026</v>
      </c>
      <c r="AN63" s="5">
        <v>0</v>
      </c>
      <c r="AO63" s="5">
        <v>2</v>
      </c>
      <c r="AP63" s="8"/>
      <c r="AQ63" s="8"/>
      <c r="AR63" s="8">
        <f t="shared" si="3"/>
        <v>0</v>
      </c>
      <c r="AS63" s="8">
        <f t="shared" si="4"/>
        <v>96400000</v>
      </c>
      <c r="AT63" s="8">
        <f t="shared" si="5"/>
        <v>488400000.00000006</v>
      </c>
      <c r="AU63" s="8">
        <f t="shared" si="6"/>
        <v>171599999.99999994</v>
      </c>
      <c r="AV63" s="4" t="s">
        <v>346</v>
      </c>
      <c r="AW63" s="7" t="s">
        <v>348</v>
      </c>
      <c r="AX63" s="5">
        <v>420000000</v>
      </c>
      <c r="AY63">
        <f t="shared" si="7"/>
        <v>153799170.12448126</v>
      </c>
      <c r="AZ63">
        <f t="shared" si="8"/>
        <v>17800829.875518668</v>
      </c>
      <c r="BA63" s="5">
        <v>1080000000</v>
      </c>
      <c r="BB63" s="5">
        <v>0</v>
      </c>
      <c r="BC63" s="4" t="s">
        <v>49</v>
      </c>
      <c r="BD63" s="4">
        <v>46599</v>
      </c>
      <c r="BE63" t="s">
        <v>54</v>
      </c>
    </row>
    <row r="64" spans="1:57" ht="270.75" thickBot="1" x14ac:dyDescent="0.3">
      <c r="A64" s="4" t="s">
        <v>349</v>
      </c>
      <c r="B64" s="4">
        <v>1</v>
      </c>
      <c r="C64" s="5">
        <v>2</v>
      </c>
      <c r="D64" s="4" t="s">
        <v>56</v>
      </c>
      <c r="E64" s="6">
        <v>46226.81174449074</v>
      </c>
      <c r="F64" s="4" t="s">
        <v>350</v>
      </c>
      <c r="G64" s="4" t="s">
        <v>46</v>
      </c>
      <c r="H64" s="4">
        <v>53</v>
      </c>
      <c r="I64" s="4" t="s">
        <v>47</v>
      </c>
      <c r="J64" s="4">
        <v>5309</v>
      </c>
      <c r="K64" s="4" t="s">
        <v>48</v>
      </c>
      <c r="L64" s="4">
        <v>5309060</v>
      </c>
      <c r="M64" s="4">
        <v>5309060020</v>
      </c>
      <c r="N64" s="4" t="s">
        <v>49</v>
      </c>
      <c r="O64" s="4">
        <v>46633</v>
      </c>
      <c r="P64" s="4" t="s">
        <v>351</v>
      </c>
      <c r="Q64" s="5">
        <v>1</v>
      </c>
      <c r="R64" s="5">
        <v>0</v>
      </c>
      <c r="S64" s="5">
        <v>0</v>
      </c>
      <c r="T64" s="5">
        <v>5000000</v>
      </c>
      <c r="U64" s="5">
        <v>500000</v>
      </c>
      <c r="V64" s="5">
        <v>0</v>
      </c>
      <c r="W64" s="5">
        <v>5500000</v>
      </c>
      <c r="X64" s="5">
        <v>12000000</v>
      </c>
      <c r="Y64" s="5">
        <v>0</v>
      </c>
      <c r="Z64" s="5">
        <f t="shared" si="0"/>
        <v>6500000</v>
      </c>
      <c r="AA64" s="5">
        <v>14000000</v>
      </c>
      <c r="AB64" s="5">
        <f t="shared" si="1"/>
        <v>7000000</v>
      </c>
      <c r="AC64" s="5" t="s">
        <v>260</v>
      </c>
      <c r="AD64" s="4" t="s">
        <v>51</v>
      </c>
      <c r="AE64" s="5">
        <f t="shared" si="2"/>
        <v>0.9285714285714286</v>
      </c>
      <c r="AF64" s="5">
        <v>7000000</v>
      </c>
      <c r="AG64" s="5">
        <v>1</v>
      </c>
      <c r="AH64" s="5">
        <v>1</v>
      </c>
      <c r="AI64" s="5">
        <v>1</v>
      </c>
      <c r="AJ64" s="7" t="s">
        <v>352</v>
      </c>
      <c r="AK64" s="5">
        <v>0</v>
      </c>
      <c r="AL64" s="5">
        <v>0</v>
      </c>
      <c r="AM64" s="4">
        <v>2015</v>
      </c>
      <c r="AN64" s="5">
        <v>0</v>
      </c>
      <c r="AO64" s="5">
        <v>1</v>
      </c>
      <c r="AP64" s="8"/>
      <c r="AQ64" s="8"/>
      <c r="AR64" s="8">
        <f t="shared" si="3"/>
        <v>0</v>
      </c>
      <c r="AS64" s="8">
        <f t="shared" si="4"/>
        <v>500000</v>
      </c>
      <c r="AT64" s="8">
        <f t="shared" si="5"/>
        <v>5180000</v>
      </c>
      <c r="AU64" s="8">
        <f t="shared" si="6"/>
        <v>1820000</v>
      </c>
      <c r="AV64" s="4" t="s">
        <v>351</v>
      </c>
      <c r="AW64" s="7" t="s">
        <v>352</v>
      </c>
      <c r="AX64" s="5">
        <v>5000000</v>
      </c>
      <c r="AY64">
        <f t="shared" si="7"/>
        <v>0</v>
      </c>
      <c r="AZ64">
        <f t="shared" si="8"/>
        <v>1820000</v>
      </c>
      <c r="BA64" s="5">
        <v>12000000</v>
      </c>
      <c r="BB64" s="5">
        <v>0</v>
      </c>
      <c r="BC64" s="4" t="s">
        <v>49</v>
      </c>
      <c r="BD64" s="4">
        <v>46633</v>
      </c>
      <c r="BE64" t="s">
        <v>54</v>
      </c>
    </row>
    <row r="65" spans="1:57" ht="270.75" thickBot="1" x14ac:dyDescent="0.3">
      <c r="A65" s="4" t="s">
        <v>353</v>
      </c>
      <c r="B65" s="4">
        <v>1</v>
      </c>
      <c r="C65" s="5">
        <v>2</v>
      </c>
      <c r="D65" s="4" t="s">
        <v>44</v>
      </c>
      <c r="E65" s="6">
        <v>46280.146369606482</v>
      </c>
      <c r="F65" s="4" t="s">
        <v>354</v>
      </c>
      <c r="G65" s="4" t="s">
        <v>46</v>
      </c>
      <c r="H65" s="4">
        <v>53</v>
      </c>
      <c r="I65" s="4" t="s">
        <v>47</v>
      </c>
      <c r="J65" s="4">
        <v>5309</v>
      </c>
      <c r="K65" s="4" t="s">
        <v>48</v>
      </c>
      <c r="L65" s="4">
        <v>5309030</v>
      </c>
      <c r="M65" s="4">
        <v>5309030007</v>
      </c>
      <c r="N65" s="4" t="s">
        <v>49</v>
      </c>
      <c r="O65" s="4">
        <v>46710</v>
      </c>
      <c r="P65" s="4" t="s">
        <v>355</v>
      </c>
      <c r="Q65" s="5">
        <v>1</v>
      </c>
      <c r="R65" s="5">
        <v>240000000</v>
      </c>
      <c r="S65" s="5">
        <v>100000</v>
      </c>
      <c r="T65" s="5">
        <v>0</v>
      </c>
      <c r="U65" s="5">
        <v>0</v>
      </c>
      <c r="V65" s="5">
        <v>0</v>
      </c>
      <c r="W65" s="5">
        <v>240100000</v>
      </c>
      <c r="X65" s="5">
        <v>10000000</v>
      </c>
      <c r="Y65" s="5">
        <v>240000000</v>
      </c>
      <c r="Z65" s="5">
        <f t="shared" si="0"/>
        <v>9900000</v>
      </c>
      <c r="AA65" s="5">
        <v>0</v>
      </c>
      <c r="AB65" s="5">
        <f t="shared" si="1"/>
        <v>10000000</v>
      </c>
      <c r="AC65" s="5">
        <v>0</v>
      </c>
      <c r="AD65" s="4" t="s">
        <v>51</v>
      </c>
      <c r="AE65" s="5">
        <f t="shared" si="2"/>
        <v>0.99</v>
      </c>
      <c r="AF65" s="5">
        <v>10000000</v>
      </c>
      <c r="AG65" s="4"/>
      <c r="AH65" s="5">
        <v>1</v>
      </c>
      <c r="AI65" s="5">
        <v>1</v>
      </c>
      <c r="AJ65" s="7" t="s">
        <v>356</v>
      </c>
      <c r="AK65" s="5">
        <v>0</v>
      </c>
      <c r="AL65" s="5">
        <v>0</v>
      </c>
      <c r="AM65" s="4">
        <v>2015</v>
      </c>
      <c r="AN65" s="5">
        <v>1</v>
      </c>
      <c r="AO65" s="5">
        <v>0</v>
      </c>
      <c r="AP65" s="8"/>
      <c r="AQ65" s="8"/>
      <c r="AR65" s="8">
        <f t="shared" si="3"/>
        <v>0</v>
      </c>
      <c r="AS65" s="8">
        <f t="shared" si="4"/>
        <v>100000</v>
      </c>
      <c r="AT65" s="8">
        <f t="shared" si="5"/>
        <v>7400000</v>
      </c>
      <c r="AU65" s="8">
        <f t="shared" si="6"/>
        <v>2600000</v>
      </c>
      <c r="AV65" s="4" t="s">
        <v>355</v>
      </c>
      <c r="AW65" s="7" t="s">
        <v>356</v>
      </c>
      <c r="AX65" s="5">
        <v>0</v>
      </c>
      <c r="AY65">
        <f t="shared" si="7"/>
        <v>2600000</v>
      </c>
      <c r="AZ65">
        <f t="shared" si="8"/>
        <v>0</v>
      </c>
      <c r="BA65" s="5">
        <v>10000000</v>
      </c>
      <c r="BB65" s="5">
        <v>240000000</v>
      </c>
      <c r="BC65" s="4" t="s">
        <v>49</v>
      </c>
      <c r="BD65" s="4">
        <v>46710</v>
      </c>
      <c r="BE65" t="s">
        <v>54</v>
      </c>
    </row>
    <row r="66" spans="1:57" ht="270.75" thickBot="1" x14ac:dyDescent="0.3">
      <c r="A66" s="4" t="s">
        <v>357</v>
      </c>
      <c r="B66" s="4">
        <v>3002</v>
      </c>
      <c r="C66" s="5">
        <v>2</v>
      </c>
      <c r="D66" s="4" t="s">
        <v>44</v>
      </c>
      <c r="E66" s="6">
        <v>46214.992657175928</v>
      </c>
      <c r="F66" s="4" t="s">
        <v>358</v>
      </c>
      <c r="G66" s="4" t="s">
        <v>46</v>
      </c>
      <c r="H66" s="4">
        <v>53</v>
      </c>
      <c r="I66" s="4" t="s">
        <v>47</v>
      </c>
      <c r="J66" s="4">
        <v>5309</v>
      </c>
      <c r="K66" s="4" t="s">
        <v>48</v>
      </c>
      <c r="L66" s="4">
        <v>5309062</v>
      </c>
      <c r="M66" s="4">
        <v>5309062010</v>
      </c>
      <c r="N66" s="4" t="s">
        <v>49</v>
      </c>
      <c r="O66" s="4">
        <v>46733</v>
      </c>
      <c r="P66" s="4" t="s">
        <v>359</v>
      </c>
      <c r="Q66" s="5">
        <v>2</v>
      </c>
      <c r="R66" s="5">
        <v>3000000</v>
      </c>
      <c r="S66" s="5">
        <v>1000000</v>
      </c>
      <c r="T66" s="5">
        <v>3500000</v>
      </c>
      <c r="U66" s="5">
        <v>200000</v>
      </c>
      <c r="V66" s="5">
        <v>0</v>
      </c>
      <c r="W66" s="5">
        <v>7700000</v>
      </c>
      <c r="X66" s="5">
        <v>18500000</v>
      </c>
      <c r="Y66" s="5">
        <v>0</v>
      </c>
      <c r="Z66" s="5">
        <f t="shared" si="0"/>
        <v>13800000</v>
      </c>
      <c r="AA66" s="5">
        <v>2100000</v>
      </c>
      <c r="AB66" s="5">
        <f t="shared" si="1"/>
        <v>15000000</v>
      </c>
      <c r="AC66" s="5" t="s">
        <v>360</v>
      </c>
      <c r="AD66" s="4" t="s">
        <v>51</v>
      </c>
      <c r="AE66" s="5">
        <f t="shared" si="2"/>
        <v>0.92</v>
      </c>
      <c r="AF66" s="5">
        <v>7500000</v>
      </c>
      <c r="AG66" s="5">
        <v>1</v>
      </c>
      <c r="AH66" s="5">
        <v>1</v>
      </c>
      <c r="AI66" s="5">
        <v>1</v>
      </c>
      <c r="AJ66" s="7" t="s">
        <v>361</v>
      </c>
      <c r="AK66" s="5">
        <v>0</v>
      </c>
      <c r="AL66" s="5">
        <v>0</v>
      </c>
      <c r="AM66" s="4">
        <v>2023</v>
      </c>
      <c r="AN66" s="5">
        <v>1</v>
      </c>
      <c r="AO66" s="5">
        <v>1</v>
      </c>
      <c r="AP66" s="8"/>
      <c r="AQ66" s="8"/>
      <c r="AR66" s="8">
        <f t="shared" si="3"/>
        <v>0</v>
      </c>
      <c r="AS66" s="8">
        <f t="shared" si="4"/>
        <v>1200000</v>
      </c>
      <c r="AT66" s="8">
        <f t="shared" si="5"/>
        <v>11100000</v>
      </c>
      <c r="AU66" s="8">
        <f t="shared" si="6"/>
        <v>3900000</v>
      </c>
      <c r="AV66" s="4" t="s">
        <v>359</v>
      </c>
      <c r="AW66" s="7" t="s">
        <v>361</v>
      </c>
      <c r="AX66" s="5">
        <v>3500000</v>
      </c>
      <c r="AY66">
        <f t="shared" si="7"/>
        <v>3250000</v>
      </c>
      <c r="AZ66">
        <f t="shared" si="8"/>
        <v>650000</v>
      </c>
      <c r="BA66" s="5">
        <v>18500000</v>
      </c>
      <c r="BB66" s="5">
        <v>0</v>
      </c>
      <c r="BC66" s="4" t="s">
        <v>49</v>
      </c>
      <c r="BD66" s="4">
        <v>46733</v>
      </c>
      <c r="BE66" t="s">
        <v>54</v>
      </c>
    </row>
    <row r="67" spans="1:57" ht="270.75" thickBot="1" x14ac:dyDescent="0.3">
      <c r="A67" s="4" t="s">
        <v>362</v>
      </c>
      <c r="B67" s="4">
        <v>1001</v>
      </c>
      <c r="C67" s="5">
        <v>2</v>
      </c>
      <c r="D67" s="4" t="s">
        <v>44</v>
      </c>
      <c r="E67" s="6">
        <v>46293.073873229165</v>
      </c>
      <c r="F67" s="4" t="s">
        <v>363</v>
      </c>
      <c r="G67" s="4" t="s">
        <v>46</v>
      </c>
      <c r="H67" s="4">
        <v>53</v>
      </c>
      <c r="I67" s="4" t="s">
        <v>47</v>
      </c>
      <c r="J67" s="4">
        <v>5309</v>
      </c>
      <c r="K67" s="4" t="s">
        <v>48</v>
      </c>
      <c r="L67" s="4">
        <v>5309030</v>
      </c>
      <c r="M67" s="4">
        <v>5309030023</v>
      </c>
      <c r="N67" s="4" t="s">
        <v>49</v>
      </c>
      <c r="O67" s="4">
        <v>46734</v>
      </c>
      <c r="P67" s="4" t="s">
        <v>364</v>
      </c>
      <c r="Q67" s="5">
        <v>8</v>
      </c>
      <c r="R67" s="5">
        <v>72000000</v>
      </c>
      <c r="S67" s="5">
        <v>6000000</v>
      </c>
      <c r="T67" s="5">
        <v>1200000000</v>
      </c>
      <c r="U67" s="5">
        <v>12000000</v>
      </c>
      <c r="V67" s="5">
        <v>12000000</v>
      </c>
      <c r="W67" s="5">
        <v>1302000000</v>
      </c>
      <c r="X67" s="5">
        <v>3500000000</v>
      </c>
      <c r="Y67" s="5">
        <v>0</v>
      </c>
      <c r="Z67" s="5">
        <f t="shared" ref="Z67:Z130" si="9">X67-SUM(S67:U67)</f>
        <v>2282000000</v>
      </c>
      <c r="AA67" s="5">
        <v>1100000000</v>
      </c>
      <c r="AB67" s="5">
        <f t="shared" ref="AB67:AB130" si="10">X67-T67</f>
        <v>2300000000</v>
      </c>
      <c r="AC67" s="5" t="s">
        <v>365</v>
      </c>
      <c r="AD67" s="4" t="s">
        <v>88</v>
      </c>
      <c r="AE67" s="5">
        <f t="shared" ref="AE67:AE130" si="11">Z67/AB67</f>
        <v>0.99217391304347824</v>
      </c>
      <c r="AF67" s="5">
        <v>287500000</v>
      </c>
      <c r="AG67" s="5">
        <v>1</v>
      </c>
      <c r="AH67" s="5">
        <v>1</v>
      </c>
      <c r="AI67" s="5">
        <v>1</v>
      </c>
      <c r="AJ67" s="7" t="s">
        <v>366</v>
      </c>
      <c r="AK67" s="5">
        <v>0</v>
      </c>
      <c r="AL67" s="5">
        <v>0</v>
      </c>
      <c r="AM67" s="4">
        <v>2010</v>
      </c>
      <c r="AN67" s="5">
        <v>6</v>
      </c>
      <c r="AO67" s="5">
        <v>2</v>
      </c>
      <c r="AP67" s="8"/>
      <c r="AQ67" s="8"/>
      <c r="AR67" s="8">
        <f t="shared" ref="AR67:AR130" si="12">IF(Z67&lt;=0,1,0)</f>
        <v>0</v>
      </c>
      <c r="AS67" s="8">
        <f t="shared" ref="AS67:AS130" si="13">AB67-Z67</f>
        <v>18000000</v>
      </c>
      <c r="AT67" s="8">
        <f t="shared" ref="AT67:AT130" si="14">IF(AE67&gt;0.78,(Z67*0.74/AE67),IF(Z67&lt;0.64,(Z67*0.68/AE67),Z67))</f>
        <v>1702000000</v>
      </c>
      <c r="AU67" s="8">
        <f t="shared" ref="AU67:AU130" si="15">AB67-AT67</f>
        <v>598000000</v>
      </c>
      <c r="AV67" s="4" t="s">
        <v>364</v>
      </c>
      <c r="AW67" s="7" t="s">
        <v>366</v>
      </c>
      <c r="AX67" s="5">
        <v>1200000000</v>
      </c>
      <c r="AY67">
        <f t="shared" ref="AY67:AY130" si="16">AU67-AZ67</f>
        <v>199333333.33333331</v>
      </c>
      <c r="AZ67">
        <f t="shared" ref="AZ67:AZ130" si="17">U67*AU67/AS67</f>
        <v>398666666.66666669</v>
      </c>
      <c r="BA67" s="5">
        <v>3500000000</v>
      </c>
      <c r="BB67" s="5">
        <v>0</v>
      </c>
      <c r="BC67" s="4" t="s">
        <v>49</v>
      </c>
      <c r="BD67" s="4">
        <v>46734</v>
      </c>
      <c r="BE67" t="s">
        <v>54</v>
      </c>
    </row>
    <row r="68" spans="1:57" ht="270.75" thickBot="1" x14ac:dyDescent="0.3">
      <c r="A68" s="4" t="s">
        <v>367</v>
      </c>
      <c r="B68" s="4">
        <v>1001</v>
      </c>
      <c r="C68" s="5">
        <v>2</v>
      </c>
      <c r="D68" s="4" t="s">
        <v>44</v>
      </c>
      <c r="E68" s="6">
        <v>46257.001449513889</v>
      </c>
      <c r="F68" s="4" t="s">
        <v>368</v>
      </c>
      <c r="G68" s="4" t="s">
        <v>46</v>
      </c>
      <c r="H68" s="4">
        <v>53</v>
      </c>
      <c r="I68" s="4" t="s">
        <v>47</v>
      </c>
      <c r="J68" s="4">
        <v>5309</v>
      </c>
      <c r="K68" s="4" t="s">
        <v>48</v>
      </c>
      <c r="L68" s="4">
        <v>5309012</v>
      </c>
      <c r="M68" s="4">
        <v>5309012005</v>
      </c>
      <c r="N68" s="4" t="s">
        <v>49</v>
      </c>
      <c r="O68" s="4">
        <v>46734</v>
      </c>
      <c r="P68" s="4" t="s">
        <v>369</v>
      </c>
      <c r="Q68" s="5">
        <v>2</v>
      </c>
      <c r="R68" s="5">
        <v>21600000</v>
      </c>
      <c r="S68" s="5">
        <v>36000000</v>
      </c>
      <c r="T68" s="5">
        <v>36000000</v>
      </c>
      <c r="U68" s="5">
        <v>56000000</v>
      </c>
      <c r="V68" s="5">
        <v>3500000</v>
      </c>
      <c r="W68" s="5">
        <v>153100000</v>
      </c>
      <c r="X68" s="5">
        <v>203100000</v>
      </c>
      <c r="Y68" s="5">
        <v>0</v>
      </c>
      <c r="Z68" s="5">
        <f t="shared" si="9"/>
        <v>75100000</v>
      </c>
      <c r="AA68" s="5">
        <v>0</v>
      </c>
      <c r="AB68" s="5">
        <f t="shared" si="10"/>
        <v>167100000</v>
      </c>
      <c r="AC68" s="5" t="s">
        <v>370</v>
      </c>
      <c r="AD68" s="4" t="s">
        <v>51</v>
      </c>
      <c r="AE68" s="5">
        <f t="shared" si="11"/>
        <v>0.44943147815679235</v>
      </c>
      <c r="AF68" s="5">
        <v>83550000</v>
      </c>
      <c r="AG68" s="4"/>
      <c r="AH68" s="5">
        <v>1</v>
      </c>
      <c r="AI68" s="5">
        <v>1</v>
      </c>
      <c r="AJ68" s="7" t="s">
        <v>371</v>
      </c>
      <c r="AK68" s="5">
        <v>0</v>
      </c>
      <c r="AL68" s="5">
        <v>0</v>
      </c>
      <c r="AM68" s="4">
        <v>2019</v>
      </c>
      <c r="AN68" s="5">
        <v>1</v>
      </c>
      <c r="AO68" s="5">
        <v>1</v>
      </c>
      <c r="AP68" s="8"/>
      <c r="AQ68" s="8"/>
      <c r="AR68" s="8">
        <f t="shared" si="12"/>
        <v>0</v>
      </c>
      <c r="AS68" s="8">
        <f t="shared" si="13"/>
        <v>92000000</v>
      </c>
      <c r="AT68" s="8">
        <f t="shared" si="14"/>
        <v>75100000</v>
      </c>
      <c r="AU68" s="8">
        <f t="shared" si="15"/>
        <v>92000000</v>
      </c>
      <c r="AV68" s="4" t="s">
        <v>369</v>
      </c>
      <c r="AW68" s="7" t="s">
        <v>371</v>
      </c>
      <c r="AX68" s="5">
        <v>36000000</v>
      </c>
      <c r="AY68">
        <f t="shared" si="16"/>
        <v>36000000</v>
      </c>
      <c r="AZ68">
        <f t="shared" si="17"/>
        <v>56000000</v>
      </c>
      <c r="BA68" s="5">
        <v>203100000</v>
      </c>
      <c r="BB68" s="5">
        <v>0</v>
      </c>
      <c r="BC68" s="4" t="s">
        <v>49</v>
      </c>
      <c r="BD68" s="4">
        <v>46734</v>
      </c>
      <c r="BE68" t="s">
        <v>54</v>
      </c>
    </row>
    <row r="69" spans="1:57" ht="270.75" thickBot="1" x14ac:dyDescent="0.3">
      <c r="A69" s="4" t="s">
        <v>372</v>
      </c>
      <c r="B69" s="4">
        <v>3001</v>
      </c>
      <c r="C69" s="5">
        <v>2</v>
      </c>
      <c r="D69" s="4" t="s">
        <v>44</v>
      </c>
      <c r="E69" s="6">
        <v>46293.073850011577</v>
      </c>
      <c r="F69" s="4" t="s">
        <v>373</v>
      </c>
      <c r="G69" s="4" t="s">
        <v>46</v>
      </c>
      <c r="H69" s="4">
        <v>53</v>
      </c>
      <c r="I69" s="4" t="s">
        <v>47</v>
      </c>
      <c r="J69" s="4">
        <v>5309</v>
      </c>
      <c r="K69" s="4" t="s">
        <v>48</v>
      </c>
      <c r="L69" s="4">
        <v>5309030</v>
      </c>
      <c r="M69" s="4">
        <v>5309030025</v>
      </c>
      <c r="N69" s="4" t="s">
        <v>49</v>
      </c>
      <c r="O69" s="4">
        <v>46734</v>
      </c>
      <c r="P69" s="4" t="s">
        <v>374</v>
      </c>
      <c r="Q69" s="5">
        <v>1</v>
      </c>
      <c r="R69" s="5">
        <v>0</v>
      </c>
      <c r="S69" s="5">
        <v>0</v>
      </c>
      <c r="T69" s="5">
        <v>0</v>
      </c>
      <c r="U69" s="5">
        <v>500000</v>
      </c>
      <c r="V69" s="5">
        <v>0</v>
      </c>
      <c r="W69" s="5">
        <v>500000</v>
      </c>
      <c r="X69" s="5">
        <v>1200000</v>
      </c>
      <c r="Y69" s="5">
        <v>0</v>
      </c>
      <c r="Z69" s="5">
        <f t="shared" si="9"/>
        <v>700000</v>
      </c>
      <c r="AA69" s="5">
        <v>500000</v>
      </c>
      <c r="AB69" s="5">
        <f t="shared" si="10"/>
        <v>1200000</v>
      </c>
      <c r="AC69" s="5">
        <v>0</v>
      </c>
      <c r="AD69" s="4" t="s">
        <v>51</v>
      </c>
      <c r="AE69" s="5">
        <f t="shared" si="11"/>
        <v>0.58333333333333337</v>
      </c>
      <c r="AF69" s="5">
        <v>1200000</v>
      </c>
      <c r="AG69" s="5">
        <v>1</v>
      </c>
      <c r="AH69" s="5">
        <v>1</v>
      </c>
      <c r="AI69" s="5">
        <v>1</v>
      </c>
      <c r="AJ69" s="7" t="s">
        <v>376</v>
      </c>
      <c r="AK69" s="5">
        <v>0</v>
      </c>
      <c r="AL69" s="5">
        <v>0</v>
      </c>
      <c r="AM69" s="4">
        <v>2021</v>
      </c>
      <c r="AN69" s="5">
        <v>0</v>
      </c>
      <c r="AO69" s="5">
        <v>1</v>
      </c>
      <c r="AP69" s="8"/>
      <c r="AQ69" s="8"/>
      <c r="AR69" s="8">
        <f t="shared" si="12"/>
        <v>0</v>
      </c>
      <c r="AS69" s="8">
        <f t="shared" si="13"/>
        <v>500000</v>
      </c>
      <c r="AT69" s="8">
        <f t="shared" si="14"/>
        <v>700000</v>
      </c>
      <c r="AU69" s="8">
        <f t="shared" si="15"/>
        <v>500000</v>
      </c>
      <c r="AV69" s="4" t="s">
        <v>374</v>
      </c>
      <c r="AW69" s="7" t="s">
        <v>376</v>
      </c>
      <c r="AX69" s="5">
        <v>0</v>
      </c>
      <c r="AY69">
        <f t="shared" si="16"/>
        <v>0</v>
      </c>
      <c r="AZ69">
        <f t="shared" si="17"/>
        <v>500000</v>
      </c>
      <c r="BA69" s="5">
        <v>1200000</v>
      </c>
      <c r="BB69" s="5">
        <v>0</v>
      </c>
      <c r="BC69" s="4" t="s">
        <v>49</v>
      </c>
      <c r="BD69" s="4">
        <v>46734</v>
      </c>
      <c r="BE69" t="s">
        <v>54</v>
      </c>
    </row>
    <row r="70" spans="1:57" ht="270.75" thickBot="1" x14ac:dyDescent="0.3">
      <c r="A70" s="4" t="s">
        <v>377</v>
      </c>
      <c r="B70" s="4">
        <v>3001</v>
      </c>
      <c r="C70" s="5">
        <v>2</v>
      </c>
      <c r="D70" s="4" t="s">
        <v>44</v>
      </c>
      <c r="E70" s="9">
        <v>46220.260243055556</v>
      </c>
      <c r="F70" s="4" t="s">
        <v>378</v>
      </c>
      <c r="G70" s="4" t="s">
        <v>46</v>
      </c>
      <c r="H70" s="4">
        <v>53</v>
      </c>
      <c r="I70" s="4" t="s">
        <v>47</v>
      </c>
      <c r="J70" s="4">
        <v>5309</v>
      </c>
      <c r="K70" s="4" t="s">
        <v>48</v>
      </c>
      <c r="L70" s="4">
        <v>5309040</v>
      </c>
      <c r="M70" s="4">
        <v>5309040017</v>
      </c>
      <c r="N70" s="4" t="s">
        <v>49</v>
      </c>
      <c r="O70" s="4">
        <v>46734</v>
      </c>
      <c r="P70" s="4" t="s">
        <v>379</v>
      </c>
      <c r="Q70" s="5">
        <v>1</v>
      </c>
      <c r="R70" s="5">
        <v>0</v>
      </c>
      <c r="S70" s="5">
        <v>500000</v>
      </c>
      <c r="T70" s="5">
        <v>0</v>
      </c>
      <c r="U70" s="5">
        <v>100000</v>
      </c>
      <c r="V70" s="5">
        <v>0</v>
      </c>
      <c r="W70" s="5">
        <v>600000</v>
      </c>
      <c r="X70" s="5">
        <v>6000000</v>
      </c>
      <c r="Y70" s="5">
        <v>0</v>
      </c>
      <c r="Z70" s="5">
        <f t="shared" si="9"/>
        <v>5400000</v>
      </c>
      <c r="AA70" s="5">
        <v>0</v>
      </c>
      <c r="AB70" s="5">
        <f t="shared" si="10"/>
        <v>6000000</v>
      </c>
      <c r="AC70" s="5">
        <v>0</v>
      </c>
      <c r="AD70" s="4" t="s">
        <v>51</v>
      </c>
      <c r="AE70" s="5">
        <f t="shared" si="11"/>
        <v>0.9</v>
      </c>
      <c r="AF70" s="5">
        <v>6000000</v>
      </c>
      <c r="AG70" s="4"/>
      <c r="AH70" s="5">
        <v>1</v>
      </c>
      <c r="AI70" s="5">
        <v>1</v>
      </c>
      <c r="AJ70" s="7" t="s">
        <v>380</v>
      </c>
      <c r="AK70" s="5">
        <v>0</v>
      </c>
      <c r="AL70" s="5">
        <v>0</v>
      </c>
      <c r="AM70" s="4">
        <v>2020</v>
      </c>
      <c r="AN70" s="5">
        <v>0</v>
      </c>
      <c r="AO70" s="5">
        <v>1</v>
      </c>
      <c r="AP70" s="8"/>
      <c r="AQ70" s="8"/>
      <c r="AR70" s="8">
        <f t="shared" si="12"/>
        <v>0</v>
      </c>
      <c r="AS70" s="8">
        <f t="shared" si="13"/>
        <v>600000</v>
      </c>
      <c r="AT70" s="8">
        <f t="shared" si="14"/>
        <v>4440000</v>
      </c>
      <c r="AU70" s="8">
        <f t="shared" si="15"/>
        <v>1560000</v>
      </c>
      <c r="AV70" s="4" t="s">
        <v>379</v>
      </c>
      <c r="AW70" s="7" t="s">
        <v>380</v>
      </c>
      <c r="AX70" s="5">
        <v>0</v>
      </c>
      <c r="AY70">
        <f t="shared" si="16"/>
        <v>1300000</v>
      </c>
      <c r="AZ70">
        <f t="shared" si="17"/>
        <v>260000</v>
      </c>
      <c r="BA70" s="5">
        <v>6000000</v>
      </c>
      <c r="BB70" s="5">
        <v>0</v>
      </c>
      <c r="BC70" s="4" t="s">
        <v>49</v>
      </c>
      <c r="BD70" s="4">
        <v>46734</v>
      </c>
      <c r="BE70" t="s">
        <v>54</v>
      </c>
    </row>
    <row r="71" spans="1:57" ht="270.75" thickBot="1" x14ac:dyDescent="0.3">
      <c r="A71" s="4" t="s">
        <v>381</v>
      </c>
      <c r="B71" s="4">
        <v>2001</v>
      </c>
      <c r="C71" s="5">
        <v>2</v>
      </c>
      <c r="D71" s="4" t="s">
        <v>44</v>
      </c>
      <c r="E71" s="6">
        <v>46293.10348972222</v>
      </c>
      <c r="F71" s="4" t="s">
        <v>382</v>
      </c>
      <c r="G71" s="4" t="s">
        <v>46</v>
      </c>
      <c r="H71" s="4">
        <v>53</v>
      </c>
      <c r="I71" s="4" t="s">
        <v>47</v>
      </c>
      <c r="J71" s="4">
        <v>5309</v>
      </c>
      <c r="K71" s="4" t="s">
        <v>48</v>
      </c>
      <c r="L71" s="4">
        <v>5309041</v>
      </c>
      <c r="M71" s="4">
        <v>5309041006</v>
      </c>
      <c r="N71" s="4" t="s">
        <v>49</v>
      </c>
      <c r="O71" s="4">
        <v>46734</v>
      </c>
      <c r="P71" s="4" t="s">
        <v>383</v>
      </c>
      <c r="Q71" s="5">
        <v>2</v>
      </c>
      <c r="R71" s="5">
        <v>6000000</v>
      </c>
      <c r="S71" s="5">
        <v>0</v>
      </c>
      <c r="T71" s="5">
        <v>55000000</v>
      </c>
      <c r="U71" s="5">
        <v>250000</v>
      </c>
      <c r="V71" s="5">
        <v>0</v>
      </c>
      <c r="W71" s="5">
        <v>61250000</v>
      </c>
      <c r="X71" s="5">
        <v>68000000</v>
      </c>
      <c r="Y71" s="5">
        <v>0</v>
      </c>
      <c r="Z71" s="5">
        <f t="shared" si="9"/>
        <v>12750000</v>
      </c>
      <c r="AA71" s="5">
        <v>10000000</v>
      </c>
      <c r="AB71" s="5">
        <f t="shared" si="10"/>
        <v>13000000</v>
      </c>
      <c r="AC71" s="5" t="s">
        <v>384</v>
      </c>
      <c r="AD71" s="4" t="s">
        <v>51</v>
      </c>
      <c r="AE71" s="5">
        <f t="shared" si="11"/>
        <v>0.98076923076923073</v>
      </c>
      <c r="AF71" s="5">
        <v>6500000</v>
      </c>
      <c r="AG71" s="5">
        <v>1</v>
      </c>
      <c r="AH71" s="5">
        <v>0</v>
      </c>
      <c r="AI71" s="5">
        <v>1</v>
      </c>
      <c r="AJ71" s="7" t="s">
        <v>385</v>
      </c>
      <c r="AK71" s="5">
        <v>0</v>
      </c>
      <c r="AL71" s="5">
        <v>0</v>
      </c>
      <c r="AM71" s="4">
        <v>2015</v>
      </c>
      <c r="AN71" s="5">
        <v>1</v>
      </c>
      <c r="AO71" s="5">
        <v>1</v>
      </c>
      <c r="AP71" s="8"/>
      <c r="AQ71" s="8"/>
      <c r="AR71" s="8">
        <f t="shared" si="12"/>
        <v>0</v>
      </c>
      <c r="AS71" s="8">
        <f t="shared" si="13"/>
        <v>250000</v>
      </c>
      <c r="AT71" s="8">
        <f t="shared" si="14"/>
        <v>9620000</v>
      </c>
      <c r="AU71" s="8">
        <f t="shared" si="15"/>
        <v>3380000</v>
      </c>
      <c r="AV71" s="4" t="s">
        <v>383</v>
      </c>
      <c r="AW71" s="7" t="s">
        <v>385</v>
      </c>
      <c r="AX71" s="5">
        <v>55000000</v>
      </c>
      <c r="AY71">
        <f t="shared" si="16"/>
        <v>0</v>
      </c>
      <c r="AZ71">
        <f t="shared" si="17"/>
        <v>3380000</v>
      </c>
      <c r="BA71" s="5">
        <v>68000000</v>
      </c>
      <c r="BB71" s="5">
        <v>0</v>
      </c>
      <c r="BC71" s="4" t="s">
        <v>49</v>
      </c>
      <c r="BD71" s="4">
        <v>46734</v>
      </c>
      <c r="BE71" t="s">
        <v>54</v>
      </c>
    </row>
    <row r="72" spans="1:57" ht="270.75" thickBot="1" x14ac:dyDescent="0.3">
      <c r="A72" s="4" t="s">
        <v>386</v>
      </c>
      <c r="B72" s="4">
        <v>2001</v>
      </c>
      <c r="C72" s="5">
        <v>2</v>
      </c>
      <c r="D72" s="4" t="s">
        <v>44</v>
      </c>
      <c r="E72" s="6">
        <v>46266.103853773151</v>
      </c>
      <c r="F72" s="4" t="s">
        <v>387</v>
      </c>
      <c r="G72" s="4" t="s">
        <v>46</v>
      </c>
      <c r="H72" s="4">
        <v>53</v>
      </c>
      <c r="I72" s="4" t="s">
        <v>47</v>
      </c>
      <c r="J72" s="4">
        <v>5309</v>
      </c>
      <c r="K72" s="4" t="s">
        <v>48</v>
      </c>
      <c r="L72" s="4">
        <v>5309030</v>
      </c>
      <c r="M72" s="4">
        <v>5309030023</v>
      </c>
      <c r="N72" s="4" t="s">
        <v>49</v>
      </c>
      <c r="O72" s="4">
        <v>46738</v>
      </c>
      <c r="P72" s="4" t="s">
        <v>388</v>
      </c>
      <c r="Q72" s="5">
        <v>3</v>
      </c>
      <c r="R72" s="5">
        <v>28800000</v>
      </c>
      <c r="S72" s="5">
        <v>0</v>
      </c>
      <c r="T72" s="5">
        <v>500000000</v>
      </c>
      <c r="U72" s="5">
        <v>12000000</v>
      </c>
      <c r="V72" s="5">
        <v>0</v>
      </c>
      <c r="W72" s="5">
        <v>540800000</v>
      </c>
      <c r="X72" s="5">
        <v>750000000</v>
      </c>
      <c r="Y72" s="5">
        <v>0</v>
      </c>
      <c r="Z72" s="5">
        <f t="shared" si="9"/>
        <v>238000000</v>
      </c>
      <c r="AA72" s="5">
        <v>350000000</v>
      </c>
      <c r="AB72" s="5">
        <f t="shared" si="10"/>
        <v>250000000</v>
      </c>
      <c r="AC72" s="5" t="s">
        <v>102</v>
      </c>
      <c r="AD72" s="4" t="s">
        <v>51</v>
      </c>
      <c r="AE72" s="5">
        <f t="shared" si="11"/>
        <v>0.95199999999999996</v>
      </c>
      <c r="AF72" s="5" t="s">
        <v>389</v>
      </c>
      <c r="AG72" s="5">
        <v>1</v>
      </c>
      <c r="AH72" s="5">
        <v>1</v>
      </c>
      <c r="AI72" s="5">
        <v>1</v>
      </c>
      <c r="AJ72" s="7" t="s">
        <v>390</v>
      </c>
      <c r="AK72" s="5">
        <v>0</v>
      </c>
      <c r="AL72" s="5">
        <v>0</v>
      </c>
      <c r="AM72" s="4">
        <v>2020</v>
      </c>
      <c r="AN72" s="5">
        <v>2</v>
      </c>
      <c r="AO72" s="5">
        <v>1</v>
      </c>
      <c r="AP72" s="8"/>
      <c r="AQ72" s="8"/>
      <c r="AR72" s="8">
        <f t="shared" si="12"/>
        <v>0</v>
      </c>
      <c r="AS72" s="8">
        <f t="shared" si="13"/>
        <v>12000000</v>
      </c>
      <c r="AT72" s="8">
        <f t="shared" si="14"/>
        <v>185000000</v>
      </c>
      <c r="AU72" s="8">
        <f t="shared" si="15"/>
        <v>65000000</v>
      </c>
      <c r="AV72" s="4" t="s">
        <v>388</v>
      </c>
      <c r="AW72" s="7" t="s">
        <v>390</v>
      </c>
      <c r="AX72" s="5">
        <v>500000000</v>
      </c>
      <c r="AY72">
        <f t="shared" si="16"/>
        <v>0</v>
      </c>
      <c r="AZ72">
        <f t="shared" si="17"/>
        <v>65000000</v>
      </c>
      <c r="BA72" s="5">
        <v>750000000</v>
      </c>
      <c r="BB72" s="5">
        <v>0</v>
      </c>
      <c r="BC72" s="4" t="s">
        <v>49</v>
      </c>
      <c r="BD72" s="4">
        <v>46738</v>
      </c>
      <c r="BE72" t="s">
        <v>54</v>
      </c>
    </row>
    <row r="73" spans="1:57" ht="270.75" thickBot="1" x14ac:dyDescent="0.3">
      <c r="A73" s="4" t="s">
        <v>391</v>
      </c>
      <c r="B73" s="4">
        <v>2001</v>
      </c>
      <c r="C73" s="5">
        <v>2</v>
      </c>
      <c r="D73" s="4" t="s">
        <v>44</v>
      </c>
      <c r="E73" s="6">
        <v>46269.317162002313</v>
      </c>
      <c r="F73" s="4" t="s">
        <v>392</v>
      </c>
      <c r="G73" s="4" t="s">
        <v>46</v>
      </c>
      <c r="H73" s="4">
        <v>53</v>
      </c>
      <c r="I73" s="4" t="s">
        <v>47</v>
      </c>
      <c r="J73" s="4">
        <v>5309</v>
      </c>
      <c r="K73" s="4" t="s">
        <v>48</v>
      </c>
      <c r="L73" s="4">
        <v>5309070</v>
      </c>
      <c r="M73" s="4">
        <v>5309070007</v>
      </c>
      <c r="N73" s="4" t="s">
        <v>49</v>
      </c>
      <c r="O73" s="4">
        <v>46738</v>
      </c>
      <c r="P73" s="4" t="s">
        <v>393</v>
      </c>
      <c r="Q73" s="5">
        <v>3</v>
      </c>
      <c r="R73" s="5">
        <v>24000000</v>
      </c>
      <c r="S73" s="5">
        <v>6000000</v>
      </c>
      <c r="T73" s="5">
        <v>480000000</v>
      </c>
      <c r="U73" s="5">
        <v>72000000</v>
      </c>
      <c r="V73" s="5">
        <v>0</v>
      </c>
      <c r="W73" s="5">
        <v>582000000</v>
      </c>
      <c r="X73" s="5">
        <v>630000000</v>
      </c>
      <c r="Y73" s="5">
        <v>0</v>
      </c>
      <c r="Z73" s="5">
        <f t="shared" si="9"/>
        <v>72000000</v>
      </c>
      <c r="AA73" s="5">
        <v>270000000</v>
      </c>
      <c r="AB73" s="5">
        <f t="shared" si="10"/>
        <v>150000000</v>
      </c>
      <c r="AC73" s="5" t="s">
        <v>394</v>
      </c>
      <c r="AD73" s="4" t="s">
        <v>51</v>
      </c>
      <c r="AE73" s="5">
        <f t="shared" si="11"/>
        <v>0.48</v>
      </c>
      <c r="AF73" s="5">
        <v>50000000</v>
      </c>
      <c r="AG73" s="5">
        <v>1</v>
      </c>
      <c r="AH73" s="5">
        <v>1</v>
      </c>
      <c r="AI73" s="5">
        <v>1</v>
      </c>
      <c r="AJ73" s="7" t="s">
        <v>396</v>
      </c>
      <c r="AK73" s="5">
        <v>0</v>
      </c>
      <c r="AL73" s="5">
        <v>0</v>
      </c>
      <c r="AM73" s="4">
        <v>2023</v>
      </c>
      <c r="AN73" s="5">
        <v>2</v>
      </c>
      <c r="AO73" s="5">
        <v>1</v>
      </c>
      <c r="AP73" s="8"/>
      <c r="AQ73" s="8"/>
      <c r="AR73" s="8">
        <f t="shared" si="12"/>
        <v>0</v>
      </c>
      <c r="AS73" s="8">
        <f t="shared" si="13"/>
        <v>78000000</v>
      </c>
      <c r="AT73" s="8">
        <f t="shared" si="14"/>
        <v>72000000</v>
      </c>
      <c r="AU73" s="8">
        <f t="shared" si="15"/>
        <v>78000000</v>
      </c>
      <c r="AV73" s="4" t="s">
        <v>393</v>
      </c>
      <c r="AW73" s="7" t="s">
        <v>396</v>
      </c>
      <c r="AX73" s="5">
        <v>480000000</v>
      </c>
      <c r="AY73">
        <f t="shared" si="16"/>
        <v>6000000</v>
      </c>
      <c r="AZ73">
        <f t="shared" si="17"/>
        <v>72000000</v>
      </c>
      <c r="BA73" s="5">
        <v>630000000</v>
      </c>
      <c r="BB73" s="5">
        <v>0</v>
      </c>
      <c r="BC73" s="4" t="s">
        <v>49</v>
      </c>
      <c r="BD73" s="4">
        <v>46738</v>
      </c>
      <c r="BE73" t="s">
        <v>54</v>
      </c>
    </row>
    <row r="74" spans="1:57" ht="270.75" thickBot="1" x14ac:dyDescent="0.3">
      <c r="A74" s="4" t="s">
        <v>397</v>
      </c>
      <c r="B74" s="4">
        <v>3001</v>
      </c>
      <c r="C74" s="5">
        <v>2</v>
      </c>
      <c r="D74" s="4" t="s">
        <v>44</v>
      </c>
      <c r="E74" s="6">
        <v>46273.675205763888</v>
      </c>
      <c r="F74" s="4" t="s">
        <v>398</v>
      </c>
      <c r="G74" s="4" t="s">
        <v>46</v>
      </c>
      <c r="H74" s="4">
        <v>53</v>
      </c>
      <c r="I74" s="4" t="s">
        <v>47</v>
      </c>
      <c r="J74" s="4">
        <v>5309</v>
      </c>
      <c r="K74" s="4" t="s">
        <v>48</v>
      </c>
      <c r="L74" s="4">
        <v>5309011</v>
      </c>
      <c r="M74" s="4">
        <v>5309011006</v>
      </c>
      <c r="N74" s="4" t="s">
        <v>49</v>
      </c>
      <c r="O74" s="4">
        <v>46738</v>
      </c>
      <c r="P74" s="4" t="s">
        <v>399</v>
      </c>
      <c r="Q74" s="5">
        <v>7</v>
      </c>
      <c r="R74" s="5">
        <v>108000000</v>
      </c>
      <c r="S74" s="5">
        <v>10000000</v>
      </c>
      <c r="T74" s="5">
        <v>180000000</v>
      </c>
      <c r="U74" s="5">
        <v>5000000</v>
      </c>
      <c r="V74" s="5">
        <v>0</v>
      </c>
      <c r="W74" s="5">
        <v>303000000</v>
      </c>
      <c r="X74" s="5">
        <v>450000000</v>
      </c>
      <c r="Y74" s="5">
        <v>0</v>
      </c>
      <c r="Z74" s="5">
        <f t="shared" si="9"/>
        <v>255000000</v>
      </c>
      <c r="AA74" s="5">
        <v>350000000</v>
      </c>
      <c r="AB74" s="5">
        <f t="shared" si="10"/>
        <v>270000000</v>
      </c>
      <c r="AC74" s="5" t="s">
        <v>167</v>
      </c>
      <c r="AD74" s="4" t="s">
        <v>51</v>
      </c>
      <c r="AE74" s="5">
        <f t="shared" si="11"/>
        <v>0.94444444444444442</v>
      </c>
      <c r="AF74" s="5" t="s">
        <v>400</v>
      </c>
      <c r="AG74" s="5">
        <v>1</v>
      </c>
      <c r="AH74" s="5">
        <v>0</v>
      </c>
      <c r="AI74" s="5">
        <v>1</v>
      </c>
      <c r="AJ74" s="7" t="s">
        <v>401</v>
      </c>
      <c r="AK74" s="5">
        <v>0</v>
      </c>
      <c r="AL74" s="5">
        <v>0</v>
      </c>
      <c r="AM74" s="4">
        <v>1970</v>
      </c>
      <c r="AN74" s="5">
        <v>6</v>
      </c>
      <c r="AO74" s="5">
        <v>1</v>
      </c>
      <c r="AP74" s="8"/>
      <c r="AQ74" s="8"/>
      <c r="AR74" s="8">
        <f t="shared" si="12"/>
        <v>0</v>
      </c>
      <c r="AS74" s="8">
        <f t="shared" si="13"/>
        <v>15000000</v>
      </c>
      <c r="AT74" s="8">
        <f t="shared" si="14"/>
        <v>199800000</v>
      </c>
      <c r="AU74" s="8">
        <f t="shared" si="15"/>
        <v>70200000</v>
      </c>
      <c r="AV74" s="4" t="s">
        <v>399</v>
      </c>
      <c r="AW74" s="7" t="s">
        <v>401</v>
      </c>
      <c r="AX74" s="5">
        <v>180000000</v>
      </c>
      <c r="AY74">
        <f t="shared" si="16"/>
        <v>46800000</v>
      </c>
      <c r="AZ74">
        <f t="shared" si="17"/>
        <v>23400000</v>
      </c>
      <c r="BA74" s="5">
        <v>450000000</v>
      </c>
      <c r="BB74" s="5">
        <v>0</v>
      </c>
      <c r="BC74" s="4" t="s">
        <v>49</v>
      </c>
      <c r="BD74" s="4">
        <v>46738</v>
      </c>
      <c r="BE74" t="s">
        <v>54</v>
      </c>
    </row>
    <row r="75" spans="1:57" ht="270.75" thickBot="1" x14ac:dyDescent="0.3">
      <c r="A75" s="4" t="s">
        <v>402</v>
      </c>
      <c r="B75" s="4">
        <v>2001</v>
      </c>
      <c r="C75" s="5">
        <v>2</v>
      </c>
      <c r="D75" s="4" t="s">
        <v>44</v>
      </c>
      <c r="E75" s="6">
        <v>46258.693085416664</v>
      </c>
      <c r="F75" s="4" t="s">
        <v>403</v>
      </c>
      <c r="G75" s="4" t="s">
        <v>46</v>
      </c>
      <c r="H75" s="4">
        <v>53</v>
      </c>
      <c r="I75" s="4" t="s">
        <v>47</v>
      </c>
      <c r="J75" s="4">
        <v>5309</v>
      </c>
      <c r="K75" s="4" t="s">
        <v>48</v>
      </c>
      <c r="L75" s="4">
        <v>5309012</v>
      </c>
      <c r="M75" s="4">
        <v>5309012002</v>
      </c>
      <c r="N75" s="4" t="s">
        <v>49</v>
      </c>
      <c r="O75" s="4">
        <v>46738</v>
      </c>
      <c r="P75" s="4" t="s">
        <v>404</v>
      </c>
      <c r="Q75" s="5">
        <v>1</v>
      </c>
      <c r="R75" s="5">
        <v>0</v>
      </c>
      <c r="S75" s="5">
        <v>350000</v>
      </c>
      <c r="T75" s="5">
        <v>75600000</v>
      </c>
      <c r="U75" s="5">
        <v>9600000</v>
      </c>
      <c r="V75" s="5">
        <v>0</v>
      </c>
      <c r="W75" s="5">
        <v>85550000</v>
      </c>
      <c r="X75" s="5">
        <v>157200000</v>
      </c>
      <c r="Y75" s="5">
        <v>0</v>
      </c>
      <c r="Z75" s="5">
        <f t="shared" si="9"/>
        <v>71650000</v>
      </c>
      <c r="AA75" s="5">
        <v>10000000</v>
      </c>
      <c r="AB75" s="5">
        <f t="shared" si="10"/>
        <v>81600000</v>
      </c>
      <c r="AC75" s="5" t="s">
        <v>405</v>
      </c>
      <c r="AD75" s="4" t="s">
        <v>51</v>
      </c>
      <c r="AE75" s="5">
        <f t="shared" si="11"/>
        <v>0.87806372549019607</v>
      </c>
      <c r="AF75" s="5">
        <v>81600000</v>
      </c>
      <c r="AG75" s="5">
        <v>1</v>
      </c>
      <c r="AH75" s="5">
        <v>1</v>
      </c>
      <c r="AI75" s="5">
        <v>1</v>
      </c>
      <c r="AJ75" s="7" t="s">
        <v>406</v>
      </c>
      <c r="AK75" s="5">
        <v>0</v>
      </c>
      <c r="AL75" s="5">
        <v>0</v>
      </c>
      <c r="AM75" s="4">
        <v>2024</v>
      </c>
      <c r="AN75" s="5">
        <v>0</v>
      </c>
      <c r="AO75" s="5">
        <v>1</v>
      </c>
      <c r="AP75" s="8"/>
      <c r="AQ75" s="8"/>
      <c r="AR75" s="8">
        <f t="shared" si="12"/>
        <v>0</v>
      </c>
      <c r="AS75" s="8">
        <f t="shared" si="13"/>
        <v>9950000</v>
      </c>
      <c r="AT75" s="8">
        <f t="shared" si="14"/>
        <v>60384000</v>
      </c>
      <c r="AU75" s="8">
        <f t="shared" si="15"/>
        <v>21216000</v>
      </c>
      <c r="AV75" s="4" t="s">
        <v>404</v>
      </c>
      <c r="AW75" s="7" t="s">
        <v>406</v>
      </c>
      <c r="AX75" s="5">
        <v>75600000</v>
      </c>
      <c r="AY75">
        <f t="shared" si="16"/>
        <v>746291.45728643239</v>
      </c>
      <c r="AZ75">
        <f t="shared" si="17"/>
        <v>20469708.542713568</v>
      </c>
      <c r="BA75" s="5">
        <v>157200000</v>
      </c>
      <c r="BB75" s="5">
        <v>0</v>
      </c>
      <c r="BC75" s="4" t="s">
        <v>49</v>
      </c>
      <c r="BD75" s="4">
        <v>46738</v>
      </c>
      <c r="BE75" t="s">
        <v>54</v>
      </c>
    </row>
    <row r="76" spans="1:57" ht="270.75" thickBot="1" x14ac:dyDescent="0.3">
      <c r="A76" s="4" t="s">
        <v>407</v>
      </c>
      <c r="B76" s="4">
        <v>1001</v>
      </c>
      <c r="C76" s="5">
        <v>2</v>
      </c>
      <c r="D76" s="4" t="s">
        <v>44</v>
      </c>
      <c r="E76" s="6">
        <v>46290.922906018517</v>
      </c>
      <c r="F76" s="4" t="s">
        <v>408</v>
      </c>
      <c r="G76" s="4" t="s">
        <v>46</v>
      </c>
      <c r="H76" s="4">
        <v>53</v>
      </c>
      <c r="I76" s="4" t="s">
        <v>47</v>
      </c>
      <c r="J76" s="4">
        <v>5309</v>
      </c>
      <c r="K76" s="4" t="s">
        <v>48</v>
      </c>
      <c r="L76" s="4">
        <v>5309030</v>
      </c>
      <c r="M76" s="4">
        <v>5309030027</v>
      </c>
      <c r="N76" s="4" t="s">
        <v>49</v>
      </c>
      <c r="O76" s="4">
        <v>46738</v>
      </c>
      <c r="P76" s="4" t="s">
        <v>409</v>
      </c>
      <c r="Q76" s="5">
        <v>3</v>
      </c>
      <c r="R76" s="5">
        <v>48000000</v>
      </c>
      <c r="S76" s="5">
        <v>0</v>
      </c>
      <c r="T76" s="5">
        <v>1200000000</v>
      </c>
      <c r="U76" s="5">
        <v>15000000</v>
      </c>
      <c r="V76" s="5">
        <v>0</v>
      </c>
      <c r="W76" s="5">
        <v>1263000000</v>
      </c>
      <c r="X76" s="5">
        <v>3240000000</v>
      </c>
      <c r="Y76" s="5">
        <v>0</v>
      </c>
      <c r="Z76" s="5">
        <f t="shared" si="9"/>
        <v>2025000000</v>
      </c>
      <c r="AA76" s="5">
        <v>1000000000</v>
      </c>
      <c r="AB76" s="5">
        <f t="shared" si="10"/>
        <v>2040000000</v>
      </c>
      <c r="AC76" s="5" t="s">
        <v>410</v>
      </c>
      <c r="AD76" s="4" t="s">
        <v>88</v>
      </c>
      <c r="AE76" s="5">
        <f t="shared" si="11"/>
        <v>0.99264705882352944</v>
      </c>
      <c r="AF76" s="5">
        <v>680000000</v>
      </c>
      <c r="AG76" s="5">
        <v>1</v>
      </c>
      <c r="AH76" s="5">
        <v>1</v>
      </c>
      <c r="AI76" s="5">
        <v>1</v>
      </c>
      <c r="AJ76" s="7" t="s">
        <v>411</v>
      </c>
      <c r="AK76" s="5">
        <v>0</v>
      </c>
      <c r="AL76" s="5">
        <v>0</v>
      </c>
      <c r="AM76" s="4">
        <v>2015</v>
      </c>
      <c r="AN76" s="5">
        <v>2</v>
      </c>
      <c r="AO76" s="5">
        <v>1</v>
      </c>
      <c r="AP76" s="8"/>
      <c r="AQ76" s="8"/>
      <c r="AR76" s="8">
        <f t="shared" si="12"/>
        <v>0</v>
      </c>
      <c r="AS76" s="8">
        <f t="shared" si="13"/>
        <v>15000000</v>
      </c>
      <c r="AT76" s="8">
        <f t="shared" si="14"/>
        <v>1509600000</v>
      </c>
      <c r="AU76" s="8">
        <f t="shared" si="15"/>
        <v>530400000</v>
      </c>
      <c r="AV76" s="4" t="s">
        <v>409</v>
      </c>
      <c r="AW76" s="7" t="s">
        <v>411</v>
      </c>
      <c r="AX76" s="5">
        <v>1200000000</v>
      </c>
      <c r="AY76">
        <f t="shared" si="16"/>
        <v>0</v>
      </c>
      <c r="AZ76">
        <f t="shared" si="17"/>
        <v>530400000</v>
      </c>
      <c r="BA76" s="5">
        <v>3240000000</v>
      </c>
      <c r="BB76" s="5">
        <v>0</v>
      </c>
      <c r="BC76" s="4" t="s">
        <v>49</v>
      </c>
      <c r="BD76" s="4">
        <v>46738</v>
      </c>
      <c r="BE76" t="s">
        <v>54</v>
      </c>
    </row>
    <row r="77" spans="1:57" ht="270.75" thickBot="1" x14ac:dyDescent="0.3">
      <c r="A77" s="4" t="s">
        <v>412</v>
      </c>
      <c r="B77" s="4">
        <v>3001</v>
      </c>
      <c r="C77" s="5">
        <v>2</v>
      </c>
      <c r="D77" s="4" t="s">
        <v>44</v>
      </c>
      <c r="E77" s="6">
        <v>46274.950150752316</v>
      </c>
      <c r="F77" s="4" t="s">
        <v>413</v>
      </c>
      <c r="G77" s="4" t="s">
        <v>46</v>
      </c>
      <c r="H77" s="4">
        <v>53</v>
      </c>
      <c r="I77" s="4" t="s">
        <v>47</v>
      </c>
      <c r="J77" s="4">
        <v>5309</v>
      </c>
      <c r="K77" s="4" t="s">
        <v>48</v>
      </c>
      <c r="L77" s="4">
        <v>5309011</v>
      </c>
      <c r="M77" s="4">
        <v>5309011006</v>
      </c>
      <c r="N77" s="4" t="s">
        <v>49</v>
      </c>
      <c r="O77" s="4">
        <v>46739</v>
      </c>
      <c r="P77" s="4" t="s">
        <v>414</v>
      </c>
      <c r="Q77" s="5">
        <v>7</v>
      </c>
      <c r="R77" s="5">
        <v>84000000</v>
      </c>
      <c r="S77" s="5">
        <v>500000000</v>
      </c>
      <c r="T77" s="5">
        <v>850000000</v>
      </c>
      <c r="U77" s="5">
        <v>45000000</v>
      </c>
      <c r="V77" s="5">
        <v>8000000</v>
      </c>
      <c r="W77" s="5">
        <v>1487000000</v>
      </c>
      <c r="X77" s="5">
        <v>1879000000</v>
      </c>
      <c r="Y77" s="5">
        <v>60000000</v>
      </c>
      <c r="Z77" s="5">
        <f t="shared" si="9"/>
        <v>484000000</v>
      </c>
      <c r="AA77" s="5">
        <v>800000000</v>
      </c>
      <c r="AB77" s="5">
        <f t="shared" si="10"/>
        <v>1029000000</v>
      </c>
      <c r="AC77" s="5" t="s">
        <v>415</v>
      </c>
      <c r="AD77" s="4" t="s">
        <v>51</v>
      </c>
      <c r="AE77" s="5">
        <f t="shared" si="11"/>
        <v>0.47035957240038873</v>
      </c>
      <c r="AF77" s="5">
        <v>147000000</v>
      </c>
      <c r="AG77" s="5">
        <v>1</v>
      </c>
      <c r="AH77" s="5">
        <v>1</v>
      </c>
      <c r="AI77" s="5">
        <v>1</v>
      </c>
      <c r="AJ77" s="7" t="s">
        <v>416</v>
      </c>
      <c r="AK77" s="5">
        <v>0</v>
      </c>
      <c r="AL77" s="5">
        <v>0</v>
      </c>
      <c r="AM77" s="4">
        <v>2017</v>
      </c>
      <c r="AN77" s="5">
        <v>6</v>
      </c>
      <c r="AO77" s="5">
        <v>1</v>
      </c>
      <c r="AP77" s="8"/>
      <c r="AQ77" s="8"/>
      <c r="AR77" s="8">
        <f t="shared" si="12"/>
        <v>0</v>
      </c>
      <c r="AS77" s="8">
        <f t="shared" si="13"/>
        <v>545000000</v>
      </c>
      <c r="AT77" s="8">
        <f t="shared" si="14"/>
        <v>484000000</v>
      </c>
      <c r="AU77" s="8">
        <f t="shared" si="15"/>
        <v>545000000</v>
      </c>
      <c r="AV77" s="4" t="s">
        <v>414</v>
      </c>
      <c r="AW77" s="7" t="s">
        <v>416</v>
      </c>
      <c r="AX77" s="5">
        <v>850000000</v>
      </c>
      <c r="AY77">
        <f t="shared" si="16"/>
        <v>500000000</v>
      </c>
      <c r="AZ77">
        <f t="shared" si="17"/>
        <v>45000000</v>
      </c>
      <c r="BA77" s="5">
        <v>1879000000</v>
      </c>
      <c r="BB77" s="5">
        <v>60000000</v>
      </c>
      <c r="BC77" s="4" t="s">
        <v>49</v>
      </c>
      <c r="BD77" s="4">
        <v>46739</v>
      </c>
      <c r="BE77" t="s">
        <v>54</v>
      </c>
    </row>
    <row r="78" spans="1:57" ht="270.75" thickBot="1" x14ac:dyDescent="0.3">
      <c r="A78" s="4" t="s">
        <v>417</v>
      </c>
      <c r="B78" s="4">
        <v>2001</v>
      </c>
      <c r="C78" s="5">
        <v>2</v>
      </c>
      <c r="D78" s="4" t="s">
        <v>44</v>
      </c>
      <c r="E78" s="6">
        <v>46276.24999877315</v>
      </c>
      <c r="F78" s="4" t="s">
        <v>418</v>
      </c>
      <c r="G78" s="4" t="s">
        <v>46</v>
      </c>
      <c r="H78" s="4">
        <v>53</v>
      </c>
      <c r="I78" s="4" t="s">
        <v>47</v>
      </c>
      <c r="J78" s="4">
        <v>5309</v>
      </c>
      <c r="K78" s="4" t="s">
        <v>48</v>
      </c>
      <c r="L78" s="4">
        <v>5309070</v>
      </c>
      <c r="M78" s="4">
        <v>5309070007</v>
      </c>
      <c r="N78" s="4" t="s">
        <v>49</v>
      </c>
      <c r="O78" s="4">
        <v>46796</v>
      </c>
      <c r="P78" s="4" t="s">
        <v>419</v>
      </c>
      <c r="Q78" s="5">
        <v>4</v>
      </c>
      <c r="R78" s="5">
        <v>0</v>
      </c>
      <c r="S78" s="5">
        <v>30000000</v>
      </c>
      <c r="T78" s="5">
        <v>320000000</v>
      </c>
      <c r="U78" s="5">
        <v>8000000</v>
      </c>
      <c r="V78" s="5">
        <v>0</v>
      </c>
      <c r="W78" s="5">
        <v>358000000</v>
      </c>
      <c r="X78" s="5">
        <v>408000000</v>
      </c>
      <c r="Y78" s="5">
        <v>0</v>
      </c>
      <c r="Z78" s="5">
        <f t="shared" si="9"/>
        <v>50000000</v>
      </c>
      <c r="AA78" s="5">
        <v>450000000</v>
      </c>
      <c r="AB78" s="5">
        <f t="shared" si="10"/>
        <v>88000000</v>
      </c>
      <c r="AC78" s="5" t="s">
        <v>420</v>
      </c>
      <c r="AD78" s="4" t="s">
        <v>51</v>
      </c>
      <c r="AE78" s="5">
        <f t="shared" si="11"/>
        <v>0.56818181818181823</v>
      </c>
      <c r="AF78" s="5">
        <v>22000000</v>
      </c>
      <c r="AG78" s="5">
        <v>1</v>
      </c>
      <c r="AH78" s="5">
        <v>1</v>
      </c>
      <c r="AI78" s="5">
        <v>1</v>
      </c>
      <c r="AJ78" s="7" t="s">
        <v>421</v>
      </c>
      <c r="AK78" s="5">
        <v>0</v>
      </c>
      <c r="AL78" s="5">
        <v>0</v>
      </c>
      <c r="AM78" s="4">
        <v>2022</v>
      </c>
      <c r="AN78" s="5">
        <v>0</v>
      </c>
      <c r="AO78" s="5">
        <v>4</v>
      </c>
      <c r="AP78" s="8"/>
      <c r="AQ78" s="8"/>
      <c r="AR78" s="8">
        <f t="shared" si="12"/>
        <v>0</v>
      </c>
      <c r="AS78" s="8">
        <f t="shared" si="13"/>
        <v>38000000</v>
      </c>
      <c r="AT78" s="8">
        <f t="shared" si="14"/>
        <v>50000000</v>
      </c>
      <c r="AU78" s="8">
        <f t="shared" si="15"/>
        <v>38000000</v>
      </c>
      <c r="AV78" s="4" t="s">
        <v>419</v>
      </c>
      <c r="AW78" s="7" t="s">
        <v>421</v>
      </c>
      <c r="AX78" s="5">
        <v>320000000</v>
      </c>
      <c r="AY78">
        <f t="shared" si="16"/>
        <v>30000000</v>
      </c>
      <c r="AZ78">
        <f t="shared" si="17"/>
        <v>8000000</v>
      </c>
      <c r="BA78" s="5">
        <v>408000000</v>
      </c>
      <c r="BB78" s="5">
        <v>0</v>
      </c>
      <c r="BC78" s="4" t="s">
        <v>49</v>
      </c>
      <c r="BD78" s="4">
        <v>46796</v>
      </c>
      <c r="BE78" t="s">
        <v>54</v>
      </c>
    </row>
    <row r="79" spans="1:57" ht="270.75" thickBot="1" x14ac:dyDescent="0.3">
      <c r="A79" s="4" t="s">
        <v>422</v>
      </c>
      <c r="B79" s="4">
        <v>1001</v>
      </c>
      <c r="C79" s="5">
        <v>2</v>
      </c>
      <c r="D79" s="4" t="s">
        <v>44</v>
      </c>
      <c r="E79" s="6">
        <v>46290.92282728009</v>
      </c>
      <c r="F79" s="4" t="s">
        <v>423</v>
      </c>
      <c r="G79" s="4" t="s">
        <v>46</v>
      </c>
      <c r="H79" s="4">
        <v>53</v>
      </c>
      <c r="I79" s="4" t="s">
        <v>47</v>
      </c>
      <c r="J79" s="4">
        <v>5309</v>
      </c>
      <c r="K79" s="4" t="s">
        <v>48</v>
      </c>
      <c r="L79" s="4">
        <v>5309030</v>
      </c>
      <c r="M79" s="4">
        <v>5309030025</v>
      </c>
      <c r="N79" s="4" t="s">
        <v>49</v>
      </c>
      <c r="O79" s="4">
        <v>46796</v>
      </c>
      <c r="P79" s="4" t="s">
        <v>424</v>
      </c>
      <c r="Q79" s="5">
        <v>1</v>
      </c>
      <c r="R79" s="5">
        <v>0</v>
      </c>
      <c r="S79" s="5">
        <v>0</v>
      </c>
      <c r="T79" s="5">
        <v>2400000</v>
      </c>
      <c r="U79" s="5">
        <v>1000000</v>
      </c>
      <c r="V79" s="5">
        <v>300000</v>
      </c>
      <c r="W79" s="5">
        <v>3700000</v>
      </c>
      <c r="X79" s="5">
        <v>8400000</v>
      </c>
      <c r="Y79" s="5">
        <v>0</v>
      </c>
      <c r="Z79" s="5">
        <f t="shared" si="9"/>
        <v>5000000</v>
      </c>
      <c r="AA79" s="5">
        <v>5000000</v>
      </c>
      <c r="AB79" s="5">
        <f t="shared" si="10"/>
        <v>6000000</v>
      </c>
      <c r="AC79" s="5" t="s">
        <v>425</v>
      </c>
      <c r="AD79" s="4" t="s">
        <v>51</v>
      </c>
      <c r="AE79" s="5">
        <f t="shared" si="11"/>
        <v>0.83333333333333337</v>
      </c>
      <c r="AF79" s="5">
        <v>6000000</v>
      </c>
      <c r="AG79" s="5">
        <v>1</v>
      </c>
      <c r="AH79" s="5">
        <v>1</v>
      </c>
      <c r="AI79" s="5">
        <v>1</v>
      </c>
      <c r="AJ79" s="7" t="s">
        <v>426</v>
      </c>
      <c r="AK79" s="5">
        <v>0</v>
      </c>
      <c r="AL79" s="5">
        <v>0</v>
      </c>
      <c r="AM79" s="4">
        <v>2021</v>
      </c>
      <c r="AN79" s="5">
        <v>0</v>
      </c>
      <c r="AO79" s="5">
        <v>1</v>
      </c>
      <c r="AP79" s="8"/>
      <c r="AQ79" s="8"/>
      <c r="AR79" s="8">
        <f t="shared" si="12"/>
        <v>0</v>
      </c>
      <c r="AS79" s="8">
        <f t="shared" si="13"/>
        <v>1000000</v>
      </c>
      <c r="AT79" s="8">
        <f t="shared" si="14"/>
        <v>4440000</v>
      </c>
      <c r="AU79" s="8">
        <f t="shared" si="15"/>
        <v>1560000</v>
      </c>
      <c r="AV79" s="4" t="s">
        <v>424</v>
      </c>
      <c r="AW79" s="7" t="s">
        <v>426</v>
      </c>
      <c r="AX79" s="5">
        <v>2400000</v>
      </c>
      <c r="AY79">
        <f t="shared" si="16"/>
        <v>0</v>
      </c>
      <c r="AZ79">
        <f t="shared" si="17"/>
        <v>1560000</v>
      </c>
      <c r="BA79" s="5">
        <v>8400000</v>
      </c>
      <c r="BB79" s="5">
        <v>0</v>
      </c>
      <c r="BC79" s="4" t="s">
        <v>49</v>
      </c>
      <c r="BD79" s="4">
        <v>46796</v>
      </c>
      <c r="BE79" t="s">
        <v>54</v>
      </c>
    </row>
    <row r="80" spans="1:57" ht="270.75" thickBot="1" x14ac:dyDescent="0.3">
      <c r="A80" s="4" t="s">
        <v>427</v>
      </c>
      <c r="B80" s="4">
        <v>1</v>
      </c>
      <c r="C80" s="5">
        <v>2</v>
      </c>
      <c r="D80" s="4" t="s">
        <v>44</v>
      </c>
      <c r="E80" s="6">
        <v>46290.922845243054</v>
      </c>
      <c r="F80" s="4" t="s">
        <v>428</v>
      </c>
      <c r="G80" s="4" t="s">
        <v>46</v>
      </c>
      <c r="H80" s="4">
        <v>53</v>
      </c>
      <c r="I80" s="4" t="s">
        <v>47</v>
      </c>
      <c r="J80" s="4">
        <v>5309</v>
      </c>
      <c r="K80" s="4" t="s">
        <v>48</v>
      </c>
      <c r="L80" s="4">
        <v>5309030</v>
      </c>
      <c r="M80" s="4">
        <v>5309030024</v>
      </c>
      <c r="N80" s="4" t="s">
        <v>49</v>
      </c>
      <c r="O80" s="4">
        <v>46796</v>
      </c>
      <c r="P80" s="4" t="s">
        <v>429</v>
      </c>
      <c r="Q80" s="5">
        <v>3</v>
      </c>
      <c r="R80" s="5">
        <v>43200000</v>
      </c>
      <c r="S80" s="5">
        <v>90000000</v>
      </c>
      <c r="T80" s="5">
        <v>0</v>
      </c>
      <c r="U80" s="5">
        <v>35000000</v>
      </c>
      <c r="V80" s="5">
        <v>5000000</v>
      </c>
      <c r="W80" s="5">
        <v>173200000</v>
      </c>
      <c r="X80" s="5">
        <v>220000000</v>
      </c>
      <c r="Y80" s="5">
        <v>35000000</v>
      </c>
      <c r="Z80" s="5">
        <f t="shared" si="9"/>
        <v>95000000</v>
      </c>
      <c r="AA80" s="5">
        <v>120000000</v>
      </c>
      <c r="AB80" s="5">
        <f t="shared" si="10"/>
        <v>220000000</v>
      </c>
      <c r="AC80" s="5">
        <v>0</v>
      </c>
      <c r="AD80" s="4" t="s">
        <v>51</v>
      </c>
      <c r="AE80" s="5">
        <f t="shared" si="11"/>
        <v>0.43181818181818182</v>
      </c>
      <c r="AF80" s="5" t="s">
        <v>430</v>
      </c>
      <c r="AG80" s="5">
        <v>1</v>
      </c>
      <c r="AH80" s="5">
        <v>0</v>
      </c>
      <c r="AI80" s="5">
        <v>1</v>
      </c>
      <c r="AJ80" s="7" t="s">
        <v>431</v>
      </c>
      <c r="AK80" s="5">
        <v>0</v>
      </c>
      <c r="AL80" s="5">
        <v>0</v>
      </c>
      <c r="AM80" s="4">
        <v>2014</v>
      </c>
      <c r="AN80" s="5">
        <v>3</v>
      </c>
      <c r="AO80" s="5">
        <v>0</v>
      </c>
      <c r="AP80" s="8"/>
      <c r="AQ80" s="8"/>
      <c r="AR80" s="8">
        <f t="shared" si="12"/>
        <v>0</v>
      </c>
      <c r="AS80" s="8">
        <f t="shared" si="13"/>
        <v>125000000</v>
      </c>
      <c r="AT80" s="8">
        <f t="shared" si="14"/>
        <v>95000000</v>
      </c>
      <c r="AU80" s="8">
        <f t="shared" si="15"/>
        <v>125000000</v>
      </c>
      <c r="AV80" s="4" t="s">
        <v>429</v>
      </c>
      <c r="AW80" s="7" t="s">
        <v>431</v>
      </c>
      <c r="AX80" s="5">
        <v>0</v>
      </c>
      <c r="AY80">
        <f t="shared" si="16"/>
        <v>90000000</v>
      </c>
      <c r="AZ80">
        <f t="shared" si="17"/>
        <v>35000000</v>
      </c>
      <c r="BA80" s="5">
        <v>220000000</v>
      </c>
      <c r="BB80" s="5">
        <v>35000000</v>
      </c>
      <c r="BC80" s="4" t="s">
        <v>49</v>
      </c>
      <c r="BD80" s="4">
        <v>46796</v>
      </c>
      <c r="BE80" t="s">
        <v>54</v>
      </c>
    </row>
    <row r="81" spans="1:57" ht="270.75" thickBot="1" x14ac:dyDescent="0.3">
      <c r="A81" s="4" t="s">
        <v>432</v>
      </c>
      <c r="B81" s="4">
        <v>1</v>
      </c>
      <c r="C81" s="5">
        <v>2</v>
      </c>
      <c r="D81" s="4" t="s">
        <v>44</v>
      </c>
      <c r="E81" s="6">
        <v>46290.922879409722</v>
      </c>
      <c r="F81" s="4" t="s">
        <v>433</v>
      </c>
      <c r="G81" s="4" t="s">
        <v>46</v>
      </c>
      <c r="H81" s="4">
        <v>53</v>
      </c>
      <c r="I81" s="4" t="s">
        <v>47</v>
      </c>
      <c r="J81" s="4">
        <v>5309</v>
      </c>
      <c r="K81" s="4" t="s">
        <v>48</v>
      </c>
      <c r="L81" s="4">
        <v>5309030</v>
      </c>
      <c r="M81" s="4">
        <v>5309030024</v>
      </c>
      <c r="N81" s="4" t="s">
        <v>49</v>
      </c>
      <c r="O81" s="4">
        <v>46799</v>
      </c>
      <c r="P81" s="4" t="s">
        <v>434</v>
      </c>
      <c r="Q81" s="5">
        <v>2</v>
      </c>
      <c r="R81" s="5">
        <v>6000000</v>
      </c>
      <c r="S81" s="5">
        <v>0</v>
      </c>
      <c r="T81" s="5">
        <v>140400000</v>
      </c>
      <c r="U81" s="5">
        <v>24000000</v>
      </c>
      <c r="V81" s="5">
        <v>0</v>
      </c>
      <c r="W81" s="5">
        <v>170400000</v>
      </c>
      <c r="X81" s="5">
        <v>270000000</v>
      </c>
      <c r="Y81" s="5">
        <v>0</v>
      </c>
      <c r="Z81" s="5">
        <f t="shared" si="9"/>
        <v>105600000</v>
      </c>
      <c r="AA81" s="5">
        <v>7000000</v>
      </c>
      <c r="AB81" s="5">
        <f t="shared" si="10"/>
        <v>129600000</v>
      </c>
      <c r="AC81" s="5" t="s">
        <v>435</v>
      </c>
      <c r="AD81" s="4" t="s">
        <v>51</v>
      </c>
      <c r="AE81" s="5">
        <f t="shared" si="11"/>
        <v>0.81481481481481477</v>
      </c>
      <c r="AF81" s="5">
        <v>64800000</v>
      </c>
      <c r="AG81" s="5">
        <v>1</v>
      </c>
      <c r="AH81" s="5">
        <v>1</v>
      </c>
      <c r="AI81" s="5">
        <v>1</v>
      </c>
      <c r="AJ81" s="7" t="s">
        <v>436</v>
      </c>
      <c r="AK81" s="5">
        <v>0</v>
      </c>
      <c r="AL81" s="5">
        <v>0</v>
      </c>
      <c r="AM81" s="4">
        <v>2021</v>
      </c>
      <c r="AN81" s="5">
        <v>1</v>
      </c>
      <c r="AO81" s="5">
        <v>1</v>
      </c>
      <c r="AP81" s="8"/>
      <c r="AQ81" s="8"/>
      <c r="AR81" s="8">
        <f t="shared" si="12"/>
        <v>0</v>
      </c>
      <c r="AS81" s="8">
        <f t="shared" si="13"/>
        <v>24000000</v>
      </c>
      <c r="AT81" s="8">
        <f t="shared" si="14"/>
        <v>95904000</v>
      </c>
      <c r="AU81" s="8">
        <f t="shared" si="15"/>
        <v>33696000</v>
      </c>
      <c r="AV81" s="4" t="s">
        <v>434</v>
      </c>
      <c r="AW81" s="7" t="s">
        <v>436</v>
      </c>
      <c r="AX81" s="5">
        <v>140400000</v>
      </c>
      <c r="AY81">
        <f t="shared" si="16"/>
        <v>0</v>
      </c>
      <c r="AZ81">
        <f t="shared" si="17"/>
        <v>33696000</v>
      </c>
      <c r="BA81" s="5">
        <v>270000000</v>
      </c>
      <c r="BB81" s="5">
        <v>0</v>
      </c>
      <c r="BC81" s="4" t="s">
        <v>49</v>
      </c>
      <c r="BD81" s="4">
        <v>46799</v>
      </c>
      <c r="BE81" t="s">
        <v>54</v>
      </c>
    </row>
    <row r="82" spans="1:57" ht="270.75" thickBot="1" x14ac:dyDescent="0.3">
      <c r="A82" s="4" t="s">
        <v>437</v>
      </c>
      <c r="B82" s="4">
        <v>1002</v>
      </c>
      <c r="C82" s="5">
        <v>2</v>
      </c>
      <c r="D82" s="4" t="s">
        <v>60</v>
      </c>
      <c r="E82" s="6">
        <v>46282.307494814813</v>
      </c>
      <c r="F82" s="4" t="s">
        <v>438</v>
      </c>
      <c r="G82" s="4" t="s">
        <v>46</v>
      </c>
      <c r="H82" s="4">
        <v>53</v>
      </c>
      <c r="I82" s="4" t="s">
        <v>47</v>
      </c>
      <c r="J82" s="4">
        <v>5309</v>
      </c>
      <c r="K82" s="4" t="s">
        <v>48</v>
      </c>
      <c r="L82" s="4">
        <v>5309011</v>
      </c>
      <c r="M82" s="4">
        <v>5309011006</v>
      </c>
      <c r="N82" s="4" t="s">
        <v>49</v>
      </c>
      <c r="O82" s="4">
        <v>46901</v>
      </c>
      <c r="P82" s="4" t="s">
        <v>439</v>
      </c>
      <c r="Q82" s="5">
        <v>6</v>
      </c>
      <c r="R82" s="5">
        <v>78000000</v>
      </c>
      <c r="S82" s="5">
        <v>50000000</v>
      </c>
      <c r="T82" s="5">
        <v>300000000</v>
      </c>
      <c r="U82" s="5">
        <v>30000000</v>
      </c>
      <c r="V82" s="5">
        <v>5000000</v>
      </c>
      <c r="W82" s="5">
        <v>463000000</v>
      </c>
      <c r="X82" s="5">
        <v>720000000</v>
      </c>
      <c r="Y82" s="5">
        <v>0</v>
      </c>
      <c r="Z82" s="5">
        <f t="shared" si="9"/>
        <v>340000000</v>
      </c>
      <c r="AA82" s="5">
        <v>550000000</v>
      </c>
      <c r="AB82" s="5">
        <f t="shared" si="10"/>
        <v>420000000</v>
      </c>
      <c r="AC82" s="5" t="s">
        <v>260</v>
      </c>
      <c r="AD82" s="4" t="s">
        <v>51</v>
      </c>
      <c r="AE82" s="5">
        <f t="shared" si="11"/>
        <v>0.80952380952380953</v>
      </c>
      <c r="AF82" s="5">
        <v>70000000</v>
      </c>
      <c r="AG82" s="5">
        <v>1</v>
      </c>
      <c r="AH82" s="5">
        <v>1</v>
      </c>
      <c r="AI82" s="5">
        <v>1</v>
      </c>
      <c r="AJ82" s="7" t="s">
        <v>441</v>
      </c>
      <c r="AK82" s="5">
        <v>0</v>
      </c>
      <c r="AL82" s="5">
        <v>0</v>
      </c>
      <c r="AM82" s="4">
        <v>1982</v>
      </c>
      <c r="AN82" s="5">
        <v>5</v>
      </c>
      <c r="AO82" s="5">
        <v>1</v>
      </c>
      <c r="AP82" s="8"/>
      <c r="AQ82" s="8"/>
      <c r="AR82" s="8">
        <f t="shared" si="12"/>
        <v>0</v>
      </c>
      <c r="AS82" s="8">
        <f t="shared" si="13"/>
        <v>80000000</v>
      </c>
      <c r="AT82" s="8">
        <f t="shared" si="14"/>
        <v>310800000</v>
      </c>
      <c r="AU82" s="8">
        <f t="shared" si="15"/>
        <v>109200000</v>
      </c>
      <c r="AV82" s="4" t="s">
        <v>439</v>
      </c>
      <c r="AW82" s="7" t="s">
        <v>441</v>
      </c>
      <c r="AX82" s="5">
        <v>300000000</v>
      </c>
      <c r="AY82">
        <f t="shared" si="16"/>
        <v>68250000</v>
      </c>
      <c r="AZ82">
        <f t="shared" si="17"/>
        <v>40950000</v>
      </c>
      <c r="BA82" s="5">
        <v>720000000</v>
      </c>
      <c r="BB82" s="5">
        <v>0</v>
      </c>
      <c r="BC82" s="4" t="s">
        <v>49</v>
      </c>
      <c r="BD82" s="4">
        <v>46901</v>
      </c>
      <c r="BE82" t="s">
        <v>54</v>
      </c>
    </row>
    <row r="83" spans="1:57" ht="270.75" thickBot="1" x14ac:dyDescent="0.3">
      <c r="A83" s="4" t="s">
        <v>442</v>
      </c>
      <c r="B83" s="4">
        <v>3001</v>
      </c>
      <c r="C83" s="5">
        <v>2</v>
      </c>
      <c r="D83" s="4" t="s">
        <v>60</v>
      </c>
      <c r="E83" s="6">
        <v>46314.995897291665</v>
      </c>
      <c r="F83" s="4" t="s">
        <v>443</v>
      </c>
      <c r="G83" s="4" t="s">
        <v>46</v>
      </c>
      <c r="H83" s="4">
        <v>53</v>
      </c>
      <c r="I83" s="4" t="s">
        <v>47</v>
      </c>
      <c r="J83" s="4">
        <v>5309</v>
      </c>
      <c r="K83" s="4" t="s">
        <v>48</v>
      </c>
      <c r="L83" s="4">
        <v>5309060</v>
      </c>
      <c r="M83" s="4">
        <v>5309060020</v>
      </c>
      <c r="N83" s="4" t="s">
        <v>49</v>
      </c>
      <c r="O83" s="4">
        <v>46902</v>
      </c>
      <c r="P83" s="4" t="s">
        <v>444</v>
      </c>
      <c r="Q83" s="5">
        <v>4</v>
      </c>
      <c r="R83" s="5">
        <v>9600000</v>
      </c>
      <c r="S83" s="5">
        <v>0</v>
      </c>
      <c r="T83" s="5">
        <v>200000000</v>
      </c>
      <c r="U83" s="5">
        <v>10000000</v>
      </c>
      <c r="V83" s="5">
        <v>96000</v>
      </c>
      <c r="W83" s="5">
        <v>219696000</v>
      </c>
      <c r="X83" s="5">
        <v>296000000</v>
      </c>
      <c r="Y83" s="5">
        <v>0</v>
      </c>
      <c r="Z83" s="5">
        <f t="shared" si="9"/>
        <v>86000000</v>
      </c>
      <c r="AA83" s="5">
        <v>106000000</v>
      </c>
      <c r="AB83" s="5">
        <f t="shared" si="10"/>
        <v>96000000</v>
      </c>
      <c r="AC83" s="5" t="s">
        <v>445</v>
      </c>
      <c r="AD83" s="4" t="s">
        <v>51</v>
      </c>
      <c r="AE83" s="5">
        <f t="shared" si="11"/>
        <v>0.89583333333333337</v>
      </c>
      <c r="AF83" s="5">
        <v>24000000</v>
      </c>
      <c r="AG83" s="5">
        <v>1</v>
      </c>
      <c r="AH83" s="5">
        <v>1</v>
      </c>
      <c r="AI83" s="5">
        <v>1</v>
      </c>
      <c r="AJ83" s="7" t="s">
        <v>446</v>
      </c>
      <c r="AK83" s="5">
        <v>0</v>
      </c>
      <c r="AL83" s="5">
        <v>0</v>
      </c>
      <c r="AM83" s="4">
        <v>2000</v>
      </c>
      <c r="AN83" s="5">
        <v>1</v>
      </c>
      <c r="AO83" s="5">
        <v>3</v>
      </c>
      <c r="AP83" s="8"/>
      <c r="AQ83" s="8"/>
      <c r="AR83" s="8">
        <f t="shared" si="12"/>
        <v>0</v>
      </c>
      <c r="AS83" s="8">
        <f t="shared" si="13"/>
        <v>10000000</v>
      </c>
      <c r="AT83" s="8">
        <f t="shared" si="14"/>
        <v>71040000</v>
      </c>
      <c r="AU83" s="8">
        <f t="shared" si="15"/>
        <v>24960000</v>
      </c>
      <c r="AV83" s="4" t="s">
        <v>444</v>
      </c>
      <c r="AW83" s="7" t="s">
        <v>446</v>
      </c>
      <c r="AX83" s="5">
        <v>200000000</v>
      </c>
      <c r="AY83">
        <f t="shared" si="16"/>
        <v>0</v>
      </c>
      <c r="AZ83">
        <f t="shared" si="17"/>
        <v>24960000</v>
      </c>
      <c r="BA83" s="5">
        <v>296000000</v>
      </c>
      <c r="BB83" s="5">
        <v>0</v>
      </c>
      <c r="BC83" s="4" t="s">
        <v>49</v>
      </c>
      <c r="BD83" s="4">
        <v>46902</v>
      </c>
      <c r="BE83" t="s">
        <v>54</v>
      </c>
    </row>
    <row r="84" spans="1:57" ht="270.75" thickBot="1" x14ac:dyDescent="0.3">
      <c r="A84" s="4" t="s">
        <v>447</v>
      </c>
      <c r="B84" s="4">
        <v>3002</v>
      </c>
      <c r="C84" s="5">
        <v>2</v>
      </c>
      <c r="D84" s="4" t="s">
        <v>60</v>
      </c>
      <c r="E84" s="6">
        <v>46315.254145995372</v>
      </c>
      <c r="F84" s="4" t="s">
        <v>448</v>
      </c>
      <c r="G84" s="4" t="s">
        <v>46</v>
      </c>
      <c r="H84" s="4">
        <v>53</v>
      </c>
      <c r="I84" s="4" t="s">
        <v>47</v>
      </c>
      <c r="J84" s="4">
        <v>5309</v>
      </c>
      <c r="K84" s="4" t="s">
        <v>48</v>
      </c>
      <c r="L84" s="4">
        <v>5309010</v>
      </c>
      <c r="M84" s="4">
        <v>5309010016</v>
      </c>
      <c r="N84" s="4" t="s">
        <v>49</v>
      </c>
      <c r="O84" s="4">
        <v>47111</v>
      </c>
      <c r="P84" s="4" t="s">
        <v>449</v>
      </c>
      <c r="Q84" s="5">
        <v>1</v>
      </c>
      <c r="R84" s="5">
        <v>0</v>
      </c>
      <c r="S84" s="5">
        <v>0</v>
      </c>
      <c r="T84" s="5">
        <v>72000000</v>
      </c>
      <c r="U84" s="5">
        <v>3600000</v>
      </c>
      <c r="V84" s="5">
        <v>2500000</v>
      </c>
      <c r="W84" s="5">
        <v>78100000</v>
      </c>
      <c r="X84" s="5">
        <v>80000000</v>
      </c>
      <c r="Y84" s="5">
        <v>0</v>
      </c>
      <c r="Z84" s="5">
        <f t="shared" si="9"/>
        <v>4400000</v>
      </c>
      <c r="AA84" s="5">
        <v>15000000</v>
      </c>
      <c r="AB84" s="5">
        <f t="shared" si="10"/>
        <v>8000000</v>
      </c>
      <c r="AC84" s="5" t="s">
        <v>71</v>
      </c>
      <c r="AD84" s="4" t="s">
        <v>51</v>
      </c>
      <c r="AE84" s="5">
        <f t="shared" si="11"/>
        <v>0.55000000000000004</v>
      </c>
      <c r="AF84" s="5">
        <v>8000000</v>
      </c>
      <c r="AG84" s="5">
        <v>1</v>
      </c>
      <c r="AH84" s="5">
        <v>1</v>
      </c>
      <c r="AI84" s="5">
        <v>1</v>
      </c>
      <c r="AJ84" s="7" t="s">
        <v>450</v>
      </c>
      <c r="AK84" s="5">
        <v>0</v>
      </c>
      <c r="AL84" s="5">
        <v>0</v>
      </c>
      <c r="AM84" s="4">
        <v>2022</v>
      </c>
      <c r="AN84" s="5">
        <v>0</v>
      </c>
      <c r="AO84" s="5">
        <v>1</v>
      </c>
      <c r="AP84" s="8"/>
      <c r="AQ84" s="8"/>
      <c r="AR84" s="8">
        <f t="shared" si="12"/>
        <v>0</v>
      </c>
      <c r="AS84" s="8">
        <f t="shared" si="13"/>
        <v>3600000</v>
      </c>
      <c r="AT84" s="8">
        <f t="shared" si="14"/>
        <v>4400000</v>
      </c>
      <c r="AU84" s="8">
        <f t="shared" si="15"/>
        <v>3600000</v>
      </c>
      <c r="AV84" s="4" t="s">
        <v>449</v>
      </c>
      <c r="AW84" s="7" t="s">
        <v>450</v>
      </c>
      <c r="AX84" s="5">
        <v>72000000</v>
      </c>
      <c r="AY84">
        <f t="shared" si="16"/>
        <v>0</v>
      </c>
      <c r="AZ84">
        <f t="shared" si="17"/>
        <v>3600000</v>
      </c>
      <c r="BA84" s="5">
        <v>80000000</v>
      </c>
      <c r="BB84" s="5">
        <v>0</v>
      </c>
      <c r="BC84" s="4" t="s">
        <v>49</v>
      </c>
      <c r="BD84" s="4">
        <v>47111</v>
      </c>
      <c r="BE84" t="s">
        <v>54</v>
      </c>
    </row>
    <row r="85" spans="1:57" ht="270.75" thickBot="1" x14ac:dyDescent="0.3">
      <c r="A85" s="4" t="s">
        <v>451</v>
      </c>
      <c r="B85" s="4">
        <v>1002</v>
      </c>
      <c r="C85" s="5">
        <v>2</v>
      </c>
      <c r="D85" s="4" t="s">
        <v>44</v>
      </c>
      <c r="E85" s="9">
        <v>46228.356828703705</v>
      </c>
      <c r="F85" s="4" t="s">
        <v>452</v>
      </c>
      <c r="G85" s="4" t="s">
        <v>46</v>
      </c>
      <c r="H85" s="4">
        <v>53</v>
      </c>
      <c r="I85" s="4" t="s">
        <v>47</v>
      </c>
      <c r="J85" s="4">
        <v>5309</v>
      </c>
      <c r="K85" s="4" t="s">
        <v>48</v>
      </c>
      <c r="L85" s="4">
        <v>5309070</v>
      </c>
      <c r="M85" s="4">
        <v>5309070007</v>
      </c>
      <c r="N85" s="4" t="s">
        <v>49</v>
      </c>
      <c r="O85" s="4">
        <v>47111</v>
      </c>
      <c r="P85" s="4" t="s">
        <v>453</v>
      </c>
      <c r="Q85" s="5">
        <v>1</v>
      </c>
      <c r="R85" s="5">
        <v>0</v>
      </c>
      <c r="S85" s="5">
        <v>150000</v>
      </c>
      <c r="T85" s="5">
        <v>12000000</v>
      </c>
      <c r="U85" s="5">
        <v>350000</v>
      </c>
      <c r="V85" s="5">
        <v>0</v>
      </c>
      <c r="W85" s="5">
        <v>12500000</v>
      </c>
      <c r="X85" s="5">
        <v>16800000</v>
      </c>
      <c r="Y85" s="5">
        <v>0</v>
      </c>
      <c r="Z85" s="5">
        <f t="shared" si="9"/>
        <v>4300000</v>
      </c>
      <c r="AA85" s="5">
        <v>1850000</v>
      </c>
      <c r="AB85" s="5">
        <f t="shared" si="10"/>
        <v>4800000</v>
      </c>
      <c r="AC85" s="5" t="s">
        <v>454</v>
      </c>
      <c r="AD85" s="4" t="s">
        <v>51</v>
      </c>
      <c r="AE85" s="5">
        <f t="shared" si="11"/>
        <v>0.89583333333333337</v>
      </c>
      <c r="AF85" s="5">
        <v>4800000</v>
      </c>
      <c r="AG85" s="5">
        <v>1</v>
      </c>
      <c r="AH85" s="5">
        <v>1</v>
      </c>
      <c r="AI85" s="5">
        <v>1</v>
      </c>
      <c r="AJ85" s="7" t="s">
        <v>455</v>
      </c>
      <c r="AK85" s="5">
        <v>0</v>
      </c>
      <c r="AL85" s="5">
        <v>0</v>
      </c>
      <c r="AM85" s="4">
        <v>2019</v>
      </c>
      <c r="AN85" s="5">
        <v>0</v>
      </c>
      <c r="AO85" s="5">
        <v>1</v>
      </c>
      <c r="AP85" s="8"/>
      <c r="AQ85" s="8"/>
      <c r="AR85" s="8">
        <f t="shared" si="12"/>
        <v>0</v>
      </c>
      <c r="AS85" s="8">
        <f t="shared" si="13"/>
        <v>500000</v>
      </c>
      <c r="AT85" s="8">
        <f t="shared" si="14"/>
        <v>3552000</v>
      </c>
      <c r="AU85" s="8">
        <f t="shared" si="15"/>
        <v>1248000</v>
      </c>
      <c r="AV85" s="4" t="s">
        <v>453</v>
      </c>
      <c r="AW85" s="7" t="s">
        <v>455</v>
      </c>
      <c r="AX85" s="5">
        <v>12000000</v>
      </c>
      <c r="AY85">
        <f t="shared" si="16"/>
        <v>374400</v>
      </c>
      <c r="AZ85">
        <f t="shared" si="17"/>
        <v>873600</v>
      </c>
      <c r="BA85" s="5">
        <v>16800000</v>
      </c>
      <c r="BB85" s="5">
        <v>0</v>
      </c>
      <c r="BC85" s="4" t="s">
        <v>49</v>
      </c>
      <c r="BD85" s="4">
        <v>47111</v>
      </c>
      <c r="BE85" t="s">
        <v>54</v>
      </c>
    </row>
    <row r="86" spans="1:57" ht="270.75" thickBot="1" x14ac:dyDescent="0.3">
      <c r="A86" s="4" t="s">
        <v>456</v>
      </c>
      <c r="B86" s="4">
        <v>1001</v>
      </c>
      <c r="C86" s="5">
        <v>2</v>
      </c>
      <c r="D86" s="4" t="s">
        <v>44</v>
      </c>
      <c r="E86" s="6">
        <v>46271.090363668984</v>
      </c>
      <c r="F86" s="4" t="s">
        <v>457</v>
      </c>
      <c r="G86" s="4" t="s">
        <v>46</v>
      </c>
      <c r="H86" s="4">
        <v>53</v>
      </c>
      <c r="I86" s="4" t="s">
        <v>47</v>
      </c>
      <c r="J86" s="4">
        <v>5309</v>
      </c>
      <c r="K86" s="4" t="s">
        <v>48</v>
      </c>
      <c r="L86" s="4">
        <v>5309070</v>
      </c>
      <c r="M86" s="4">
        <v>5309070011</v>
      </c>
      <c r="N86" s="4" t="s">
        <v>49</v>
      </c>
      <c r="O86" s="4">
        <v>47111</v>
      </c>
      <c r="P86" s="4" t="s">
        <v>458</v>
      </c>
      <c r="Q86" s="5">
        <v>4</v>
      </c>
      <c r="R86" s="5">
        <v>0</v>
      </c>
      <c r="S86" s="5">
        <v>100000</v>
      </c>
      <c r="T86" s="5">
        <v>63000008</v>
      </c>
      <c r="U86" s="5">
        <v>1200000</v>
      </c>
      <c r="V86" s="5">
        <v>0</v>
      </c>
      <c r="W86" s="5">
        <v>64300008</v>
      </c>
      <c r="X86" s="5">
        <v>75000000</v>
      </c>
      <c r="Y86" s="5">
        <v>0</v>
      </c>
      <c r="Z86" s="5">
        <f t="shared" si="9"/>
        <v>10699992</v>
      </c>
      <c r="AA86" s="5">
        <v>4500000</v>
      </c>
      <c r="AB86" s="5">
        <f t="shared" si="10"/>
        <v>11999992</v>
      </c>
      <c r="AC86" s="5" t="s">
        <v>76</v>
      </c>
      <c r="AD86" s="4" t="s">
        <v>51</v>
      </c>
      <c r="AE86" s="5">
        <f t="shared" si="11"/>
        <v>0.89166659444439633</v>
      </c>
      <c r="AF86" s="5">
        <v>2999998</v>
      </c>
      <c r="AG86" s="5">
        <v>1</v>
      </c>
      <c r="AH86" s="5">
        <v>1</v>
      </c>
      <c r="AI86" s="5">
        <v>1</v>
      </c>
      <c r="AJ86" s="7" t="s">
        <v>459</v>
      </c>
      <c r="AK86" s="5">
        <v>0</v>
      </c>
      <c r="AL86" s="5">
        <v>0</v>
      </c>
      <c r="AM86" s="4">
        <v>2024</v>
      </c>
      <c r="AN86" s="5">
        <v>0</v>
      </c>
      <c r="AO86" s="5">
        <v>4</v>
      </c>
      <c r="AP86" s="8"/>
      <c r="AQ86" s="8"/>
      <c r="AR86" s="8">
        <f t="shared" si="12"/>
        <v>0</v>
      </c>
      <c r="AS86" s="8">
        <f t="shared" si="13"/>
        <v>1300000</v>
      </c>
      <c r="AT86" s="8">
        <f t="shared" si="14"/>
        <v>8879994.0800000001</v>
      </c>
      <c r="AU86" s="8">
        <f t="shared" si="15"/>
        <v>3119997.92</v>
      </c>
      <c r="AV86" s="4" t="s">
        <v>458</v>
      </c>
      <c r="AW86" s="7" t="s">
        <v>459</v>
      </c>
      <c r="AX86" s="5">
        <v>63000008</v>
      </c>
      <c r="AY86">
        <f t="shared" si="16"/>
        <v>239999.83999999985</v>
      </c>
      <c r="AZ86">
        <f t="shared" si="17"/>
        <v>2879998.08</v>
      </c>
      <c r="BA86" s="5">
        <v>75000000</v>
      </c>
      <c r="BB86" s="5">
        <v>0</v>
      </c>
      <c r="BC86" s="4" t="s">
        <v>49</v>
      </c>
      <c r="BD86" s="4">
        <v>47111</v>
      </c>
      <c r="BE86" t="s">
        <v>54</v>
      </c>
    </row>
    <row r="87" spans="1:57" ht="270.75" thickBot="1" x14ac:dyDescent="0.3">
      <c r="A87" s="4" t="s">
        <v>460</v>
      </c>
      <c r="B87" s="4">
        <v>1</v>
      </c>
      <c r="C87" s="5">
        <v>2</v>
      </c>
      <c r="D87" s="4" t="s">
        <v>44</v>
      </c>
      <c r="E87" s="6">
        <v>46215.489273715277</v>
      </c>
      <c r="F87" s="4" t="s">
        <v>461</v>
      </c>
      <c r="G87" s="4" t="s">
        <v>46</v>
      </c>
      <c r="H87" s="4">
        <v>53</v>
      </c>
      <c r="I87" s="4" t="s">
        <v>47</v>
      </c>
      <c r="J87" s="4">
        <v>5309</v>
      </c>
      <c r="K87" s="4" t="s">
        <v>48</v>
      </c>
      <c r="L87" s="4">
        <v>5309072</v>
      </c>
      <c r="M87" s="4">
        <v>5309072012</v>
      </c>
      <c r="N87" s="4" t="s">
        <v>49</v>
      </c>
      <c r="O87" s="4">
        <v>47111</v>
      </c>
      <c r="P87" s="4" t="s">
        <v>462</v>
      </c>
      <c r="Q87" s="5">
        <v>2</v>
      </c>
      <c r="R87" s="5">
        <v>0</v>
      </c>
      <c r="S87" s="5">
        <v>2500000</v>
      </c>
      <c r="T87" s="5">
        <v>2000000</v>
      </c>
      <c r="U87" s="5">
        <v>0</v>
      </c>
      <c r="V87" s="5">
        <v>0</v>
      </c>
      <c r="W87" s="5">
        <v>4500000</v>
      </c>
      <c r="X87" s="5">
        <v>4800000</v>
      </c>
      <c r="Y87" s="5">
        <v>0</v>
      </c>
      <c r="Z87" s="5">
        <f t="shared" si="9"/>
        <v>300000</v>
      </c>
      <c r="AA87" s="5">
        <v>5000000</v>
      </c>
      <c r="AB87" s="5">
        <f t="shared" si="10"/>
        <v>2800000</v>
      </c>
      <c r="AC87" s="5" t="s">
        <v>260</v>
      </c>
      <c r="AD87" s="4" t="s">
        <v>51</v>
      </c>
      <c r="AE87" s="5">
        <f t="shared" si="11"/>
        <v>0.10714285714285714</v>
      </c>
      <c r="AF87" s="5">
        <v>1400000</v>
      </c>
      <c r="AG87" s="5">
        <v>1</v>
      </c>
      <c r="AH87" s="5">
        <v>1</v>
      </c>
      <c r="AI87" s="5">
        <v>1</v>
      </c>
      <c r="AJ87" s="7" t="s">
        <v>463</v>
      </c>
      <c r="AK87" s="5">
        <v>0</v>
      </c>
      <c r="AL87" s="5">
        <v>0</v>
      </c>
      <c r="AM87" s="4">
        <v>2021</v>
      </c>
      <c r="AN87" s="5">
        <v>0</v>
      </c>
      <c r="AO87" s="5">
        <v>2</v>
      </c>
      <c r="AP87" s="8"/>
      <c r="AQ87" s="8"/>
      <c r="AR87" s="8">
        <f t="shared" si="12"/>
        <v>0</v>
      </c>
      <c r="AS87" s="8">
        <f t="shared" si="13"/>
        <v>2500000</v>
      </c>
      <c r="AT87" s="8">
        <f t="shared" si="14"/>
        <v>300000</v>
      </c>
      <c r="AU87" s="8">
        <f t="shared" si="15"/>
        <v>2500000</v>
      </c>
      <c r="AV87" s="4" t="s">
        <v>462</v>
      </c>
      <c r="AW87" s="7" t="s">
        <v>463</v>
      </c>
      <c r="AX87" s="5">
        <v>2000000</v>
      </c>
      <c r="AY87">
        <f t="shared" si="16"/>
        <v>2500000</v>
      </c>
      <c r="AZ87">
        <f t="shared" si="17"/>
        <v>0</v>
      </c>
      <c r="BA87" s="5">
        <v>4800000</v>
      </c>
      <c r="BB87" s="5">
        <v>0</v>
      </c>
      <c r="BC87" s="4" t="s">
        <v>49</v>
      </c>
      <c r="BD87" s="4">
        <v>47111</v>
      </c>
      <c r="BE87" t="s">
        <v>54</v>
      </c>
    </row>
    <row r="88" spans="1:57" ht="255.75" thickBot="1" x14ac:dyDescent="0.3">
      <c r="A88" s="4" t="s">
        <v>464</v>
      </c>
      <c r="B88" s="4">
        <v>1</v>
      </c>
      <c r="C88" s="5">
        <v>2</v>
      </c>
      <c r="D88" s="4" t="s">
        <v>44</v>
      </c>
      <c r="E88" s="6">
        <v>46235.290537939814</v>
      </c>
      <c r="F88" s="4" t="s">
        <v>465</v>
      </c>
      <c r="G88" s="4" t="s">
        <v>46</v>
      </c>
      <c r="H88" s="4">
        <v>53</v>
      </c>
      <c r="I88" s="4" t="s">
        <v>47</v>
      </c>
      <c r="J88" s="4">
        <v>5309</v>
      </c>
      <c r="K88" s="4" t="s">
        <v>48</v>
      </c>
      <c r="L88" s="4">
        <v>5309072</v>
      </c>
      <c r="M88" s="4">
        <v>5309072004</v>
      </c>
      <c r="N88" s="4" t="s">
        <v>49</v>
      </c>
      <c r="O88" s="4">
        <v>47111</v>
      </c>
      <c r="P88" s="4" t="s">
        <v>466</v>
      </c>
      <c r="Q88" s="5">
        <v>1</v>
      </c>
      <c r="R88" s="5">
        <v>0</v>
      </c>
      <c r="S88" s="5">
        <v>0</v>
      </c>
      <c r="T88" s="5">
        <v>2000000</v>
      </c>
      <c r="U88" s="5">
        <v>200000</v>
      </c>
      <c r="V88" s="5">
        <v>0</v>
      </c>
      <c r="W88" s="5">
        <v>2200000</v>
      </c>
      <c r="X88" s="5">
        <v>3000000</v>
      </c>
      <c r="Y88" s="5">
        <v>0</v>
      </c>
      <c r="Z88" s="5">
        <f t="shared" si="9"/>
        <v>800000</v>
      </c>
      <c r="AA88" s="5">
        <v>52000000</v>
      </c>
      <c r="AB88" s="5">
        <f t="shared" si="10"/>
        <v>1000000</v>
      </c>
      <c r="AC88" s="5" t="s">
        <v>102</v>
      </c>
      <c r="AD88" s="4" t="s">
        <v>51</v>
      </c>
      <c r="AE88" s="5">
        <f t="shared" si="11"/>
        <v>0.8</v>
      </c>
      <c r="AF88" s="5">
        <v>1000000</v>
      </c>
      <c r="AG88" s="5">
        <v>1</v>
      </c>
      <c r="AH88" s="5">
        <v>1</v>
      </c>
      <c r="AI88" s="5">
        <v>1</v>
      </c>
      <c r="AJ88" s="7" t="s">
        <v>467</v>
      </c>
      <c r="AK88" s="5">
        <v>0</v>
      </c>
      <c r="AL88" s="5">
        <v>0</v>
      </c>
      <c r="AM88" s="4">
        <v>2019</v>
      </c>
      <c r="AN88" s="5">
        <v>0</v>
      </c>
      <c r="AO88" s="5">
        <v>1</v>
      </c>
      <c r="AP88" s="8"/>
      <c r="AQ88" s="8"/>
      <c r="AR88" s="8">
        <f t="shared" si="12"/>
        <v>0</v>
      </c>
      <c r="AS88" s="8">
        <f t="shared" si="13"/>
        <v>200000</v>
      </c>
      <c r="AT88" s="8">
        <f t="shared" si="14"/>
        <v>740000</v>
      </c>
      <c r="AU88" s="8">
        <f t="shared" si="15"/>
        <v>260000</v>
      </c>
      <c r="AV88" s="4" t="s">
        <v>466</v>
      </c>
      <c r="AW88" s="7" t="s">
        <v>467</v>
      </c>
      <c r="AX88" s="5">
        <v>2000000</v>
      </c>
      <c r="AY88">
        <f t="shared" si="16"/>
        <v>0</v>
      </c>
      <c r="AZ88">
        <f t="shared" si="17"/>
        <v>260000</v>
      </c>
      <c r="BA88" s="5">
        <v>3000000</v>
      </c>
      <c r="BB88" s="5">
        <v>0</v>
      </c>
      <c r="BC88" s="4" t="s">
        <v>49</v>
      </c>
      <c r="BD88" s="4">
        <v>47111</v>
      </c>
      <c r="BE88" t="s">
        <v>54</v>
      </c>
    </row>
    <row r="89" spans="1:57" ht="270.75" thickBot="1" x14ac:dyDescent="0.3">
      <c r="A89" s="4" t="s">
        <v>468</v>
      </c>
      <c r="B89" s="4">
        <v>1</v>
      </c>
      <c r="C89" s="5">
        <v>2</v>
      </c>
      <c r="D89" s="4" t="s">
        <v>44</v>
      </c>
      <c r="E89" s="6">
        <v>46277.11218329861</v>
      </c>
      <c r="F89" s="4" t="s">
        <v>469</v>
      </c>
      <c r="G89" s="4" t="s">
        <v>46</v>
      </c>
      <c r="H89" s="4">
        <v>53</v>
      </c>
      <c r="I89" s="4" t="s">
        <v>47</v>
      </c>
      <c r="J89" s="4">
        <v>5309</v>
      </c>
      <c r="K89" s="4" t="s">
        <v>48</v>
      </c>
      <c r="L89" s="4">
        <v>5309071</v>
      </c>
      <c r="M89" s="4">
        <v>5309071008</v>
      </c>
      <c r="N89" s="4" t="s">
        <v>49</v>
      </c>
      <c r="O89" s="4">
        <v>47111</v>
      </c>
      <c r="P89" s="4" t="s">
        <v>470</v>
      </c>
      <c r="Q89" s="5">
        <v>3</v>
      </c>
      <c r="R89" s="5">
        <v>0</v>
      </c>
      <c r="S89" s="5">
        <v>2000000</v>
      </c>
      <c r="T89" s="5">
        <v>70000000</v>
      </c>
      <c r="U89" s="5">
        <v>2520000</v>
      </c>
      <c r="V89" s="5">
        <v>0</v>
      </c>
      <c r="W89" s="5">
        <v>74520000</v>
      </c>
      <c r="X89" s="5">
        <v>180000000</v>
      </c>
      <c r="Y89" s="5">
        <v>0</v>
      </c>
      <c r="Z89" s="5">
        <f t="shared" si="9"/>
        <v>105480000</v>
      </c>
      <c r="AA89" s="5">
        <v>30000000</v>
      </c>
      <c r="AB89" s="5">
        <f t="shared" si="10"/>
        <v>110000000</v>
      </c>
      <c r="AC89" s="5" t="s">
        <v>347</v>
      </c>
      <c r="AD89" s="4" t="s">
        <v>51</v>
      </c>
      <c r="AE89" s="5">
        <f t="shared" si="11"/>
        <v>0.95890909090909093</v>
      </c>
      <c r="AF89" s="5" t="s">
        <v>471</v>
      </c>
      <c r="AG89" s="5">
        <v>1</v>
      </c>
      <c r="AH89" s="5">
        <v>1</v>
      </c>
      <c r="AI89" s="5">
        <v>1</v>
      </c>
      <c r="AJ89" s="7" t="s">
        <v>472</v>
      </c>
      <c r="AK89" s="5">
        <v>0</v>
      </c>
      <c r="AL89" s="5">
        <v>0</v>
      </c>
      <c r="AM89" s="4">
        <v>2017</v>
      </c>
      <c r="AN89" s="5">
        <v>0</v>
      </c>
      <c r="AO89" s="5">
        <v>3</v>
      </c>
      <c r="AP89" s="8"/>
      <c r="AQ89" s="8"/>
      <c r="AR89" s="8">
        <f t="shared" si="12"/>
        <v>0</v>
      </c>
      <c r="AS89" s="8">
        <f t="shared" si="13"/>
        <v>4520000</v>
      </c>
      <c r="AT89" s="8">
        <f t="shared" si="14"/>
        <v>81400000</v>
      </c>
      <c r="AU89" s="8">
        <f t="shared" si="15"/>
        <v>28600000</v>
      </c>
      <c r="AV89" s="4" t="s">
        <v>470</v>
      </c>
      <c r="AW89" s="7" t="s">
        <v>472</v>
      </c>
      <c r="AX89" s="5">
        <v>70000000</v>
      </c>
      <c r="AY89">
        <f t="shared" si="16"/>
        <v>12654867.256637169</v>
      </c>
      <c r="AZ89">
        <f t="shared" si="17"/>
        <v>15945132.743362831</v>
      </c>
      <c r="BA89" s="5">
        <v>180000000</v>
      </c>
      <c r="BB89" s="5">
        <v>0</v>
      </c>
      <c r="BC89" s="4" t="s">
        <v>49</v>
      </c>
      <c r="BD89" s="4">
        <v>47111</v>
      </c>
      <c r="BE89" t="s">
        <v>54</v>
      </c>
    </row>
    <row r="90" spans="1:57" ht="270.75" thickBot="1" x14ac:dyDescent="0.3">
      <c r="A90" s="4" t="s">
        <v>473</v>
      </c>
      <c r="B90" s="4">
        <v>2001</v>
      </c>
      <c r="C90" s="5">
        <v>2</v>
      </c>
      <c r="D90" s="4" t="s">
        <v>44</v>
      </c>
      <c r="E90" s="6">
        <v>46280.047055104165</v>
      </c>
      <c r="F90" s="4" t="s">
        <v>474</v>
      </c>
      <c r="G90" s="4" t="s">
        <v>46</v>
      </c>
      <c r="H90" s="4">
        <v>53</v>
      </c>
      <c r="I90" s="4" t="s">
        <v>47</v>
      </c>
      <c r="J90" s="4">
        <v>5309</v>
      </c>
      <c r="K90" s="4" t="s">
        <v>48</v>
      </c>
      <c r="L90" s="4">
        <v>5309070</v>
      </c>
      <c r="M90" s="4">
        <v>5309070006</v>
      </c>
      <c r="N90" s="4" t="s">
        <v>49</v>
      </c>
      <c r="O90" s="4">
        <v>47111</v>
      </c>
      <c r="P90" s="4" t="s">
        <v>475</v>
      </c>
      <c r="Q90" s="5">
        <v>6</v>
      </c>
      <c r="R90" s="5">
        <v>43200000</v>
      </c>
      <c r="S90" s="5">
        <v>1800000</v>
      </c>
      <c r="T90" s="5">
        <v>4617000000</v>
      </c>
      <c r="U90" s="5">
        <v>13050000</v>
      </c>
      <c r="V90" s="5">
        <v>0</v>
      </c>
      <c r="W90" s="5">
        <v>4675050000</v>
      </c>
      <c r="X90" s="5">
        <v>4860000000</v>
      </c>
      <c r="Y90" s="5">
        <v>0</v>
      </c>
      <c r="Z90" s="5">
        <f t="shared" si="9"/>
        <v>228150000</v>
      </c>
      <c r="AA90" s="5">
        <v>1300000000</v>
      </c>
      <c r="AB90" s="5">
        <f t="shared" si="10"/>
        <v>243000000</v>
      </c>
      <c r="AC90" s="5" t="s">
        <v>111</v>
      </c>
      <c r="AD90" s="4" t="s">
        <v>88</v>
      </c>
      <c r="AE90" s="5">
        <f t="shared" si="11"/>
        <v>0.93888888888888888</v>
      </c>
      <c r="AF90" s="5">
        <v>40500000</v>
      </c>
      <c r="AG90" s="5">
        <v>1</v>
      </c>
      <c r="AH90" s="5">
        <v>1</v>
      </c>
      <c r="AI90" s="5">
        <v>1</v>
      </c>
      <c r="AJ90" s="7" t="s">
        <v>476</v>
      </c>
      <c r="AK90" s="5">
        <v>0</v>
      </c>
      <c r="AL90" s="5">
        <v>0</v>
      </c>
      <c r="AM90" s="4">
        <v>2025</v>
      </c>
      <c r="AN90" s="5">
        <v>4</v>
      </c>
      <c r="AO90" s="5">
        <v>2</v>
      </c>
      <c r="AP90" s="8"/>
      <c r="AQ90" s="8"/>
      <c r="AR90" s="8">
        <f t="shared" si="12"/>
        <v>0</v>
      </c>
      <c r="AS90" s="8">
        <f t="shared" si="13"/>
        <v>14850000</v>
      </c>
      <c r="AT90" s="8">
        <f t="shared" si="14"/>
        <v>179820000</v>
      </c>
      <c r="AU90" s="8">
        <f t="shared" si="15"/>
        <v>63180000</v>
      </c>
      <c r="AV90" s="4" t="s">
        <v>475</v>
      </c>
      <c r="AW90" s="7" t="s">
        <v>476</v>
      </c>
      <c r="AX90" s="5">
        <v>4617000000</v>
      </c>
      <c r="AY90">
        <f t="shared" si="16"/>
        <v>7658181.8181818202</v>
      </c>
      <c r="AZ90">
        <f t="shared" si="17"/>
        <v>55521818.18181818</v>
      </c>
      <c r="BA90" s="5">
        <v>4860000000</v>
      </c>
      <c r="BB90" s="5">
        <v>0</v>
      </c>
      <c r="BC90" s="4" t="s">
        <v>49</v>
      </c>
      <c r="BD90" s="4">
        <v>47111</v>
      </c>
      <c r="BE90" t="s">
        <v>54</v>
      </c>
    </row>
    <row r="91" spans="1:57" ht="270.75" thickBot="1" x14ac:dyDescent="0.3">
      <c r="A91" s="4" t="s">
        <v>477</v>
      </c>
      <c r="B91" s="4">
        <v>1002</v>
      </c>
      <c r="C91" s="5">
        <v>2</v>
      </c>
      <c r="D91" s="4" t="s">
        <v>44</v>
      </c>
      <c r="E91" s="6">
        <v>46279.957567812497</v>
      </c>
      <c r="F91" s="4" t="s">
        <v>478</v>
      </c>
      <c r="G91" s="4" t="s">
        <v>46</v>
      </c>
      <c r="H91" s="4">
        <v>53</v>
      </c>
      <c r="I91" s="4" t="s">
        <v>47</v>
      </c>
      <c r="J91" s="4">
        <v>5309</v>
      </c>
      <c r="K91" s="4" t="s">
        <v>48</v>
      </c>
      <c r="L91" s="4">
        <v>5309070</v>
      </c>
      <c r="M91" s="4">
        <v>5309070015</v>
      </c>
      <c r="N91" s="4" t="s">
        <v>49</v>
      </c>
      <c r="O91" s="4">
        <v>47111</v>
      </c>
      <c r="P91" s="4" t="s">
        <v>479</v>
      </c>
      <c r="Q91" s="5">
        <v>2</v>
      </c>
      <c r="R91" s="5">
        <v>0</v>
      </c>
      <c r="S91" s="5">
        <v>100000</v>
      </c>
      <c r="T91" s="5">
        <v>18000000</v>
      </c>
      <c r="U91" s="5">
        <v>350000</v>
      </c>
      <c r="V91" s="5">
        <v>0</v>
      </c>
      <c r="W91" s="5">
        <v>18450000</v>
      </c>
      <c r="X91" s="5">
        <v>27000000</v>
      </c>
      <c r="Y91" s="5">
        <v>0</v>
      </c>
      <c r="Z91" s="5">
        <f t="shared" si="9"/>
        <v>8550000</v>
      </c>
      <c r="AA91" s="5">
        <v>2500000</v>
      </c>
      <c r="AB91" s="5">
        <f t="shared" si="10"/>
        <v>9000000</v>
      </c>
      <c r="AC91" s="5" t="s">
        <v>102</v>
      </c>
      <c r="AD91" s="4" t="s">
        <v>51</v>
      </c>
      <c r="AE91" s="5">
        <f t="shared" si="11"/>
        <v>0.95</v>
      </c>
      <c r="AF91" s="5">
        <v>4500000</v>
      </c>
      <c r="AG91" s="5">
        <v>1</v>
      </c>
      <c r="AH91" s="5">
        <v>1</v>
      </c>
      <c r="AI91" s="5">
        <v>1</v>
      </c>
      <c r="AJ91" s="7" t="s">
        <v>480</v>
      </c>
      <c r="AK91" s="5">
        <v>0</v>
      </c>
      <c r="AL91" s="5">
        <v>0</v>
      </c>
      <c r="AM91" s="4">
        <v>2010</v>
      </c>
      <c r="AN91" s="5">
        <v>0</v>
      </c>
      <c r="AO91" s="5">
        <v>2</v>
      </c>
      <c r="AP91" s="8"/>
      <c r="AQ91" s="8"/>
      <c r="AR91" s="8">
        <f t="shared" si="12"/>
        <v>0</v>
      </c>
      <c r="AS91" s="8">
        <f t="shared" si="13"/>
        <v>450000</v>
      </c>
      <c r="AT91" s="8">
        <f t="shared" si="14"/>
        <v>6660000</v>
      </c>
      <c r="AU91" s="8">
        <f t="shared" si="15"/>
        <v>2340000</v>
      </c>
      <c r="AV91" s="4" t="s">
        <v>479</v>
      </c>
      <c r="AW91" s="7" t="s">
        <v>480</v>
      </c>
      <c r="AX91" s="5">
        <v>18000000</v>
      </c>
      <c r="AY91">
        <f t="shared" si="16"/>
        <v>520000</v>
      </c>
      <c r="AZ91">
        <f t="shared" si="17"/>
        <v>1820000</v>
      </c>
      <c r="BA91" s="5">
        <v>27000000</v>
      </c>
      <c r="BB91" s="5">
        <v>0</v>
      </c>
      <c r="BC91" s="4" t="s">
        <v>49</v>
      </c>
      <c r="BD91" s="4">
        <v>47111</v>
      </c>
      <c r="BE91" t="s">
        <v>54</v>
      </c>
    </row>
    <row r="92" spans="1:57" ht="270.75" thickBot="1" x14ac:dyDescent="0.3">
      <c r="A92" s="4" t="s">
        <v>481</v>
      </c>
      <c r="B92" s="4">
        <v>2001</v>
      </c>
      <c r="C92" s="5">
        <v>2</v>
      </c>
      <c r="D92" s="4" t="s">
        <v>44</v>
      </c>
      <c r="E92" s="6">
        <v>46295.332645775467</v>
      </c>
      <c r="F92" s="4" t="s">
        <v>482</v>
      </c>
      <c r="G92" s="4" t="s">
        <v>46</v>
      </c>
      <c r="H92" s="4">
        <v>53</v>
      </c>
      <c r="I92" s="4" t="s">
        <v>47</v>
      </c>
      <c r="J92" s="4">
        <v>5309</v>
      </c>
      <c r="K92" s="4" t="s">
        <v>48</v>
      </c>
      <c r="L92" s="4">
        <v>5309070</v>
      </c>
      <c r="M92" s="4">
        <v>5309070008</v>
      </c>
      <c r="N92" s="4" t="s">
        <v>49</v>
      </c>
      <c r="O92" s="4">
        <v>47111</v>
      </c>
      <c r="P92" s="4" t="s">
        <v>483</v>
      </c>
      <c r="Q92" s="5">
        <v>9</v>
      </c>
      <c r="R92" s="5">
        <v>216000000</v>
      </c>
      <c r="S92" s="5">
        <v>60000000</v>
      </c>
      <c r="T92" s="5">
        <v>8340000000</v>
      </c>
      <c r="U92" s="5">
        <v>444000000</v>
      </c>
      <c r="V92" s="5">
        <v>72000000</v>
      </c>
      <c r="W92" s="5">
        <v>9132000000</v>
      </c>
      <c r="X92" s="5">
        <v>9636000000</v>
      </c>
      <c r="Y92" s="5">
        <v>0</v>
      </c>
      <c r="Z92" s="5">
        <f t="shared" si="9"/>
        <v>792000000</v>
      </c>
      <c r="AA92" s="5">
        <v>1730000000</v>
      </c>
      <c r="AB92" s="5">
        <f t="shared" si="10"/>
        <v>1296000000</v>
      </c>
      <c r="AC92" s="5" t="s">
        <v>484</v>
      </c>
      <c r="AD92" s="4" t="s">
        <v>88</v>
      </c>
      <c r="AE92" s="5">
        <f t="shared" si="11"/>
        <v>0.61111111111111116</v>
      </c>
      <c r="AF92" s="5">
        <v>144000000</v>
      </c>
      <c r="AG92" s="5">
        <v>1</v>
      </c>
      <c r="AH92" s="5">
        <v>1</v>
      </c>
      <c r="AI92" s="5">
        <v>1</v>
      </c>
      <c r="AJ92" s="7" t="s">
        <v>485</v>
      </c>
      <c r="AK92" s="5">
        <v>0</v>
      </c>
      <c r="AL92" s="5">
        <v>0</v>
      </c>
      <c r="AM92" s="4">
        <v>2020</v>
      </c>
      <c r="AN92" s="5">
        <v>9</v>
      </c>
      <c r="AO92" s="5">
        <v>0</v>
      </c>
      <c r="AP92" s="8"/>
      <c r="AQ92" s="8"/>
      <c r="AR92" s="8">
        <f t="shared" si="12"/>
        <v>0</v>
      </c>
      <c r="AS92" s="8">
        <f t="shared" si="13"/>
        <v>504000000</v>
      </c>
      <c r="AT92" s="8">
        <f t="shared" si="14"/>
        <v>792000000</v>
      </c>
      <c r="AU92" s="8">
        <f t="shared" si="15"/>
        <v>504000000</v>
      </c>
      <c r="AV92" s="4" t="s">
        <v>483</v>
      </c>
      <c r="AW92" s="7" t="s">
        <v>485</v>
      </c>
      <c r="AX92" s="5">
        <v>8340000000</v>
      </c>
      <c r="AY92">
        <f t="shared" si="16"/>
        <v>60000000</v>
      </c>
      <c r="AZ92">
        <f t="shared" si="17"/>
        <v>444000000</v>
      </c>
      <c r="BA92" s="5">
        <v>9636000000</v>
      </c>
      <c r="BB92" s="5">
        <v>0</v>
      </c>
      <c r="BC92" s="4" t="s">
        <v>49</v>
      </c>
      <c r="BD92" s="4">
        <v>47111</v>
      </c>
      <c r="BE92" t="s">
        <v>54</v>
      </c>
    </row>
    <row r="93" spans="1:57" ht="270.75" thickBot="1" x14ac:dyDescent="0.3">
      <c r="A93" s="4" t="s">
        <v>486</v>
      </c>
      <c r="B93" s="4">
        <v>1002</v>
      </c>
      <c r="C93" s="5">
        <v>2</v>
      </c>
      <c r="D93" s="4" t="s">
        <v>44</v>
      </c>
      <c r="E93" s="6">
        <v>46277.523718124998</v>
      </c>
      <c r="F93" s="4" t="s">
        <v>487</v>
      </c>
      <c r="G93" s="4" t="s">
        <v>46</v>
      </c>
      <c r="H93" s="4">
        <v>53</v>
      </c>
      <c r="I93" s="4" t="s">
        <v>47</v>
      </c>
      <c r="J93" s="4">
        <v>5309</v>
      </c>
      <c r="K93" s="4" t="s">
        <v>48</v>
      </c>
      <c r="L93" s="4">
        <v>5309060</v>
      </c>
      <c r="M93" s="4">
        <v>5309060020</v>
      </c>
      <c r="N93" s="4" t="s">
        <v>49</v>
      </c>
      <c r="O93" s="4">
        <v>47111</v>
      </c>
      <c r="P93" s="4" t="s">
        <v>449</v>
      </c>
      <c r="Q93" s="5">
        <v>2</v>
      </c>
      <c r="R93" s="5">
        <v>0</v>
      </c>
      <c r="S93" s="5">
        <v>0</v>
      </c>
      <c r="T93" s="5">
        <v>5000000</v>
      </c>
      <c r="U93" s="5">
        <v>750000</v>
      </c>
      <c r="V93" s="5">
        <v>0</v>
      </c>
      <c r="W93" s="5">
        <v>5750000</v>
      </c>
      <c r="X93" s="5">
        <v>15000000</v>
      </c>
      <c r="Y93" s="5">
        <v>0</v>
      </c>
      <c r="Z93" s="5">
        <f t="shared" si="9"/>
        <v>9250000</v>
      </c>
      <c r="AA93" s="5">
        <v>7500000</v>
      </c>
      <c r="AB93" s="5">
        <f t="shared" si="10"/>
        <v>10000000</v>
      </c>
      <c r="AC93" s="5" t="s">
        <v>172</v>
      </c>
      <c r="AD93" s="4" t="s">
        <v>51</v>
      </c>
      <c r="AE93" s="5">
        <f t="shared" si="11"/>
        <v>0.92500000000000004</v>
      </c>
      <c r="AF93" s="5">
        <v>5000000</v>
      </c>
      <c r="AG93" s="5">
        <v>1</v>
      </c>
      <c r="AH93" s="5">
        <v>1</v>
      </c>
      <c r="AI93" s="5">
        <v>1</v>
      </c>
      <c r="AJ93" s="7" t="s">
        <v>488</v>
      </c>
      <c r="AK93" s="5">
        <v>0</v>
      </c>
      <c r="AL93" s="5">
        <v>0</v>
      </c>
      <c r="AM93" s="4">
        <v>2020</v>
      </c>
      <c r="AN93" s="5">
        <v>0</v>
      </c>
      <c r="AO93" s="5">
        <v>2</v>
      </c>
      <c r="AP93" s="8"/>
      <c r="AQ93" s="8"/>
      <c r="AR93" s="8">
        <f t="shared" si="12"/>
        <v>0</v>
      </c>
      <c r="AS93" s="8">
        <f t="shared" si="13"/>
        <v>750000</v>
      </c>
      <c r="AT93" s="8">
        <f t="shared" si="14"/>
        <v>7400000</v>
      </c>
      <c r="AU93" s="8">
        <f t="shared" si="15"/>
        <v>2600000</v>
      </c>
      <c r="AV93" s="4" t="s">
        <v>449</v>
      </c>
      <c r="AW93" s="7" t="s">
        <v>488</v>
      </c>
      <c r="AX93" s="5">
        <v>5000000</v>
      </c>
      <c r="AY93">
        <f t="shared" si="16"/>
        <v>0</v>
      </c>
      <c r="AZ93">
        <f t="shared" si="17"/>
        <v>2600000</v>
      </c>
      <c r="BA93" s="5">
        <v>15000000</v>
      </c>
      <c r="BB93" s="5">
        <v>0</v>
      </c>
      <c r="BC93" s="4" t="s">
        <v>49</v>
      </c>
      <c r="BD93" s="4">
        <v>47111</v>
      </c>
      <c r="BE93" t="s">
        <v>54</v>
      </c>
    </row>
    <row r="94" spans="1:57" ht="255.75" thickBot="1" x14ac:dyDescent="0.3">
      <c r="A94" s="4" t="s">
        <v>489</v>
      </c>
      <c r="B94" s="4">
        <v>1001</v>
      </c>
      <c r="C94" s="5">
        <v>2</v>
      </c>
      <c r="D94" s="4" t="s">
        <v>44</v>
      </c>
      <c r="E94" s="6">
        <v>46251.581244270834</v>
      </c>
      <c r="F94" s="4" t="s">
        <v>490</v>
      </c>
      <c r="G94" s="4" t="s">
        <v>46</v>
      </c>
      <c r="H94" s="4">
        <v>53</v>
      </c>
      <c r="I94" s="4" t="s">
        <v>47</v>
      </c>
      <c r="J94" s="4">
        <v>5309</v>
      </c>
      <c r="K94" s="4" t="s">
        <v>48</v>
      </c>
      <c r="L94" s="4">
        <v>5309072</v>
      </c>
      <c r="M94" s="4">
        <v>5309072007</v>
      </c>
      <c r="N94" s="4" t="s">
        <v>49</v>
      </c>
      <c r="O94" s="4">
        <v>47111</v>
      </c>
      <c r="P94" s="4" t="s">
        <v>491</v>
      </c>
      <c r="Q94" s="5">
        <v>1</v>
      </c>
      <c r="R94" s="5">
        <v>0</v>
      </c>
      <c r="S94" s="5">
        <v>0</v>
      </c>
      <c r="T94" s="5">
        <v>2203000</v>
      </c>
      <c r="U94" s="5">
        <v>250000</v>
      </c>
      <c r="V94" s="5">
        <v>0</v>
      </c>
      <c r="W94" s="5">
        <v>2453000</v>
      </c>
      <c r="X94" s="5">
        <v>6000000</v>
      </c>
      <c r="Y94" s="5">
        <v>0</v>
      </c>
      <c r="Z94" s="5">
        <f t="shared" si="9"/>
        <v>3547000</v>
      </c>
      <c r="AA94" s="5">
        <v>3500000</v>
      </c>
      <c r="AB94" s="5">
        <f t="shared" si="10"/>
        <v>3797000</v>
      </c>
      <c r="AC94" s="5" t="s">
        <v>492</v>
      </c>
      <c r="AD94" s="4" t="s">
        <v>51</v>
      </c>
      <c r="AE94" s="5">
        <f t="shared" si="11"/>
        <v>0.9341585462207006</v>
      </c>
      <c r="AF94" s="5">
        <v>3797000</v>
      </c>
      <c r="AG94" s="5">
        <v>1</v>
      </c>
      <c r="AH94" s="5">
        <v>1</v>
      </c>
      <c r="AI94" s="5">
        <v>1</v>
      </c>
      <c r="AJ94" s="7" t="s">
        <v>493</v>
      </c>
      <c r="AK94" s="5">
        <v>0</v>
      </c>
      <c r="AL94" s="5">
        <v>0</v>
      </c>
      <c r="AM94" s="4">
        <v>2022</v>
      </c>
      <c r="AN94" s="5">
        <v>0</v>
      </c>
      <c r="AO94" s="5">
        <v>1</v>
      </c>
      <c r="AP94" s="8"/>
      <c r="AQ94" s="8"/>
      <c r="AR94" s="8">
        <f t="shared" si="12"/>
        <v>0</v>
      </c>
      <c r="AS94" s="8">
        <f t="shared" si="13"/>
        <v>250000</v>
      </c>
      <c r="AT94" s="8">
        <f t="shared" si="14"/>
        <v>2809780</v>
      </c>
      <c r="AU94" s="8">
        <f t="shared" si="15"/>
        <v>987220</v>
      </c>
      <c r="AV94" s="4" t="s">
        <v>491</v>
      </c>
      <c r="AW94" s="7" t="s">
        <v>493</v>
      </c>
      <c r="AX94" s="5">
        <v>2203000</v>
      </c>
      <c r="AY94">
        <f t="shared" si="16"/>
        <v>0</v>
      </c>
      <c r="AZ94">
        <f t="shared" si="17"/>
        <v>987220</v>
      </c>
      <c r="BA94" s="5">
        <v>6000000</v>
      </c>
      <c r="BB94" s="5">
        <v>0</v>
      </c>
      <c r="BC94" s="4" t="s">
        <v>49</v>
      </c>
      <c r="BD94" s="4">
        <v>47111</v>
      </c>
      <c r="BE94" t="s">
        <v>54</v>
      </c>
    </row>
    <row r="95" spans="1:57" ht="270.75" thickBot="1" x14ac:dyDescent="0.3">
      <c r="A95" s="4" t="s">
        <v>494</v>
      </c>
      <c r="B95" s="4">
        <v>1002</v>
      </c>
      <c r="C95" s="5">
        <v>2</v>
      </c>
      <c r="D95" s="4" t="s">
        <v>44</v>
      </c>
      <c r="E95" s="6">
        <v>46272.885210092594</v>
      </c>
      <c r="F95" s="4" t="s">
        <v>495</v>
      </c>
      <c r="G95" s="4" t="s">
        <v>46</v>
      </c>
      <c r="H95" s="4">
        <v>53</v>
      </c>
      <c r="I95" s="4" t="s">
        <v>47</v>
      </c>
      <c r="J95" s="4">
        <v>5309</v>
      </c>
      <c r="K95" s="4" t="s">
        <v>48</v>
      </c>
      <c r="L95" s="4">
        <v>5309070</v>
      </c>
      <c r="M95" s="4">
        <v>5309070015</v>
      </c>
      <c r="N95" s="4" t="s">
        <v>49</v>
      </c>
      <c r="O95" s="4">
        <v>47111</v>
      </c>
      <c r="P95" s="4" t="s">
        <v>496</v>
      </c>
      <c r="Q95" s="5">
        <v>2</v>
      </c>
      <c r="R95" s="5">
        <v>0</v>
      </c>
      <c r="S95" s="5">
        <v>100000</v>
      </c>
      <c r="T95" s="5">
        <v>48000000</v>
      </c>
      <c r="U95" s="5">
        <v>200000</v>
      </c>
      <c r="V95" s="5">
        <v>0</v>
      </c>
      <c r="W95" s="5">
        <v>48300000</v>
      </c>
      <c r="X95" s="5">
        <v>108000000</v>
      </c>
      <c r="Y95" s="5">
        <v>0</v>
      </c>
      <c r="Z95" s="5">
        <f t="shared" si="9"/>
        <v>59700000</v>
      </c>
      <c r="AA95" s="5">
        <v>2300000</v>
      </c>
      <c r="AB95" s="5">
        <f t="shared" si="10"/>
        <v>60000000</v>
      </c>
      <c r="AC95" s="5" t="s">
        <v>497</v>
      </c>
      <c r="AD95" s="4" t="s">
        <v>51</v>
      </c>
      <c r="AE95" s="5">
        <f t="shared" si="11"/>
        <v>0.995</v>
      </c>
      <c r="AF95" s="5">
        <v>30000000</v>
      </c>
      <c r="AG95" s="5">
        <v>1</v>
      </c>
      <c r="AH95" s="5">
        <v>1</v>
      </c>
      <c r="AI95" s="5">
        <v>1</v>
      </c>
      <c r="AJ95" s="7" t="s">
        <v>498</v>
      </c>
      <c r="AK95" s="5">
        <v>0</v>
      </c>
      <c r="AL95" s="5">
        <v>0</v>
      </c>
      <c r="AM95" s="4">
        <v>2015</v>
      </c>
      <c r="AN95" s="5">
        <v>0</v>
      </c>
      <c r="AO95" s="5">
        <v>2</v>
      </c>
      <c r="AP95" s="8"/>
      <c r="AQ95" s="8"/>
      <c r="AR95" s="8">
        <f t="shared" si="12"/>
        <v>0</v>
      </c>
      <c r="AS95" s="8">
        <f t="shared" si="13"/>
        <v>300000</v>
      </c>
      <c r="AT95" s="8">
        <f t="shared" si="14"/>
        <v>44400000</v>
      </c>
      <c r="AU95" s="8">
        <f t="shared" si="15"/>
        <v>15600000</v>
      </c>
      <c r="AV95" s="4" t="s">
        <v>496</v>
      </c>
      <c r="AW95" s="7" t="s">
        <v>498</v>
      </c>
      <c r="AX95" s="5">
        <v>48000000</v>
      </c>
      <c r="AY95">
        <f t="shared" si="16"/>
        <v>5200000</v>
      </c>
      <c r="AZ95">
        <f t="shared" si="17"/>
        <v>10400000</v>
      </c>
      <c r="BA95" s="5">
        <v>108000000</v>
      </c>
      <c r="BB95" s="5">
        <v>0</v>
      </c>
      <c r="BC95" s="4" t="s">
        <v>49</v>
      </c>
      <c r="BD95" s="4">
        <v>47111</v>
      </c>
      <c r="BE95" t="s">
        <v>54</v>
      </c>
    </row>
    <row r="96" spans="1:57" ht="270.75" thickBot="1" x14ac:dyDescent="0.3">
      <c r="A96" s="4" t="s">
        <v>499</v>
      </c>
      <c r="B96" s="4">
        <v>1001</v>
      </c>
      <c r="C96" s="5">
        <v>2</v>
      </c>
      <c r="D96" s="4" t="s">
        <v>44</v>
      </c>
      <c r="E96" s="6">
        <v>46265.967790925926</v>
      </c>
      <c r="F96" s="4" t="s">
        <v>500</v>
      </c>
      <c r="G96" s="4" t="s">
        <v>46</v>
      </c>
      <c r="H96" s="4">
        <v>53</v>
      </c>
      <c r="I96" s="4" t="s">
        <v>47</v>
      </c>
      <c r="J96" s="4">
        <v>5309</v>
      </c>
      <c r="K96" s="4" t="s">
        <v>48</v>
      </c>
      <c r="L96" s="4">
        <v>5309050</v>
      </c>
      <c r="M96" s="4">
        <v>5309050012</v>
      </c>
      <c r="N96" s="4" t="s">
        <v>49</v>
      </c>
      <c r="O96" s="4">
        <v>47111</v>
      </c>
      <c r="P96" s="4" t="s">
        <v>501</v>
      </c>
      <c r="Q96" s="5">
        <v>2</v>
      </c>
      <c r="R96" s="5">
        <v>0</v>
      </c>
      <c r="S96" s="5">
        <v>0</v>
      </c>
      <c r="T96" s="5">
        <v>36000000</v>
      </c>
      <c r="U96" s="5">
        <v>2500000</v>
      </c>
      <c r="V96" s="5">
        <v>0</v>
      </c>
      <c r="W96" s="5">
        <v>38500000</v>
      </c>
      <c r="X96" s="5">
        <v>58000000</v>
      </c>
      <c r="Y96" s="5">
        <v>0</v>
      </c>
      <c r="Z96" s="5">
        <f t="shared" si="9"/>
        <v>19500000</v>
      </c>
      <c r="AA96" s="5">
        <v>5000000</v>
      </c>
      <c r="AB96" s="5">
        <f t="shared" si="10"/>
        <v>22000000</v>
      </c>
      <c r="AC96" s="5" t="s">
        <v>502</v>
      </c>
      <c r="AD96" s="4" t="s">
        <v>51</v>
      </c>
      <c r="AE96" s="5">
        <f t="shared" si="11"/>
        <v>0.88636363636363635</v>
      </c>
      <c r="AF96" s="5">
        <v>11000000</v>
      </c>
      <c r="AG96" s="5">
        <v>1</v>
      </c>
      <c r="AH96" s="5">
        <v>1</v>
      </c>
      <c r="AI96" s="5">
        <v>1</v>
      </c>
      <c r="AJ96" s="7" t="s">
        <v>503</v>
      </c>
      <c r="AK96" s="5">
        <v>0</v>
      </c>
      <c r="AL96" s="5">
        <v>0</v>
      </c>
      <c r="AM96" s="4">
        <v>2010</v>
      </c>
      <c r="AN96" s="5">
        <v>0</v>
      </c>
      <c r="AO96" s="5">
        <v>2</v>
      </c>
      <c r="AP96" s="8"/>
      <c r="AQ96" s="8"/>
      <c r="AR96" s="8">
        <f t="shared" si="12"/>
        <v>0</v>
      </c>
      <c r="AS96" s="8">
        <f t="shared" si="13"/>
        <v>2500000</v>
      </c>
      <c r="AT96" s="8">
        <f t="shared" si="14"/>
        <v>16280000</v>
      </c>
      <c r="AU96" s="8">
        <f t="shared" si="15"/>
        <v>5720000</v>
      </c>
      <c r="AV96" s="4" t="s">
        <v>501</v>
      </c>
      <c r="AW96" s="7" t="s">
        <v>503</v>
      </c>
      <c r="AX96" s="5">
        <v>36000000</v>
      </c>
      <c r="AY96">
        <f t="shared" si="16"/>
        <v>0</v>
      </c>
      <c r="AZ96">
        <f t="shared" si="17"/>
        <v>5720000</v>
      </c>
      <c r="BA96" s="5">
        <v>58000000</v>
      </c>
      <c r="BB96" s="5">
        <v>0</v>
      </c>
      <c r="BC96" s="4" t="s">
        <v>49</v>
      </c>
      <c r="BD96" s="4">
        <v>47111</v>
      </c>
      <c r="BE96" t="s">
        <v>54</v>
      </c>
    </row>
    <row r="97" spans="1:57" ht="270.75" thickBot="1" x14ac:dyDescent="0.3">
      <c r="A97" s="4" t="s">
        <v>504</v>
      </c>
      <c r="B97" s="4">
        <v>3002</v>
      </c>
      <c r="C97" s="5">
        <v>2</v>
      </c>
      <c r="D97" s="4" t="s">
        <v>44</v>
      </c>
      <c r="E97" s="6">
        <v>46280.096401157411</v>
      </c>
      <c r="F97" s="4" t="s">
        <v>505</v>
      </c>
      <c r="G97" s="4" t="s">
        <v>46</v>
      </c>
      <c r="H97" s="4">
        <v>53</v>
      </c>
      <c r="I97" s="4" t="s">
        <v>47</v>
      </c>
      <c r="J97" s="4">
        <v>5309</v>
      </c>
      <c r="K97" s="4" t="s">
        <v>48</v>
      </c>
      <c r="L97" s="4">
        <v>5309070</v>
      </c>
      <c r="M97" s="4">
        <v>5309070015</v>
      </c>
      <c r="N97" s="4" t="s">
        <v>49</v>
      </c>
      <c r="O97" s="4">
        <v>47111</v>
      </c>
      <c r="P97" s="4" t="s">
        <v>506</v>
      </c>
      <c r="Q97" s="5">
        <v>1</v>
      </c>
      <c r="R97" s="5">
        <v>0</v>
      </c>
      <c r="S97" s="5">
        <v>100000</v>
      </c>
      <c r="T97" s="5">
        <v>48000000</v>
      </c>
      <c r="U97" s="5">
        <v>300000</v>
      </c>
      <c r="V97" s="5">
        <v>0</v>
      </c>
      <c r="W97" s="5">
        <v>48400000</v>
      </c>
      <c r="X97" s="5">
        <v>72000000</v>
      </c>
      <c r="Y97" s="5">
        <v>0</v>
      </c>
      <c r="Z97" s="5">
        <f t="shared" si="9"/>
        <v>23600000</v>
      </c>
      <c r="AA97" s="5">
        <v>2000000</v>
      </c>
      <c r="AB97" s="5">
        <f t="shared" si="10"/>
        <v>24000000</v>
      </c>
      <c r="AC97" s="5" t="s">
        <v>102</v>
      </c>
      <c r="AD97" s="4" t="s">
        <v>51</v>
      </c>
      <c r="AE97" s="5">
        <f t="shared" si="11"/>
        <v>0.98333333333333328</v>
      </c>
      <c r="AF97" s="5">
        <v>24000000</v>
      </c>
      <c r="AG97" s="5">
        <v>1</v>
      </c>
      <c r="AH97" s="5">
        <v>1</v>
      </c>
      <c r="AI97" s="5">
        <v>1</v>
      </c>
      <c r="AJ97" s="7" t="s">
        <v>507</v>
      </c>
      <c r="AK97" s="5">
        <v>0</v>
      </c>
      <c r="AL97" s="5">
        <v>0</v>
      </c>
      <c r="AM97" s="4">
        <v>2010</v>
      </c>
      <c r="AN97" s="5">
        <v>0</v>
      </c>
      <c r="AO97" s="5">
        <v>1</v>
      </c>
      <c r="AP97" s="8"/>
      <c r="AQ97" s="8"/>
      <c r="AR97" s="8">
        <f t="shared" si="12"/>
        <v>0</v>
      </c>
      <c r="AS97" s="8">
        <f t="shared" si="13"/>
        <v>400000</v>
      </c>
      <c r="AT97" s="8">
        <f t="shared" si="14"/>
        <v>17760000</v>
      </c>
      <c r="AU97" s="8">
        <f t="shared" si="15"/>
        <v>6240000</v>
      </c>
      <c r="AV97" s="4" t="s">
        <v>506</v>
      </c>
      <c r="AW97" s="7" t="s">
        <v>507</v>
      </c>
      <c r="AX97" s="5">
        <v>48000000</v>
      </c>
      <c r="AY97">
        <f t="shared" si="16"/>
        <v>1560000</v>
      </c>
      <c r="AZ97">
        <f t="shared" si="17"/>
        <v>4680000</v>
      </c>
      <c r="BA97" s="5">
        <v>72000000</v>
      </c>
      <c r="BB97" s="5">
        <v>0</v>
      </c>
      <c r="BC97" s="4" t="s">
        <v>49</v>
      </c>
      <c r="BD97" s="4">
        <v>47111</v>
      </c>
      <c r="BE97" t="s">
        <v>54</v>
      </c>
    </row>
    <row r="98" spans="1:57" ht="270.75" thickBot="1" x14ac:dyDescent="0.3">
      <c r="A98" s="4" t="s">
        <v>508</v>
      </c>
      <c r="B98" s="4">
        <v>1</v>
      </c>
      <c r="C98" s="5">
        <v>2</v>
      </c>
      <c r="D98" s="4" t="s">
        <v>44</v>
      </c>
      <c r="E98" s="6">
        <v>46237.34981122685</v>
      </c>
      <c r="F98" s="4" t="s">
        <v>509</v>
      </c>
      <c r="G98" s="4" t="s">
        <v>46</v>
      </c>
      <c r="H98" s="4">
        <v>53</v>
      </c>
      <c r="I98" s="4" t="s">
        <v>47</v>
      </c>
      <c r="J98" s="4">
        <v>5309</v>
      </c>
      <c r="K98" s="4" t="s">
        <v>48</v>
      </c>
      <c r="L98" s="4">
        <v>5309060</v>
      </c>
      <c r="M98" s="4">
        <v>5309060010</v>
      </c>
      <c r="N98" s="4" t="s">
        <v>49</v>
      </c>
      <c r="O98" s="4">
        <v>47111</v>
      </c>
      <c r="P98" s="4" t="s">
        <v>510</v>
      </c>
      <c r="Q98" s="5">
        <v>1</v>
      </c>
      <c r="R98" s="5">
        <v>0</v>
      </c>
      <c r="S98" s="5">
        <v>500000</v>
      </c>
      <c r="T98" s="5">
        <v>3500000</v>
      </c>
      <c r="U98" s="5">
        <v>400000</v>
      </c>
      <c r="V98" s="5">
        <v>0</v>
      </c>
      <c r="W98" s="5">
        <v>4400000</v>
      </c>
      <c r="X98" s="5">
        <v>8000000</v>
      </c>
      <c r="Y98" s="5">
        <v>0</v>
      </c>
      <c r="Z98" s="5">
        <f t="shared" si="9"/>
        <v>3600000</v>
      </c>
      <c r="AA98" s="5">
        <v>30000000</v>
      </c>
      <c r="AB98" s="5">
        <f t="shared" si="10"/>
        <v>4500000</v>
      </c>
      <c r="AC98" s="5" t="s">
        <v>511</v>
      </c>
      <c r="AD98" s="4" t="s">
        <v>51</v>
      </c>
      <c r="AE98" s="5">
        <f t="shared" si="11"/>
        <v>0.8</v>
      </c>
      <c r="AF98" s="5">
        <v>4500000</v>
      </c>
      <c r="AG98" s="5">
        <v>1</v>
      </c>
      <c r="AH98" s="5">
        <v>1</v>
      </c>
      <c r="AI98" s="5">
        <v>1</v>
      </c>
      <c r="AJ98" s="7" t="s">
        <v>512</v>
      </c>
      <c r="AK98" s="5">
        <v>0</v>
      </c>
      <c r="AL98" s="5">
        <v>0</v>
      </c>
      <c r="AM98" s="4">
        <v>2008</v>
      </c>
      <c r="AN98" s="5">
        <v>0</v>
      </c>
      <c r="AO98" s="5">
        <v>1</v>
      </c>
      <c r="AP98" s="8"/>
      <c r="AQ98" s="8"/>
      <c r="AR98" s="8">
        <f t="shared" si="12"/>
        <v>0</v>
      </c>
      <c r="AS98" s="8">
        <f t="shared" si="13"/>
        <v>900000</v>
      </c>
      <c r="AT98" s="8">
        <f t="shared" si="14"/>
        <v>3330000</v>
      </c>
      <c r="AU98" s="8">
        <f t="shared" si="15"/>
        <v>1170000</v>
      </c>
      <c r="AV98" s="4" t="s">
        <v>510</v>
      </c>
      <c r="AW98" s="7" t="s">
        <v>512</v>
      </c>
      <c r="AX98" s="5">
        <v>3500000</v>
      </c>
      <c r="AY98">
        <f t="shared" si="16"/>
        <v>650000</v>
      </c>
      <c r="AZ98">
        <f t="shared" si="17"/>
        <v>520000</v>
      </c>
      <c r="BA98" s="5">
        <v>8000000</v>
      </c>
      <c r="BB98" s="5">
        <v>0</v>
      </c>
      <c r="BC98" s="4" t="s">
        <v>49</v>
      </c>
      <c r="BD98" s="4">
        <v>47111</v>
      </c>
      <c r="BE98" t="s">
        <v>54</v>
      </c>
    </row>
    <row r="99" spans="1:57" ht="270.75" thickBot="1" x14ac:dyDescent="0.3">
      <c r="A99" s="4" t="s">
        <v>513</v>
      </c>
      <c r="B99" s="4">
        <v>2001</v>
      </c>
      <c r="C99" s="5">
        <v>2</v>
      </c>
      <c r="D99" s="4" t="s">
        <v>44</v>
      </c>
      <c r="E99" s="6">
        <v>46261.694901249997</v>
      </c>
      <c r="F99" s="4" t="s">
        <v>514</v>
      </c>
      <c r="G99" s="4" t="s">
        <v>46</v>
      </c>
      <c r="H99" s="4">
        <v>53</v>
      </c>
      <c r="I99" s="4" t="s">
        <v>47</v>
      </c>
      <c r="J99" s="4">
        <v>5309</v>
      </c>
      <c r="K99" s="4" t="s">
        <v>48</v>
      </c>
      <c r="L99" s="4">
        <v>5309074</v>
      </c>
      <c r="M99" s="4">
        <v>5309074001</v>
      </c>
      <c r="N99" s="4" t="s">
        <v>49</v>
      </c>
      <c r="O99" s="4">
        <v>47111</v>
      </c>
      <c r="P99" s="4" t="s">
        <v>515</v>
      </c>
      <c r="Q99" s="5">
        <v>2</v>
      </c>
      <c r="R99" s="5">
        <v>0</v>
      </c>
      <c r="S99" s="5">
        <v>2000000</v>
      </c>
      <c r="T99" s="5">
        <v>20000000</v>
      </c>
      <c r="U99" s="5">
        <v>5000000</v>
      </c>
      <c r="V99" s="5">
        <v>0</v>
      </c>
      <c r="W99" s="5">
        <v>27000000</v>
      </c>
      <c r="X99" s="5">
        <v>30000000</v>
      </c>
      <c r="Y99" s="5">
        <v>0</v>
      </c>
      <c r="Z99" s="5">
        <f t="shared" si="9"/>
        <v>3000000</v>
      </c>
      <c r="AA99" s="5">
        <v>28000000</v>
      </c>
      <c r="AB99" s="5">
        <f t="shared" si="10"/>
        <v>10000000</v>
      </c>
      <c r="AC99" s="5" t="s">
        <v>102</v>
      </c>
      <c r="AD99" s="4" t="s">
        <v>51</v>
      </c>
      <c r="AE99" s="5">
        <f t="shared" si="11"/>
        <v>0.3</v>
      </c>
      <c r="AF99" s="5">
        <v>5000000</v>
      </c>
      <c r="AG99" s="5">
        <v>0</v>
      </c>
      <c r="AH99" s="5">
        <v>1</v>
      </c>
      <c r="AI99" s="5">
        <v>1</v>
      </c>
      <c r="AJ99" s="7" t="s">
        <v>517</v>
      </c>
      <c r="AK99" s="5">
        <v>0</v>
      </c>
      <c r="AL99" s="5">
        <v>0</v>
      </c>
      <c r="AM99" s="4">
        <v>2022</v>
      </c>
      <c r="AN99" s="5">
        <v>0</v>
      </c>
      <c r="AO99" s="5">
        <v>2</v>
      </c>
      <c r="AP99" s="8"/>
      <c r="AQ99" s="8"/>
      <c r="AR99" s="8">
        <f t="shared" si="12"/>
        <v>0</v>
      </c>
      <c r="AS99" s="8">
        <f t="shared" si="13"/>
        <v>7000000</v>
      </c>
      <c r="AT99" s="8">
        <f t="shared" si="14"/>
        <v>3000000</v>
      </c>
      <c r="AU99" s="8">
        <f t="shared" si="15"/>
        <v>7000000</v>
      </c>
      <c r="AV99" s="4" t="s">
        <v>515</v>
      </c>
      <c r="AW99" s="7" t="s">
        <v>517</v>
      </c>
      <c r="AX99" s="5">
        <v>20000000</v>
      </c>
      <c r="AY99">
        <f t="shared" si="16"/>
        <v>2000000</v>
      </c>
      <c r="AZ99">
        <f t="shared" si="17"/>
        <v>5000000</v>
      </c>
      <c r="BA99" s="5">
        <v>30000000</v>
      </c>
      <c r="BB99" s="5">
        <v>0</v>
      </c>
      <c r="BC99" s="4" t="s">
        <v>49</v>
      </c>
      <c r="BD99" s="4">
        <v>47111</v>
      </c>
      <c r="BE99" t="s">
        <v>54</v>
      </c>
    </row>
    <row r="100" spans="1:57" ht="270.75" thickBot="1" x14ac:dyDescent="0.3">
      <c r="A100" s="4" t="s">
        <v>518</v>
      </c>
      <c r="B100" s="4">
        <v>1002</v>
      </c>
      <c r="C100" s="5">
        <v>2</v>
      </c>
      <c r="D100" s="4" t="s">
        <v>44</v>
      </c>
      <c r="E100" s="6">
        <v>46280.256064143519</v>
      </c>
      <c r="F100" s="4" t="s">
        <v>519</v>
      </c>
      <c r="G100" s="4" t="s">
        <v>46</v>
      </c>
      <c r="H100" s="4">
        <v>53</v>
      </c>
      <c r="I100" s="4" t="s">
        <v>47</v>
      </c>
      <c r="J100" s="4">
        <v>5309</v>
      </c>
      <c r="K100" s="4" t="s">
        <v>48</v>
      </c>
      <c r="L100" s="4">
        <v>5309070</v>
      </c>
      <c r="M100" s="4">
        <v>5309070006</v>
      </c>
      <c r="N100" s="4" t="s">
        <v>49</v>
      </c>
      <c r="O100" s="4">
        <v>47111</v>
      </c>
      <c r="P100" s="4" t="s">
        <v>520</v>
      </c>
      <c r="Q100" s="5">
        <v>1</v>
      </c>
      <c r="R100" s="5">
        <v>0</v>
      </c>
      <c r="S100" s="5">
        <v>0</v>
      </c>
      <c r="T100" s="5">
        <v>144000000</v>
      </c>
      <c r="U100" s="5">
        <v>9600000</v>
      </c>
      <c r="V100" s="5">
        <v>0</v>
      </c>
      <c r="W100" s="5">
        <v>153600000</v>
      </c>
      <c r="X100" s="5">
        <v>264000000</v>
      </c>
      <c r="Y100" s="5">
        <v>0</v>
      </c>
      <c r="Z100" s="5">
        <f t="shared" si="9"/>
        <v>110400000</v>
      </c>
      <c r="AA100" s="5">
        <v>14000000</v>
      </c>
      <c r="AB100" s="5">
        <f t="shared" si="10"/>
        <v>120000000</v>
      </c>
      <c r="AC100" s="5" t="s">
        <v>521</v>
      </c>
      <c r="AD100" s="4" t="s">
        <v>51</v>
      </c>
      <c r="AE100" s="5">
        <f t="shared" si="11"/>
        <v>0.92</v>
      </c>
      <c r="AF100" s="5">
        <v>120000000</v>
      </c>
      <c r="AG100" s="5">
        <v>1</v>
      </c>
      <c r="AH100" s="5">
        <v>1</v>
      </c>
      <c r="AI100" s="5">
        <v>1</v>
      </c>
      <c r="AJ100" s="7" t="s">
        <v>522</v>
      </c>
      <c r="AK100" s="5">
        <v>0</v>
      </c>
      <c r="AL100" s="5">
        <v>0</v>
      </c>
      <c r="AM100" s="4">
        <v>2003</v>
      </c>
      <c r="AN100" s="5">
        <v>0</v>
      </c>
      <c r="AO100" s="5">
        <v>1</v>
      </c>
      <c r="AP100" s="8"/>
      <c r="AQ100" s="8"/>
      <c r="AR100" s="8">
        <f t="shared" si="12"/>
        <v>0</v>
      </c>
      <c r="AS100" s="8">
        <f t="shared" si="13"/>
        <v>9600000</v>
      </c>
      <c r="AT100" s="8">
        <f t="shared" si="14"/>
        <v>88800000</v>
      </c>
      <c r="AU100" s="8">
        <f t="shared" si="15"/>
        <v>31200000</v>
      </c>
      <c r="AV100" s="4" t="s">
        <v>520</v>
      </c>
      <c r="AW100" s="7" t="s">
        <v>522</v>
      </c>
      <c r="AX100" s="5">
        <v>144000000</v>
      </c>
      <c r="AY100">
        <f t="shared" si="16"/>
        <v>0</v>
      </c>
      <c r="AZ100">
        <f t="shared" si="17"/>
        <v>31200000</v>
      </c>
      <c r="BA100" s="5">
        <v>264000000</v>
      </c>
      <c r="BB100" s="5">
        <v>0</v>
      </c>
      <c r="BC100" s="4" t="s">
        <v>49</v>
      </c>
      <c r="BD100" s="4">
        <v>47111</v>
      </c>
      <c r="BE100" t="s">
        <v>54</v>
      </c>
    </row>
    <row r="101" spans="1:57" ht="270.75" thickBot="1" x14ac:dyDescent="0.3">
      <c r="A101" s="4" t="s">
        <v>523</v>
      </c>
      <c r="B101" s="4">
        <v>1</v>
      </c>
      <c r="C101" s="5">
        <v>2</v>
      </c>
      <c r="D101" s="4" t="s">
        <v>44</v>
      </c>
      <c r="E101" s="6">
        <v>46290.92286071759</v>
      </c>
      <c r="F101" s="4" t="s">
        <v>524</v>
      </c>
      <c r="G101" s="4" t="s">
        <v>46</v>
      </c>
      <c r="H101" s="4">
        <v>53</v>
      </c>
      <c r="I101" s="4" t="s">
        <v>47</v>
      </c>
      <c r="J101" s="4">
        <v>5309</v>
      </c>
      <c r="K101" s="4" t="s">
        <v>48</v>
      </c>
      <c r="L101" s="4">
        <v>5309030</v>
      </c>
      <c r="M101" s="4">
        <v>5309030024</v>
      </c>
      <c r="N101" s="4" t="s">
        <v>49</v>
      </c>
      <c r="O101" s="4">
        <v>47111</v>
      </c>
      <c r="P101" s="4" t="s">
        <v>525</v>
      </c>
      <c r="Q101" s="5">
        <v>4</v>
      </c>
      <c r="R101" s="5">
        <v>60000000</v>
      </c>
      <c r="S101" s="5">
        <v>0</v>
      </c>
      <c r="T101" s="5">
        <v>500000000</v>
      </c>
      <c r="U101" s="5">
        <v>25000000</v>
      </c>
      <c r="V101" s="5">
        <v>1200000</v>
      </c>
      <c r="W101" s="5">
        <v>586200000</v>
      </c>
      <c r="X101" s="5">
        <v>1500000000</v>
      </c>
      <c r="Y101" s="5">
        <v>0</v>
      </c>
      <c r="Z101" s="5">
        <f t="shared" si="9"/>
        <v>975000000</v>
      </c>
      <c r="AA101" s="5">
        <v>1675000000</v>
      </c>
      <c r="AB101" s="5">
        <f t="shared" si="10"/>
        <v>1000000000</v>
      </c>
      <c r="AC101" s="5" t="s">
        <v>172</v>
      </c>
      <c r="AD101" s="4" t="s">
        <v>51</v>
      </c>
      <c r="AE101" s="5">
        <f t="shared" si="11"/>
        <v>0.97499999999999998</v>
      </c>
      <c r="AF101" s="5">
        <v>250000000</v>
      </c>
      <c r="AG101" s="5">
        <v>1</v>
      </c>
      <c r="AH101" s="5">
        <v>1</v>
      </c>
      <c r="AI101" s="5">
        <v>1</v>
      </c>
      <c r="AJ101" s="7" t="s">
        <v>526</v>
      </c>
      <c r="AK101" s="5">
        <v>0</v>
      </c>
      <c r="AL101" s="5">
        <v>0</v>
      </c>
      <c r="AM101" s="4">
        <v>2024</v>
      </c>
      <c r="AN101" s="5">
        <v>4</v>
      </c>
      <c r="AO101" s="5">
        <v>0</v>
      </c>
      <c r="AP101" s="8"/>
      <c r="AQ101" s="8"/>
      <c r="AR101" s="8">
        <f t="shared" si="12"/>
        <v>0</v>
      </c>
      <c r="AS101" s="8">
        <f t="shared" si="13"/>
        <v>25000000</v>
      </c>
      <c r="AT101" s="8">
        <f t="shared" si="14"/>
        <v>740000000</v>
      </c>
      <c r="AU101" s="8">
        <f t="shared" si="15"/>
        <v>260000000</v>
      </c>
      <c r="AV101" s="4" t="s">
        <v>525</v>
      </c>
      <c r="AW101" s="7" t="s">
        <v>526</v>
      </c>
      <c r="AX101" s="5">
        <v>500000000</v>
      </c>
      <c r="AY101">
        <f t="shared" si="16"/>
        <v>0</v>
      </c>
      <c r="AZ101">
        <f t="shared" si="17"/>
        <v>260000000</v>
      </c>
      <c r="BA101" s="5">
        <v>1500000000</v>
      </c>
      <c r="BB101" s="5">
        <v>0</v>
      </c>
      <c r="BC101" s="4" t="s">
        <v>49</v>
      </c>
      <c r="BD101" s="4">
        <v>47111</v>
      </c>
      <c r="BE101" t="s">
        <v>54</v>
      </c>
    </row>
    <row r="102" spans="1:57" ht="270.75" thickBot="1" x14ac:dyDescent="0.3">
      <c r="A102" s="4" t="s">
        <v>527</v>
      </c>
      <c r="B102" s="4">
        <v>2001</v>
      </c>
      <c r="C102" s="5">
        <v>2</v>
      </c>
      <c r="D102" s="4" t="s">
        <v>44</v>
      </c>
      <c r="E102" s="6">
        <v>46246.088581122684</v>
      </c>
      <c r="F102" s="4" t="s">
        <v>528</v>
      </c>
      <c r="G102" s="4" t="s">
        <v>46</v>
      </c>
      <c r="H102" s="4">
        <v>53</v>
      </c>
      <c r="I102" s="4" t="s">
        <v>47</v>
      </c>
      <c r="J102" s="4">
        <v>5309</v>
      </c>
      <c r="K102" s="4" t="s">
        <v>48</v>
      </c>
      <c r="L102" s="4">
        <v>5309062</v>
      </c>
      <c r="M102" s="4">
        <v>5309062006</v>
      </c>
      <c r="N102" s="4" t="s">
        <v>49</v>
      </c>
      <c r="O102" s="4">
        <v>47111</v>
      </c>
      <c r="P102" s="4" t="s">
        <v>529</v>
      </c>
      <c r="Q102" s="5">
        <v>2</v>
      </c>
      <c r="R102" s="5">
        <v>0</v>
      </c>
      <c r="S102" s="5">
        <v>0</v>
      </c>
      <c r="T102" s="5">
        <v>120000000</v>
      </c>
      <c r="U102" s="5">
        <v>4800000</v>
      </c>
      <c r="V102" s="5">
        <v>792000</v>
      </c>
      <c r="W102" s="5">
        <v>125592000</v>
      </c>
      <c r="X102" s="5">
        <v>160000000</v>
      </c>
      <c r="Y102" s="5">
        <v>0</v>
      </c>
      <c r="Z102" s="5">
        <f t="shared" si="9"/>
        <v>35200000</v>
      </c>
      <c r="AA102" s="5">
        <v>400000</v>
      </c>
      <c r="AB102" s="5">
        <f t="shared" si="10"/>
        <v>40000000</v>
      </c>
      <c r="AC102" s="5" t="s">
        <v>255</v>
      </c>
      <c r="AD102" s="4" t="s">
        <v>51</v>
      </c>
      <c r="AE102" s="5">
        <f t="shared" si="11"/>
        <v>0.88</v>
      </c>
      <c r="AF102" s="5">
        <v>20000000</v>
      </c>
      <c r="AG102" s="5">
        <v>1</v>
      </c>
      <c r="AH102" s="5">
        <v>1</v>
      </c>
      <c r="AI102" s="5">
        <v>1</v>
      </c>
      <c r="AJ102" s="7" t="s">
        <v>530</v>
      </c>
      <c r="AK102" s="5">
        <v>0</v>
      </c>
      <c r="AL102" s="5">
        <v>0</v>
      </c>
      <c r="AM102" s="4">
        <v>2005</v>
      </c>
      <c r="AN102" s="5">
        <v>0</v>
      </c>
      <c r="AO102" s="5">
        <v>2</v>
      </c>
      <c r="AP102" s="8"/>
      <c r="AQ102" s="8"/>
      <c r="AR102" s="8">
        <f t="shared" si="12"/>
        <v>0</v>
      </c>
      <c r="AS102" s="8">
        <f t="shared" si="13"/>
        <v>4800000</v>
      </c>
      <c r="AT102" s="8">
        <f t="shared" si="14"/>
        <v>29600000</v>
      </c>
      <c r="AU102" s="8">
        <f t="shared" si="15"/>
        <v>10400000</v>
      </c>
      <c r="AV102" s="4" t="s">
        <v>529</v>
      </c>
      <c r="AW102" s="7" t="s">
        <v>530</v>
      </c>
      <c r="AX102" s="5">
        <v>120000000</v>
      </c>
      <c r="AY102">
        <f t="shared" si="16"/>
        <v>0</v>
      </c>
      <c r="AZ102">
        <f t="shared" si="17"/>
        <v>10400000</v>
      </c>
      <c r="BA102" s="5">
        <v>160000000</v>
      </c>
      <c r="BB102" s="5">
        <v>0</v>
      </c>
      <c r="BC102" s="4" t="s">
        <v>49</v>
      </c>
      <c r="BD102" s="4">
        <v>47111</v>
      </c>
      <c r="BE102" t="s">
        <v>54</v>
      </c>
    </row>
    <row r="103" spans="1:57" ht="270.75" thickBot="1" x14ac:dyDescent="0.3">
      <c r="A103" s="4" t="s">
        <v>531</v>
      </c>
      <c r="B103" s="4">
        <v>2001</v>
      </c>
      <c r="C103" s="5">
        <v>2</v>
      </c>
      <c r="D103" s="4" t="s">
        <v>44</v>
      </c>
      <c r="E103" s="6">
        <v>46246.275366689813</v>
      </c>
      <c r="F103" s="4" t="s">
        <v>532</v>
      </c>
      <c r="G103" s="4" t="s">
        <v>46</v>
      </c>
      <c r="H103" s="4">
        <v>53</v>
      </c>
      <c r="I103" s="4" t="s">
        <v>47</v>
      </c>
      <c r="J103" s="4">
        <v>5309</v>
      </c>
      <c r="K103" s="4" t="s">
        <v>48</v>
      </c>
      <c r="L103" s="4">
        <v>5309062</v>
      </c>
      <c r="M103" s="4">
        <v>5309062006</v>
      </c>
      <c r="N103" s="4" t="s">
        <v>49</v>
      </c>
      <c r="O103" s="4">
        <v>47111</v>
      </c>
      <c r="P103" s="4" t="s">
        <v>533</v>
      </c>
      <c r="Q103" s="5">
        <v>1</v>
      </c>
      <c r="R103" s="5">
        <v>0</v>
      </c>
      <c r="S103" s="5">
        <v>200000</v>
      </c>
      <c r="T103" s="5">
        <v>7000000</v>
      </c>
      <c r="U103" s="5">
        <v>1200000</v>
      </c>
      <c r="V103" s="5">
        <v>160000</v>
      </c>
      <c r="W103" s="5">
        <v>8560000</v>
      </c>
      <c r="X103" s="5">
        <v>18000000</v>
      </c>
      <c r="Y103" s="5">
        <v>0</v>
      </c>
      <c r="Z103" s="5">
        <f t="shared" si="9"/>
        <v>9600000</v>
      </c>
      <c r="AA103" s="5">
        <v>2400000</v>
      </c>
      <c r="AB103" s="5">
        <f t="shared" si="10"/>
        <v>11000000</v>
      </c>
      <c r="AC103" s="5" t="s">
        <v>347</v>
      </c>
      <c r="AD103" s="4" t="s">
        <v>51</v>
      </c>
      <c r="AE103" s="5">
        <f t="shared" si="11"/>
        <v>0.87272727272727268</v>
      </c>
      <c r="AF103" s="5">
        <v>11000000</v>
      </c>
      <c r="AG103" s="5">
        <v>1</v>
      </c>
      <c r="AH103" s="5">
        <v>1</v>
      </c>
      <c r="AI103" s="5">
        <v>1</v>
      </c>
      <c r="AJ103" s="7" t="s">
        <v>534</v>
      </c>
      <c r="AK103" s="5">
        <v>0</v>
      </c>
      <c r="AL103" s="5">
        <v>0</v>
      </c>
      <c r="AM103" s="4">
        <v>2025</v>
      </c>
      <c r="AN103" s="5">
        <v>0</v>
      </c>
      <c r="AO103" s="5">
        <v>1</v>
      </c>
      <c r="AP103" s="8"/>
      <c r="AQ103" s="8"/>
      <c r="AR103" s="8">
        <f t="shared" si="12"/>
        <v>0</v>
      </c>
      <c r="AS103" s="8">
        <f t="shared" si="13"/>
        <v>1400000</v>
      </c>
      <c r="AT103" s="8">
        <f t="shared" si="14"/>
        <v>8140000</v>
      </c>
      <c r="AU103" s="8">
        <f t="shared" si="15"/>
        <v>2860000</v>
      </c>
      <c r="AV103" s="4" t="s">
        <v>533</v>
      </c>
      <c r="AW103" s="7" t="s">
        <v>534</v>
      </c>
      <c r="AX103" s="5">
        <v>7000000</v>
      </c>
      <c r="AY103">
        <f t="shared" si="16"/>
        <v>408571.42857142864</v>
      </c>
      <c r="AZ103">
        <f t="shared" si="17"/>
        <v>2451428.5714285714</v>
      </c>
      <c r="BA103" s="5">
        <v>18000000</v>
      </c>
      <c r="BB103" s="5">
        <v>0</v>
      </c>
      <c r="BC103" s="4" t="s">
        <v>49</v>
      </c>
      <c r="BD103" s="4">
        <v>47111</v>
      </c>
      <c r="BE103" t="s">
        <v>54</v>
      </c>
    </row>
    <row r="104" spans="1:57" ht="270.75" thickBot="1" x14ac:dyDescent="0.3">
      <c r="A104" s="4" t="s">
        <v>535</v>
      </c>
      <c r="B104" s="4">
        <v>1101</v>
      </c>
      <c r="C104" s="5">
        <v>2</v>
      </c>
      <c r="D104" s="4" t="s">
        <v>44</v>
      </c>
      <c r="E104" s="6">
        <v>46280.210491203703</v>
      </c>
      <c r="F104" s="4" t="s">
        <v>536</v>
      </c>
      <c r="G104" s="4" t="s">
        <v>46</v>
      </c>
      <c r="H104" s="4">
        <v>53</v>
      </c>
      <c r="I104" s="4" t="s">
        <v>47</v>
      </c>
      <c r="J104" s="4">
        <v>5309</v>
      </c>
      <c r="K104" s="4" t="s">
        <v>48</v>
      </c>
      <c r="L104" s="4">
        <v>5309070</v>
      </c>
      <c r="M104" s="4">
        <v>5309070015</v>
      </c>
      <c r="N104" s="4" t="s">
        <v>49</v>
      </c>
      <c r="O104" s="4">
        <v>47111</v>
      </c>
      <c r="P104" s="4" t="s">
        <v>537</v>
      </c>
      <c r="Q104" s="5">
        <v>2</v>
      </c>
      <c r="R104" s="5">
        <v>0</v>
      </c>
      <c r="S104" s="5">
        <v>50000</v>
      </c>
      <c r="T104" s="5">
        <v>9600000</v>
      </c>
      <c r="U104" s="5">
        <v>100000</v>
      </c>
      <c r="V104" s="5">
        <v>0</v>
      </c>
      <c r="W104" s="5">
        <v>9750000</v>
      </c>
      <c r="X104" s="5">
        <v>10800000</v>
      </c>
      <c r="Y104" s="5">
        <v>0</v>
      </c>
      <c r="Z104" s="5">
        <f t="shared" si="9"/>
        <v>1050000</v>
      </c>
      <c r="AA104" s="5">
        <v>350000</v>
      </c>
      <c r="AB104" s="5">
        <f t="shared" si="10"/>
        <v>1200000</v>
      </c>
      <c r="AC104" s="5" t="s">
        <v>220</v>
      </c>
      <c r="AD104" s="4" t="s">
        <v>51</v>
      </c>
      <c r="AE104" s="5">
        <f t="shared" si="11"/>
        <v>0.875</v>
      </c>
      <c r="AF104" s="5">
        <v>600000</v>
      </c>
      <c r="AG104" s="5">
        <v>1</v>
      </c>
      <c r="AH104" s="5">
        <v>1</v>
      </c>
      <c r="AI104" s="5">
        <v>1</v>
      </c>
      <c r="AJ104" s="7" t="s">
        <v>538</v>
      </c>
      <c r="AK104" s="5">
        <v>0</v>
      </c>
      <c r="AL104" s="5">
        <v>0</v>
      </c>
      <c r="AM104" s="4">
        <v>2006</v>
      </c>
      <c r="AN104" s="5">
        <v>0</v>
      </c>
      <c r="AO104" s="5">
        <v>2</v>
      </c>
      <c r="AP104" s="8"/>
      <c r="AQ104" s="8"/>
      <c r="AR104" s="8">
        <f t="shared" si="12"/>
        <v>0</v>
      </c>
      <c r="AS104" s="8">
        <f t="shared" si="13"/>
        <v>150000</v>
      </c>
      <c r="AT104" s="8">
        <f t="shared" si="14"/>
        <v>888000</v>
      </c>
      <c r="AU104" s="8">
        <f t="shared" si="15"/>
        <v>312000</v>
      </c>
      <c r="AV104" s="4" t="s">
        <v>537</v>
      </c>
      <c r="AW104" s="7" t="s">
        <v>538</v>
      </c>
      <c r="AX104" s="5">
        <v>9600000</v>
      </c>
      <c r="AY104">
        <f t="shared" si="16"/>
        <v>104000</v>
      </c>
      <c r="AZ104">
        <f t="shared" si="17"/>
        <v>208000</v>
      </c>
      <c r="BA104" s="5">
        <v>10800000</v>
      </c>
      <c r="BB104" s="5">
        <v>0</v>
      </c>
      <c r="BC104" s="4" t="s">
        <v>49</v>
      </c>
      <c r="BD104" s="4">
        <v>47111</v>
      </c>
      <c r="BE104" t="s">
        <v>54</v>
      </c>
    </row>
    <row r="105" spans="1:57" ht="270.75" thickBot="1" x14ac:dyDescent="0.3">
      <c r="A105" s="4" t="s">
        <v>539</v>
      </c>
      <c r="B105" s="4">
        <v>1</v>
      </c>
      <c r="C105" s="5">
        <v>2</v>
      </c>
      <c r="D105" s="4" t="s">
        <v>44</v>
      </c>
      <c r="E105" s="6">
        <v>46280.285853159723</v>
      </c>
      <c r="F105" s="4" t="s">
        <v>540</v>
      </c>
      <c r="G105" s="4" t="s">
        <v>46</v>
      </c>
      <c r="H105" s="4">
        <v>53</v>
      </c>
      <c r="I105" s="4" t="s">
        <v>47</v>
      </c>
      <c r="J105" s="4">
        <v>5309</v>
      </c>
      <c r="K105" s="4" t="s">
        <v>48</v>
      </c>
      <c r="L105" s="4">
        <v>5309070</v>
      </c>
      <c r="M105" s="4">
        <v>5309070015</v>
      </c>
      <c r="N105" s="4" t="s">
        <v>49</v>
      </c>
      <c r="O105" s="4">
        <v>47111</v>
      </c>
      <c r="P105" s="4" t="s">
        <v>541</v>
      </c>
      <c r="Q105" s="5">
        <v>2</v>
      </c>
      <c r="R105" s="5">
        <v>0</v>
      </c>
      <c r="S105" s="5">
        <v>100000</v>
      </c>
      <c r="T105" s="5">
        <v>48000000</v>
      </c>
      <c r="U105" s="5">
        <v>300000</v>
      </c>
      <c r="V105" s="5">
        <v>0</v>
      </c>
      <c r="W105" s="5">
        <v>48400000</v>
      </c>
      <c r="X105" s="5">
        <v>108000000</v>
      </c>
      <c r="Y105" s="5">
        <v>0</v>
      </c>
      <c r="Z105" s="5">
        <f t="shared" si="9"/>
        <v>59600000</v>
      </c>
      <c r="AA105" s="5">
        <v>5375000</v>
      </c>
      <c r="AB105" s="5">
        <f t="shared" si="10"/>
        <v>60000000</v>
      </c>
      <c r="AC105" s="5" t="s">
        <v>497</v>
      </c>
      <c r="AD105" s="4" t="s">
        <v>51</v>
      </c>
      <c r="AE105" s="5">
        <f t="shared" si="11"/>
        <v>0.99333333333333329</v>
      </c>
      <c r="AF105" s="5">
        <v>30000000</v>
      </c>
      <c r="AG105" s="5">
        <v>1</v>
      </c>
      <c r="AH105" s="5">
        <v>1</v>
      </c>
      <c r="AI105" s="5">
        <v>1</v>
      </c>
      <c r="AJ105" s="7" t="s">
        <v>542</v>
      </c>
      <c r="AK105" s="5">
        <v>0</v>
      </c>
      <c r="AL105" s="5">
        <v>0</v>
      </c>
      <c r="AM105" s="4">
        <v>2020</v>
      </c>
      <c r="AN105" s="5">
        <v>0</v>
      </c>
      <c r="AO105" s="5">
        <v>2</v>
      </c>
      <c r="AP105" s="8"/>
      <c r="AQ105" s="8"/>
      <c r="AR105" s="8">
        <f t="shared" si="12"/>
        <v>0</v>
      </c>
      <c r="AS105" s="8">
        <f t="shared" si="13"/>
        <v>400000</v>
      </c>
      <c r="AT105" s="8">
        <f t="shared" si="14"/>
        <v>44400000</v>
      </c>
      <c r="AU105" s="8">
        <f t="shared" si="15"/>
        <v>15600000</v>
      </c>
      <c r="AV105" s="4" t="s">
        <v>541</v>
      </c>
      <c r="AW105" s="7" t="s">
        <v>542</v>
      </c>
      <c r="AX105" s="5">
        <v>48000000</v>
      </c>
      <c r="AY105">
        <f t="shared" si="16"/>
        <v>3900000</v>
      </c>
      <c r="AZ105">
        <f t="shared" si="17"/>
        <v>11700000</v>
      </c>
      <c r="BA105" s="5">
        <v>108000000</v>
      </c>
      <c r="BB105" s="5">
        <v>0</v>
      </c>
      <c r="BC105" s="4" t="s">
        <v>49</v>
      </c>
      <c r="BD105" s="4">
        <v>47111</v>
      </c>
      <c r="BE105" t="s">
        <v>54</v>
      </c>
    </row>
    <row r="106" spans="1:57" ht="270.75" thickBot="1" x14ac:dyDescent="0.3">
      <c r="A106" s="4" t="s">
        <v>543</v>
      </c>
      <c r="B106" s="4">
        <v>3001</v>
      </c>
      <c r="C106" s="5">
        <v>2</v>
      </c>
      <c r="D106" s="4" t="s">
        <v>44</v>
      </c>
      <c r="E106" s="6">
        <v>46279.972127361114</v>
      </c>
      <c r="F106" s="4" t="s">
        <v>544</v>
      </c>
      <c r="G106" s="4" t="s">
        <v>46</v>
      </c>
      <c r="H106" s="4">
        <v>53</v>
      </c>
      <c r="I106" s="4" t="s">
        <v>47</v>
      </c>
      <c r="J106" s="4">
        <v>5309</v>
      </c>
      <c r="K106" s="4" t="s">
        <v>48</v>
      </c>
      <c r="L106" s="4">
        <v>5309070</v>
      </c>
      <c r="M106" s="4">
        <v>5309070015</v>
      </c>
      <c r="N106" s="4" t="s">
        <v>49</v>
      </c>
      <c r="O106" s="4">
        <v>47111</v>
      </c>
      <c r="P106" s="4" t="s">
        <v>545</v>
      </c>
      <c r="Q106" s="5">
        <v>1</v>
      </c>
      <c r="R106" s="5">
        <v>0</v>
      </c>
      <c r="S106" s="5">
        <v>20000</v>
      </c>
      <c r="T106" s="5">
        <v>3000000</v>
      </c>
      <c r="U106" s="5">
        <v>200000</v>
      </c>
      <c r="V106" s="5">
        <v>0</v>
      </c>
      <c r="W106" s="5">
        <v>3220000</v>
      </c>
      <c r="X106" s="5">
        <v>7200000</v>
      </c>
      <c r="Y106" s="5">
        <v>240000</v>
      </c>
      <c r="Z106" s="5">
        <f t="shared" si="9"/>
        <v>3980000</v>
      </c>
      <c r="AA106" s="5">
        <v>2800000</v>
      </c>
      <c r="AB106" s="5">
        <f t="shared" si="10"/>
        <v>4200000</v>
      </c>
      <c r="AC106" s="5" t="s">
        <v>260</v>
      </c>
      <c r="AD106" s="4" t="s">
        <v>51</v>
      </c>
      <c r="AE106" s="5">
        <f t="shared" si="11"/>
        <v>0.94761904761904758</v>
      </c>
      <c r="AF106" s="5">
        <v>4200000</v>
      </c>
      <c r="AG106" s="5">
        <v>1</v>
      </c>
      <c r="AH106" s="5">
        <v>1</v>
      </c>
      <c r="AI106" s="5">
        <v>1</v>
      </c>
      <c r="AJ106" s="7" t="s">
        <v>546</v>
      </c>
      <c r="AK106" s="5">
        <v>0</v>
      </c>
      <c r="AL106" s="5">
        <v>0</v>
      </c>
      <c r="AM106" s="4">
        <v>2000</v>
      </c>
      <c r="AN106" s="5">
        <v>0</v>
      </c>
      <c r="AO106" s="5">
        <v>1</v>
      </c>
      <c r="AP106" s="8"/>
      <c r="AQ106" s="8"/>
      <c r="AR106" s="8">
        <f t="shared" si="12"/>
        <v>0</v>
      </c>
      <c r="AS106" s="8">
        <f t="shared" si="13"/>
        <v>220000</v>
      </c>
      <c r="AT106" s="8">
        <f t="shared" si="14"/>
        <v>3108000</v>
      </c>
      <c r="AU106" s="8">
        <f t="shared" si="15"/>
        <v>1092000</v>
      </c>
      <c r="AV106" s="4" t="s">
        <v>545</v>
      </c>
      <c r="AW106" s="7" t="s">
        <v>546</v>
      </c>
      <c r="AX106" s="5">
        <v>3000000</v>
      </c>
      <c r="AY106">
        <f t="shared" si="16"/>
        <v>99272.727272727294</v>
      </c>
      <c r="AZ106">
        <f t="shared" si="17"/>
        <v>992727.27272727271</v>
      </c>
      <c r="BA106" s="5">
        <v>7200000</v>
      </c>
      <c r="BB106" s="5">
        <v>240000</v>
      </c>
      <c r="BC106" s="4" t="s">
        <v>49</v>
      </c>
      <c r="BD106" s="4">
        <v>47111</v>
      </c>
      <c r="BE106" t="s">
        <v>54</v>
      </c>
    </row>
    <row r="107" spans="1:57" ht="270.75" thickBot="1" x14ac:dyDescent="0.3">
      <c r="A107" s="4" t="s">
        <v>547</v>
      </c>
      <c r="B107" s="4">
        <v>1101</v>
      </c>
      <c r="C107" s="5">
        <v>2</v>
      </c>
      <c r="D107" s="4" t="s">
        <v>44</v>
      </c>
      <c r="E107" s="6">
        <v>46280.440728136571</v>
      </c>
      <c r="F107" s="4" t="s">
        <v>548</v>
      </c>
      <c r="G107" s="4" t="s">
        <v>46</v>
      </c>
      <c r="H107" s="4">
        <v>53</v>
      </c>
      <c r="I107" s="4" t="s">
        <v>47</v>
      </c>
      <c r="J107" s="4">
        <v>5309</v>
      </c>
      <c r="K107" s="4" t="s">
        <v>48</v>
      </c>
      <c r="L107" s="4">
        <v>5309050</v>
      </c>
      <c r="M107" s="4">
        <v>5309050003</v>
      </c>
      <c r="N107" s="4" t="s">
        <v>49</v>
      </c>
      <c r="O107" s="4">
        <v>47111</v>
      </c>
      <c r="P107" s="4" t="s">
        <v>549</v>
      </c>
      <c r="Q107" s="5">
        <v>1</v>
      </c>
      <c r="R107" s="5">
        <v>0</v>
      </c>
      <c r="S107" s="5">
        <v>0</v>
      </c>
      <c r="T107" s="5">
        <v>2500000</v>
      </c>
      <c r="U107" s="5">
        <v>150000</v>
      </c>
      <c r="V107" s="5">
        <v>0</v>
      </c>
      <c r="W107" s="5">
        <v>2650000</v>
      </c>
      <c r="X107" s="5">
        <v>4000000</v>
      </c>
      <c r="Y107" s="5">
        <v>0</v>
      </c>
      <c r="Z107" s="5">
        <f t="shared" si="9"/>
        <v>1350000</v>
      </c>
      <c r="AA107" s="5">
        <v>2500000</v>
      </c>
      <c r="AB107" s="5">
        <f t="shared" si="10"/>
        <v>1500000</v>
      </c>
      <c r="AC107" s="5" t="s">
        <v>90</v>
      </c>
      <c r="AD107" s="4" t="s">
        <v>51</v>
      </c>
      <c r="AE107" s="5">
        <f t="shared" si="11"/>
        <v>0.9</v>
      </c>
      <c r="AF107" s="5">
        <v>1500000</v>
      </c>
      <c r="AG107" s="5">
        <v>1</v>
      </c>
      <c r="AH107" s="5">
        <v>1</v>
      </c>
      <c r="AI107" s="5">
        <v>1</v>
      </c>
      <c r="AJ107" s="7" t="s">
        <v>550</v>
      </c>
      <c r="AK107" s="5">
        <v>0</v>
      </c>
      <c r="AL107" s="5">
        <v>0</v>
      </c>
      <c r="AM107" s="4">
        <v>2019</v>
      </c>
      <c r="AN107" s="5">
        <v>0</v>
      </c>
      <c r="AO107" s="5">
        <v>1</v>
      </c>
      <c r="AP107" s="8"/>
      <c r="AQ107" s="8"/>
      <c r="AR107" s="8">
        <f t="shared" si="12"/>
        <v>0</v>
      </c>
      <c r="AS107" s="8">
        <f t="shared" si="13"/>
        <v>150000</v>
      </c>
      <c r="AT107" s="8">
        <f t="shared" si="14"/>
        <v>1110000</v>
      </c>
      <c r="AU107" s="8">
        <f t="shared" si="15"/>
        <v>390000</v>
      </c>
      <c r="AV107" s="4" t="s">
        <v>549</v>
      </c>
      <c r="AW107" s="7" t="s">
        <v>550</v>
      </c>
      <c r="AX107" s="5">
        <v>2500000</v>
      </c>
      <c r="AY107">
        <f t="shared" si="16"/>
        <v>0</v>
      </c>
      <c r="AZ107">
        <f t="shared" si="17"/>
        <v>390000</v>
      </c>
      <c r="BA107" s="5">
        <v>4000000</v>
      </c>
      <c r="BB107" s="5">
        <v>0</v>
      </c>
      <c r="BC107" s="4" t="s">
        <v>49</v>
      </c>
      <c r="BD107" s="4">
        <v>47111</v>
      </c>
      <c r="BE107" t="s">
        <v>54</v>
      </c>
    </row>
    <row r="108" spans="1:57" ht="255.75" thickBot="1" x14ac:dyDescent="0.3">
      <c r="A108" s="4" t="s">
        <v>551</v>
      </c>
      <c r="B108" s="4">
        <v>1002</v>
      </c>
      <c r="C108" s="5">
        <v>2</v>
      </c>
      <c r="D108" s="4" t="s">
        <v>44</v>
      </c>
      <c r="E108" s="6">
        <v>46261.413742835648</v>
      </c>
      <c r="F108" s="4" t="s">
        <v>552</v>
      </c>
      <c r="G108" s="4" t="s">
        <v>46</v>
      </c>
      <c r="H108" s="4">
        <v>53</v>
      </c>
      <c r="I108" s="4" t="s">
        <v>47</v>
      </c>
      <c r="J108" s="4">
        <v>5309</v>
      </c>
      <c r="K108" s="4" t="s">
        <v>48</v>
      </c>
      <c r="L108" s="4">
        <v>5309012</v>
      </c>
      <c r="M108" s="4">
        <v>5309012005</v>
      </c>
      <c r="N108" s="4" t="s">
        <v>49</v>
      </c>
      <c r="O108" s="4">
        <v>47111</v>
      </c>
      <c r="P108" s="4" t="s">
        <v>553</v>
      </c>
      <c r="Q108" s="5">
        <v>1</v>
      </c>
      <c r="R108" s="5">
        <v>0</v>
      </c>
      <c r="S108" s="5">
        <v>1800000</v>
      </c>
      <c r="T108" s="5">
        <v>186000000</v>
      </c>
      <c r="U108" s="5">
        <v>0</v>
      </c>
      <c r="V108" s="5">
        <v>0</v>
      </c>
      <c r="W108" s="5">
        <v>187800000</v>
      </c>
      <c r="X108" s="5">
        <v>204000000</v>
      </c>
      <c r="Y108" s="5">
        <v>0</v>
      </c>
      <c r="Z108" s="5">
        <f t="shared" si="9"/>
        <v>16200000</v>
      </c>
      <c r="AA108" s="5">
        <v>0</v>
      </c>
      <c r="AB108" s="5">
        <f t="shared" si="10"/>
        <v>18000000</v>
      </c>
      <c r="AC108" s="5" t="s">
        <v>554</v>
      </c>
      <c r="AD108" s="4" t="s">
        <v>51</v>
      </c>
      <c r="AE108" s="5">
        <f t="shared" si="11"/>
        <v>0.9</v>
      </c>
      <c r="AF108" s="5">
        <v>18000000</v>
      </c>
      <c r="AG108" s="4"/>
      <c r="AH108" s="5">
        <v>1</v>
      </c>
      <c r="AI108" s="5">
        <v>1</v>
      </c>
      <c r="AJ108" s="7" t="s">
        <v>555</v>
      </c>
      <c r="AK108" s="5">
        <v>0</v>
      </c>
      <c r="AL108" s="5">
        <v>0</v>
      </c>
      <c r="AM108" s="4">
        <v>2026</v>
      </c>
      <c r="AN108" s="5">
        <v>0</v>
      </c>
      <c r="AO108" s="5">
        <v>1</v>
      </c>
      <c r="AP108" s="8"/>
      <c r="AQ108" s="8"/>
      <c r="AR108" s="8">
        <f t="shared" si="12"/>
        <v>0</v>
      </c>
      <c r="AS108" s="8">
        <f t="shared" si="13"/>
        <v>1800000</v>
      </c>
      <c r="AT108" s="8">
        <f t="shared" si="14"/>
        <v>13320000</v>
      </c>
      <c r="AU108" s="8">
        <f t="shared" si="15"/>
        <v>4680000</v>
      </c>
      <c r="AV108" s="4" t="s">
        <v>553</v>
      </c>
      <c r="AW108" s="7" t="s">
        <v>555</v>
      </c>
      <c r="AX108" s="5">
        <v>186000000</v>
      </c>
      <c r="AY108">
        <f t="shared" si="16"/>
        <v>4680000</v>
      </c>
      <c r="AZ108">
        <f t="shared" si="17"/>
        <v>0</v>
      </c>
      <c r="BA108" s="5">
        <v>204000000</v>
      </c>
      <c r="BB108" s="5">
        <v>0</v>
      </c>
      <c r="BC108" s="4" t="s">
        <v>49</v>
      </c>
      <c r="BD108" s="4">
        <v>47111</v>
      </c>
      <c r="BE108" t="s">
        <v>54</v>
      </c>
    </row>
    <row r="109" spans="1:57" ht="270.75" thickBot="1" x14ac:dyDescent="0.3">
      <c r="A109" s="4" t="s">
        <v>556</v>
      </c>
      <c r="B109" s="4">
        <v>3001</v>
      </c>
      <c r="C109" s="5">
        <v>2</v>
      </c>
      <c r="D109" s="4" t="s">
        <v>44</v>
      </c>
      <c r="E109" s="6">
        <v>46260.056555706018</v>
      </c>
      <c r="F109" s="4" t="s">
        <v>557</v>
      </c>
      <c r="G109" s="4" t="s">
        <v>46</v>
      </c>
      <c r="H109" s="4">
        <v>53</v>
      </c>
      <c r="I109" s="4" t="s">
        <v>47</v>
      </c>
      <c r="J109" s="4">
        <v>5309</v>
      </c>
      <c r="K109" s="4" t="s">
        <v>48</v>
      </c>
      <c r="L109" s="4">
        <v>5309071</v>
      </c>
      <c r="M109" s="4">
        <v>5309071018</v>
      </c>
      <c r="N109" s="4" t="s">
        <v>49</v>
      </c>
      <c r="O109" s="4">
        <v>47111</v>
      </c>
      <c r="P109" s="4" t="s">
        <v>558</v>
      </c>
      <c r="Q109" s="5">
        <v>2</v>
      </c>
      <c r="R109" s="5">
        <v>0</v>
      </c>
      <c r="S109" s="5">
        <v>400000</v>
      </c>
      <c r="T109" s="5">
        <v>1000000</v>
      </c>
      <c r="U109" s="5">
        <v>200000</v>
      </c>
      <c r="V109" s="5">
        <v>0</v>
      </c>
      <c r="W109" s="5">
        <v>4200000</v>
      </c>
      <c r="X109" s="5">
        <v>2000000</v>
      </c>
      <c r="Y109" s="5">
        <v>0</v>
      </c>
      <c r="Z109" s="5">
        <f t="shared" si="9"/>
        <v>400000</v>
      </c>
      <c r="AA109" s="5">
        <v>1000000</v>
      </c>
      <c r="AB109" s="5">
        <f t="shared" si="10"/>
        <v>1000000</v>
      </c>
      <c r="AC109" s="5">
        <v>0</v>
      </c>
      <c r="AD109" s="4" t="s">
        <v>51</v>
      </c>
      <c r="AE109" s="5">
        <f t="shared" si="11"/>
        <v>0.4</v>
      </c>
      <c r="AF109" s="5">
        <v>1000000</v>
      </c>
      <c r="AG109" s="5">
        <v>1</v>
      </c>
      <c r="AH109" s="5">
        <v>1</v>
      </c>
      <c r="AI109" s="5">
        <v>1</v>
      </c>
      <c r="AJ109" s="7" t="s">
        <v>559</v>
      </c>
      <c r="AK109" s="5">
        <v>0</v>
      </c>
      <c r="AL109" s="5">
        <v>0</v>
      </c>
      <c r="AM109" s="4">
        <v>2005</v>
      </c>
      <c r="AN109" s="5">
        <v>0</v>
      </c>
      <c r="AO109" s="5">
        <v>2</v>
      </c>
      <c r="AP109" s="8"/>
      <c r="AQ109" s="8"/>
      <c r="AR109" s="8">
        <f t="shared" si="12"/>
        <v>0</v>
      </c>
      <c r="AS109" s="8">
        <f t="shared" si="13"/>
        <v>600000</v>
      </c>
      <c r="AT109" s="8">
        <f t="shared" si="14"/>
        <v>400000</v>
      </c>
      <c r="AU109" s="8">
        <f t="shared" si="15"/>
        <v>600000</v>
      </c>
      <c r="AV109" s="4" t="s">
        <v>558</v>
      </c>
      <c r="AW109" s="7" t="s">
        <v>559</v>
      </c>
      <c r="AX109" s="5">
        <v>1000000</v>
      </c>
      <c r="AY109">
        <f t="shared" si="16"/>
        <v>400000</v>
      </c>
      <c r="AZ109">
        <f t="shared" si="17"/>
        <v>200000</v>
      </c>
      <c r="BA109" s="5">
        <v>2000000</v>
      </c>
      <c r="BB109" s="5">
        <v>0</v>
      </c>
      <c r="BC109" s="4" t="s">
        <v>49</v>
      </c>
      <c r="BD109" s="4">
        <v>47111</v>
      </c>
      <c r="BE109" t="s">
        <v>54</v>
      </c>
    </row>
    <row r="110" spans="1:57" ht="270.75" thickBot="1" x14ac:dyDescent="0.3">
      <c r="A110" s="4" t="s">
        <v>560</v>
      </c>
      <c r="B110" s="4">
        <v>1002</v>
      </c>
      <c r="C110" s="5">
        <v>2</v>
      </c>
      <c r="D110" s="4" t="s">
        <v>44</v>
      </c>
      <c r="E110" s="6">
        <v>46280.236691840277</v>
      </c>
      <c r="F110" s="4" t="s">
        <v>561</v>
      </c>
      <c r="G110" s="4" t="s">
        <v>46</v>
      </c>
      <c r="H110" s="4">
        <v>53</v>
      </c>
      <c r="I110" s="4" t="s">
        <v>47</v>
      </c>
      <c r="J110" s="4">
        <v>5309</v>
      </c>
      <c r="K110" s="4" t="s">
        <v>48</v>
      </c>
      <c r="L110" s="4">
        <v>5309070</v>
      </c>
      <c r="M110" s="4">
        <v>5309070015</v>
      </c>
      <c r="N110" s="4" t="s">
        <v>49</v>
      </c>
      <c r="O110" s="4">
        <v>47111</v>
      </c>
      <c r="P110" s="4" t="s">
        <v>562</v>
      </c>
      <c r="Q110" s="5">
        <v>1</v>
      </c>
      <c r="R110" s="5">
        <v>0</v>
      </c>
      <c r="S110" s="5">
        <v>50000</v>
      </c>
      <c r="T110" s="5">
        <v>14400000</v>
      </c>
      <c r="U110" s="5">
        <v>50000</v>
      </c>
      <c r="V110" s="5">
        <v>0</v>
      </c>
      <c r="W110" s="5">
        <v>14500000</v>
      </c>
      <c r="X110" s="5">
        <v>21600000</v>
      </c>
      <c r="Y110" s="5">
        <v>0</v>
      </c>
      <c r="Z110" s="5">
        <f t="shared" si="9"/>
        <v>7100000</v>
      </c>
      <c r="AA110" s="5">
        <v>1200000</v>
      </c>
      <c r="AB110" s="5">
        <f t="shared" si="10"/>
        <v>7200000</v>
      </c>
      <c r="AC110" s="5" t="s">
        <v>102</v>
      </c>
      <c r="AD110" s="4" t="s">
        <v>51</v>
      </c>
      <c r="AE110" s="5">
        <f t="shared" si="11"/>
        <v>0.98611111111111116</v>
      </c>
      <c r="AF110" s="5">
        <v>7200000</v>
      </c>
      <c r="AG110" s="5">
        <v>1</v>
      </c>
      <c r="AH110" s="5">
        <v>1</v>
      </c>
      <c r="AI110" s="5">
        <v>1</v>
      </c>
      <c r="AJ110" s="7" t="s">
        <v>563</v>
      </c>
      <c r="AK110" s="5">
        <v>0</v>
      </c>
      <c r="AL110" s="5">
        <v>0</v>
      </c>
      <c r="AM110" s="4">
        <v>2020</v>
      </c>
      <c r="AN110" s="5">
        <v>0</v>
      </c>
      <c r="AO110" s="5">
        <v>1</v>
      </c>
      <c r="AP110" s="8"/>
      <c r="AQ110" s="8"/>
      <c r="AR110" s="8">
        <f t="shared" si="12"/>
        <v>0</v>
      </c>
      <c r="AS110" s="8">
        <f t="shared" si="13"/>
        <v>100000</v>
      </c>
      <c r="AT110" s="8">
        <f t="shared" si="14"/>
        <v>5328000</v>
      </c>
      <c r="AU110" s="8">
        <f t="shared" si="15"/>
        <v>1872000</v>
      </c>
      <c r="AV110" s="4" t="s">
        <v>562</v>
      </c>
      <c r="AW110" s="7" t="s">
        <v>563</v>
      </c>
      <c r="AX110" s="5">
        <v>14400000</v>
      </c>
      <c r="AY110">
        <f t="shared" si="16"/>
        <v>936000</v>
      </c>
      <c r="AZ110">
        <f t="shared" si="17"/>
        <v>936000</v>
      </c>
      <c r="BA110" s="5">
        <v>21600000</v>
      </c>
      <c r="BB110" s="5">
        <v>0</v>
      </c>
      <c r="BC110" s="4" t="s">
        <v>49</v>
      </c>
      <c r="BD110" s="4">
        <v>47111</v>
      </c>
      <c r="BE110" t="s">
        <v>54</v>
      </c>
    </row>
    <row r="111" spans="1:57" ht="270.75" thickBot="1" x14ac:dyDescent="0.3">
      <c r="A111" s="4" t="s">
        <v>564</v>
      </c>
      <c r="B111" s="4">
        <v>2001</v>
      </c>
      <c r="C111" s="5">
        <v>2</v>
      </c>
      <c r="D111" s="4" t="s">
        <v>44</v>
      </c>
      <c r="E111" s="6">
        <v>46246.241611226855</v>
      </c>
      <c r="F111" s="4" t="s">
        <v>565</v>
      </c>
      <c r="G111" s="4" t="s">
        <v>46</v>
      </c>
      <c r="H111" s="4">
        <v>53</v>
      </c>
      <c r="I111" s="4" t="s">
        <v>47</v>
      </c>
      <c r="J111" s="4">
        <v>5309</v>
      </c>
      <c r="K111" s="4" t="s">
        <v>48</v>
      </c>
      <c r="L111" s="4">
        <v>5309062</v>
      </c>
      <c r="M111" s="4">
        <v>5309062006</v>
      </c>
      <c r="N111" s="4" t="s">
        <v>49</v>
      </c>
      <c r="O111" s="4">
        <v>47111</v>
      </c>
      <c r="P111" s="4" t="s">
        <v>566</v>
      </c>
      <c r="Q111" s="5">
        <v>2</v>
      </c>
      <c r="R111" s="5">
        <v>0</v>
      </c>
      <c r="S111" s="5">
        <v>100000</v>
      </c>
      <c r="T111" s="5">
        <v>84000000</v>
      </c>
      <c r="U111" s="5">
        <v>1920000</v>
      </c>
      <c r="V111" s="5">
        <v>196000</v>
      </c>
      <c r="W111" s="5">
        <v>86216000</v>
      </c>
      <c r="X111" s="5">
        <v>164000000</v>
      </c>
      <c r="Y111" s="5">
        <v>0</v>
      </c>
      <c r="Z111" s="5">
        <f t="shared" si="9"/>
        <v>77980000</v>
      </c>
      <c r="AA111" s="5">
        <v>400000</v>
      </c>
      <c r="AB111" s="5">
        <f t="shared" si="10"/>
        <v>80000000</v>
      </c>
      <c r="AC111" s="5" t="s">
        <v>567</v>
      </c>
      <c r="AD111" s="4" t="s">
        <v>51</v>
      </c>
      <c r="AE111" s="5">
        <f t="shared" si="11"/>
        <v>0.97475000000000001</v>
      </c>
      <c r="AF111" s="5">
        <v>40000000</v>
      </c>
      <c r="AG111" s="5">
        <v>1</v>
      </c>
      <c r="AH111" s="5">
        <v>1</v>
      </c>
      <c r="AI111" s="5">
        <v>1</v>
      </c>
      <c r="AJ111" s="7" t="s">
        <v>568</v>
      </c>
      <c r="AK111" s="5">
        <v>0</v>
      </c>
      <c r="AL111" s="5">
        <v>0</v>
      </c>
      <c r="AM111" s="4">
        <v>2016</v>
      </c>
      <c r="AN111" s="5">
        <v>0</v>
      </c>
      <c r="AO111" s="5">
        <v>2</v>
      </c>
      <c r="AP111" s="8"/>
      <c r="AQ111" s="8"/>
      <c r="AR111" s="8">
        <f t="shared" si="12"/>
        <v>0</v>
      </c>
      <c r="AS111" s="8">
        <f t="shared" si="13"/>
        <v>2020000</v>
      </c>
      <c r="AT111" s="8">
        <f t="shared" si="14"/>
        <v>59200000</v>
      </c>
      <c r="AU111" s="8">
        <f t="shared" si="15"/>
        <v>20800000</v>
      </c>
      <c r="AV111" s="4" t="s">
        <v>566</v>
      </c>
      <c r="AW111" s="7" t="s">
        <v>568</v>
      </c>
      <c r="AX111" s="5">
        <v>84000000</v>
      </c>
      <c r="AY111">
        <f t="shared" si="16"/>
        <v>1029702.9702970311</v>
      </c>
      <c r="AZ111">
        <f t="shared" si="17"/>
        <v>19770297.029702969</v>
      </c>
      <c r="BA111" s="5">
        <v>164000000</v>
      </c>
      <c r="BB111" s="5">
        <v>0</v>
      </c>
      <c r="BC111" s="4" t="s">
        <v>49</v>
      </c>
      <c r="BD111" s="4">
        <v>47111</v>
      </c>
      <c r="BE111" t="s">
        <v>54</v>
      </c>
    </row>
    <row r="112" spans="1:57" ht="270.75" thickBot="1" x14ac:dyDescent="0.3">
      <c r="A112" s="4" t="s">
        <v>569</v>
      </c>
      <c r="B112" s="4">
        <v>3002</v>
      </c>
      <c r="C112" s="5">
        <v>2</v>
      </c>
      <c r="D112" s="4" t="s">
        <v>44</v>
      </c>
      <c r="E112" s="6">
        <v>46280.284178865739</v>
      </c>
      <c r="F112" s="4" t="s">
        <v>570</v>
      </c>
      <c r="G112" s="4" t="s">
        <v>46</v>
      </c>
      <c r="H112" s="4">
        <v>53</v>
      </c>
      <c r="I112" s="4" t="s">
        <v>47</v>
      </c>
      <c r="J112" s="4">
        <v>5309</v>
      </c>
      <c r="K112" s="4" t="s">
        <v>48</v>
      </c>
      <c r="L112" s="4">
        <v>5309070</v>
      </c>
      <c r="M112" s="4">
        <v>5309070015</v>
      </c>
      <c r="N112" s="4" t="s">
        <v>49</v>
      </c>
      <c r="O112" s="4">
        <v>47111</v>
      </c>
      <c r="P112" s="4" t="s">
        <v>571</v>
      </c>
      <c r="Q112" s="5">
        <v>1</v>
      </c>
      <c r="R112" s="5">
        <v>0</v>
      </c>
      <c r="S112" s="5">
        <v>0</v>
      </c>
      <c r="T112" s="5">
        <v>24000000</v>
      </c>
      <c r="U112" s="5">
        <v>300000</v>
      </c>
      <c r="V112" s="5">
        <v>0</v>
      </c>
      <c r="W112" s="5">
        <v>24300000</v>
      </c>
      <c r="X112" s="5">
        <v>54000000</v>
      </c>
      <c r="Y112" s="5">
        <v>0</v>
      </c>
      <c r="Z112" s="5">
        <f t="shared" si="9"/>
        <v>29700000</v>
      </c>
      <c r="AA112" s="5">
        <v>200000</v>
      </c>
      <c r="AB112" s="5">
        <f t="shared" si="10"/>
        <v>30000000</v>
      </c>
      <c r="AC112" s="5" t="s">
        <v>497</v>
      </c>
      <c r="AD112" s="4" t="s">
        <v>51</v>
      </c>
      <c r="AE112" s="5">
        <f t="shared" si="11"/>
        <v>0.99</v>
      </c>
      <c r="AF112" s="5">
        <v>30000000</v>
      </c>
      <c r="AG112" s="5">
        <v>1</v>
      </c>
      <c r="AH112" s="5">
        <v>1</v>
      </c>
      <c r="AI112" s="5">
        <v>1</v>
      </c>
      <c r="AJ112" s="7" t="s">
        <v>572</v>
      </c>
      <c r="AK112" s="5">
        <v>0</v>
      </c>
      <c r="AL112" s="5">
        <v>0</v>
      </c>
      <c r="AM112" s="4">
        <v>2015</v>
      </c>
      <c r="AN112" s="5">
        <v>0</v>
      </c>
      <c r="AO112" s="5">
        <v>1</v>
      </c>
      <c r="AP112" s="8"/>
      <c r="AQ112" s="8"/>
      <c r="AR112" s="8">
        <f t="shared" si="12"/>
        <v>0</v>
      </c>
      <c r="AS112" s="8">
        <f t="shared" si="13"/>
        <v>300000</v>
      </c>
      <c r="AT112" s="8">
        <f t="shared" si="14"/>
        <v>22200000</v>
      </c>
      <c r="AU112" s="8">
        <f t="shared" si="15"/>
        <v>7800000</v>
      </c>
      <c r="AV112" s="4" t="s">
        <v>571</v>
      </c>
      <c r="AW112" s="7" t="s">
        <v>572</v>
      </c>
      <c r="AX112" s="5">
        <v>24000000</v>
      </c>
      <c r="AY112">
        <f t="shared" si="16"/>
        <v>0</v>
      </c>
      <c r="AZ112">
        <f t="shared" si="17"/>
        <v>7800000</v>
      </c>
      <c r="BA112" s="5">
        <v>54000000</v>
      </c>
      <c r="BB112" s="5">
        <v>0</v>
      </c>
      <c r="BC112" s="4" t="s">
        <v>49</v>
      </c>
      <c r="BD112" s="4">
        <v>47111</v>
      </c>
      <c r="BE112" t="s">
        <v>54</v>
      </c>
    </row>
    <row r="113" spans="1:57" ht="270.75" thickBot="1" x14ac:dyDescent="0.3">
      <c r="A113" s="4" t="s">
        <v>573</v>
      </c>
      <c r="B113" s="4">
        <v>3001</v>
      </c>
      <c r="C113" s="5">
        <v>2</v>
      </c>
      <c r="D113" s="4" t="s">
        <v>44</v>
      </c>
      <c r="E113" s="6">
        <v>46221.154964791669</v>
      </c>
      <c r="F113" s="4" t="s">
        <v>574</v>
      </c>
      <c r="G113" s="4" t="s">
        <v>46</v>
      </c>
      <c r="H113" s="4">
        <v>53</v>
      </c>
      <c r="I113" s="4" t="s">
        <v>47</v>
      </c>
      <c r="J113" s="4">
        <v>5309</v>
      </c>
      <c r="K113" s="4" t="s">
        <v>48</v>
      </c>
      <c r="L113" s="4">
        <v>5309073</v>
      </c>
      <c r="M113" s="4">
        <v>5309073011</v>
      </c>
      <c r="N113" s="4" t="s">
        <v>49</v>
      </c>
      <c r="O113" s="4">
        <v>47111</v>
      </c>
      <c r="P113" s="4" t="s">
        <v>575</v>
      </c>
      <c r="Q113" s="5">
        <v>1</v>
      </c>
      <c r="R113" s="5">
        <v>0</v>
      </c>
      <c r="S113" s="5">
        <v>300000</v>
      </c>
      <c r="T113" s="5">
        <v>5000000</v>
      </c>
      <c r="U113" s="5">
        <v>300000</v>
      </c>
      <c r="V113" s="5">
        <v>0</v>
      </c>
      <c r="W113" s="5">
        <v>5600000</v>
      </c>
      <c r="X113" s="5">
        <v>8000000</v>
      </c>
      <c r="Y113" s="5">
        <v>0</v>
      </c>
      <c r="Z113" s="5">
        <f t="shared" si="9"/>
        <v>2400000</v>
      </c>
      <c r="AA113" s="5">
        <v>500000</v>
      </c>
      <c r="AB113" s="5">
        <f t="shared" si="10"/>
        <v>3000000</v>
      </c>
      <c r="AC113" s="5" t="s">
        <v>90</v>
      </c>
      <c r="AD113" s="4" t="s">
        <v>51</v>
      </c>
      <c r="AE113" s="5">
        <f t="shared" si="11"/>
        <v>0.8</v>
      </c>
      <c r="AF113" s="5">
        <v>3000000</v>
      </c>
      <c r="AG113" s="5">
        <v>1</v>
      </c>
      <c r="AH113" s="5">
        <v>1</v>
      </c>
      <c r="AI113" s="5">
        <v>1</v>
      </c>
      <c r="AJ113" s="7" t="s">
        <v>576</v>
      </c>
      <c r="AK113" s="5">
        <v>0</v>
      </c>
      <c r="AL113" s="5">
        <v>0</v>
      </c>
      <c r="AM113" s="4">
        <v>2019</v>
      </c>
      <c r="AN113" s="5">
        <v>0</v>
      </c>
      <c r="AO113" s="5">
        <v>1</v>
      </c>
      <c r="AP113" s="8"/>
      <c r="AQ113" s="8"/>
      <c r="AR113" s="8">
        <f t="shared" si="12"/>
        <v>0</v>
      </c>
      <c r="AS113" s="8">
        <f t="shared" si="13"/>
        <v>600000</v>
      </c>
      <c r="AT113" s="8">
        <f t="shared" si="14"/>
        <v>2220000</v>
      </c>
      <c r="AU113" s="8">
        <f t="shared" si="15"/>
        <v>780000</v>
      </c>
      <c r="AV113" s="4" t="s">
        <v>575</v>
      </c>
      <c r="AW113" s="7" t="s">
        <v>576</v>
      </c>
      <c r="AX113" s="5">
        <v>5000000</v>
      </c>
      <c r="AY113">
        <f t="shared" si="16"/>
        <v>390000</v>
      </c>
      <c r="AZ113">
        <f t="shared" si="17"/>
        <v>390000</v>
      </c>
      <c r="BA113" s="5">
        <v>8000000</v>
      </c>
      <c r="BB113" s="5">
        <v>0</v>
      </c>
      <c r="BC113" s="4" t="s">
        <v>49</v>
      </c>
      <c r="BD113" s="4">
        <v>47111</v>
      </c>
      <c r="BE113" t="s">
        <v>54</v>
      </c>
    </row>
    <row r="114" spans="1:57" ht="270.75" thickBot="1" x14ac:dyDescent="0.3">
      <c r="A114" s="11" t="s">
        <v>577</v>
      </c>
      <c r="B114" s="4">
        <v>1004</v>
      </c>
      <c r="C114" s="5">
        <v>2</v>
      </c>
      <c r="D114" s="4" t="s">
        <v>44</v>
      </c>
      <c r="E114" s="6">
        <v>46280.013703391203</v>
      </c>
      <c r="F114" s="11" t="s">
        <v>578</v>
      </c>
      <c r="G114" s="4" t="s">
        <v>46</v>
      </c>
      <c r="H114" s="4">
        <v>53</v>
      </c>
      <c r="I114" s="4" t="s">
        <v>47</v>
      </c>
      <c r="J114" s="4">
        <v>5309</v>
      </c>
      <c r="K114" s="4" t="s">
        <v>48</v>
      </c>
      <c r="L114" s="4">
        <v>5309070</v>
      </c>
      <c r="M114" s="4">
        <v>5309070015</v>
      </c>
      <c r="N114" s="4" t="s">
        <v>49</v>
      </c>
      <c r="O114" s="4">
        <v>47111</v>
      </c>
      <c r="P114" s="4" t="s">
        <v>579</v>
      </c>
      <c r="Q114" s="5">
        <v>2</v>
      </c>
      <c r="R114" s="5">
        <v>0</v>
      </c>
      <c r="S114" s="5">
        <v>50000</v>
      </c>
      <c r="T114" s="5">
        <v>24000000</v>
      </c>
      <c r="U114" s="5">
        <v>200000</v>
      </c>
      <c r="V114" s="5">
        <v>0</v>
      </c>
      <c r="W114" s="5">
        <v>24250000</v>
      </c>
      <c r="X114" s="5">
        <v>36000000</v>
      </c>
      <c r="Y114" s="5">
        <v>0</v>
      </c>
      <c r="Z114" s="5">
        <f t="shared" si="9"/>
        <v>11750000</v>
      </c>
      <c r="AA114" s="5">
        <v>2000000</v>
      </c>
      <c r="AB114" s="5">
        <f t="shared" si="10"/>
        <v>12000000</v>
      </c>
      <c r="AC114" s="5" t="s">
        <v>102</v>
      </c>
      <c r="AD114" s="4" t="s">
        <v>51</v>
      </c>
      <c r="AE114" s="5">
        <f t="shared" si="11"/>
        <v>0.97916666666666663</v>
      </c>
      <c r="AF114" s="5">
        <v>6000000</v>
      </c>
      <c r="AG114" s="5">
        <v>1</v>
      </c>
      <c r="AH114" s="5">
        <v>1</v>
      </c>
      <c r="AI114" s="5">
        <v>1</v>
      </c>
      <c r="AJ114" s="7" t="s">
        <v>580</v>
      </c>
      <c r="AK114" s="5">
        <v>0</v>
      </c>
      <c r="AL114" s="5">
        <v>0</v>
      </c>
      <c r="AM114" s="4">
        <v>2020</v>
      </c>
      <c r="AN114" s="5">
        <v>0</v>
      </c>
      <c r="AO114" s="5">
        <v>2</v>
      </c>
      <c r="AP114" s="8"/>
      <c r="AQ114" s="8"/>
      <c r="AR114" s="8">
        <f t="shared" si="12"/>
        <v>0</v>
      </c>
      <c r="AS114" s="8">
        <f t="shared" si="13"/>
        <v>250000</v>
      </c>
      <c r="AT114" s="8">
        <f t="shared" si="14"/>
        <v>8880000</v>
      </c>
      <c r="AU114" s="8">
        <f t="shared" si="15"/>
        <v>3120000</v>
      </c>
      <c r="AV114" s="4" t="s">
        <v>579</v>
      </c>
      <c r="AW114" s="7" t="s">
        <v>580</v>
      </c>
      <c r="AX114" s="5">
        <v>24000000</v>
      </c>
      <c r="AY114">
        <f t="shared" si="16"/>
        <v>624000</v>
      </c>
      <c r="AZ114">
        <f t="shared" si="17"/>
        <v>2496000</v>
      </c>
      <c r="BA114" s="5">
        <v>36000000</v>
      </c>
      <c r="BB114" s="5">
        <v>0</v>
      </c>
      <c r="BC114" s="4" t="s">
        <v>49</v>
      </c>
      <c r="BD114" s="4">
        <v>47111</v>
      </c>
      <c r="BE114" t="s">
        <v>54</v>
      </c>
    </row>
    <row r="115" spans="1:57" ht="270.75" thickBot="1" x14ac:dyDescent="0.3">
      <c r="A115" s="4" t="s">
        <v>581</v>
      </c>
      <c r="B115" s="4">
        <v>1001</v>
      </c>
      <c r="C115" s="5">
        <v>2</v>
      </c>
      <c r="D115" s="4" t="s">
        <v>44</v>
      </c>
      <c r="E115" s="6">
        <v>46241.116608171295</v>
      </c>
      <c r="F115" s="4" t="s">
        <v>582</v>
      </c>
      <c r="G115" s="4" t="s">
        <v>46</v>
      </c>
      <c r="H115" s="4">
        <v>53</v>
      </c>
      <c r="I115" s="4" t="s">
        <v>47</v>
      </c>
      <c r="J115" s="4">
        <v>5309</v>
      </c>
      <c r="K115" s="4" t="s">
        <v>48</v>
      </c>
      <c r="L115" s="4">
        <v>5309072</v>
      </c>
      <c r="M115" s="4">
        <v>5309072007</v>
      </c>
      <c r="N115" s="4" t="s">
        <v>49</v>
      </c>
      <c r="O115" s="4">
        <v>47111</v>
      </c>
      <c r="P115" s="4" t="s">
        <v>583</v>
      </c>
      <c r="Q115" s="5">
        <v>1</v>
      </c>
      <c r="R115" s="5">
        <v>0</v>
      </c>
      <c r="S115" s="5">
        <v>0</v>
      </c>
      <c r="T115" s="5">
        <v>985000</v>
      </c>
      <c r="U115" s="5">
        <v>100000</v>
      </c>
      <c r="V115" s="5">
        <v>0</v>
      </c>
      <c r="W115" s="5">
        <v>1085000</v>
      </c>
      <c r="X115" s="5">
        <v>3425000</v>
      </c>
      <c r="Y115" s="5">
        <v>0</v>
      </c>
      <c r="Z115" s="5">
        <f t="shared" si="9"/>
        <v>2340000</v>
      </c>
      <c r="AA115" s="5">
        <v>1000000</v>
      </c>
      <c r="AB115" s="5">
        <f t="shared" si="10"/>
        <v>2440000</v>
      </c>
      <c r="AC115" s="5" t="s">
        <v>584</v>
      </c>
      <c r="AD115" s="4" t="s">
        <v>51</v>
      </c>
      <c r="AE115" s="5">
        <f t="shared" si="11"/>
        <v>0.95901639344262291</v>
      </c>
      <c r="AF115" s="5">
        <v>2440000</v>
      </c>
      <c r="AG115" s="5">
        <v>1</v>
      </c>
      <c r="AH115" s="5">
        <v>1</v>
      </c>
      <c r="AI115" s="5">
        <v>1</v>
      </c>
      <c r="AJ115" s="7" t="s">
        <v>585</v>
      </c>
      <c r="AK115" s="5">
        <v>0</v>
      </c>
      <c r="AL115" s="5">
        <v>0</v>
      </c>
      <c r="AM115" s="4">
        <v>2019</v>
      </c>
      <c r="AN115" s="5">
        <v>0</v>
      </c>
      <c r="AO115" s="5">
        <v>1</v>
      </c>
      <c r="AP115" s="8"/>
      <c r="AQ115" s="8"/>
      <c r="AR115" s="8">
        <f t="shared" si="12"/>
        <v>0</v>
      </c>
      <c r="AS115" s="8">
        <f t="shared" si="13"/>
        <v>100000</v>
      </c>
      <c r="AT115" s="8">
        <f t="shared" si="14"/>
        <v>1805600</v>
      </c>
      <c r="AU115" s="8">
        <f t="shared" si="15"/>
        <v>634400</v>
      </c>
      <c r="AV115" s="4" t="s">
        <v>583</v>
      </c>
      <c r="AW115" s="7" t="s">
        <v>585</v>
      </c>
      <c r="AX115" s="5">
        <v>985000</v>
      </c>
      <c r="AY115">
        <f t="shared" si="16"/>
        <v>0</v>
      </c>
      <c r="AZ115">
        <f t="shared" si="17"/>
        <v>634400</v>
      </c>
      <c r="BA115" s="5">
        <v>3425000</v>
      </c>
      <c r="BB115" s="5">
        <v>0</v>
      </c>
      <c r="BC115" s="4" t="s">
        <v>49</v>
      </c>
      <c r="BD115" s="4">
        <v>47111</v>
      </c>
      <c r="BE115" t="s">
        <v>54</v>
      </c>
    </row>
    <row r="116" spans="1:57" ht="270.75" thickBot="1" x14ac:dyDescent="0.3">
      <c r="A116" s="4" t="s">
        <v>586</v>
      </c>
      <c r="B116" s="4">
        <v>2001</v>
      </c>
      <c r="C116" s="5">
        <v>2</v>
      </c>
      <c r="D116" s="4" t="s">
        <v>44</v>
      </c>
      <c r="E116" s="6">
        <v>46208.347743865743</v>
      </c>
      <c r="F116" s="4" t="s">
        <v>587</v>
      </c>
      <c r="G116" s="4" t="s">
        <v>46</v>
      </c>
      <c r="H116" s="4">
        <v>53</v>
      </c>
      <c r="I116" s="4" t="s">
        <v>47</v>
      </c>
      <c r="J116" s="4">
        <v>5309</v>
      </c>
      <c r="K116" s="4" t="s">
        <v>48</v>
      </c>
      <c r="L116" s="4">
        <v>5309030</v>
      </c>
      <c r="M116" s="4">
        <v>5309030016</v>
      </c>
      <c r="N116" s="4" t="s">
        <v>49</v>
      </c>
      <c r="O116" s="4">
        <v>47111</v>
      </c>
      <c r="P116" s="4" t="s">
        <v>588</v>
      </c>
      <c r="Q116" s="5">
        <v>1</v>
      </c>
      <c r="R116" s="5">
        <v>0</v>
      </c>
      <c r="S116" s="5">
        <v>5700000</v>
      </c>
      <c r="T116" s="5">
        <v>4180000</v>
      </c>
      <c r="U116" s="5">
        <v>750000</v>
      </c>
      <c r="V116" s="5">
        <v>0</v>
      </c>
      <c r="W116" s="5">
        <v>10630000</v>
      </c>
      <c r="X116" s="5">
        <v>15700000</v>
      </c>
      <c r="Y116" s="5">
        <v>0</v>
      </c>
      <c r="Z116" s="5">
        <f t="shared" si="9"/>
        <v>5070000</v>
      </c>
      <c r="AA116" s="5">
        <v>53500000</v>
      </c>
      <c r="AB116" s="5">
        <f t="shared" si="10"/>
        <v>11520000</v>
      </c>
      <c r="AC116" s="5" t="s">
        <v>589</v>
      </c>
      <c r="AD116" s="4" t="s">
        <v>51</v>
      </c>
      <c r="AE116" s="5">
        <f t="shared" si="11"/>
        <v>0.44010416666666669</v>
      </c>
      <c r="AF116" s="5">
        <v>11520000</v>
      </c>
      <c r="AG116" s="5">
        <v>0</v>
      </c>
      <c r="AH116" s="5">
        <v>1</v>
      </c>
      <c r="AI116" s="5">
        <v>1</v>
      </c>
      <c r="AJ116" s="7" t="s">
        <v>590</v>
      </c>
      <c r="AK116" s="5">
        <v>0</v>
      </c>
      <c r="AL116" s="5">
        <v>0</v>
      </c>
      <c r="AM116" s="4">
        <v>2022</v>
      </c>
      <c r="AN116" s="5">
        <v>0</v>
      </c>
      <c r="AO116" s="5">
        <v>1</v>
      </c>
      <c r="AP116" s="8"/>
      <c r="AQ116" s="8"/>
      <c r="AR116" s="8">
        <f t="shared" si="12"/>
        <v>0</v>
      </c>
      <c r="AS116" s="8">
        <f t="shared" si="13"/>
        <v>6450000</v>
      </c>
      <c r="AT116" s="8">
        <f t="shared" si="14"/>
        <v>5070000</v>
      </c>
      <c r="AU116" s="8">
        <f t="shared" si="15"/>
        <v>6450000</v>
      </c>
      <c r="AV116" s="4" t="s">
        <v>588</v>
      </c>
      <c r="AW116" s="7" t="s">
        <v>590</v>
      </c>
      <c r="AX116" s="5">
        <v>4180000</v>
      </c>
      <c r="AY116">
        <f t="shared" si="16"/>
        <v>5700000</v>
      </c>
      <c r="AZ116">
        <f t="shared" si="17"/>
        <v>750000</v>
      </c>
      <c r="BA116" s="5">
        <v>15700000</v>
      </c>
      <c r="BB116" s="5">
        <v>0</v>
      </c>
      <c r="BC116" s="4" t="s">
        <v>49</v>
      </c>
      <c r="BD116" s="4">
        <v>47111</v>
      </c>
      <c r="BE116" t="s">
        <v>54</v>
      </c>
    </row>
    <row r="117" spans="1:57" ht="270.75" thickBot="1" x14ac:dyDescent="0.3">
      <c r="A117" s="4" t="s">
        <v>591</v>
      </c>
      <c r="B117" s="4">
        <v>1001</v>
      </c>
      <c r="C117" s="5">
        <v>2</v>
      </c>
      <c r="D117" s="4" t="s">
        <v>44</v>
      </c>
      <c r="E117" s="6">
        <v>46259.925941759262</v>
      </c>
      <c r="F117" s="4" t="s">
        <v>592</v>
      </c>
      <c r="G117" s="4" t="s">
        <v>46</v>
      </c>
      <c r="H117" s="4">
        <v>53</v>
      </c>
      <c r="I117" s="4" t="s">
        <v>47</v>
      </c>
      <c r="J117" s="4">
        <v>5309</v>
      </c>
      <c r="K117" s="4" t="s">
        <v>48</v>
      </c>
      <c r="L117" s="4">
        <v>5309074</v>
      </c>
      <c r="M117" s="4">
        <v>5309074007</v>
      </c>
      <c r="N117" s="4" t="s">
        <v>49</v>
      </c>
      <c r="O117" s="4">
        <v>47111</v>
      </c>
      <c r="P117" s="4" t="s">
        <v>449</v>
      </c>
      <c r="Q117" s="5">
        <v>1</v>
      </c>
      <c r="R117" s="5">
        <v>0</v>
      </c>
      <c r="S117" s="5">
        <v>0</v>
      </c>
      <c r="T117" s="5">
        <v>17000000</v>
      </c>
      <c r="U117" s="5">
        <v>240000</v>
      </c>
      <c r="V117" s="5">
        <v>0</v>
      </c>
      <c r="W117" s="5">
        <v>17240000</v>
      </c>
      <c r="X117" s="5">
        <v>21000000</v>
      </c>
      <c r="Y117" s="5">
        <v>0</v>
      </c>
      <c r="Z117" s="5">
        <f t="shared" si="9"/>
        <v>3760000</v>
      </c>
      <c r="AA117" s="5">
        <v>40000000</v>
      </c>
      <c r="AB117" s="5">
        <f t="shared" si="10"/>
        <v>4000000</v>
      </c>
      <c r="AC117" s="5" t="s">
        <v>440</v>
      </c>
      <c r="AD117" s="4" t="s">
        <v>51</v>
      </c>
      <c r="AE117" s="5">
        <f t="shared" si="11"/>
        <v>0.94</v>
      </c>
      <c r="AF117" s="5">
        <v>4000000</v>
      </c>
      <c r="AG117" s="5">
        <v>1</v>
      </c>
      <c r="AH117" s="5">
        <v>1</v>
      </c>
      <c r="AI117" s="5">
        <v>1</v>
      </c>
      <c r="AJ117" s="7" t="s">
        <v>593</v>
      </c>
      <c r="AK117" s="5">
        <v>0</v>
      </c>
      <c r="AL117" s="5">
        <v>0</v>
      </c>
      <c r="AM117" s="4">
        <v>2018</v>
      </c>
      <c r="AN117" s="5">
        <v>0</v>
      </c>
      <c r="AO117" s="5">
        <v>1</v>
      </c>
      <c r="AP117" s="8"/>
      <c r="AQ117" s="8"/>
      <c r="AR117" s="8">
        <f t="shared" si="12"/>
        <v>0</v>
      </c>
      <c r="AS117" s="8">
        <f t="shared" si="13"/>
        <v>240000</v>
      </c>
      <c r="AT117" s="8">
        <f t="shared" si="14"/>
        <v>2960000</v>
      </c>
      <c r="AU117" s="8">
        <f t="shared" si="15"/>
        <v>1040000</v>
      </c>
      <c r="AV117" s="4" t="s">
        <v>449</v>
      </c>
      <c r="AW117" s="7" t="s">
        <v>593</v>
      </c>
      <c r="AX117" s="5">
        <v>17000000</v>
      </c>
      <c r="AY117">
        <f t="shared" si="16"/>
        <v>0</v>
      </c>
      <c r="AZ117">
        <f t="shared" si="17"/>
        <v>1040000</v>
      </c>
      <c r="BA117" s="5">
        <v>21000000</v>
      </c>
      <c r="BB117" s="5">
        <v>0</v>
      </c>
      <c r="BC117" s="4" t="s">
        <v>49</v>
      </c>
      <c r="BD117" s="4">
        <v>47111</v>
      </c>
      <c r="BE117" t="s">
        <v>54</v>
      </c>
    </row>
    <row r="118" spans="1:57" ht="270.75" thickBot="1" x14ac:dyDescent="0.3">
      <c r="A118" s="4" t="s">
        <v>594</v>
      </c>
      <c r="B118" s="4">
        <v>2001</v>
      </c>
      <c r="C118" s="5">
        <v>2</v>
      </c>
      <c r="D118" s="4" t="s">
        <v>44</v>
      </c>
      <c r="E118" s="6">
        <v>46265.101729317132</v>
      </c>
      <c r="F118" s="4" t="s">
        <v>595</v>
      </c>
      <c r="G118" s="4" t="s">
        <v>46</v>
      </c>
      <c r="H118" s="4">
        <v>53</v>
      </c>
      <c r="I118" s="4" t="s">
        <v>47</v>
      </c>
      <c r="J118" s="4">
        <v>5309</v>
      </c>
      <c r="K118" s="4" t="s">
        <v>48</v>
      </c>
      <c r="L118" s="4">
        <v>5309030</v>
      </c>
      <c r="M118" s="4">
        <v>5309030018</v>
      </c>
      <c r="N118" s="4" t="s">
        <v>49</v>
      </c>
      <c r="O118" s="4">
        <v>47111</v>
      </c>
      <c r="P118" s="4" t="s">
        <v>596</v>
      </c>
      <c r="Q118" s="5">
        <v>10</v>
      </c>
      <c r="R118" s="5">
        <v>120000000</v>
      </c>
      <c r="S118" s="5">
        <v>0</v>
      </c>
      <c r="T118" s="5">
        <v>300000000</v>
      </c>
      <c r="U118" s="5">
        <v>12000000</v>
      </c>
      <c r="V118" s="5">
        <v>0</v>
      </c>
      <c r="W118" s="5">
        <v>432000000</v>
      </c>
      <c r="X118" s="5">
        <v>500000000</v>
      </c>
      <c r="Y118" s="5">
        <v>0</v>
      </c>
      <c r="Z118" s="5">
        <f t="shared" si="9"/>
        <v>188000000</v>
      </c>
      <c r="AA118" s="5">
        <v>450000000</v>
      </c>
      <c r="AB118" s="5">
        <f t="shared" si="10"/>
        <v>200000000</v>
      </c>
      <c r="AC118" s="5" t="s">
        <v>100</v>
      </c>
      <c r="AD118" s="4" t="s">
        <v>51</v>
      </c>
      <c r="AE118" s="5">
        <f t="shared" si="11"/>
        <v>0.94</v>
      </c>
      <c r="AF118" s="5">
        <v>20000000</v>
      </c>
      <c r="AG118" s="5">
        <v>1</v>
      </c>
      <c r="AH118" s="5">
        <v>1</v>
      </c>
      <c r="AI118" s="5">
        <v>1</v>
      </c>
      <c r="AJ118" s="7" t="s">
        <v>597</v>
      </c>
      <c r="AK118" s="5">
        <v>0</v>
      </c>
      <c r="AL118" s="5">
        <v>0</v>
      </c>
      <c r="AM118" s="4">
        <v>2013</v>
      </c>
      <c r="AN118" s="5">
        <v>10</v>
      </c>
      <c r="AO118" s="5">
        <v>0</v>
      </c>
      <c r="AP118" s="8"/>
      <c r="AQ118" s="8"/>
      <c r="AR118" s="8">
        <f t="shared" si="12"/>
        <v>0</v>
      </c>
      <c r="AS118" s="8">
        <f t="shared" si="13"/>
        <v>12000000</v>
      </c>
      <c r="AT118" s="8">
        <f t="shared" si="14"/>
        <v>148000000</v>
      </c>
      <c r="AU118" s="8">
        <f t="shared" si="15"/>
        <v>52000000</v>
      </c>
      <c r="AV118" s="4" t="s">
        <v>596</v>
      </c>
      <c r="AW118" s="7" t="s">
        <v>597</v>
      </c>
      <c r="AX118" s="5">
        <v>300000000</v>
      </c>
      <c r="AY118">
        <f t="shared" si="16"/>
        <v>0</v>
      </c>
      <c r="AZ118">
        <f t="shared" si="17"/>
        <v>52000000</v>
      </c>
      <c r="BA118" s="5">
        <v>500000000</v>
      </c>
      <c r="BB118" s="5">
        <v>0</v>
      </c>
      <c r="BC118" s="4" t="s">
        <v>49</v>
      </c>
      <c r="BD118" s="4">
        <v>47111</v>
      </c>
      <c r="BE118" t="s">
        <v>54</v>
      </c>
    </row>
    <row r="119" spans="1:57" ht="270.75" thickBot="1" x14ac:dyDescent="0.3">
      <c r="A119" s="4" t="s">
        <v>598</v>
      </c>
      <c r="B119" s="4">
        <v>1002</v>
      </c>
      <c r="C119" s="5">
        <v>2</v>
      </c>
      <c r="D119" s="4" t="s">
        <v>44</v>
      </c>
      <c r="E119" s="6">
        <v>46293.103480902777</v>
      </c>
      <c r="F119" s="4" t="s">
        <v>599</v>
      </c>
      <c r="G119" s="4" t="s">
        <v>46</v>
      </c>
      <c r="H119" s="4">
        <v>53</v>
      </c>
      <c r="I119" s="4" t="s">
        <v>47</v>
      </c>
      <c r="J119" s="4">
        <v>5309</v>
      </c>
      <c r="K119" s="4" t="s">
        <v>48</v>
      </c>
      <c r="L119" s="4">
        <v>5309021</v>
      </c>
      <c r="M119" s="4">
        <v>5309021003</v>
      </c>
      <c r="N119" s="4" t="s">
        <v>49</v>
      </c>
      <c r="O119" s="4">
        <v>47111</v>
      </c>
      <c r="P119" s="4" t="s">
        <v>600</v>
      </c>
      <c r="Q119" s="5">
        <v>2</v>
      </c>
      <c r="R119" s="5">
        <v>0</v>
      </c>
      <c r="S119" s="5">
        <v>0</v>
      </c>
      <c r="T119" s="5">
        <v>18000000</v>
      </c>
      <c r="U119" s="5">
        <v>300000</v>
      </c>
      <c r="V119" s="5">
        <v>0</v>
      </c>
      <c r="W119" s="5">
        <v>18300000</v>
      </c>
      <c r="X119" s="5">
        <v>32050000</v>
      </c>
      <c r="Y119" s="5">
        <v>0</v>
      </c>
      <c r="Z119" s="5">
        <f t="shared" si="9"/>
        <v>13750000</v>
      </c>
      <c r="AA119" s="5">
        <v>8000000</v>
      </c>
      <c r="AB119" s="5">
        <f t="shared" si="10"/>
        <v>14050000</v>
      </c>
      <c r="AC119" s="5" t="s">
        <v>601</v>
      </c>
      <c r="AD119" s="4" t="s">
        <v>51</v>
      </c>
      <c r="AE119" s="5">
        <f t="shared" si="11"/>
        <v>0.97864768683274017</v>
      </c>
      <c r="AF119" s="5">
        <v>7025000</v>
      </c>
      <c r="AG119" s="5">
        <v>1</v>
      </c>
      <c r="AH119" s="5">
        <v>1</v>
      </c>
      <c r="AI119" s="5">
        <v>1</v>
      </c>
      <c r="AJ119" s="7" t="s">
        <v>602</v>
      </c>
      <c r="AK119" s="5">
        <v>0</v>
      </c>
      <c r="AL119" s="5">
        <v>0</v>
      </c>
      <c r="AM119" s="4">
        <v>2015</v>
      </c>
      <c r="AN119" s="5">
        <v>0</v>
      </c>
      <c r="AO119" s="5">
        <v>2</v>
      </c>
      <c r="AP119" s="8"/>
      <c r="AQ119" s="8"/>
      <c r="AR119" s="8">
        <f t="shared" si="12"/>
        <v>0</v>
      </c>
      <c r="AS119" s="8">
        <f t="shared" si="13"/>
        <v>300000</v>
      </c>
      <c r="AT119" s="8">
        <f t="shared" si="14"/>
        <v>10397000</v>
      </c>
      <c r="AU119" s="8">
        <f t="shared" si="15"/>
        <v>3653000</v>
      </c>
      <c r="AV119" s="4" t="s">
        <v>600</v>
      </c>
      <c r="AW119" s="7" t="s">
        <v>602</v>
      </c>
      <c r="AX119" s="5">
        <v>18000000</v>
      </c>
      <c r="AY119">
        <f t="shared" si="16"/>
        <v>0</v>
      </c>
      <c r="AZ119">
        <f t="shared" si="17"/>
        <v>3653000</v>
      </c>
      <c r="BA119" s="5">
        <v>32050000</v>
      </c>
      <c r="BB119" s="5">
        <v>0</v>
      </c>
      <c r="BC119" s="4" t="s">
        <v>49</v>
      </c>
      <c r="BD119" s="4">
        <v>47111</v>
      </c>
      <c r="BE119" t="s">
        <v>54</v>
      </c>
    </row>
    <row r="120" spans="1:57" ht="270.75" thickBot="1" x14ac:dyDescent="0.3">
      <c r="A120" s="4" t="s">
        <v>603</v>
      </c>
      <c r="B120" s="4">
        <v>1002</v>
      </c>
      <c r="C120" s="5">
        <v>2</v>
      </c>
      <c r="D120" s="4" t="s">
        <v>44</v>
      </c>
      <c r="E120" s="6">
        <v>46236.067763831015</v>
      </c>
      <c r="F120" s="4" t="s">
        <v>604</v>
      </c>
      <c r="G120" s="4" t="s">
        <v>46</v>
      </c>
      <c r="H120" s="4">
        <v>53</v>
      </c>
      <c r="I120" s="4" t="s">
        <v>47</v>
      </c>
      <c r="J120" s="4">
        <v>5309</v>
      </c>
      <c r="K120" s="4" t="s">
        <v>48</v>
      </c>
      <c r="L120" s="4">
        <v>5309060</v>
      </c>
      <c r="M120" s="4">
        <v>5309060023</v>
      </c>
      <c r="N120" s="4" t="s">
        <v>49</v>
      </c>
      <c r="O120" s="4">
        <v>47111</v>
      </c>
      <c r="P120" s="4" t="s">
        <v>605</v>
      </c>
      <c r="Q120" s="5">
        <v>2</v>
      </c>
      <c r="R120" s="5">
        <v>0</v>
      </c>
      <c r="S120" s="5">
        <v>0</v>
      </c>
      <c r="T120" s="5">
        <v>10000000</v>
      </c>
      <c r="U120" s="5">
        <v>150000</v>
      </c>
      <c r="V120" s="5">
        <v>0</v>
      </c>
      <c r="W120" s="5">
        <v>10150000</v>
      </c>
      <c r="X120" s="5">
        <v>15000000</v>
      </c>
      <c r="Y120" s="5">
        <v>0</v>
      </c>
      <c r="Z120" s="5">
        <f t="shared" si="9"/>
        <v>4850000</v>
      </c>
      <c r="AA120" s="5">
        <v>300000</v>
      </c>
      <c r="AB120" s="5">
        <f t="shared" si="10"/>
        <v>5000000</v>
      </c>
      <c r="AC120" s="5" t="s">
        <v>102</v>
      </c>
      <c r="AD120" s="4" t="s">
        <v>51</v>
      </c>
      <c r="AE120" s="5">
        <f t="shared" si="11"/>
        <v>0.97</v>
      </c>
      <c r="AF120" s="5">
        <v>2500000</v>
      </c>
      <c r="AG120" s="5">
        <v>1</v>
      </c>
      <c r="AH120" s="5">
        <v>1</v>
      </c>
      <c r="AI120" s="5">
        <v>1</v>
      </c>
      <c r="AJ120" s="7" t="s">
        <v>606</v>
      </c>
      <c r="AK120" s="5">
        <v>0</v>
      </c>
      <c r="AL120" s="5">
        <v>0</v>
      </c>
      <c r="AM120" s="4">
        <v>2019</v>
      </c>
      <c r="AN120" s="5">
        <v>0</v>
      </c>
      <c r="AO120" s="5">
        <v>2</v>
      </c>
      <c r="AP120" s="8"/>
      <c r="AQ120" s="8"/>
      <c r="AR120" s="8">
        <f t="shared" si="12"/>
        <v>0</v>
      </c>
      <c r="AS120" s="8">
        <f t="shared" si="13"/>
        <v>150000</v>
      </c>
      <c r="AT120" s="8">
        <f t="shared" si="14"/>
        <v>3700000</v>
      </c>
      <c r="AU120" s="8">
        <f t="shared" si="15"/>
        <v>1300000</v>
      </c>
      <c r="AV120" s="4" t="s">
        <v>605</v>
      </c>
      <c r="AW120" s="7" t="s">
        <v>606</v>
      </c>
      <c r="AX120" s="5">
        <v>10000000</v>
      </c>
      <c r="AY120">
        <f t="shared" si="16"/>
        <v>0</v>
      </c>
      <c r="AZ120">
        <f t="shared" si="17"/>
        <v>1300000</v>
      </c>
      <c r="BA120" s="5">
        <v>15000000</v>
      </c>
      <c r="BB120" s="5">
        <v>0</v>
      </c>
      <c r="BC120" s="4" t="s">
        <v>49</v>
      </c>
      <c r="BD120" s="4">
        <v>47111</v>
      </c>
      <c r="BE120" t="s">
        <v>54</v>
      </c>
    </row>
    <row r="121" spans="1:57" ht="270.75" thickBot="1" x14ac:dyDescent="0.3">
      <c r="A121" s="4" t="s">
        <v>607</v>
      </c>
      <c r="B121" s="4">
        <v>1002</v>
      </c>
      <c r="C121" s="5">
        <v>2</v>
      </c>
      <c r="D121" s="4" t="s">
        <v>44</v>
      </c>
      <c r="E121" s="6">
        <v>46237.554630219907</v>
      </c>
      <c r="F121" s="4" t="s">
        <v>608</v>
      </c>
      <c r="G121" s="4" t="s">
        <v>46</v>
      </c>
      <c r="H121" s="4">
        <v>53</v>
      </c>
      <c r="I121" s="4" t="s">
        <v>47</v>
      </c>
      <c r="J121" s="4">
        <v>5309</v>
      </c>
      <c r="K121" s="4" t="s">
        <v>48</v>
      </c>
      <c r="L121" s="4">
        <v>5309030</v>
      </c>
      <c r="M121" s="4">
        <v>5309030016</v>
      </c>
      <c r="N121" s="4" t="s">
        <v>49</v>
      </c>
      <c r="O121" s="4">
        <v>47111</v>
      </c>
      <c r="P121" s="4" t="s">
        <v>609</v>
      </c>
      <c r="Q121" s="5">
        <v>2</v>
      </c>
      <c r="R121" s="5">
        <v>0</v>
      </c>
      <c r="S121" s="5">
        <v>0</v>
      </c>
      <c r="T121" s="5">
        <v>24000000</v>
      </c>
      <c r="U121" s="5">
        <v>250000</v>
      </c>
      <c r="V121" s="5">
        <v>5000000</v>
      </c>
      <c r="W121" s="5">
        <v>29250000</v>
      </c>
      <c r="X121" s="5">
        <v>75000000</v>
      </c>
      <c r="Y121" s="5">
        <v>750000</v>
      </c>
      <c r="Z121" s="5">
        <f t="shared" si="9"/>
        <v>50750000</v>
      </c>
      <c r="AA121" s="5">
        <v>13500000</v>
      </c>
      <c r="AB121" s="5">
        <f t="shared" si="10"/>
        <v>51000000</v>
      </c>
      <c r="AC121" s="5" t="s">
        <v>320</v>
      </c>
      <c r="AD121" s="4" t="s">
        <v>51</v>
      </c>
      <c r="AE121" s="5">
        <f t="shared" si="11"/>
        <v>0.99509803921568629</v>
      </c>
      <c r="AF121" s="5">
        <v>25500000</v>
      </c>
      <c r="AG121" s="5">
        <v>1</v>
      </c>
      <c r="AH121" s="5">
        <v>1</v>
      </c>
      <c r="AI121" s="5">
        <v>1</v>
      </c>
      <c r="AJ121" s="7" t="s">
        <v>610</v>
      </c>
      <c r="AK121" s="5">
        <v>0</v>
      </c>
      <c r="AL121" s="5">
        <v>0</v>
      </c>
      <c r="AM121" s="4">
        <v>2020</v>
      </c>
      <c r="AN121" s="5">
        <v>0</v>
      </c>
      <c r="AO121" s="5">
        <v>2</v>
      </c>
      <c r="AP121" s="8"/>
      <c r="AQ121" s="8"/>
      <c r="AR121" s="8">
        <f t="shared" si="12"/>
        <v>0</v>
      </c>
      <c r="AS121" s="8">
        <f t="shared" si="13"/>
        <v>250000</v>
      </c>
      <c r="AT121" s="8">
        <f t="shared" si="14"/>
        <v>37740000</v>
      </c>
      <c r="AU121" s="8">
        <f t="shared" si="15"/>
        <v>13260000</v>
      </c>
      <c r="AV121" s="4" t="s">
        <v>609</v>
      </c>
      <c r="AW121" s="7" t="s">
        <v>610</v>
      </c>
      <c r="AX121" s="5">
        <v>24000000</v>
      </c>
      <c r="AY121">
        <f t="shared" si="16"/>
        <v>0</v>
      </c>
      <c r="AZ121">
        <f t="shared" si="17"/>
        <v>13260000</v>
      </c>
      <c r="BA121" s="5">
        <v>75000000</v>
      </c>
      <c r="BB121" s="5">
        <v>750000</v>
      </c>
      <c r="BC121" s="4" t="s">
        <v>49</v>
      </c>
      <c r="BD121" s="4">
        <v>47111</v>
      </c>
      <c r="BE121" t="s">
        <v>54</v>
      </c>
    </row>
    <row r="122" spans="1:57" ht="255.75" thickBot="1" x14ac:dyDescent="0.3">
      <c r="A122" s="4" t="s">
        <v>611</v>
      </c>
      <c r="B122" s="4">
        <v>1002</v>
      </c>
      <c r="C122" s="5">
        <v>2</v>
      </c>
      <c r="D122" s="4" t="s">
        <v>44</v>
      </c>
      <c r="E122" s="6">
        <v>46259.486383784722</v>
      </c>
      <c r="F122" s="4" t="s">
        <v>612</v>
      </c>
      <c r="G122" s="4" t="s">
        <v>46</v>
      </c>
      <c r="H122" s="4">
        <v>53</v>
      </c>
      <c r="I122" s="4" t="s">
        <v>47</v>
      </c>
      <c r="J122" s="4">
        <v>5309</v>
      </c>
      <c r="K122" s="4" t="s">
        <v>48</v>
      </c>
      <c r="L122" s="4">
        <v>5309012</v>
      </c>
      <c r="M122" s="4">
        <v>5309012004</v>
      </c>
      <c r="N122" s="4" t="s">
        <v>49</v>
      </c>
      <c r="O122" s="4">
        <v>47111</v>
      </c>
      <c r="P122" s="4" t="s">
        <v>613</v>
      </c>
      <c r="Q122" s="5">
        <v>1</v>
      </c>
      <c r="R122" s="5">
        <v>0</v>
      </c>
      <c r="S122" s="5">
        <v>200000</v>
      </c>
      <c r="T122" s="5">
        <v>48000000</v>
      </c>
      <c r="U122" s="5">
        <v>960000</v>
      </c>
      <c r="V122" s="5">
        <v>40000</v>
      </c>
      <c r="W122" s="5">
        <v>49200000</v>
      </c>
      <c r="X122" s="5">
        <v>54000000</v>
      </c>
      <c r="Y122" s="5">
        <v>0</v>
      </c>
      <c r="Z122" s="5">
        <f t="shared" si="9"/>
        <v>4840000</v>
      </c>
      <c r="AA122" s="5">
        <v>5000001</v>
      </c>
      <c r="AB122" s="5">
        <f t="shared" si="10"/>
        <v>6000000</v>
      </c>
      <c r="AC122" s="5">
        <v>2</v>
      </c>
      <c r="AD122" s="4" t="s">
        <v>51</v>
      </c>
      <c r="AE122" s="5">
        <f t="shared" si="11"/>
        <v>0.80666666666666664</v>
      </c>
      <c r="AF122" s="5">
        <v>-24000000</v>
      </c>
      <c r="AG122" s="5">
        <v>1</v>
      </c>
      <c r="AH122" s="5">
        <v>1</v>
      </c>
      <c r="AI122" s="5">
        <v>1</v>
      </c>
      <c r="AJ122" s="7" t="s">
        <v>614</v>
      </c>
      <c r="AK122" s="5">
        <v>0</v>
      </c>
      <c r="AL122" s="5">
        <v>0</v>
      </c>
      <c r="AM122" s="4">
        <v>2007</v>
      </c>
      <c r="AN122" s="5">
        <v>0</v>
      </c>
      <c r="AO122" s="5">
        <v>1</v>
      </c>
      <c r="AP122" s="8"/>
      <c r="AQ122" s="8"/>
      <c r="AR122" s="8">
        <f t="shared" si="12"/>
        <v>0</v>
      </c>
      <c r="AS122" s="8">
        <f t="shared" si="13"/>
        <v>1160000</v>
      </c>
      <c r="AT122" s="8">
        <f t="shared" si="14"/>
        <v>4440000</v>
      </c>
      <c r="AU122" s="8">
        <f t="shared" si="15"/>
        <v>1560000</v>
      </c>
      <c r="AV122" s="4" t="s">
        <v>613</v>
      </c>
      <c r="AW122" s="7" t="s">
        <v>614</v>
      </c>
      <c r="AX122" s="5">
        <v>48000000</v>
      </c>
      <c r="AY122">
        <f t="shared" si="16"/>
        <v>268965.51724137925</v>
      </c>
      <c r="AZ122">
        <f t="shared" si="17"/>
        <v>1291034.4827586208</v>
      </c>
      <c r="BA122" s="5">
        <v>54000000</v>
      </c>
      <c r="BB122" s="5">
        <v>0</v>
      </c>
      <c r="BC122" s="4" t="s">
        <v>49</v>
      </c>
      <c r="BD122" s="4">
        <v>47111</v>
      </c>
      <c r="BE122" t="s">
        <v>54</v>
      </c>
    </row>
    <row r="123" spans="1:57" ht="270.75" thickBot="1" x14ac:dyDescent="0.3">
      <c r="A123" s="4" t="s">
        <v>615</v>
      </c>
      <c r="B123" s="4">
        <v>1103</v>
      </c>
      <c r="C123" s="5">
        <v>2</v>
      </c>
      <c r="D123" s="4" t="s">
        <v>44</v>
      </c>
      <c r="E123" s="6">
        <v>46295.020764050925</v>
      </c>
      <c r="F123" s="4" t="s">
        <v>616</v>
      </c>
      <c r="G123" s="4" t="s">
        <v>46</v>
      </c>
      <c r="H123" s="4">
        <v>53</v>
      </c>
      <c r="I123" s="4" t="s">
        <v>47</v>
      </c>
      <c r="J123" s="4">
        <v>5309</v>
      </c>
      <c r="K123" s="4" t="s">
        <v>48</v>
      </c>
      <c r="L123" s="4">
        <v>5309061</v>
      </c>
      <c r="M123" s="4">
        <v>5309061005</v>
      </c>
      <c r="N123" s="4" t="s">
        <v>49</v>
      </c>
      <c r="O123" s="4">
        <v>47111</v>
      </c>
      <c r="P123" s="4" t="s">
        <v>617</v>
      </c>
      <c r="Q123" s="5">
        <v>3</v>
      </c>
      <c r="R123" s="5">
        <v>0</v>
      </c>
      <c r="S123" s="5">
        <v>0</v>
      </c>
      <c r="T123" s="5">
        <v>30000000</v>
      </c>
      <c r="U123" s="5">
        <v>1200000</v>
      </c>
      <c r="V123" s="5">
        <v>32000</v>
      </c>
      <c r="W123" s="5">
        <v>31232000</v>
      </c>
      <c r="X123" s="5">
        <v>36000000</v>
      </c>
      <c r="Y123" s="5">
        <v>0</v>
      </c>
      <c r="Z123" s="5">
        <f t="shared" si="9"/>
        <v>4800000</v>
      </c>
      <c r="AA123" s="5">
        <v>65000000</v>
      </c>
      <c r="AB123" s="5">
        <f t="shared" si="10"/>
        <v>6000000</v>
      </c>
      <c r="AC123" s="5" t="s">
        <v>192</v>
      </c>
      <c r="AD123" s="4" t="s">
        <v>51</v>
      </c>
      <c r="AE123" s="5">
        <f t="shared" si="11"/>
        <v>0.8</v>
      </c>
      <c r="AF123" s="5">
        <v>2000000</v>
      </c>
      <c r="AG123" s="5">
        <v>1</v>
      </c>
      <c r="AH123" s="5">
        <v>1</v>
      </c>
      <c r="AI123" s="5">
        <v>1</v>
      </c>
      <c r="AJ123" s="7" t="s">
        <v>618</v>
      </c>
      <c r="AK123" s="5">
        <v>0</v>
      </c>
      <c r="AL123" s="5">
        <v>0</v>
      </c>
      <c r="AM123" s="4">
        <v>2015</v>
      </c>
      <c r="AN123" s="5">
        <v>0</v>
      </c>
      <c r="AO123" s="5">
        <v>3</v>
      </c>
      <c r="AP123" s="8"/>
      <c r="AQ123" s="8"/>
      <c r="AR123" s="8">
        <f t="shared" si="12"/>
        <v>0</v>
      </c>
      <c r="AS123" s="8">
        <f t="shared" si="13"/>
        <v>1200000</v>
      </c>
      <c r="AT123" s="8">
        <f t="shared" si="14"/>
        <v>4440000</v>
      </c>
      <c r="AU123" s="8">
        <f t="shared" si="15"/>
        <v>1560000</v>
      </c>
      <c r="AV123" s="4" t="s">
        <v>617</v>
      </c>
      <c r="AW123" s="7" t="s">
        <v>618</v>
      </c>
      <c r="AX123" s="5">
        <v>30000000</v>
      </c>
      <c r="AY123">
        <f t="shared" si="16"/>
        <v>0</v>
      </c>
      <c r="AZ123">
        <f t="shared" si="17"/>
        <v>1560000</v>
      </c>
      <c r="BA123" s="5">
        <v>36000000</v>
      </c>
      <c r="BB123" s="5">
        <v>0</v>
      </c>
      <c r="BC123" s="4" t="s">
        <v>49</v>
      </c>
      <c r="BD123" s="4">
        <v>47111</v>
      </c>
      <c r="BE123" t="s">
        <v>54</v>
      </c>
    </row>
    <row r="124" spans="1:57" ht="270.75" thickBot="1" x14ac:dyDescent="0.3">
      <c r="A124" s="4" t="s">
        <v>619</v>
      </c>
      <c r="B124" s="4">
        <v>3001</v>
      </c>
      <c r="C124" s="5">
        <v>2</v>
      </c>
      <c r="D124" s="4" t="s">
        <v>44</v>
      </c>
      <c r="E124" s="6">
        <v>46214.750909212962</v>
      </c>
      <c r="F124" s="4" t="s">
        <v>620</v>
      </c>
      <c r="G124" s="4" t="s">
        <v>46</v>
      </c>
      <c r="H124" s="4">
        <v>53</v>
      </c>
      <c r="I124" s="4" t="s">
        <v>47</v>
      </c>
      <c r="J124" s="4">
        <v>5309</v>
      </c>
      <c r="K124" s="4" t="s">
        <v>48</v>
      </c>
      <c r="L124" s="4">
        <v>5309062</v>
      </c>
      <c r="M124" s="4">
        <v>5309062009</v>
      </c>
      <c r="N124" s="4" t="s">
        <v>49</v>
      </c>
      <c r="O124" s="4">
        <v>47111</v>
      </c>
      <c r="P124" s="4" t="s">
        <v>621</v>
      </c>
      <c r="Q124" s="5">
        <v>2</v>
      </c>
      <c r="R124" s="5">
        <v>0</v>
      </c>
      <c r="S124" s="5">
        <v>0</v>
      </c>
      <c r="T124" s="5">
        <v>3120000</v>
      </c>
      <c r="U124" s="5">
        <v>200000</v>
      </c>
      <c r="V124" s="5">
        <v>0</v>
      </c>
      <c r="W124" s="5">
        <v>3320000</v>
      </c>
      <c r="X124" s="5">
        <v>5800000</v>
      </c>
      <c r="Y124" s="5">
        <v>0</v>
      </c>
      <c r="Z124" s="5">
        <f t="shared" si="9"/>
        <v>2480000</v>
      </c>
      <c r="AA124" s="5">
        <v>900000</v>
      </c>
      <c r="AB124" s="5">
        <f t="shared" si="10"/>
        <v>2680000</v>
      </c>
      <c r="AC124" s="5" t="s">
        <v>622</v>
      </c>
      <c r="AD124" s="4" t="s">
        <v>51</v>
      </c>
      <c r="AE124" s="5">
        <f t="shared" si="11"/>
        <v>0.92537313432835822</v>
      </c>
      <c r="AF124" s="5">
        <v>1340000</v>
      </c>
      <c r="AG124" s="5">
        <v>1</v>
      </c>
      <c r="AH124" s="5">
        <v>1</v>
      </c>
      <c r="AI124" s="5">
        <v>1</v>
      </c>
      <c r="AJ124" s="7" t="s">
        <v>623</v>
      </c>
      <c r="AK124" s="5">
        <v>0</v>
      </c>
      <c r="AL124" s="5">
        <v>0</v>
      </c>
      <c r="AM124" s="4">
        <v>2024</v>
      </c>
      <c r="AN124" s="5">
        <v>0</v>
      </c>
      <c r="AO124" s="5">
        <v>2</v>
      </c>
      <c r="AP124" s="8"/>
      <c r="AQ124" s="8"/>
      <c r="AR124" s="8">
        <f t="shared" si="12"/>
        <v>0</v>
      </c>
      <c r="AS124" s="8">
        <f t="shared" si="13"/>
        <v>200000</v>
      </c>
      <c r="AT124" s="8">
        <f t="shared" si="14"/>
        <v>1983200</v>
      </c>
      <c r="AU124" s="8">
        <f t="shared" si="15"/>
        <v>696800</v>
      </c>
      <c r="AV124" s="4" t="s">
        <v>621</v>
      </c>
      <c r="AW124" s="7" t="s">
        <v>623</v>
      </c>
      <c r="AX124" s="5">
        <v>3120000</v>
      </c>
      <c r="AY124">
        <f t="shared" si="16"/>
        <v>0</v>
      </c>
      <c r="AZ124">
        <f t="shared" si="17"/>
        <v>696800</v>
      </c>
      <c r="BA124" s="5">
        <v>5800000</v>
      </c>
      <c r="BB124" s="5">
        <v>0</v>
      </c>
      <c r="BC124" s="4" t="s">
        <v>49</v>
      </c>
      <c r="BD124" s="4">
        <v>47111</v>
      </c>
      <c r="BE124" t="s">
        <v>54</v>
      </c>
    </row>
    <row r="125" spans="1:57" ht="270.75" thickBot="1" x14ac:dyDescent="0.3">
      <c r="A125" s="4" t="s">
        <v>624</v>
      </c>
      <c r="B125" s="4">
        <v>1002</v>
      </c>
      <c r="C125" s="5">
        <v>2</v>
      </c>
      <c r="D125" s="4" t="s">
        <v>44</v>
      </c>
      <c r="E125" s="6">
        <v>46279.03816434028</v>
      </c>
      <c r="F125" s="4" t="s">
        <v>625</v>
      </c>
      <c r="G125" s="4" t="s">
        <v>46</v>
      </c>
      <c r="H125" s="4">
        <v>53</v>
      </c>
      <c r="I125" s="4" t="s">
        <v>47</v>
      </c>
      <c r="J125" s="4">
        <v>5309</v>
      </c>
      <c r="K125" s="4" t="s">
        <v>48</v>
      </c>
      <c r="L125" s="4">
        <v>5309050</v>
      </c>
      <c r="M125" s="4">
        <v>5309050004</v>
      </c>
      <c r="N125" s="4" t="s">
        <v>49</v>
      </c>
      <c r="O125" s="4">
        <v>47111</v>
      </c>
      <c r="P125" s="4" t="s">
        <v>626</v>
      </c>
      <c r="Q125" s="5">
        <v>1</v>
      </c>
      <c r="R125" s="5">
        <v>0</v>
      </c>
      <c r="S125" s="5">
        <v>500000</v>
      </c>
      <c r="T125" s="5">
        <v>1700000</v>
      </c>
      <c r="U125" s="5">
        <v>500000</v>
      </c>
      <c r="V125" s="5">
        <v>0</v>
      </c>
      <c r="W125" s="5">
        <v>2700000</v>
      </c>
      <c r="X125" s="5">
        <v>3000000</v>
      </c>
      <c r="Y125" s="5">
        <v>0</v>
      </c>
      <c r="Z125" s="5">
        <f t="shared" si="9"/>
        <v>300000</v>
      </c>
      <c r="AA125" s="5">
        <v>1800000</v>
      </c>
      <c r="AB125" s="5">
        <f t="shared" si="10"/>
        <v>1300000</v>
      </c>
      <c r="AC125" s="5" t="s">
        <v>627</v>
      </c>
      <c r="AD125" s="4" t="s">
        <v>51</v>
      </c>
      <c r="AE125" s="5">
        <f t="shared" si="11"/>
        <v>0.23076923076923078</v>
      </c>
      <c r="AF125" s="5">
        <v>1300000</v>
      </c>
      <c r="AG125" s="5">
        <v>1</v>
      </c>
      <c r="AH125" s="5">
        <v>1</v>
      </c>
      <c r="AI125" s="5">
        <v>1</v>
      </c>
      <c r="AJ125" s="7" t="s">
        <v>628</v>
      </c>
      <c r="AK125" s="5">
        <v>0</v>
      </c>
      <c r="AL125" s="5">
        <v>0</v>
      </c>
      <c r="AM125" s="4">
        <v>2020</v>
      </c>
      <c r="AN125" s="5">
        <v>0</v>
      </c>
      <c r="AO125" s="5">
        <v>1</v>
      </c>
      <c r="AP125" s="8"/>
      <c r="AQ125" s="8"/>
      <c r="AR125" s="8">
        <f t="shared" si="12"/>
        <v>0</v>
      </c>
      <c r="AS125" s="8">
        <f t="shared" si="13"/>
        <v>1000000</v>
      </c>
      <c r="AT125" s="8">
        <f t="shared" si="14"/>
        <v>300000</v>
      </c>
      <c r="AU125" s="8">
        <f t="shared" si="15"/>
        <v>1000000</v>
      </c>
      <c r="AV125" s="4" t="s">
        <v>626</v>
      </c>
      <c r="AW125" s="7" t="s">
        <v>628</v>
      </c>
      <c r="AX125" s="5">
        <v>1700000</v>
      </c>
      <c r="AY125">
        <f t="shared" si="16"/>
        <v>500000</v>
      </c>
      <c r="AZ125">
        <f t="shared" si="17"/>
        <v>500000</v>
      </c>
      <c r="BA125" s="5">
        <v>3000000</v>
      </c>
      <c r="BB125" s="5">
        <v>0</v>
      </c>
      <c r="BC125" s="4" t="s">
        <v>49</v>
      </c>
      <c r="BD125" s="4">
        <v>47111</v>
      </c>
      <c r="BE125" t="s">
        <v>54</v>
      </c>
    </row>
    <row r="126" spans="1:57" ht="270.75" thickBot="1" x14ac:dyDescent="0.3">
      <c r="A126" s="4" t="s">
        <v>629</v>
      </c>
      <c r="B126" s="4">
        <v>2001</v>
      </c>
      <c r="C126" s="5">
        <v>2</v>
      </c>
      <c r="D126" s="4" t="s">
        <v>44</v>
      </c>
      <c r="E126" s="6">
        <v>46290.922809328702</v>
      </c>
      <c r="F126" s="4" t="s">
        <v>630</v>
      </c>
      <c r="G126" s="4" t="s">
        <v>46</v>
      </c>
      <c r="H126" s="4">
        <v>53</v>
      </c>
      <c r="I126" s="4" t="s">
        <v>47</v>
      </c>
      <c r="J126" s="4">
        <v>5309</v>
      </c>
      <c r="K126" s="4" t="s">
        <v>48</v>
      </c>
      <c r="L126" s="4">
        <v>5309030</v>
      </c>
      <c r="M126" s="4">
        <v>5309030025</v>
      </c>
      <c r="N126" s="4" t="s">
        <v>49</v>
      </c>
      <c r="O126" s="4">
        <v>47111</v>
      </c>
      <c r="P126" s="4" t="s">
        <v>631</v>
      </c>
      <c r="Q126" s="5">
        <v>1</v>
      </c>
      <c r="R126" s="5">
        <v>0</v>
      </c>
      <c r="S126" s="5">
        <v>1500000</v>
      </c>
      <c r="T126" s="5">
        <v>30000000</v>
      </c>
      <c r="U126" s="5">
        <v>3500000</v>
      </c>
      <c r="V126" s="5">
        <v>0</v>
      </c>
      <c r="W126" s="5">
        <v>35000000</v>
      </c>
      <c r="X126" s="5">
        <v>36000000</v>
      </c>
      <c r="Y126" s="5">
        <v>0</v>
      </c>
      <c r="Z126" s="5">
        <f t="shared" si="9"/>
        <v>1000000</v>
      </c>
      <c r="AA126" s="5">
        <v>60000000</v>
      </c>
      <c r="AB126" s="5">
        <f t="shared" si="10"/>
        <v>6000000</v>
      </c>
      <c r="AC126" s="5" t="s">
        <v>192</v>
      </c>
      <c r="AD126" s="4" t="s">
        <v>51</v>
      </c>
      <c r="AE126" s="5">
        <f t="shared" si="11"/>
        <v>0.16666666666666666</v>
      </c>
      <c r="AF126" s="5">
        <v>6000000</v>
      </c>
      <c r="AG126" s="5">
        <v>1</v>
      </c>
      <c r="AH126" s="5">
        <v>1</v>
      </c>
      <c r="AI126" s="5">
        <v>1</v>
      </c>
      <c r="AJ126" s="7" t="s">
        <v>632</v>
      </c>
      <c r="AK126" s="5">
        <v>0</v>
      </c>
      <c r="AL126" s="5">
        <v>0</v>
      </c>
      <c r="AM126" s="4">
        <v>2025</v>
      </c>
      <c r="AN126" s="5">
        <v>0</v>
      </c>
      <c r="AO126" s="5">
        <v>1</v>
      </c>
      <c r="AP126" s="8"/>
      <c r="AQ126" s="8"/>
      <c r="AR126" s="8">
        <f t="shared" si="12"/>
        <v>0</v>
      </c>
      <c r="AS126" s="8">
        <f t="shared" si="13"/>
        <v>5000000</v>
      </c>
      <c r="AT126" s="8">
        <f t="shared" si="14"/>
        <v>1000000</v>
      </c>
      <c r="AU126" s="8">
        <f t="shared" si="15"/>
        <v>5000000</v>
      </c>
      <c r="AV126" s="4" t="s">
        <v>631</v>
      </c>
      <c r="AW126" s="7" t="s">
        <v>632</v>
      </c>
      <c r="AX126" s="5">
        <v>30000000</v>
      </c>
      <c r="AY126">
        <f t="shared" si="16"/>
        <v>1500000</v>
      </c>
      <c r="AZ126">
        <f t="shared" si="17"/>
        <v>3500000</v>
      </c>
      <c r="BA126" s="5">
        <v>36000000</v>
      </c>
      <c r="BB126" s="5">
        <v>0</v>
      </c>
      <c r="BC126" s="4" t="s">
        <v>49</v>
      </c>
      <c r="BD126" s="4">
        <v>47111</v>
      </c>
      <c r="BE126" t="s">
        <v>54</v>
      </c>
    </row>
    <row r="127" spans="1:57" ht="270.75" thickBot="1" x14ac:dyDescent="0.3">
      <c r="A127" s="4" t="s">
        <v>633</v>
      </c>
      <c r="B127" s="4">
        <v>1001</v>
      </c>
      <c r="C127" s="5">
        <v>2</v>
      </c>
      <c r="D127" s="4" t="s">
        <v>44</v>
      </c>
      <c r="E127" s="6">
        <v>46238.17870074074</v>
      </c>
      <c r="F127" s="4" t="s">
        <v>634</v>
      </c>
      <c r="G127" s="4" t="s">
        <v>46</v>
      </c>
      <c r="H127" s="4">
        <v>53</v>
      </c>
      <c r="I127" s="4" t="s">
        <v>47</v>
      </c>
      <c r="J127" s="4">
        <v>5309</v>
      </c>
      <c r="K127" s="4" t="s">
        <v>48</v>
      </c>
      <c r="L127" s="4">
        <v>5309062</v>
      </c>
      <c r="M127" s="4">
        <v>5309062009</v>
      </c>
      <c r="N127" s="4" t="s">
        <v>49</v>
      </c>
      <c r="O127" s="4">
        <v>47111</v>
      </c>
      <c r="P127" s="4" t="s">
        <v>635</v>
      </c>
      <c r="Q127" s="5">
        <v>1</v>
      </c>
      <c r="R127" s="5">
        <v>0</v>
      </c>
      <c r="S127" s="5">
        <v>0</v>
      </c>
      <c r="T127" s="5">
        <v>5000000</v>
      </c>
      <c r="U127" s="5">
        <v>0</v>
      </c>
      <c r="V127" s="5">
        <v>0</v>
      </c>
      <c r="W127" s="5">
        <v>5000000</v>
      </c>
      <c r="X127" s="5">
        <v>8000000</v>
      </c>
      <c r="Y127" s="5">
        <v>0</v>
      </c>
      <c r="Z127" s="5">
        <f t="shared" si="9"/>
        <v>3000000</v>
      </c>
      <c r="AA127" s="5">
        <v>100000</v>
      </c>
      <c r="AB127" s="5">
        <f t="shared" si="10"/>
        <v>3000000</v>
      </c>
      <c r="AC127" s="5" t="s">
        <v>90</v>
      </c>
      <c r="AD127" s="4" t="s">
        <v>51</v>
      </c>
      <c r="AE127" s="5">
        <f t="shared" si="11"/>
        <v>1</v>
      </c>
      <c r="AF127" s="5">
        <v>3000000</v>
      </c>
      <c r="AG127" s="5">
        <v>1</v>
      </c>
      <c r="AH127" s="5">
        <v>1</v>
      </c>
      <c r="AI127" s="5">
        <v>1</v>
      </c>
      <c r="AJ127" s="7" t="s">
        <v>636</v>
      </c>
      <c r="AK127" s="5">
        <v>0</v>
      </c>
      <c r="AL127" s="5">
        <v>0</v>
      </c>
      <c r="AM127" s="4">
        <v>2025</v>
      </c>
      <c r="AN127" s="5">
        <v>0</v>
      </c>
      <c r="AO127" s="5">
        <v>1</v>
      </c>
      <c r="AP127" s="8"/>
      <c r="AQ127" s="8"/>
      <c r="AR127" s="8">
        <f t="shared" si="12"/>
        <v>0</v>
      </c>
      <c r="AS127" s="8">
        <f t="shared" si="13"/>
        <v>0</v>
      </c>
      <c r="AT127" s="8">
        <f t="shared" si="14"/>
        <v>2220000</v>
      </c>
      <c r="AU127" s="8">
        <f t="shared" si="15"/>
        <v>780000</v>
      </c>
      <c r="AV127" s="4" t="s">
        <v>635</v>
      </c>
      <c r="AW127" s="7" t="s">
        <v>636</v>
      </c>
      <c r="AX127" s="5">
        <v>5000000</v>
      </c>
      <c r="AY127" t="e">
        <f t="shared" si="16"/>
        <v>#DIV/0!</v>
      </c>
      <c r="AZ127" t="e">
        <f t="shared" si="17"/>
        <v>#DIV/0!</v>
      </c>
      <c r="BA127" s="5">
        <v>8000000</v>
      </c>
      <c r="BB127" s="5">
        <v>0</v>
      </c>
      <c r="BC127" s="4" t="s">
        <v>49</v>
      </c>
      <c r="BD127" s="4">
        <v>47111</v>
      </c>
      <c r="BE127" t="s">
        <v>54</v>
      </c>
    </row>
    <row r="128" spans="1:57" ht="270.75" thickBot="1" x14ac:dyDescent="0.3">
      <c r="A128" s="4" t="s">
        <v>637</v>
      </c>
      <c r="B128" s="4">
        <v>3002</v>
      </c>
      <c r="C128" s="5">
        <v>2</v>
      </c>
      <c r="D128" s="4" t="s">
        <v>44</v>
      </c>
      <c r="E128" s="6">
        <v>46244.383484386577</v>
      </c>
      <c r="F128" s="4" t="s">
        <v>638</v>
      </c>
      <c r="G128" s="4" t="s">
        <v>46</v>
      </c>
      <c r="H128" s="4">
        <v>53</v>
      </c>
      <c r="I128" s="4" t="s">
        <v>47</v>
      </c>
      <c r="J128" s="4">
        <v>5309</v>
      </c>
      <c r="K128" s="4" t="s">
        <v>48</v>
      </c>
      <c r="L128" s="4">
        <v>5309060</v>
      </c>
      <c r="M128" s="4">
        <v>5309060023</v>
      </c>
      <c r="N128" s="4" t="s">
        <v>49</v>
      </c>
      <c r="O128" s="4">
        <v>47111</v>
      </c>
      <c r="P128" s="4" t="s">
        <v>639</v>
      </c>
      <c r="Q128" s="5">
        <v>1</v>
      </c>
      <c r="R128" s="5">
        <v>0</v>
      </c>
      <c r="S128" s="5">
        <v>0</v>
      </c>
      <c r="T128" s="5">
        <v>15000000</v>
      </c>
      <c r="U128" s="5">
        <v>250000</v>
      </c>
      <c r="V128" s="5">
        <v>0</v>
      </c>
      <c r="W128" s="5">
        <v>15250000</v>
      </c>
      <c r="X128" s="5">
        <v>23000000</v>
      </c>
      <c r="Y128" s="5">
        <v>0</v>
      </c>
      <c r="Z128" s="5">
        <f t="shared" si="9"/>
        <v>7750000</v>
      </c>
      <c r="AA128" s="5">
        <v>1300000</v>
      </c>
      <c r="AB128" s="5">
        <f t="shared" si="10"/>
        <v>8000000</v>
      </c>
      <c r="AC128" s="5" t="s">
        <v>640</v>
      </c>
      <c r="AD128" s="4" t="s">
        <v>51</v>
      </c>
      <c r="AE128" s="5">
        <f t="shared" si="11"/>
        <v>0.96875</v>
      </c>
      <c r="AF128" s="5">
        <v>8000000</v>
      </c>
      <c r="AG128" s="5">
        <v>1</v>
      </c>
      <c r="AH128" s="5">
        <v>1</v>
      </c>
      <c r="AI128" s="5">
        <v>1</v>
      </c>
      <c r="AJ128" s="7" t="s">
        <v>641</v>
      </c>
      <c r="AK128" s="5">
        <v>0</v>
      </c>
      <c r="AL128" s="5">
        <v>0</v>
      </c>
      <c r="AM128" s="4">
        <v>2016</v>
      </c>
      <c r="AN128" s="5">
        <v>0</v>
      </c>
      <c r="AO128" s="5">
        <v>1</v>
      </c>
      <c r="AP128" s="8"/>
      <c r="AQ128" s="8"/>
      <c r="AR128" s="8">
        <f t="shared" si="12"/>
        <v>0</v>
      </c>
      <c r="AS128" s="8">
        <f t="shared" si="13"/>
        <v>250000</v>
      </c>
      <c r="AT128" s="8">
        <f t="shared" si="14"/>
        <v>5920000</v>
      </c>
      <c r="AU128" s="8">
        <f t="shared" si="15"/>
        <v>2080000</v>
      </c>
      <c r="AV128" s="4" t="s">
        <v>639</v>
      </c>
      <c r="AW128" s="7" t="s">
        <v>641</v>
      </c>
      <c r="AX128" s="5">
        <v>15000000</v>
      </c>
      <c r="AY128">
        <f t="shared" si="16"/>
        <v>0</v>
      </c>
      <c r="AZ128">
        <f t="shared" si="17"/>
        <v>2080000</v>
      </c>
      <c r="BA128" s="5">
        <v>23000000</v>
      </c>
      <c r="BB128" s="5">
        <v>0</v>
      </c>
      <c r="BC128" s="4" t="s">
        <v>49</v>
      </c>
      <c r="BD128" s="4">
        <v>47111</v>
      </c>
      <c r="BE128" t="s">
        <v>54</v>
      </c>
    </row>
    <row r="129" spans="1:57" ht="270.75" thickBot="1" x14ac:dyDescent="0.3">
      <c r="A129" s="4" t="s">
        <v>642</v>
      </c>
      <c r="B129" s="4">
        <v>2001</v>
      </c>
      <c r="C129" s="5">
        <v>2</v>
      </c>
      <c r="D129" s="4" t="s">
        <v>44</v>
      </c>
      <c r="E129" s="6">
        <v>46246.274744131944</v>
      </c>
      <c r="F129" s="4" t="s">
        <v>643</v>
      </c>
      <c r="G129" s="4" t="s">
        <v>46</v>
      </c>
      <c r="H129" s="4">
        <v>53</v>
      </c>
      <c r="I129" s="4" t="s">
        <v>47</v>
      </c>
      <c r="J129" s="4">
        <v>5309</v>
      </c>
      <c r="K129" s="4" t="s">
        <v>48</v>
      </c>
      <c r="L129" s="4">
        <v>5309062</v>
      </c>
      <c r="M129" s="4">
        <v>5309062006</v>
      </c>
      <c r="N129" s="4" t="s">
        <v>49</v>
      </c>
      <c r="O129" s="4">
        <v>47111</v>
      </c>
      <c r="P129" s="4" t="s">
        <v>644</v>
      </c>
      <c r="Q129" s="5">
        <v>2</v>
      </c>
      <c r="R129" s="5">
        <v>500000</v>
      </c>
      <c r="S129" s="5">
        <v>300000</v>
      </c>
      <c r="T129" s="5">
        <v>30000000</v>
      </c>
      <c r="U129" s="5">
        <v>2500000</v>
      </c>
      <c r="V129" s="5">
        <v>260000</v>
      </c>
      <c r="W129" s="5">
        <v>33560000</v>
      </c>
      <c r="X129" s="5">
        <v>50000000</v>
      </c>
      <c r="Y129" s="5">
        <v>0</v>
      </c>
      <c r="Z129" s="5">
        <f t="shared" si="9"/>
        <v>17200000</v>
      </c>
      <c r="AA129" s="5">
        <v>4500000</v>
      </c>
      <c r="AB129" s="5">
        <f t="shared" si="10"/>
        <v>20000000</v>
      </c>
      <c r="AC129" s="5" t="s">
        <v>100</v>
      </c>
      <c r="AD129" s="4" t="s">
        <v>51</v>
      </c>
      <c r="AE129" s="5">
        <f t="shared" si="11"/>
        <v>0.86</v>
      </c>
      <c r="AF129" s="5">
        <v>10000000</v>
      </c>
      <c r="AG129" s="5">
        <v>1</v>
      </c>
      <c r="AH129" s="5">
        <v>1</v>
      </c>
      <c r="AI129" s="5">
        <v>1</v>
      </c>
      <c r="AJ129" s="7" t="s">
        <v>645</v>
      </c>
      <c r="AK129" s="5">
        <v>0</v>
      </c>
      <c r="AL129" s="5">
        <v>0</v>
      </c>
      <c r="AM129" s="4">
        <v>2025</v>
      </c>
      <c r="AN129" s="5">
        <v>1</v>
      </c>
      <c r="AO129" s="5">
        <v>1</v>
      </c>
      <c r="AP129" s="8"/>
      <c r="AQ129" s="8"/>
      <c r="AR129" s="8">
        <f t="shared" si="12"/>
        <v>0</v>
      </c>
      <c r="AS129" s="8">
        <f t="shared" si="13"/>
        <v>2800000</v>
      </c>
      <c r="AT129" s="8">
        <f t="shared" si="14"/>
        <v>14800000</v>
      </c>
      <c r="AU129" s="8">
        <f t="shared" si="15"/>
        <v>5200000</v>
      </c>
      <c r="AV129" s="4" t="s">
        <v>644</v>
      </c>
      <c r="AW129" s="7" t="s">
        <v>645</v>
      </c>
      <c r="AX129" s="5">
        <v>30000000</v>
      </c>
      <c r="AY129">
        <f t="shared" si="16"/>
        <v>557142.85714285728</v>
      </c>
      <c r="AZ129">
        <f t="shared" si="17"/>
        <v>4642857.1428571427</v>
      </c>
      <c r="BA129" s="5">
        <v>50000000</v>
      </c>
      <c r="BB129" s="5">
        <v>0</v>
      </c>
      <c r="BC129" s="4" t="s">
        <v>49</v>
      </c>
      <c r="BD129" s="4">
        <v>47111</v>
      </c>
      <c r="BE129" t="s">
        <v>54</v>
      </c>
    </row>
    <row r="130" spans="1:57" ht="270.75" thickBot="1" x14ac:dyDescent="0.3">
      <c r="A130" s="4" t="s">
        <v>646</v>
      </c>
      <c r="B130" s="4">
        <v>1002</v>
      </c>
      <c r="C130" s="5">
        <v>2</v>
      </c>
      <c r="D130" s="4" t="s">
        <v>44</v>
      </c>
      <c r="E130" s="6">
        <v>46256.022719409724</v>
      </c>
      <c r="F130" s="4" t="s">
        <v>647</v>
      </c>
      <c r="G130" s="4" t="s">
        <v>46</v>
      </c>
      <c r="H130" s="4">
        <v>53</v>
      </c>
      <c r="I130" s="4" t="s">
        <v>47</v>
      </c>
      <c r="J130" s="4">
        <v>5309</v>
      </c>
      <c r="K130" s="4" t="s">
        <v>48</v>
      </c>
      <c r="L130" s="4">
        <v>5309072</v>
      </c>
      <c r="M130" s="4">
        <v>5309072007</v>
      </c>
      <c r="N130" s="4" t="s">
        <v>49</v>
      </c>
      <c r="O130" s="4">
        <v>47111</v>
      </c>
      <c r="P130" s="4" t="s">
        <v>648</v>
      </c>
      <c r="Q130" s="5">
        <v>2</v>
      </c>
      <c r="R130" s="5">
        <v>0</v>
      </c>
      <c r="S130" s="5">
        <v>0</v>
      </c>
      <c r="T130" s="5">
        <v>6000000</v>
      </c>
      <c r="U130" s="5">
        <v>500000</v>
      </c>
      <c r="V130" s="5">
        <v>0</v>
      </c>
      <c r="W130" s="5">
        <v>6500000</v>
      </c>
      <c r="X130" s="5">
        <v>8352000</v>
      </c>
      <c r="Y130" s="5">
        <v>0</v>
      </c>
      <c r="Z130" s="5">
        <f t="shared" si="9"/>
        <v>1852000</v>
      </c>
      <c r="AA130" s="5">
        <v>21150000</v>
      </c>
      <c r="AB130" s="5">
        <f t="shared" si="10"/>
        <v>2352000</v>
      </c>
      <c r="AC130" s="5" t="s">
        <v>649</v>
      </c>
      <c r="AD130" s="4" t="s">
        <v>51</v>
      </c>
      <c r="AE130" s="5">
        <f t="shared" si="11"/>
        <v>0.7874149659863946</v>
      </c>
      <c r="AF130" s="5">
        <v>1176000</v>
      </c>
      <c r="AG130" s="5">
        <v>1</v>
      </c>
      <c r="AH130" s="5">
        <v>1</v>
      </c>
      <c r="AI130" s="5">
        <v>1</v>
      </c>
      <c r="AJ130" s="7" t="s">
        <v>650</v>
      </c>
      <c r="AK130" s="5">
        <v>0</v>
      </c>
      <c r="AL130" s="5">
        <v>0</v>
      </c>
      <c r="AM130" s="4">
        <v>2021</v>
      </c>
      <c r="AN130" s="5">
        <v>0</v>
      </c>
      <c r="AO130" s="5">
        <v>2</v>
      </c>
      <c r="AP130" s="8"/>
      <c r="AQ130" s="8"/>
      <c r="AR130" s="8">
        <f t="shared" si="12"/>
        <v>0</v>
      </c>
      <c r="AS130" s="8">
        <f t="shared" si="13"/>
        <v>500000</v>
      </c>
      <c r="AT130" s="8">
        <f t="shared" si="14"/>
        <v>1740480</v>
      </c>
      <c r="AU130" s="8">
        <f t="shared" si="15"/>
        <v>611520</v>
      </c>
      <c r="AV130" s="4" t="s">
        <v>648</v>
      </c>
      <c r="AW130" s="7" t="s">
        <v>650</v>
      </c>
      <c r="AX130" s="5">
        <v>6000000</v>
      </c>
      <c r="AY130">
        <f t="shared" si="16"/>
        <v>0</v>
      </c>
      <c r="AZ130">
        <f t="shared" si="17"/>
        <v>611520</v>
      </c>
      <c r="BA130" s="5">
        <v>8352000</v>
      </c>
      <c r="BB130" s="5">
        <v>0</v>
      </c>
      <c r="BC130" s="4" t="s">
        <v>49</v>
      </c>
      <c r="BD130" s="4">
        <v>47111</v>
      </c>
      <c r="BE130" t="s">
        <v>54</v>
      </c>
    </row>
    <row r="131" spans="1:57" ht="270.75" thickBot="1" x14ac:dyDescent="0.3">
      <c r="A131" s="4" t="s">
        <v>651</v>
      </c>
      <c r="B131" s="4">
        <v>2001</v>
      </c>
      <c r="C131" s="5">
        <v>2</v>
      </c>
      <c r="D131" s="4" t="s">
        <v>44</v>
      </c>
      <c r="E131" s="6">
        <v>46293.103473888892</v>
      </c>
      <c r="F131" s="4" t="s">
        <v>652</v>
      </c>
      <c r="G131" s="4" t="s">
        <v>46</v>
      </c>
      <c r="H131" s="4">
        <v>53</v>
      </c>
      <c r="I131" s="4" t="s">
        <v>47</v>
      </c>
      <c r="J131" s="4">
        <v>5309</v>
      </c>
      <c r="K131" s="4" t="s">
        <v>48</v>
      </c>
      <c r="L131" s="4">
        <v>5309040</v>
      </c>
      <c r="M131" s="4">
        <v>5309040005</v>
      </c>
      <c r="N131" s="4" t="s">
        <v>49</v>
      </c>
      <c r="O131" s="4">
        <v>47111</v>
      </c>
      <c r="P131" s="4" t="s">
        <v>653</v>
      </c>
      <c r="Q131" s="5">
        <v>2</v>
      </c>
      <c r="R131" s="5">
        <v>0</v>
      </c>
      <c r="S131" s="5">
        <v>1000000</v>
      </c>
      <c r="T131" s="5">
        <v>10000000</v>
      </c>
      <c r="U131" s="5">
        <v>1200000</v>
      </c>
      <c r="V131" s="5">
        <v>0</v>
      </c>
      <c r="W131" s="5">
        <v>12200000</v>
      </c>
      <c r="X131" s="5">
        <v>20000000</v>
      </c>
      <c r="Y131" s="5">
        <v>0</v>
      </c>
      <c r="Z131" s="5">
        <f t="shared" ref="Z131:Z194" si="18">X131-SUM(S131:U131)</f>
        <v>7800000</v>
      </c>
      <c r="AA131" s="5">
        <v>900000</v>
      </c>
      <c r="AB131" s="5">
        <f t="shared" ref="AB131:AB194" si="19">X131-T131</f>
        <v>10000000</v>
      </c>
      <c r="AC131" s="5" t="s">
        <v>93</v>
      </c>
      <c r="AD131" s="4" t="s">
        <v>51</v>
      </c>
      <c r="AE131" s="5">
        <f t="shared" ref="AE131:AE194" si="20">Z131/AB131</f>
        <v>0.78</v>
      </c>
      <c r="AF131" s="5">
        <v>5000000</v>
      </c>
      <c r="AG131" s="5">
        <v>1</v>
      </c>
      <c r="AH131" s="5">
        <v>1</v>
      </c>
      <c r="AI131" s="5">
        <v>1</v>
      </c>
      <c r="AJ131" s="7" t="s">
        <v>654</v>
      </c>
      <c r="AK131" s="5">
        <v>0</v>
      </c>
      <c r="AL131" s="5">
        <v>0</v>
      </c>
      <c r="AM131" s="4">
        <v>2001</v>
      </c>
      <c r="AN131" s="5">
        <v>0</v>
      </c>
      <c r="AO131" s="5">
        <v>2</v>
      </c>
      <c r="AP131" s="8"/>
      <c r="AQ131" s="8"/>
      <c r="AR131" s="8">
        <f t="shared" ref="AR131:AR194" si="21">IF(Z131&lt;=0,1,0)</f>
        <v>0</v>
      </c>
      <c r="AS131" s="8">
        <f t="shared" ref="AS131:AS194" si="22">AB131-Z131</f>
        <v>2200000</v>
      </c>
      <c r="AT131" s="8">
        <f t="shared" ref="AT131:AT194" si="23">IF(AE131&gt;0.78,(Z131*0.74/AE131),IF(Z131&lt;0.64,(Z131*0.68/AE131),Z131))</f>
        <v>7800000</v>
      </c>
      <c r="AU131" s="8">
        <f t="shared" ref="AU131:AU194" si="24">AB131-AT131</f>
        <v>2200000</v>
      </c>
      <c r="AV131" s="4" t="s">
        <v>653</v>
      </c>
      <c r="AW131" s="7" t="s">
        <v>654</v>
      </c>
      <c r="AX131" s="5">
        <v>10000000</v>
      </c>
      <c r="AY131">
        <f t="shared" ref="AY131:AY194" si="25">AU131-AZ131</f>
        <v>1000000</v>
      </c>
      <c r="AZ131">
        <f t="shared" ref="AZ131:AZ194" si="26">U131*AU131/AS131</f>
        <v>1200000</v>
      </c>
      <c r="BA131" s="5">
        <v>20000000</v>
      </c>
      <c r="BB131" s="5">
        <v>0</v>
      </c>
      <c r="BC131" s="4" t="s">
        <v>49</v>
      </c>
      <c r="BD131" s="4">
        <v>47111</v>
      </c>
      <c r="BE131" t="s">
        <v>54</v>
      </c>
    </row>
    <row r="132" spans="1:57" ht="270.75" thickBot="1" x14ac:dyDescent="0.3">
      <c r="A132" s="4" t="s">
        <v>655</v>
      </c>
      <c r="B132" s="4">
        <v>2001</v>
      </c>
      <c r="C132" s="5">
        <v>2</v>
      </c>
      <c r="D132" s="4" t="s">
        <v>44</v>
      </c>
      <c r="E132" s="6">
        <v>46293.103480833335</v>
      </c>
      <c r="F132" s="4" t="s">
        <v>656</v>
      </c>
      <c r="G132" s="4" t="s">
        <v>46</v>
      </c>
      <c r="H132" s="4">
        <v>53</v>
      </c>
      <c r="I132" s="4" t="s">
        <v>47</v>
      </c>
      <c r="J132" s="4">
        <v>5309</v>
      </c>
      <c r="K132" s="4" t="s">
        <v>48</v>
      </c>
      <c r="L132" s="4">
        <v>5309031</v>
      </c>
      <c r="M132" s="4">
        <v>5309031002</v>
      </c>
      <c r="N132" s="4" t="s">
        <v>49</v>
      </c>
      <c r="O132" s="4">
        <v>47111</v>
      </c>
      <c r="P132" s="4" t="s">
        <v>657</v>
      </c>
      <c r="Q132" s="5">
        <v>2</v>
      </c>
      <c r="R132" s="5">
        <v>0</v>
      </c>
      <c r="S132" s="5">
        <v>180000</v>
      </c>
      <c r="T132" s="5">
        <v>24000000</v>
      </c>
      <c r="U132" s="5">
        <v>447000</v>
      </c>
      <c r="V132" s="5">
        <v>10000</v>
      </c>
      <c r="W132" s="5">
        <v>24637000</v>
      </c>
      <c r="X132" s="5">
        <v>42000000</v>
      </c>
      <c r="Y132" s="5">
        <v>0</v>
      </c>
      <c r="Z132" s="5">
        <f t="shared" si="18"/>
        <v>17373000</v>
      </c>
      <c r="AA132" s="5">
        <v>52000000</v>
      </c>
      <c r="AB132" s="5">
        <f t="shared" si="19"/>
        <v>18000000</v>
      </c>
      <c r="AC132" s="5" t="s">
        <v>144</v>
      </c>
      <c r="AD132" s="4" t="s">
        <v>51</v>
      </c>
      <c r="AE132" s="5">
        <f t="shared" si="20"/>
        <v>0.96516666666666662</v>
      </c>
      <c r="AF132" s="5">
        <v>9000000</v>
      </c>
      <c r="AG132" s="5">
        <v>0</v>
      </c>
      <c r="AH132" s="5">
        <v>1</v>
      </c>
      <c r="AI132" s="5">
        <v>1</v>
      </c>
      <c r="AJ132" s="7" t="s">
        <v>658</v>
      </c>
      <c r="AK132" s="5">
        <v>0</v>
      </c>
      <c r="AL132" s="5">
        <v>0</v>
      </c>
      <c r="AM132" s="4">
        <v>2023</v>
      </c>
      <c r="AN132" s="5">
        <v>0</v>
      </c>
      <c r="AO132" s="5">
        <v>2</v>
      </c>
      <c r="AP132" s="8"/>
      <c r="AQ132" s="8"/>
      <c r="AR132" s="8">
        <f t="shared" si="21"/>
        <v>0</v>
      </c>
      <c r="AS132" s="8">
        <f t="shared" si="22"/>
        <v>627000</v>
      </c>
      <c r="AT132" s="8">
        <f t="shared" si="23"/>
        <v>13320000</v>
      </c>
      <c r="AU132" s="8">
        <f t="shared" si="24"/>
        <v>4680000</v>
      </c>
      <c r="AV132" s="4" t="s">
        <v>657</v>
      </c>
      <c r="AW132" s="7" t="s">
        <v>658</v>
      </c>
      <c r="AX132" s="5">
        <v>24000000</v>
      </c>
      <c r="AY132">
        <f t="shared" si="25"/>
        <v>1343540.6698564594</v>
      </c>
      <c r="AZ132">
        <f t="shared" si="26"/>
        <v>3336459.3301435406</v>
      </c>
      <c r="BA132" s="5">
        <v>42000000</v>
      </c>
      <c r="BB132" s="5">
        <v>0</v>
      </c>
      <c r="BC132" s="4" t="s">
        <v>49</v>
      </c>
      <c r="BD132" s="4">
        <v>47111</v>
      </c>
      <c r="BE132" t="s">
        <v>54</v>
      </c>
    </row>
    <row r="133" spans="1:57" ht="270.75" thickBot="1" x14ac:dyDescent="0.3">
      <c r="A133" s="4" t="s">
        <v>659</v>
      </c>
      <c r="B133" s="4">
        <v>3004</v>
      </c>
      <c r="C133" s="5">
        <v>2</v>
      </c>
      <c r="D133" s="4" t="s">
        <v>56</v>
      </c>
      <c r="E133" s="6">
        <v>46316.329647303239</v>
      </c>
      <c r="F133" s="4" t="s">
        <v>660</v>
      </c>
      <c r="G133" s="4" t="s">
        <v>46</v>
      </c>
      <c r="H133" s="4">
        <v>53</v>
      </c>
      <c r="I133" s="4" t="s">
        <v>47</v>
      </c>
      <c r="J133" s="4">
        <v>5309</v>
      </c>
      <c r="K133" s="4" t="s">
        <v>48</v>
      </c>
      <c r="L133" s="4">
        <v>5309062</v>
      </c>
      <c r="M133" s="4">
        <v>5309062001</v>
      </c>
      <c r="N133" s="4" t="s">
        <v>49</v>
      </c>
      <c r="O133" s="4">
        <v>47111</v>
      </c>
      <c r="P133" s="4" t="s">
        <v>661</v>
      </c>
      <c r="Q133" s="5">
        <v>2</v>
      </c>
      <c r="R133" s="5">
        <v>150000</v>
      </c>
      <c r="S133" s="5">
        <v>500000</v>
      </c>
      <c r="T133" s="5">
        <v>500000</v>
      </c>
      <c r="U133" s="5">
        <v>100000</v>
      </c>
      <c r="V133" s="5">
        <v>0</v>
      </c>
      <c r="W133" s="5">
        <v>1250000</v>
      </c>
      <c r="X133" s="5">
        <v>1500000</v>
      </c>
      <c r="Y133" s="5">
        <v>0</v>
      </c>
      <c r="Z133" s="5">
        <f t="shared" si="18"/>
        <v>400000</v>
      </c>
      <c r="AA133" s="5">
        <v>600000</v>
      </c>
      <c r="AB133" s="5">
        <f t="shared" si="19"/>
        <v>1000000</v>
      </c>
      <c r="AC133" s="5" t="s">
        <v>172</v>
      </c>
      <c r="AD133" s="4" t="s">
        <v>51</v>
      </c>
      <c r="AE133" s="5">
        <f t="shared" si="20"/>
        <v>0.4</v>
      </c>
      <c r="AF133" s="5">
        <v>500000</v>
      </c>
      <c r="AG133" s="5">
        <v>1</v>
      </c>
      <c r="AH133" s="5">
        <v>1</v>
      </c>
      <c r="AI133" s="5">
        <v>1</v>
      </c>
      <c r="AJ133" s="7" t="s">
        <v>662</v>
      </c>
      <c r="AK133" s="5">
        <v>0</v>
      </c>
      <c r="AL133" s="5">
        <v>0</v>
      </c>
      <c r="AM133" s="4">
        <v>2024</v>
      </c>
      <c r="AN133" s="5">
        <v>1</v>
      </c>
      <c r="AO133" s="5">
        <v>1</v>
      </c>
      <c r="AP133" s="8"/>
      <c r="AQ133" s="8"/>
      <c r="AR133" s="8">
        <f t="shared" si="21"/>
        <v>0</v>
      </c>
      <c r="AS133" s="8">
        <f t="shared" si="22"/>
        <v>600000</v>
      </c>
      <c r="AT133" s="8">
        <f t="shared" si="23"/>
        <v>400000</v>
      </c>
      <c r="AU133" s="8">
        <f t="shared" si="24"/>
        <v>600000</v>
      </c>
      <c r="AV133" s="4" t="s">
        <v>661</v>
      </c>
      <c r="AW133" s="7" t="s">
        <v>662</v>
      </c>
      <c r="AX133" s="5">
        <v>500000</v>
      </c>
      <c r="AY133">
        <f t="shared" si="25"/>
        <v>500000</v>
      </c>
      <c r="AZ133">
        <f t="shared" si="26"/>
        <v>100000</v>
      </c>
      <c r="BA133" s="5">
        <v>1500000</v>
      </c>
      <c r="BB133" s="5">
        <v>0</v>
      </c>
      <c r="BC133" s="4" t="s">
        <v>49</v>
      </c>
      <c r="BD133" s="4">
        <v>47111</v>
      </c>
      <c r="BE133" t="s">
        <v>54</v>
      </c>
    </row>
    <row r="134" spans="1:57" ht="255.75" thickBot="1" x14ac:dyDescent="0.3">
      <c r="A134" s="4" t="s">
        <v>663</v>
      </c>
      <c r="B134" s="4">
        <v>1101</v>
      </c>
      <c r="C134" s="5">
        <v>2</v>
      </c>
      <c r="D134" s="4" t="s">
        <v>44</v>
      </c>
      <c r="E134" s="6">
        <v>46277.921870590275</v>
      </c>
      <c r="F134" s="4" t="s">
        <v>664</v>
      </c>
      <c r="G134" s="4" t="s">
        <v>46</v>
      </c>
      <c r="H134" s="4">
        <v>53</v>
      </c>
      <c r="I134" s="4" t="s">
        <v>47</v>
      </c>
      <c r="J134" s="4">
        <v>5309</v>
      </c>
      <c r="K134" s="4" t="s">
        <v>48</v>
      </c>
      <c r="L134" s="4">
        <v>5309030</v>
      </c>
      <c r="M134" s="4">
        <v>5309030012</v>
      </c>
      <c r="N134" s="4" t="s">
        <v>49</v>
      </c>
      <c r="O134" s="4">
        <v>47111</v>
      </c>
      <c r="P134" s="4" t="s">
        <v>665</v>
      </c>
      <c r="Q134" s="5">
        <v>1</v>
      </c>
      <c r="R134" s="5">
        <v>0</v>
      </c>
      <c r="S134" s="5">
        <v>5000000</v>
      </c>
      <c r="T134" s="5">
        <v>500000</v>
      </c>
      <c r="U134" s="5">
        <v>200000</v>
      </c>
      <c r="V134" s="5">
        <v>0</v>
      </c>
      <c r="W134" s="5">
        <v>5700000</v>
      </c>
      <c r="X134" s="5">
        <v>12000000</v>
      </c>
      <c r="Y134" s="5">
        <v>0</v>
      </c>
      <c r="Z134" s="5">
        <f t="shared" si="18"/>
        <v>6300000</v>
      </c>
      <c r="AA134" s="5">
        <v>13500000</v>
      </c>
      <c r="AB134" s="5">
        <f t="shared" si="19"/>
        <v>11500000</v>
      </c>
      <c r="AC134" s="5" t="s">
        <v>666</v>
      </c>
      <c r="AD134" s="4" t="s">
        <v>51</v>
      </c>
      <c r="AE134" s="5">
        <f t="shared" si="20"/>
        <v>0.54782608695652169</v>
      </c>
      <c r="AF134" s="5">
        <v>11500000</v>
      </c>
      <c r="AG134" s="5">
        <v>1</v>
      </c>
      <c r="AH134" s="5">
        <v>1</v>
      </c>
      <c r="AI134" s="5">
        <v>1</v>
      </c>
      <c r="AJ134" s="7" t="s">
        <v>667</v>
      </c>
      <c r="AK134" s="5">
        <v>0</v>
      </c>
      <c r="AL134" s="5">
        <v>0</v>
      </c>
      <c r="AM134" s="4">
        <v>2025</v>
      </c>
      <c r="AN134" s="5">
        <v>0</v>
      </c>
      <c r="AO134" s="5">
        <v>1</v>
      </c>
      <c r="AP134" s="8"/>
      <c r="AQ134" s="8"/>
      <c r="AR134" s="8">
        <f t="shared" si="21"/>
        <v>0</v>
      </c>
      <c r="AS134" s="8">
        <f t="shared" si="22"/>
        <v>5200000</v>
      </c>
      <c r="AT134" s="8">
        <f t="shared" si="23"/>
        <v>6300000</v>
      </c>
      <c r="AU134" s="8">
        <f t="shared" si="24"/>
        <v>5200000</v>
      </c>
      <c r="AV134" s="4" t="s">
        <v>665</v>
      </c>
      <c r="AW134" s="7" t="s">
        <v>667</v>
      </c>
      <c r="AX134" s="5">
        <v>500000</v>
      </c>
      <c r="AY134">
        <f t="shared" si="25"/>
        <v>5000000</v>
      </c>
      <c r="AZ134">
        <f t="shared" si="26"/>
        <v>200000</v>
      </c>
      <c r="BA134" s="5">
        <v>12000000</v>
      </c>
      <c r="BB134" s="5">
        <v>0</v>
      </c>
      <c r="BC134" s="4" t="s">
        <v>49</v>
      </c>
      <c r="BD134" s="4">
        <v>47111</v>
      </c>
      <c r="BE134" t="s">
        <v>54</v>
      </c>
    </row>
    <row r="135" spans="1:57" ht="270.75" thickBot="1" x14ac:dyDescent="0.3">
      <c r="A135" s="4" t="s">
        <v>668</v>
      </c>
      <c r="B135" s="4">
        <v>3002</v>
      </c>
      <c r="C135" s="5">
        <v>2</v>
      </c>
      <c r="D135" s="4" t="s">
        <v>44</v>
      </c>
      <c r="E135" s="9">
        <v>46214.161423611113</v>
      </c>
      <c r="F135" s="4" t="s">
        <v>669</v>
      </c>
      <c r="G135" s="4" t="s">
        <v>46</v>
      </c>
      <c r="H135" s="4">
        <v>53</v>
      </c>
      <c r="I135" s="4" t="s">
        <v>47</v>
      </c>
      <c r="J135" s="4">
        <v>5309</v>
      </c>
      <c r="K135" s="4" t="s">
        <v>48</v>
      </c>
      <c r="L135" s="4">
        <v>5309073</v>
      </c>
      <c r="M135" s="4">
        <v>5309073007</v>
      </c>
      <c r="N135" s="4" t="s">
        <v>49</v>
      </c>
      <c r="O135" s="4">
        <v>47111</v>
      </c>
      <c r="P135" s="4" t="s">
        <v>670</v>
      </c>
      <c r="Q135" s="5">
        <v>2</v>
      </c>
      <c r="R135" s="5">
        <v>0</v>
      </c>
      <c r="S135" s="5">
        <v>1000000</v>
      </c>
      <c r="T135" s="5">
        <v>10000000</v>
      </c>
      <c r="U135" s="5">
        <v>500000</v>
      </c>
      <c r="V135" s="5">
        <v>0</v>
      </c>
      <c r="W135" s="5">
        <v>11500000</v>
      </c>
      <c r="X135" s="5">
        <v>13000000</v>
      </c>
      <c r="Y135" s="5">
        <v>0</v>
      </c>
      <c r="Z135" s="5">
        <f t="shared" si="18"/>
        <v>1500000</v>
      </c>
      <c r="AA135" s="5">
        <v>10000000</v>
      </c>
      <c r="AB135" s="5">
        <f t="shared" si="19"/>
        <v>3000000</v>
      </c>
      <c r="AC135" s="5" t="s">
        <v>671</v>
      </c>
      <c r="AD135" s="4" t="s">
        <v>51</v>
      </c>
      <c r="AE135" s="5">
        <f t="shared" si="20"/>
        <v>0.5</v>
      </c>
      <c r="AF135" s="5">
        <v>1500000</v>
      </c>
      <c r="AG135" s="5">
        <v>0</v>
      </c>
      <c r="AH135" s="5">
        <v>1</v>
      </c>
      <c r="AI135" s="5">
        <v>1</v>
      </c>
      <c r="AJ135" s="7" t="s">
        <v>672</v>
      </c>
      <c r="AK135" s="5">
        <v>0</v>
      </c>
      <c r="AL135" s="5">
        <v>0</v>
      </c>
      <c r="AM135" s="4">
        <v>2019</v>
      </c>
      <c r="AN135" s="5">
        <v>0</v>
      </c>
      <c r="AO135" s="5">
        <v>2</v>
      </c>
      <c r="AP135" s="8"/>
      <c r="AQ135" s="8"/>
      <c r="AR135" s="8">
        <f t="shared" si="21"/>
        <v>0</v>
      </c>
      <c r="AS135" s="8">
        <f t="shared" si="22"/>
        <v>1500000</v>
      </c>
      <c r="AT135" s="8">
        <f t="shared" si="23"/>
        <v>1500000</v>
      </c>
      <c r="AU135" s="8">
        <f t="shared" si="24"/>
        <v>1500000</v>
      </c>
      <c r="AV135" s="4" t="s">
        <v>670</v>
      </c>
      <c r="AW135" s="7" t="s">
        <v>672</v>
      </c>
      <c r="AX135" s="5">
        <v>10000000</v>
      </c>
      <c r="AY135">
        <f t="shared" si="25"/>
        <v>1000000</v>
      </c>
      <c r="AZ135">
        <f t="shared" si="26"/>
        <v>500000</v>
      </c>
      <c r="BA135" s="5">
        <v>13000000</v>
      </c>
      <c r="BB135" s="5">
        <v>0</v>
      </c>
      <c r="BC135" s="4" t="s">
        <v>49</v>
      </c>
      <c r="BD135" s="4">
        <v>47111</v>
      </c>
      <c r="BE135" t="s">
        <v>54</v>
      </c>
    </row>
    <row r="136" spans="1:57" ht="270.75" thickBot="1" x14ac:dyDescent="0.3">
      <c r="A136" s="4" t="s">
        <v>673</v>
      </c>
      <c r="B136" s="4">
        <v>1001</v>
      </c>
      <c r="C136" s="5">
        <v>2</v>
      </c>
      <c r="D136" s="4" t="s">
        <v>44</v>
      </c>
      <c r="E136" s="6">
        <v>46275.323461932872</v>
      </c>
      <c r="F136" s="4" t="s">
        <v>674</v>
      </c>
      <c r="G136" s="4" t="s">
        <v>46</v>
      </c>
      <c r="H136" s="4">
        <v>53</v>
      </c>
      <c r="I136" s="4" t="s">
        <v>47</v>
      </c>
      <c r="J136" s="4">
        <v>5309</v>
      </c>
      <c r="K136" s="4" t="s">
        <v>48</v>
      </c>
      <c r="L136" s="4">
        <v>5309050</v>
      </c>
      <c r="M136" s="4">
        <v>5309050003</v>
      </c>
      <c r="N136" s="4" t="s">
        <v>49</v>
      </c>
      <c r="O136" s="4">
        <v>47111</v>
      </c>
      <c r="P136" s="4" t="s">
        <v>675</v>
      </c>
      <c r="Q136" s="5">
        <v>1</v>
      </c>
      <c r="R136" s="5">
        <v>0</v>
      </c>
      <c r="S136" s="5">
        <v>50000</v>
      </c>
      <c r="T136" s="5">
        <v>1500000</v>
      </c>
      <c r="U136" s="5">
        <v>150000</v>
      </c>
      <c r="V136" s="5">
        <v>0</v>
      </c>
      <c r="W136" s="5">
        <v>1700000</v>
      </c>
      <c r="X136" s="5">
        <v>2000000</v>
      </c>
      <c r="Y136" s="5">
        <v>0</v>
      </c>
      <c r="Z136" s="5">
        <f t="shared" si="18"/>
        <v>300000</v>
      </c>
      <c r="AA136" s="5">
        <v>2000000</v>
      </c>
      <c r="AB136" s="5">
        <f t="shared" si="19"/>
        <v>500000</v>
      </c>
      <c r="AC136" s="5" t="s">
        <v>255</v>
      </c>
      <c r="AD136" s="4" t="s">
        <v>51</v>
      </c>
      <c r="AE136" s="5">
        <f t="shared" si="20"/>
        <v>0.6</v>
      </c>
      <c r="AF136" s="5">
        <v>500000</v>
      </c>
      <c r="AG136" s="5">
        <v>0</v>
      </c>
      <c r="AH136" s="5">
        <v>1</v>
      </c>
      <c r="AI136" s="5">
        <v>1</v>
      </c>
      <c r="AJ136" s="7" t="s">
        <v>676</v>
      </c>
      <c r="AK136" s="5">
        <v>0</v>
      </c>
      <c r="AL136" s="5">
        <v>0</v>
      </c>
      <c r="AM136" s="4">
        <v>2021</v>
      </c>
      <c r="AN136" s="5">
        <v>0</v>
      </c>
      <c r="AO136" s="5">
        <v>1</v>
      </c>
      <c r="AP136" s="8"/>
      <c r="AQ136" s="8"/>
      <c r="AR136" s="8">
        <f t="shared" si="21"/>
        <v>0</v>
      </c>
      <c r="AS136" s="8">
        <f t="shared" si="22"/>
        <v>200000</v>
      </c>
      <c r="AT136" s="8">
        <f t="shared" si="23"/>
        <v>300000</v>
      </c>
      <c r="AU136" s="8">
        <f t="shared" si="24"/>
        <v>200000</v>
      </c>
      <c r="AV136" s="4" t="s">
        <v>675</v>
      </c>
      <c r="AW136" s="7" t="s">
        <v>676</v>
      </c>
      <c r="AX136" s="5">
        <v>1500000</v>
      </c>
      <c r="AY136">
        <f t="shared" si="25"/>
        <v>50000</v>
      </c>
      <c r="AZ136">
        <f t="shared" si="26"/>
        <v>150000</v>
      </c>
      <c r="BA136" s="5">
        <v>2000000</v>
      </c>
      <c r="BB136" s="5">
        <v>0</v>
      </c>
      <c r="BC136" s="4" t="s">
        <v>49</v>
      </c>
      <c r="BD136" s="4">
        <v>47111</v>
      </c>
      <c r="BE136" t="s">
        <v>54</v>
      </c>
    </row>
    <row r="137" spans="1:57" ht="270.75" thickBot="1" x14ac:dyDescent="0.3">
      <c r="A137" s="4" t="s">
        <v>677</v>
      </c>
      <c r="B137" s="4">
        <v>1</v>
      </c>
      <c r="C137" s="5">
        <v>2</v>
      </c>
      <c r="D137" s="4" t="s">
        <v>44</v>
      </c>
      <c r="E137" s="6">
        <v>46264.555917534723</v>
      </c>
      <c r="F137" s="4" t="s">
        <v>678</v>
      </c>
      <c r="G137" s="4" t="s">
        <v>46</v>
      </c>
      <c r="H137" s="4">
        <v>53</v>
      </c>
      <c r="I137" s="4" t="s">
        <v>47</v>
      </c>
      <c r="J137" s="4">
        <v>5309</v>
      </c>
      <c r="K137" s="4" t="s">
        <v>48</v>
      </c>
      <c r="L137" s="4">
        <v>5309011</v>
      </c>
      <c r="M137" s="4">
        <v>5309011007</v>
      </c>
      <c r="N137" s="4" t="s">
        <v>49</v>
      </c>
      <c r="O137" s="4">
        <v>47111</v>
      </c>
      <c r="P137" s="4" t="s">
        <v>515</v>
      </c>
      <c r="Q137" s="5">
        <v>1</v>
      </c>
      <c r="R137" s="5">
        <v>0</v>
      </c>
      <c r="S137" s="5">
        <v>2000000</v>
      </c>
      <c r="T137" s="5">
        <v>18000000</v>
      </c>
      <c r="U137" s="5">
        <v>1000000</v>
      </c>
      <c r="V137" s="5">
        <v>0</v>
      </c>
      <c r="W137" s="5">
        <v>21000000</v>
      </c>
      <c r="X137" s="5">
        <v>37000000</v>
      </c>
      <c r="Y137" s="5">
        <v>0</v>
      </c>
      <c r="Z137" s="5">
        <f t="shared" si="18"/>
        <v>16000000</v>
      </c>
      <c r="AA137" s="5">
        <v>15000000</v>
      </c>
      <c r="AB137" s="5">
        <f t="shared" si="19"/>
        <v>19000000</v>
      </c>
      <c r="AC137" s="5" t="s">
        <v>679</v>
      </c>
      <c r="AD137" s="4" t="s">
        <v>51</v>
      </c>
      <c r="AE137" s="5">
        <f t="shared" si="20"/>
        <v>0.84210526315789469</v>
      </c>
      <c r="AF137" s="5">
        <v>19000000</v>
      </c>
      <c r="AG137" s="5">
        <v>1</v>
      </c>
      <c r="AH137" s="5">
        <v>1</v>
      </c>
      <c r="AI137" s="5">
        <v>1</v>
      </c>
      <c r="AJ137" s="7" t="s">
        <v>680</v>
      </c>
      <c r="AK137" s="5">
        <v>0</v>
      </c>
      <c r="AL137" s="5">
        <v>0</v>
      </c>
      <c r="AM137" s="4">
        <v>2010</v>
      </c>
      <c r="AN137" s="5">
        <v>0</v>
      </c>
      <c r="AO137" s="5">
        <v>1</v>
      </c>
      <c r="AP137" s="8"/>
      <c r="AQ137" s="8"/>
      <c r="AR137" s="8">
        <f t="shared" si="21"/>
        <v>0</v>
      </c>
      <c r="AS137" s="8">
        <f t="shared" si="22"/>
        <v>3000000</v>
      </c>
      <c r="AT137" s="8">
        <f t="shared" si="23"/>
        <v>14060000</v>
      </c>
      <c r="AU137" s="8">
        <f t="shared" si="24"/>
        <v>4940000</v>
      </c>
      <c r="AV137" s="4" t="s">
        <v>515</v>
      </c>
      <c r="AW137" s="7" t="s">
        <v>680</v>
      </c>
      <c r="AX137" s="5">
        <v>18000000</v>
      </c>
      <c r="AY137">
        <f t="shared" si="25"/>
        <v>3293333.333333333</v>
      </c>
      <c r="AZ137">
        <f t="shared" si="26"/>
        <v>1646666.6666666667</v>
      </c>
      <c r="BA137" s="5">
        <v>37000000</v>
      </c>
      <c r="BB137" s="5">
        <v>0</v>
      </c>
      <c r="BC137" s="4" t="s">
        <v>49</v>
      </c>
      <c r="BD137" s="4">
        <v>47111</v>
      </c>
      <c r="BE137" t="s">
        <v>54</v>
      </c>
    </row>
    <row r="138" spans="1:57" ht="270.75" thickBot="1" x14ac:dyDescent="0.3">
      <c r="A138" s="4" t="s">
        <v>681</v>
      </c>
      <c r="B138" s="4">
        <v>1001</v>
      </c>
      <c r="C138" s="5">
        <v>2</v>
      </c>
      <c r="D138" s="4" t="s">
        <v>44</v>
      </c>
      <c r="E138" s="6">
        <v>46269.390648449073</v>
      </c>
      <c r="F138" s="4" t="s">
        <v>682</v>
      </c>
      <c r="G138" s="4" t="s">
        <v>46</v>
      </c>
      <c r="H138" s="4">
        <v>53</v>
      </c>
      <c r="I138" s="4" t="s">
        <v>47</v>
      </c>
      <c r="J138" s="4">
        <v>5309</v>
      </c>
      <c r="K138" s="4" t="s">
        <v>48</v>
      </c>
      <c r="L138" s="4">
        <v>5309070</v>
      </c>
      <c r="M138" s="4">
        <v>5309070007</v>
      </c>
      <c r="N138" s="4" t="s">
        <v>49</v>
      </c>
      <c r="O138" s="4">
        <v>47111</v>
      </c>
      <c r="P138" s="4" t="s">
        <v>683</v>
      </c>
      <c r="Q138" s="5">
        <v>10</v>
      </c>
      <c r="R138" s="5">
        <v>300000000</v>
      </c>
      <c r="S138" s="5">
        <v>48000000</v>
      </c>
      <c r="T138" s="5">
        <v>3600000000</v>
      </c>
      <c r="U138" s="5">
        <v>60000000</v>
      </c>
      <c r="V138" s="5">
        <v>0</v>
      </c>
      <c r="W138" s="5">
        <v>4008000000</v>
      </c>
      <c r="X138" s="5">
        <v>6000000000</v>
      </c>
      <c r="Y138" s="5">
        <v>0</v>
      </c>
      <c r="Z138" s="5">
        <f t="shared" si="18"/>
        <v>2292000000</v>
      </c>
      <c r="AA138" s="5">
        <v>1500000000</v>
      </c>
      <c r="AB138" s="5">
        <f t="shared" si="19"/>
        <v>2400000000</v>
      </c>
      <c r="AC138" s="5" t="s">
        <v>100</v>
      </c>
      <c r="AD138" s="4" t="s">
        <v>88</v>
      </c>
      <c r="AE138" s="5">
        <f t="shared" si="20"/>
        <v>0.95499999999999996</v>
      </c>
      <c r="AF138" s="5">
        <v>240000000</v>
      </c>
      <c r="AG138" s="5">
        <v>1</v>
      </c>
      <c r="AH138" s="5">
        <v>1</v>
      </c>
      <c r="AI138" s="5">
        <v>1</v>
      </c>
      <c r="AJ138" s="7" t="s">
        <v>684</v>
      </c>
      <c r="AK138" s="5">
        <v>0</v>
      </c>
      <c r="AL138" s="5">
        <v>0</v>
      </c>
      <c r="AM138" s="4">
        <v>1980</v>
      </c>
      <c r="AN138" s="5">
        <v>10</v>
      </c>
      <c r="AO138" s="5">
        <v>0</v>
      </c>
      <c r="AP138" s="8"/>
      <c r="AQ138" s="8"/>
      <c r="AR138" s="8">
        <f t="shared" si="21"/>
        <v>0</v>
      </c>
      <c r="AS138" s="8">
        <f t="shared" si="22"/>
        <v>108000000</v>
      </c>
      <c r="AT138" s="8">
        <f t="shared" si="23"/>
        <v>1776000000</v>
      </c>
      <c r="AU138" s="8">
        <f t="shared" si="24"/>
        <v>624000000</v>
      </c>
      <c r="AV138" s="4" t="s">
        <v>683</v>
      </c>
      <c r="AW138" s="7" t="s">
        <v>684</v>
      </c>
      <c r="AX138" s="5">
        <v>3600000000</v>
      </c>
      <c r="AY138">
        <f t="shared" si="25"/>
        <v>277333333.33333331</v>
      </c>
      <c r="AZ138">
        <f t="shared" si="26"/>
        <v>346666666.66666669</v>
      </c>
      <c r="BA138" s="5">
        <v>6000000000</v>
      </c>
      <c r="BB138" s="5">
        <v>0</v>
      </c>
      <c r="BC138" s="4" t="s">
        <v>49</v>
      </c>
      <c r="BD138" s="4">
        <v>47111</v>
      </c>
      <c r="BE138" t="s">
        <v>54</v>
      </c>
    </row>
    <row r="139" spans="1:57" ht="270.75" thickBot="1" x14ac:dyDescent="0.3">
      <c r="A139" s="4" t="s">
        <v>685</v>
      </c>
      <c r="B139" s="4">
        <v>1001</v>
      </c>
      <c r="C139" s="5">
        <v>2</v>
      </c>
      <c r="D139" s="4" t="s">
        <v>44</v>
      </c>
      <c r="E139" s="6">
        <v>46290.922808611111</v>
      </c>
      <c r="F139" s="4" t="s">
        <v>686</v>
      </c>
      <c r="G139" s="4" t="s">
        <v>46</v>
      </c>
      <c r="H139" s="4">
        <v>53</v>
      </c>
      <c r="I139" s="4" t="s">
        <v>47</v>
      </c>
      <c r="J139" s="4">
        <v>5309</v>
      </c>
      <c r="K139" s="4" t="s">
        <v>48</v>
      </c>
      <c r="L139" s="4">
        <v>5309030</v>
      </c>
      <c r="M139" s="4">
        <v>5309030025</v>
      </c>
      <c r="N139" s="4" t="s">
        <v>49</v>
      </c>
      <c r="O139" s="4">
        <v>47111</v>
      </c>
      <c r="P139" s="4" t="s">
        <v>687</v>
      </c>
      <c r="Q139" s="5">
        <v>2</v>
      </c>
      <c r="R139" s="5">
        <v>0</v>
      </c>
      <c r="S139" s="5">
        <v>0</v>
      </c>
      <c r="T139" s="5">
        <v>36000000</v>
      </c>
      <c r="U139" s="5">
        <v>8000000</v>
      </c>
      <c r="V139" s="5">
        <v>0</v>
      </c>
      <c r="W139" s="5">
        <v>44000000</v>
      </c>
      <c r="X139" s="5">
        <v>186000000</v>
      </c>
      <c r="Y139" s="5">
        <v>50000000</v>
      </c>
      <c r="Z139" s="5">
        <f t="shared" si="18"/>
        <v>142000000</v>
      </c>
      <c r="AA139" s="5">
        <v>107000000</v>
      </c>
      <c r="AB139" s="5">
        <f t="shared" si="19"/>
        <v>150000000</v>
      </c>
      <c r="AC139" s="5" t="s">
        <v>688</v>
      </c>
      <c r="AD139" s="4" t="s">
        <v>51</v>
      </c>
      <c r="AE139" s="5">
        <f t="shared" si="20"/>
        <v>0.94666666666666666</v>
      </c>
      <c r="AF139" s="5">
        <v>75000000</v>
      </c>
      <c r="AG139" s="5">
        <v>1</v>
      </c>
      <c r="AH139" s="5">
        <v>1</v>
      </c>
      <c r="AI139" s="5">
        <v>1</v>
      </c>
      <c r="AJ139" s="7" t="s">
        <v>689</v>
      </c>
      <c r="AK139" s="5">
        <v>0</v>
      </c>
      <c r="AL139" s="5">
        <v>0</v>
      </c>
      <c r="AM139" s="4">
        <v>2016</v>
      </c>
      <c r="AN139" s="5">
        <v>0</v>
      </c>
      <c r="AO139" s="5">
        <v>2</v>
      </c>
      <c r="AP139" s="8"/>
      <c r="AQ139" s="8"/>
      <c r="AR139" s="8">
        <f t="shared" si="21"/>
        <v>0</v>
      </c>
      <c r="AS139" s="8">
        <f t="shared" si="22"/>
        <v>8000000</v>
      </c>
      <c r="AT139" s="8">
        <f t="shared" si="23"/>
        <v>111000000</v>
      </c>
      <c r="AU139" s="8">
        <f t="shared" si="24"/>
        <v>39000000</v>
      </c>
      <c r="AV139" s="4" t="s">
        <v>687</v>
      </c>
      <c r="AW139" s="7" t="s">
        <v>689</v>
      </c>
      <c r="AX139" s="5">
        <v>36000000</v>
      </c>
      <c r="AY139">
        <f t="shared" si="25"/>
        <v>0</v>
      </c>
      <c r="AZ139">
        <f t="shared" si="26"/>
        <v>39000000</v>
      </c>
      <c r="BA139" s="5">
        <v>186000000</v>
      </c>
      <c r="BB139" s="5">
        <v>50000000</v>
      </c>
      <c r="BC139" s="4" t="s">
        <v>49</v>
      </c>
      <c r="BD139" s="4">
        <v>47111</v>
      </c>
      <c r="BE139" t="s">
        <v>54</v>
      </c>
    </row>
    <row r="140" spans="1:57" ht="270.75" thickBot="1" x14ac:dyDescent="0.3">
      <c r="A140" s="4" t="s">
        <v>690</v>
      </c>
      <c r="B140" s="4">
        <v>1003</v>
      </c>
      <c r="C140" s="5">
        <v>2</v>
      </c>
      <c r="D140" s="4" t="s">
        <v>44</v>
      </c>
      <c r="E140" s="6">
        <v>46231.490553136573</v>
      </c>
      <c r="F140" s="4" t="s">
        <v>691</v>
      </c>
      <c r="G140" s="4" t="s">
        <v>46</v>
      </c>
      <c r="H140" s="4">
        <v>53</v>
      </c>
      <c r="I140" s="4" t="s">
        <v>47</v>
      </c>
      <c r="J140" s="4">
        <v>5309</v>
      </c>
      <c r="K140" s="4" t="s">
        <v>48</v>
      </c>
      <c r="L140" s="4">
        <v>5309062</v>
      </c>
      <c r="M140" s="4">
        <v>5309062009</v>
      </c>
      <c r="N140" s="4" t="s">
        <v>49</v>
      </c>
      <c r="O140" s="4">
        <v>47111</v>
      </c>
      <c r="P140" s="4" t="s">
        <v>692</v>
      </c>
      <c r="Q140" s="5">
        <v>1</v>
      </c>
      <c r="R140" s="5">
        <v>0</v>
      </c>
      <c r="S140" s="5">
        <v>0</v>
      </c>
      <c r="T140" s="5">
        <v>5000000</v>
      </c>
      <c r="U140" s="5">
        <v>200000</v>
      </c>
      <c r="V140" s="5">
        <v>0</v>
      </c>
      <c r="W140" s="5">
        <v>5200000</v>
      </c>
      <c r="X140" s="5">
        <v>7500000</v>
      </c>
      <c r="Y140" s="5">
        <v>0</v>
      </c>
      <c r="Z140" s="5">
        <f t="shared" si="18"/>
        <v>2300000</v>
      </c>
      <c r="AA140" s="5">
        <v>200000</v>
      </c>
      <c r="AB140" s="5">
        <f t="shared" si="19"/>
        <v>2500000</v>
      </c>
      <c r="AC140" s="5" t="s">
        <v>102</v>
      </c>
      <c r="AD140" s="4" t="s">
        <v>51</v>
      </c>
      <c r="AE140" s="5">
        <f t="shared" si="20"/>
        <v>0.92</v>
      </c>
      <c r="AF140" s="5">
        <v>2500000</v>
      </c>
      <c r="AG140" s="5">
        <v>1</v>
      </c>
      <c r="AH140" s="5">
        <v>1</v>
      </c>
      <c r="AI140" s="5">
        <v>1</v>
      </c>
      <c r="AJ140" s="7" t="s">
        <v>693</v>
      </c>
      <c r="AK140" s="5">
        <v>0</v>
      </c>
      <c r="AL140" s="5">
        <v>0</v>
      </c>
      <c r="AM140" s="4">
        <v>2018</v>
      </c>
      <c r="AN140" s="5">
        <v>0</v>
      </c>
      <c r="AO140" s="5">
        <v>1</v>
      </c>
      <c r="AP140" s="8"/>
      <c r="AQ140" s="8"/>
      <c r="AR140" s="8">
        <f t="shared" si="21"/>
        <v>0</v>
      </c>
      <c r="AS140" s="8">
        <f t="shared" si="22"/>
        <v>200000</v>
      </c>
      <c r="AT140" s="8">
        <f t="shared" si="23"/>
        <v>1850000</v>
      </c>
      <c r="AU140" s="8">
        <f t="shared" si="24"/>
        <v>650000</v>
      </c>
      <c r="AV140" s="4" t="s">
        <v>692</v>
      </c>
      <c r="AW140" s="7" t="s">
        <v>693</v>
      </c>
      <c r="AX140" s="5">
        <v>5000000</v>
      </c>
      <c r="AY140">
        <f t="shared" si="25"/>
        <v>0</v>
      </c>
      <c r="AZ140">
        <f t="shared" si="26"/>
        <v>650000</v>
      </c>
      <c r="BA140" s="5">
        <v>7500000</v>
      </c>
      <c r="BB140" s="5">
        <v>0</v>
      </c>
      <c r="BC140" s="4" t="s">
        <v>49</v>
      </c>
      <c r="BD140" s="4">
        <v>47111</v>
      </c>
      <c r="BE140" t="s">
        <v>54</v>
      </c>
    </row>
    <row r="141" spans="1:57" ht="270.75" thickBot="1" x14ac:dyDescent="0.3">
      <c r="A141" s="4" t="s">
        <v>694</v>
      </c>
      <c r="B141" s="4">
        <v>3002</v>
      </c>
      <c r="C141" s="5">
        <v>2</v>
      </c>
      <c r="D141" s="4" t="s">
        <v>60</v>
      </c>
      <c r="E141" s="6">
        <v>46317.140902627318</v>
      </c>
      <c r="F141" s="4" t="s">
        <v>695</v>
      </c>
      <c r="G141" s="4" t="s">
        <v>46</v>
      </c>
      <c r="H141" s="4">
        <v>53</v>
      </c>
      <c r="I141" s="4" t="s">
        <v>47</v>
      </c>
      <c r="J141" s="4">
        <v>5309</v>
      </c>
      <c r="K141" s="4" t="s">
        <v>48</v>
      </c>
      <c r="L141" s="4">
        <v>5309062</v>
      </c>
      <c r="M141" s="4">
        <v>5309062009</v>
      </c>
      <c r="N141" s="4" t="s">
        <v>49</v>
      </c>
      <c r="O141" s="4">
        <v>47111</v>
      </c>
      <c r="P141" s="4" t="s">
        <v>696</v>
      </c>
      <c r="Q141" s="5">
        <v>2</v>
      </c>
      <c r="R141" s="5">
        <v>0</v>
      </c>
      <c r="S141" s="5">
        <v>0</v>
      </c>
      <c r="T141" s="5">
        <v>3200000</v>
      </c>
      <c r="U141" s="5">
        <v>300000</v>
      </c>
      <c r="V141" s="5">
        <v>0</v>
      </c>
      <c r="W141" s="5">
        <v>3500000</v>
      </c>
      <c r="X141" s="5">
        <v>5600000</v>
      </c>
      <c r="Y141" s="5">
        <v>0</v>
      </c>
      <c r="Z141" s="5">
        <f t="shared" si="18"/>
        <v>2100000</v>
      </c>
      <c r="AA141" s="5">
        <v>400000</v>
      </c>
      <c r="AB141" s="5">
        <f t="shared" si="19"/>
        <v>2400000</v>
      </c>
      <c r="AC141" s="5" t="s">
        <v>144</v>
      </c>
      <c r="AD141" s="4" t="s">
        <v>51</v>
      </c>
      <c r="AE141" s="5">
        <f t="shared" si="20"/>
        <v>0.875</v>
      </c>
      <c r="AF141" s="5">
        <v>1200000</v>
      </c>
      <c r="AG141" s="5">
        <v>1</v>
      </c>
      <c r="AH141" s="5">
        <v>1</v>
      </c>
      <c r="AI141" s="5">
        <v>1</v>
      </c>
      <c r="AJ141" s="7" t="s">
        <v>697</v>
      </c>
      <c r="AK141" s="5">
        <v>0</v>
      </c>
      <c r="AL141" s="5">
        <v>0</v>
      </c>
      <c r="AM141" s="4">
        <v>2020</v>
      </c>
      <c r="AN141" s="5">
        <v>0</v>
      </c>
      <c r="AO141" s="5">
        <v>2</v>
      </c>
      <c r="AP141" s="8"/>
      <c r="AQ141" s="8"/>
      <c r="AR141" s="8">
        <f t="shared" si="21"/>
        <v>0</v>
      </c>
      <c r="AS141" s="8">
        <f t="shared" si="22"/>
        <v>300000</v>
      </c>
      <c r="AT141" s="8">
        <f t="shared" si="23"/>
        <v>1776000</v>
      </c>
      <c r="AU141" s="8">
        <f t="shared" si="24"/>
        <v>624000</v>
      </c>
      <c r="AV141" s="4" t="s">
        <v>696</v>
      </c>
      <c r="AW141" s="7" t="s">
        <v>697</v>
      </c>
      <c r="AX141" s="5">
        <v>3200000</v>
      </c>
      <c r="AY141">
        <f t="shared" si="25"/>
        <v>0</v>
      </c>
      <c r="AZ141">
        <f t="shared" si="26"/>
        <v>624000</v>
      </c>
      <c r="BA141" s="5">
        <v>5600000</v>
      </c>
      <c r="BB141" s="5">
        <v>0</v>
      </c>
      <c r="BC141" s="4" t="s">
        <v>49</v>
      </c>
      <c r="BD141" s="4">
        <v>47111</v>
      </c>
      <c r="BE141" t="s">
        <v>54</v>
      </c>
    </row>
    <row r="142" spans="1:57" ht="270.75" thickBot="1" x14ac:dyDescent="0.3">
      <c r="A142" s="4" t="s">
        <v>698</v>
      </c>
      <c r="B142" s="4">
        <v>1002</v>
      </c>
      <c r="C142" s="5">
        <v>2</v>
      </c>
      <c r="D142" s="4" t="s">
        <v>44</v>
      </c>
      <c r="E142" s="6">
        <v>46280.022289687498</v>
      </c>
      <c r="F142" s="4" t="s">
        <v>699</v>
      </c>
      <c r="G142" s="4" t="s">
        <v>46</v>
      </c>
      <c r="H142" s="4">
        <v>53</v>
      </c>
      <c r="I142" s="4" t="s">
        <v>47</v>
      </c>
      <c r="J142" s="4">
        <v>5309</v>
      </c>
      <c r="K142" s="4" t="s">
        <v>48</v>
      </c>
      <c r="L142" s="4">
        <v>5309070</v>
      </c>
      <c r="M142" s="4">
        <v>5309070015</v>
      </c>
      <c r="N142" s="4" t="s">
        <v>49</v>
      </c>
      <c r="O142" s="4">
        <v>47111</v>
      </c>
      <c r="P142" s="4" t="s">
        <v>700</v>
      </c>
      <c r="Q142" s="5">
        <v>2</v>
      </c>
      <c r="R142" s="5">
        <v>0</v>
      </c>
      <c r="S142" s="5">
        <v>50000</v>
      </c>
      <c r="T142" s="5">
        <v>24000000</v>
      </c>
      <c r="U142" s="5">
        <v>200000</v>
      </c>
      <c r="V142" s="5">
        <v>0</v>
      </c>
      <c r="W142" s="5">
        <v>24250000</v>
      </c>
      <c r="X142" s="5">
        <v>54000000</v>
      </c>
      <c r="Y142" s="5">
        <v>0</v>
      </c>
      <c r="Z142" s="5">
        <f t="shared" si="18"/>
        <v>29750000</v>
      </c>
      <c r="AA142" s="5">
        <v>2000000</v>
      </c>
      <c r="AB142" s="5">
        <f t="shared" si="19"/>
        <v>30000000</v>
      </c>
      <c r="AC142" s="5" t="s">
        <v>497</v>
      </c>
      <c r="AD142" s="4" t="s">
        <v>51</v>
      </c>
      <c r="AE142" s="5">
        <f t="shared" si="20"/>
        <v>0.9916666666666667</v>
      </c>
      <c r="AF142" s="5">
        <v>15000000</v>
      </c>
      <c r="AG142" s="5">
        <v>1</v>
      </c>
      <c r="AH142" s="5">
        <v>1</v>
      </c>
      <c r="AI142" s="5">
        <v>1</v>
      </c>
      <c r="AJ142" s="7" t="s">
        <v>701</v>
      </c>
      <c r="AK142" s="5">
        <v>0</v>
      </c>
      <c r="AL142" s="5">
        <v>0</v>
      </c>
      <c r="AM142" s="4">
        <v>2000</v>
      </c>
      <c r="AN142" s="5">
        <v>0</v>
      </c>
      <c r="AO142" s="5">
        <v>2</v>
      </c>
      <c r="AP142" s="8"/>
      <c r="AQ142" s="8"/>
      <c r="AR142" s="8">
        <f t="shared" si="21"/>
        <v>0</v>
      </c>
      <c r="AS142" s="8">
        <f t="shared" si="22"/>
        <v>250000</v>
      </c>
      <c r="AT142" s="8">
        <f t="shared" si="23"/>
        <v>22200000</v>
      </c>
      <c r="AU142" s="8">
        <f t="shared" si="24"/>
        <v>7800000</v>
      </c>
      <c r="AV142" s="4" t="s">
        <v>700</v>
      </c>
      <c r="AW142" s="7" t="s">
        <v>701</v>
      </c>
      <c r="AX142" s="5">
        <v>24000000</v>
      </c>
      <c r="AY142">
        <f t="shared" si="25"/>
        <v>1560000</v>
      </c>
      <c r="AZ142">
        <f t="shared" si="26"/>
        <v>6240000</v>
      </c>
      <c r="BA142" s="5">
        <v>54000000</v>
      </c>
      <c r="BB142" s="5">
        <v>0</v>
      </c>
      <c r="BC142" s="4" t="s">
        <v>49</v>
      </c>
      <c r="BD142" s="4">
        <v>47111</v>
      </c>
      <c r="BE142" t="s">
        <v>54</v>
      </c>
    </row>
    <row r="143" spans="1:57" ht="270.75" thickBot="1" x14ac:dyDescent="0.3">
      <c r="A143" s="4" t="s">
        <v>702</v>
      </c>
      <c r="B143" s="4">
        <v>3002</v>
      </c>
      <c r="C143" s="5">
        <v>2</v>
      </c>
      <c r="D143" s="4" t="s">
        <v>44</v>
      </c>
      <c r="E143" s="6">
        <v>46276.251736030092</v>
      </c>
      <c r="F143" s="4" t="s">
        <v>703</v>
      </c>
      <c r="G143" s="4" t="s">
        <v>46</v>
      </c>
      <c r="H143" s="4">
        <v>53</v>
      </c>
      <c r="I143" s="4" t="s">
        <v>47</v>
      </c>
      <c r="J143" s="4">
        <v>5309</v>
      </c>
      <c r="K143" s="4" t="s">
        <v>48</v>
      </c>
      <c r="L143" s="4">
        <v>5309050</v>
      </c>
      <c r="M143" s="4">
        <v>5309050005</v>
      </c>
      <c r="N143" s="4" t="s">
        <v>49</v>
      </c>
      <c r="O143" s="4">
        <v>47111</v>
      </c>
      <c r="P143" s="4" t="s">
        <v>704</v>
      </c>
      <c r="Q143" s="5">
        <v>1</v>
      </c>
      <c r="R143" s="5">
        <v>0</v>
      </c>
      <c r="S143" s="5">
        <v>5000000</v>
      </c>
      <c r="T143" s="5">
        <v>8000000</v>
      </c>
      <c r="U143" s="5">
        <v>1000000</v>
      </c>
      <c r="V143" s="5">
        <v>500000</v>
      </c>
      <c r="W143" s="5">
        <v>14500000</v>
      </c>
      <c r="X143" s="5">
        <v>20500000</v>
      </c>
      <c r="Y143" s="5">
        <v>0</v>
      </c>
      <c r="Z143" s="5">
        <f t="shared" si="18"/>
        <v>6500000</v>
      </c>
      <c r="AA143" s="5">
        <v>9200000</v>
      </c>
      <c r="AB143" s="5">
        <f t="shared" si="19"/>
        <v>12500000</v>
      </c>
      <c r="AC143" s="5" t="s">
        <v>705</v>
      </c>
      <c r="AD143" s="4" t="s">
        <v>51</v>
      </c>
      <c r="AE143" s="5">
        <f t="shared" si="20"/>
        <v>0.52</v>
      </c>
      <c r="AF143" s="5">
        <v>12500000</v>
      </c>
      <c r="AG143" s="5">
        <v>1</v>
      </c>
      <c r="AH143" s="5">
        <v>1</v>
      </c>
      <c r="AI143" s="5">
        <v>1</v>
      </c>
      <c r="AJ143" s="7" t="s">
        <v>706</v>
      </c>
      <c r="AK143" s="5">
        <v>0</v>
      </c>
      <c r="AL143" s="5">
        <v>0</v>
      </c>
      <c r="AM143" s="4">
        <v>2023</v>
      </c>
      <c r="AN143" s="5">
        <v>0</v>
      </c>
      <c r="AO143" s="5">
        <v>1</v>
      </c>
      <c r="AP143" s="8"/>
      <c r="AQ143" s="8"/>
      <c r="AR143" s="8">
        <f t="shared" si="21"/>
        <v>0</v>
      </c>
      <c r="AS143" s="8">
        <f t="shared" si="22"/>
        <v>6000000</v>
      </c>
      <c r="AT143" s="8">
        <f t="shared" si="23"/>
        <v>6500000</v>
      </c>
      <c r="AU143" s="8">
        <f t="shared" si="24"/>
        <v>6000000</v>
      </c>
      <c r="AV143" s="4" t="s">
        <v>704</v>
      </c>
      <c r="AW143" s="7" t="s">
        <v>706</v>
      </c>
      <c r="AX143" s="5">
        <v>8000000</v>
      </c>
      <c r="AY143">
        <f t="shared" si="25"/>
        <v>5000000</v>
      </c>
      <c r="AZ143">
        <f t="shared" si="26"/>
        <v>1000000</v>
      </c>
      <c r="BA143" s="5">
        <v>20500000</v>
      </c>
      <c r="BB143" s="5">
        <v>0</v>
      </c>
      <c r="BC143" s="4" t="s">
        <v>49</v>
      </c>
      <c r="BD143" s="4">
        <v>47111</v>
      </c>
      <c r="BE143" t="s">
        <v>54</v>
      </c>
    </row>
    <row r="144" spans="1:57" ht="270.75" thickBot="1" x14ac:dyDescent="0.3">
      <c r="A144" s="11" t="s">
        <v>707</v>
      </c>
      <c r="B144" s="4">
        <v>2001</v>
      </c>
      <c r="C144" s="5">
        <v>2</v>
      </c>
      <c r="D144" s="4" t="s">
        <v>44</v>
      </c>
      <c r="E144" s="6">
        <v>46275.025056273145</v>
      </c>
      <c r="F144" s="11" t="s">
        <v>708</v>
      </c>
      <c r="G144" s="4" t="s">
        <v>46</v>
      </c>
      <c r="H144" s="4">
        <v>53</v>
      </c>
      <c r="I144" s="4" t="s">
        <v>47</v>
      </c>
      <c r="J144" s="4">
        <v>5309</v>
      </c>
      <c r="K144" s="4" t="s">
        <v>48</v>
      </c>
      <c r="L144" s="4">
        <v>5309074</v>
      </c>
      <c r="M144" s="4">
        <v>5309074007</v>
      </c>
      <c r="N144" s="4" t="s">
        <v>49</v>
      </c>
      <c r="O144" s="4">
        <v>47111</v>
      </c>
      <c r="P144" s="4" t="s">
        <v>709</v>
      </c>
      <c r="Q144" s="5">
        <v>2</v>
      </c>
      <c r="R144" s="5">
        <v>0</v>
      </c>
      <c r="S144" s="5">
        <v>0</v>
      </c>
      <c r="T144" s="5">
        <v>25000000</v>
      </c>
      <c r="U144" s="5">
        <v>4000000</v>
      </c>
      <c r="V144" s="5">
        <v>0</v>
      </c>
      <c r="W144" s="5">
        <v>29000000</v>
      </c>
      <c r="X144" s="5">
        <v>60000000</v>
      </c>
      <c r="Y144" s="5">
        <v>0</v>
      </c>
      <c r="Z144" s="5">
        <f t="shared" si="18"/>
        <v>31000000</v>
      </c>
      <c r="AA144" s="5">
        <v>17000000</v>
      </c>
      <c r="AB144" s="5">
        <f t="shared" si="19"/>
        <v>35000000</v>
      </c>
      <c r="AC144" s="5" t="s">
        <v>260</v>
      </c>
      <c r="AD144" s="4" t="s">
        <v>51</v>
      </c>
      <c r="AE144" s="5">
        <f t="shared" si="20"/>
        <v>0.88571428571428568</v>
      </c>
      <c r="AF144" s="5">
        <v>17500000</v>
      </c>
      <c r="AG144" s="5">
        <v>1</v>
      </c>
      <c r="AH144" s="5">
        <v>1</v>
      </c>
      <c r="AI144" s="5">
        <v>1</v>
      </c>
      <c r="AJ144" s="7" t="s">
        <v>710</v>
      </c>
      <c r="AK144" s="5">
        <v>0</v>
      </c>
      <c r="AL144" s="5">
        <v>0</v>
      </c>
      <c r="AM144" s="4">
        <v>2018</v>
      </c>
      <c r="AN144" s="5">
        <v>0</v>
      </c>
      <c r="AO144" s="5">
        <v>2</v>
      </c>
      <c r="AP144" s="8"/>
      <c r="AQ144" s="8"/>
      <c r="AR144" s="8">
        <f t="shared" si="21"/>
        <v>0</v>
      </c>
      <c r="AS144" s="8">
        <f t="shared" si="22"/>
        <v>4000000</v>
      </c>
      <c r="AT144" s="8">
        <f t="shared" si="23"/>
        <v>25900000</v>
      </c>
      <c r="AU144" s="8">
        <f t="shared" si="24"/>
        <v>9100000</v>
      </c>
      <c r="AV144" s="4" t="s">
        <v>709</v>
      </c>
      <c r="AW144" s="7" t="s">
        <v>710</v>
      </c>
      <c r="AX144" s="5">
        <v>25000000</v>
      </c>
      <c r="AY144">
        <f t="shared" si="25"/>
        <v>0</v>
      </c>
      <c r="AZ144">
        <f t="shared" si="26"/>
        <v>9100000</v>
      </c>
      <c r="BA144" s="5">
        <v>60000000</v>
      </c>
      <c r="BB144" s="5">
        <v>0</v>
      </c>
      <c r="BC144" s="4" t="s">
        <v>49</v>
      </c>
      <c r="BD144" s="4">
        <v>47111</v>
      </c>
      <c r="BE144" t="s">
        <v>54</v>
      </c>
    </row>
    <row r="145" spans="1:57" ht="270.75" thickBot="1" x14ac:dyDescent="0.3">
      <c r="A145" s="4" t="s">
        <v>711</v>
      </c>
      <c r="B145" s="4">
        <v>1001</v>
      </c>
      <c r="C145" s="5">
        <v>2</v>
      </c>
      <c r="D145" s="4" t="s">
        <v>56</v>
      </c>
      <c r="E145" s="6">
        <v>46316.286874120371</v>
      </c>
      <c r="F145" s="4" t="s">
        <v>712</v>
      </c>
      <c r="G145" s="4" t="s">
        <v>46</v>
      </c>
      <c r="H145" s="4">
        <v>53</v>
      </c>
      <c r="I145" s="4" t="s">
        <v>47</v>
      </c>
      <c r="J145" s="4">
        <v>5309</v>
      </c>
      <c r="K145" s="4" t="s">
        <v>48</v>
      </c>
      <c r="L145" s="4">
        <v>5309072</v>
      </c>
      <c r="M145" s="4">
        <v>5309072014</v>
      </c>
      <c r="N145" s="4" t="s">
        <v>49</v>
      </c>
      <c r="O145" s="4">
        <v>47111</v>
      </c>
      <c r="P145" s="4" t="s">
        <v>713</v>
      </c>
      <c r="Q145" s="5">
        <v>1</v>
      </c>
      <c r="R145" s="5">
        <v>0</v>
      </c>
      <c r="S145" s="5">
        <v>0</v>
      </c>
      <c r="T145" s="5">
        <v>26400000</v>
      </c>
      <c r="U145" s="5">
        <v>0</v>
      </c>
      <c r="V145" s="5">
        <v>0</v>
      </c>
      <c r="W145" s="5">
        <v>26400000</v>
      </c>
      <c r="X145" s="5">
        <v>27600000</v>
      </c>
      <c r="Y145" s="5">
        <v>0</v>
      </c>
      <c r="Z145" s="5">
        <f t="shared" si="18"/>
        <v>1200000</v>
      </c>
      <c r="AA145" s="5">
        <v>0</v>
      </c>
      <c r="AB145" s="5">
        <f t="shared" si="19"/>
        <v>1200000</v>
      </c>
      <c r="AC145" s="5" t="s">
        <v>714</v>
      </c>
      <c r="AD145" s="4" t="s">
        <v>51</v>
      </c>
      <c r="AE145" s="5">
        <f t="shared" si="20"/>
        <v>1</v>
      </c>
      <c r="AF145" s="5">
        <v>1200000</v>
      </c>
      <c r="AG145" s="4"/>
      <c r="AH145" s="5">
        <v>1</v>
      </c>
      <c r="AI145" s="5">
        <v>1</v>
      </c>
      <c r="AJ145" s="7" t="s">
        <v>715</v>
      </c>
      <c r="AK145" s="5">
        <v>0</v>
      </c>
      <c r="AL145" s="5">
        <v>0</v>
      </c>
      <c r="AM145" s="4">
        <v>2026</v>
      </c>
      <c r="AN145" s="5">
        <v>0</v>
      </c>
      <c r="AO145" s="5">
        <v>1</v>
      </c>
      <c r="AP145" s="8"/>
      <c r="AQ145" s="8"/>
      <c r="AR145" s="8">
        <f t="shared" si="21"/>
        <v>0</v>
      </c>
      <c r="AS145" s="8">
        <f t="shared" si="22"/>
        <v>0</v>
      </c>
      <c r="AT145" s="8">
        <f t="shared" si="23"/>
        <v>888000</v>
      </c>
      <c r="AU145" s="8">
        <f t="shared" si="24"/>
        <v>312000</v>
      </c>
      <c r="AV145" s="4" t="s">
        <v>713</v>
      </c>
      <c r="AW145" s="7" t="s">
        <v>715</v>
      </c>
      <c r="AX145" s="5">
        <v>26400000</v>
      </c>
      <c r="AY145" t="e">
        <f t="shared" si="25"/>
        <v>#DIV/0!</v>
      </c>
      <c r="AZ145" t="e">
        <f t="shared" si="26"/>
        <v>#DIV/0!</v>
      </c>
      <c r="BA145" s="5">
        <v>27600000</v>
      </c>
      <c r="BB145" s="5">
        <v>0</v>
      </c>
      <c r="BC145" s="4" t="s">
        <v>49</v>
      </c>
      <c r="BD145" s="4">
        <v>47111</v>
      </c>
      <c r="BE145" t="s">
        <v>54</v>
      </c>
    </row>
    <row r="146" spans="1:57" ht="270.75" thickBot="1" x14ac:dyDescent="0.3">
      <c r="A146" s="4" t="s">
        <v>716</v>
      </c>
      <c r="B146" s="4">
        <v>1002</v>
      </c>
      <c r="C146" s="5">
        <v>2</v>
      </c>
      <c r="D146" s="4" t="s">
        <v>44</v>
      </c>
      <c r="E146" s="6">
        <v>46280.030661192126</v>
      </c>
      <c r="F146" s="4" t="s">
        <v>717</v>
      </c>
      <c r="G146" s="4" t="s">
        <v>46</v>
      </c>
      <c r="H146" s="4">
        <v>53</v>
      </c>
      <c r="I146" s="4" t="s">
        <v>47</v>
      </c>
      <c r="J146" s="4">
        <v>5309</v>
      </c>
      <c r="K146" s="4" t="s">
        <v>48</v>
      </c>
      <c r="L146" s="4">
        <v>5309070</v>
      </c>
      <c r="M146" s="4">
        <v>5309070015</v>
      </c>
      <c r="N146" s="4" t="s">
        <v>49</v>
      </c>
      <c r="O146" s="4">
        <v>47111</v>
      </c>
      <c r="P146" s="4" t="s">
        <v>718</v>
      </c>
      <c r="Q146" s="5">
        <v>2</v>
      </c>
      <c r="R146" s="5">
        <v>0</v>
      </c>
      <c r="S146" s="5">
        <v>50000</v>
      </c>
      <c r="T146" s="5">
        <v>24000000</v>
      </c>
      <c r="U146" s="5">
        <v>200000</v>
      </c>
      <c r="V146" s="5">
        <v>0</v>
      </c>
      <c r="W146" s="5">
        <v>24250000</v>
      </c>
      <c r="X146" s="5">
        <v>36000000</v>
      </c>
      <c r="Y146" s="5">
        <v>0</v>
      </c>
      <c r="Z146" s="5">
        <f t="shared" si="18"/>
        <v>11750000</v>
      </c>
      <c r="AA146" s="5">
        <v>700000</v>
      </c>
      <c r="AB146" s="5">
        <f t="shared" si="19"/>
        <v>12000000</v>
      </c>
      <c r="AC146" s="5" t="s">
        <v>102</v>
      </c>
      <c r="AD146" s="4" t="s">
        <v>51</v>
      </c>
      <c r="AE146" s="5">
        <f t="shared" si="20"/>
        <v>0.97916666666666663</v>
      </c>
      <c r="AF146" s="5">
        <v>6000000</v>
      </c>
      <c r="AG146" s="5">
        <v>1</v>
      </c>
      <c r="AH146" s="5">
        <v>1</v>
      </c>
      <c r="AI146" s="5">
        <v>1</v>
      </c>
      <c r="AJ146" s="7" t="s">
        <v>719</v>
      </c>
      <c r="AK146" s="5">
        <v>0</v>
      </c>
      <c r="AL146" s="5">
        <v>0</v>
      </c>
      <c r="AM146" s="4">
        <v>2020</v>
      </c>
      <c r="AN146" s="5">
        <v>0</v>
      </c>
      <c r="AO146" s="5">
        <v>2</v>
      </c>
      <c r="AP146" s="8"/>
      <c r="AQ146" s="8"/>
      <c r="AR146" s="8">
        <f t="shared" si="21"/>
        <v>0</v>
      </c>
      <c r="AS146" s="8">
        <f t="shared" si="22"/>
        <v>250000</v>
      </c>
      <c r="AT146" s="8">
        <f t="shared" si="23"/>
        <v>8880000</v>
      </c>
      <c r="AU146" s="8">
        <f t="shared" si="24"/>
        <v>3120000</v>
      </c>
      <c r="AV146" s="4" t="s">
        <v>718</v>
      </c>
      <c r="AW146" s="7" t="s">
        <v>719</v>
      </c>
      <c r="AX146" s="5">
        <v>24000000</v>
      </c>
      <c r="AY146">
        <f t="shared" si="25"/>
        <v>624000</v>
      </c>
      <c r="AZ146">
        <f t="shared" si="26"/>
        <v>2496000</v>
      </c>
      <c r="BA146" s="5">
        <v>36000000</v>
      </c>
      <c r="BB146" s="5">
        <v>0</v>
      </c>
      <c r="BC146" s="4" t="s">
        <v>49</v>
      </c>
      <c r="BD146" s="4">
        <v>47111</v>
      </c>
      <c r="BE146" t="s">
        <v>54</v>
      </c>
    </row>
    <row r="147" spans="1:57" ht="270.75" thickBot="1" x14ac:dyDescent="0.3">
      <c r="A147" s="4" t="s">
        <v>720</v>
      </c>
      <c r="B147" s="4">
        <v>1</v>
      </c>
      <c r="C147" s="5">
        <v>2</v>
      </c>
      <c r="D147" s="4" t="s">
        <v>44</v>
      </c>
      <c r="E147" s="6">
        <v>46242.445465682868</v>
      </c>
      <c r="F147" s="4" t="s">
        <v>721</v>
      </c>
      <c r="G147" s="4" t="s">
        <v>46</v>
      </c>
      <c r="H147" s="4">
        <v>53</v>
      </c>
      <c r="I147" s="4" t="s">
        <v>47</v>
      </c>
      <c r="J147" s="4">
        <v>5309</v>
      </c>
      <c r="K147" s="4" t="s">
        <v>48</v>
      </c>
      <c r="L147" s="4">
        <v>5309062</v>
      </c>
      <c r="M147" s="4">
        <v>5309062009</v>
      </c>
      <c r="N147" s="4" t="s">
        <v>49</v>
      </c>
      <c r="O147" s="4">
        <v>47111</v>
      </c>
      <c r="P147" s="4" t="s">
        <v>722</v>
      </c>
      <c r="Q147" s="5">
        <v>2</v>
      </c>
      <c r="R147" s="5">
        <v>0</v>
      </c>
      <c r="S147" s="5">
        <v>0</v>
      </c>
      <c r="T147" s="5">
        <v>10000000</v>
      </c>
      <c r="U147" s="5">
        <v>1000000</v>
      </c>
      <c r="V147" s="5">
        <v>0</v>
      </c>
      <c r="W147" s="5">
        <v>11000000</v>
      </c>
      <c r="X147" s="5">
        <v>15000000</v>
      </c>
      <c r="Y147" s="5">
        <v>0</v>
      </c>
      <c r="Z147" s="5">
        <f t="shared" si="18"/>
        <v>4000000</v>
      </c>
      <c r="AA147" s="5">
        <v>1200000</v>
      </c>
      <c r="AB147" s="5">
        <f t="shared" si="19"/>
        <v>5000000</v>
      </c>
      <c r="AC147" s="5" t="s">
        <v>102</v>
      </c>
      <c r="AD147" s="4" t="s">
        <v>51</v>
      </c>
      <c r="AE147" s="5">
        <f t="shared" si="20"/>
        <v>0.8</v>
      </c>
      <c r="AF147" s="5">
        <v>2500000</v>
      </c>
      <c r="AG147" s="5">
        <v>1</v>
      </c>
      <c r="AH147" s="5">
        <v>1</v>
      </c>
      <c r="AI147" s="5">
        <v>1</v>
      </c>
      <c r="AJ147" s="7" t="s">
        <v>723</v>
      </c>
      <c r="AK147" s="5">
        <v>0</v>
      </c>
      <c r="AL147" s="5">
        <v>0</v>
      </c>
      <c r="AM147" s="4">
        <v>2018</v>
      </c>
      <c r="AN147" s="5">
        <v>0</v>
      </c>
      <c r="AO147" s="5">
        <v>2</v>
      </c>
      <c r="AP147" s="8"/>
      <c r="AQ147" s="8"/>
      <c r="AR147" s="8">
        <f t="shared" si="21"/>
        <v>0</v>
      </c>
      <c r="AS147" s="8">
        <f t="shared" si="22"/>
        <v>1000000</v>
      </c>
      <c r="AT147" s="8">
        <f t="shared" si="23"/>
        <v>3700000</v>
      </c>
      <c r="AU147" s="8">
        <f t="shared" si="24"/>
        <v>1300000</v>
      </c>
      <c r="AV147" s="4" t="s">
        <v>722</v>
      </c>
      <c r="AW147" s="7" t="s">
        <v>723</v>
      </c>
      <c r="AX147" s="5">
        <v>10000000</v>
      </c>
      <c r="AY147">
        <f t="shared" si="25"/>
        <v>0</v>
      </c>
      <c r="AZ147">
        <f t="shared" si="26"/>
        <v>1300000</v>
      </c>
      <c r="BA147" s="5">
        <v>15000000</v>
      </c>
      <c r="BB147" s="5">
        <v>0</v>
      </c>
      <c r="BC147" s="4" t="s">
        <v>49</v>
      </c>
      <c r="BD147" s="4">
        <v>47111</v>
      </c>
      <c r="BE147" t="s">
        <v>54</v>
      </c>
    </row>
    <row r="148" spans="1:57" ht="270.75" thickBot="1" x14ac:dyDescent="0.3">
      <c r="A148" s="4" t="s">
        <v>724</v>
      </c>
      <c r="B148" s="4">
        <v>2001</v>
      </c>
      <c r="C148" s="5">
        <v>2</v>
      </c>
      <c r="D148" s="4" t="s">
        <v>44</v>
      </c>
      <c r="E148" s="6">
        <v>46258.923793437498</v>
      </c>
      <c r="F148" s="4" t="s">
        <v>725</v>
      </c>
      <c r="G148" s="4" t="s">
        <v>46</v>
      </c>
      <c r="H148" s="4">
        <v>53</v>
      </c>
      <c r="I148" s="4" t="s">
        <v>47</v>
      </c>
      <c r="J148" s="4">
        <v>5309</v>
      </c>
      <c r="K148" s="4" t="s">
        <v>48</v>
      </c>
      <c r="L148" s="4">
        <v>5309050</v>
      </c>
      <c r="M148" s="4">
        <v>5309050008</v>
      </c>
      <c r="N148" s="4" t="s">
        <v>49</v>
      </c>
      <c r="O148" s="4">
        <v>47111</v>
      </c>
      <c r="P148" s="4" t="s">
        <v>726</v>
      </c>
      <c r="Q148" s="5">
        <v>2</v>
      </c>
      <c r="R148" s="5">
        <v>0</v>
      </c>
      <c r="S148" s="5">
        <v>500000</v>
      </c>
      <c r="T148" s="5">
        <v>8000000</v>
      </c>
      <c r="U148" s="5">
        <v>0</v>
      </c>
      <c r="V148" s="5">
        <v>0</v>
      </c>
      <c r="W148" s="5">
        <v>8500000</v>
      </c>
      <c r="X148" s="5">
        <v>13000000</v>
      </c>
      <c r="Y148" s="5">
        <v>0</v>
      </c>
      <c r="Z148" s="5">
        <f t="shared" si="18"/>
        <v>4500000</v>
      </c>
      <c r="AA148" s="5">
        <v>2400000</v>
      </c>
      <c r="AB148" s="5">
        <f t="shared" si="19"/>
        <v>5000000</v>
      </c>
      <c r="AC148" s="5" t="s">
        <v>727</v>
      </c>
      <c r="AD148" s="4" t="s">
        <v>51</v>
      </c>
      <c r="AE148" s="5">
        <f t="shared" si="20"/>
        <v>0.9</v>
      </c>
      <c r="AF148" s="5">
        <v>2500000</v>
      </c>
      <c r="AG148" s="5">
        <v>1</v>
      </c>
      <c r="AH148" s="5">
        <v>1</v>
      </c>
      <c r="AI148" s="5">
        <v>1</v>
      </c>
      <c r="AJ148" s="7" t="s">
        <v>728</v>
      </c>
      <c r="AK148" s="5">
        <v>0</v>
      </c>
      <c r="AL148" s="5">
        <v>0</v>
      </c>
      <c r="AM148" s="4">
        <v>2023</v>
      </c>
      <c r="AN148" s="5">
        <v>0</v>
      </c>
      <c r="AO148" s="5">
        <v>2</v>
      </c>
      <c r="AP148" s="8"/>
      <c r="AQ148" s="8"/>
      <c r="AR148" s="8">
        <f t="shared" si="21"/>
        <v>0</v>
      </c>
      <c r="AS148" s="8">
        <f t="shared" si="22"/>
        <v>500000</v>
      </c>
      <c r="AT148" s="8">
        <f t="shared" si="23"/>
        <v>3700000</v>
      </c>
      <c r="AU148" s="8">
        <f t="shared" si="24"/>
        <v>1300000</v>
      </c>
      <c r="AV148" s="4" t="s">
        <v>726</v>
      </c>
      <c r="AW148" s="7" t="s">
        <v>728</v>
      </c>
      <c r="AX148" s="5">
        <v>8000000</v>
      </c>
      <c r="AY148">
        <f t="shared" si="25"/>
        <v>1300000</v>
      </c>
      <c r="AZ148">
        <f t="shared" si="26"/>
        <v>0</v>
      </c>
      <c r="BA148" s="5">
        <v>13000000</v>
      </c>
      <c r="BB148" s="5">
        <v>0</v>
      </c>
      <c r="BC148" s="4" t="s">
        <v>49</v>
      </c>
      <c r="BD148" s="4">
        <v>47111</v>
      </c>
      <c r="BE148" t="s">
        <v>54</v>
      </c>
    </row>
    <row r="149" spans="1:57" ht="270.75" thickBot="1" x14ac:dyDescent="0.3">
      <c r="A149" s="4" t="s">
        <v>729</v>
      </c>
      <c r="B149" s="4">
        <v>3001</v>
      </c>
      <c r="C149" s="5">
        <v>2</v>
      </c>
      <c r="D149" s="4" t="s">
        <v>60</v>
      </c>
      <c r="E149" s="6">
        <v>46316.328489293985</v>
      </c>
      <c r="F149" s="4" t="s">
        <v>730</v>
      </c>
      <c r="G149" s="4" t="s">
        <v>46</v>
      </c>
      <c r="H149" s="4">
        <v>53</v>
      </c>
      <c r="I149" s="4" t="s">
        <v>47</v>
      </c>
      <c r="J149" s="4">
        <v>5309</v>
      </c>
      <c r="K149" s="4" t="s">
        <v>48</v>
      </c>
      <c r="L149" s="4">
        <v>5309031</v>
      </c>
      <c r="M149" s="4">
        <v>5309031002</v>
      </c>
      <c r="N149" s="4" t="s">
        <v>49</v>
      </c>
      <c r="O149" s="4">
        <v>47111</v>
      </c>
      <c r="P149" s="4" t="s">
        <v>731</v>
      </c>
      <c r="Q149" s="5">
        <v>2</v>
      </c>
      <c r="R149" s="5">
        <v>0</v>
      </c>
      <c r="S149" s="5">
        <v>180000</v>
      </c>
      <c r="T149" s="5">
        <v>2000000</v>
      </c>
      <c r="U149" s="5">
        <v>480000</v>
      </c>
      <c r="V149" s="5">
        <v>5066000</v>
      </c>
      <c r="W149" s="5">
        <v>7726000</v>
      </c>
      <c r="X149" s="5">
        <v>12000000</v>
      </c>
      <c r="Y149" s="5">
        <v>0</v>
      </c>
      <c r="Z149" s="5">
        <f t="shared" si="18"/>
        <v>9340000</v>
      </c>
      <c r="AA149" s="5">
        <v>52000000</v>
      </c>
      <c r="AB149" s="5">
        <f t="shared" si="19"/>
        <v>10000000</v>
      </c>
      <c r="AC149" s="5" t="s">
        <v>286</v>
      </c>
      <c r="AD149" s="4" t="s">
        <v>51</v>
      </c>
      <c r="AE149" s="5">
        <f t="shared" si="20"/>
        <v>0.93400000000000005</v>
      </c>
      <c r="AF149" s="5">
        <v>5000000</v>
      </c>
      <c r="AG149" s="5">
        <v>1</v>
      </c>
      <c r="AH149" s="5">
        <v>1</v>
      </c>
      <c r="AI149" s="5">
        <v>1</v>
      </c>
      <c r="AJ149" s="7" t="s">
        <v>732</v>
      </c>
      <c r="AK149" s="5">
        <v>0</v>
      </c>
      <c r="AL149" s="5">
        <v>0</v>
      </c>
      <c r="AM149" s="4">
        <v>2020</v>
      </c>
      <c r="AN149" s="5">
        <v>0</v>
      </c>
      <c r="AO149" s="5">
        <v>2</v>
      </c>
      <c r="AP149" s="8"/>
      <c r="AQ149" s="8"/>
      <c r="AR149" s="8">
        <f t="shared" si="21"/>
        <v>0</v>
      </c>
      <c r="AS149" s="8">
        <f t="shared" si="22"/>
        <v>660000</v>
      </c>
      <c r="AT149" s="8">
        <f t="shared" si="23"/>
        <v>7400000</v>
      </c>
      <c r="AU149" s="8">
        <f t="shared" si="24"/>
        <v>2600000</v>
      </c>
      <c r="AV149" s="4" t="s">
        <v>731</v>
      </c>
      <c r="AW149" s="7" t="s">
        <v>732</v>
      </c>
      <c r="AX149" s="5">
        <v>2000000</v>
      </c>
      <c r="AY149">
        <f t="shared" si="25"/>
        <v>709090.90909090918</v>
      </c>
      <c r="AZ149">
        <f t="shared" si="26"/>
        <v>1890909.0909090908</v>
      </c>
      <c r="BA149" s="5">
        <v>12000000</v>
      </c>
      <c r="BB149" s="5">
        <v>0</v>
      </c>
      <c r="BC149" s="4" t="s">
        <v>49</v>
      </c>
      <c r="BD149" s="4">
        <v>47111</v>
      </c>
      <c r="BE149" t="s">
        <v>54</v>
      </c>
    </row>
    <row r="150" spans="1:57" ht="270.75" thickBot="1" x14ac:dyDescent="0.3">
      <c r="A150" s="4" t="s">
        <v>733</v>
      </c>
      <c r="B150" s="4">
        <v>2001</v>
      </c>
      <c r="C150" s="5">
        <v>2</v>
      </c>
      <c r="D150" s="4" t="s">
        <v>44</v>
      </c>
      <c r="E150" s="6">
        <v>46274.911095648145</v>
      </c>
      <c r="F150" s="4" t="s">
        <v>734</v>
      </c>
      <c r="G150" s="4" t="s">
        <v>46</v>
      </c>
      <c r="H150" s="4">
        <v>53</v>
      </c>
      <c r="I150" s="4" t="s">
        <v>47</v>
      </c>
      <c r="J150" s="4">
        <v>5309</v>
      </c>
      <c r="K150" s="4" t="s">
        <v>48</v>
      </c>
      <c r="L150" s="4">
        <v>5309074</v>
      </c>
      <c r="M150" s="4">
        <v>5309074007</v>
      </c>
      <c r="N150" s="4" t="s">
        <v>49</v>
      </c>
      <c r="O150" s="4">
        <v>47111</v>
      </c>
      <c r="P150" s="4" t="s">
        <v>735</v>
      </c>
      <c r="Q150" s="5">
        <v>2</v>
      </c>
      <c r="R150" s="5">
        <v>8400000</v>
      </c>
      <c r="S150" s="5">
        <v>24000000</v>
      </c>
      <c r="T150" s="5">
        <v>0</v>
      </c>
      <c r="U150" s="5">
        <v>0</v>
      </c>
      <c r="V150" s="5">
        <v>0</v>
      </c>
      <c r="W150" s="5">
        <v>32400000</v>
      </c>
      <c r="X150" s="5">
        <v>38400000</v>
      </c>
      <c r="Y150" s="5">
        <v>0</v>
      </c>
      <c r="Z150" s="5">
        <f t="shared" si="18"/>
        <v>14400000</v>
      </c>
      <c r="AA150" s="5">
        <v>7500000</v>
      </c>
      <c r="AB150" s="5">
        <f t="shared" si="19"/>
        <v>38400000</v>
      </c>
      <c r="AC150" s="5">
        <v>0</v>
      </c>
      <c r="AD150" s="4" t="s">
        <v>51</v>
      </c>
      <c r="AE150" s="5">
        <f t="shared" si="20"/>
        <v>0.375</v>
      </c>
      <c r="AF150" s="5">
        <v>19200000</v>
      </c>
      <c r="AG150" s="5">
        <v>1</v>
      </c>
      <c r="AH150" s="5">
        <v>0</v>
      </c>
      <c r="AI150" s="5">
        <v>1</v>
      </c>
      <c r="AJ150" s="7" t="s">
        <v>737</v>
      </c>
      <c r="AK150" s="5">
        <v>0</v>
      </c>
      <c r="AL150" s="5">
        <v>0</v>
      </c>
      <c r="AM150" s="4">
        <v>2025</v>
      </c>
      <c r="AN150" s="5">
        <v>1</v>
      </c>
      <c r="AO150" s="5">
        <v>1</v>
      </c>
      <c r="AP150" s="8"/>
      <c r="AQ150" s="8"/>
      <c r="AR150" s="8">
        <f t="shared" si="21"/>
        <v>0</v>
      </c>
      <c r="AS150" s="8">
        <f t="shared" si="22"/>
        <v>24000000</v>
      </c>
      <c r="AT150" s="8">
        <f t="shared" si="23"/>
        <v>14400000</v>
      </c>
      <c r="AU150" s="8">
        <f t="shared" si="24"/>
        <v>24000000</v>
      </c>
      <c r="AV150" s="4" t="s">
        <v>735</v>
      </c>
      <c r="AW150" s="7" t="s">
        <v>737</v>
      </c>
      <c r="AX150" s="5">
        <v>0</v>
      </c>
      <c r="AY150">
        <f t="shared" si="25"/>
        <v>24000000</v>
      </c>
      <c r="AZ150">
        <f t="shared" si="26"/>
        <v>0</v>
      </c>
      <c r="BA150" s="5">
        <v>38400000</v>
      </c>
      <c r="BB150" s="5">
        <v>0</v>
      </c>
      <c r="BC150" s="4" t="s">
        <v>49</v>
      </c>
      <c r="BD150" s="4">
        <v>47111</v>
      </c>
      <c r="BE150" t="s">
        <v>54</v>
      </c>
    </row>
    <row r="151" spans="1:57" ht="270.75" thickBot="1" x14ac:dyDescent="0.3">
      <c r="A151" s="4" t="s">
        <v>738</v>
      </c>
      <c r="B151" s="4">
        <v>3002</v>
      </c>
      <c r="C151" s="5">
        <v>2</v>
      </c>
      <c r="D151" s="4" t="s">
        <v>44</v>
      </c>
      <c r="E151" s="6">
        <v>46252.511212511577</v>
      </c>
      <c r="F151" s="4" t="s">
        <v>739</v>
      </c>
      <c r="G151" s="4" t="s">
        <v>46</v>
      </c>
      <c r="H151" s="4">
        <v>53</v>
      </c>
      <c r="I151" s="4" t="s">
        <v>47</v>
      </c>
      <c r="J151" s="4">
        <v>5309</v>
      </c>
      <c r="K151" s="4" t="s">
        <v>48</v>
      </c>
      <c r="L151" s="4">
        <v>5309072</v>
      </c>
      <c r="M151" s="4">
        <v>5309072005</v>
      </c>
      <c r="N151" s="4" t="s">
        <v>49</v>
      </c>
      <c r="O151" s="4">
        <v>47111</v>
      </c>
      <c r="P151" s="4" t="s">
        <v>740</v>
      </c>
      <c r="Q151" s="5">
        <v>2</v>
      </c>
      <c r="R151" s="5">
        <v>0</v>
      </c>
      <c r="S151" s="5">
        <v>0</v>
      </c>
      <c r="T151" s="5">
        <v>4000000</v>
      </c>
      <c r="U151" s="5">
        <v>0</v>
      </c>
      <c r="V151" s="5">
        <v>0</v>
      </c>
      <c r="W151" s="5">
        <v>4000000</v>
      </c>
      <c r="X151" s="5">
        <v>6000000</v>
      </c>
      <c r="Y151" s="5">
        <v>0</v>
      </c>
      <c r="Z151" s="5">
        <f t="shared" si="18"/>
        <v>2000000</v>
      </c>
      <c r="AA151" s="5">
        <v>2000000</v>
      </c>
      <c r="AB151" s="5">
        <f t="shared" si="19"/>
        <v>2000000</v>
      </c>
      <c r="AC151" s="5" t="s">
        <v>102</v>
      </c>
      <c r="AD151" s="4" t="s">
        <v>51</v>
      </c>
      <c r="AE151" s="5">
        <f t="shared" si="20"/>
        <v>1</v>
      </c>
      <c r="AF151" s="5">
        <v>1000000</v>
      </c>
      <c r="AG151" s="5">
        <v>1</v>
      </c>
      <c r="AH151" s="5">
        <v>1</v>
      </c>
      <c r="AI151" s="5">
        <v>1</v>
      </c>
      <c r="AJ151" s="7" t="s">
        <v>741</v>
      </c>
      <c r="AK151" s="5">
        <v>0</v>
      </c>
      <c r="AL151" s="5">
        <v>0</v>
      </c>
      <c r="AM151" s="4">
        <v>2024</v>
      </c>
      <c r="AN151" s="5">
        <v>0</v>
      </c>
      <c r="AO151" s="5">
        <v>2</v>
      </c>
      <c r="AP151" s="8"/>
      <c r="AQ151" s="8"/>
      <c r="AR151" s="8">
        <f t="shared" si="21"/>
        <v>0</v>
      </c>
      <c r="AS151" s="8">
        <f t="shared" si="22"/>
        <v>0</v>
      </c>
      <c r="AT151" s="8">
        <f t="shared" si="23"/>
        <v>1480000</v>
      </c>
      <c r="AU151" s="8">
        <f t="shared" si="24"/>
        <v>520000</v>
      </c>
      <c r="AV151" s="4" t="s">
        <v>740</v>
      </c>
      <c r="AW151" s="7" t="s">
        <v>741</v>
      </c>
      <c r="AX151" s="5">
        <v>4000000</v>
      </c>
      <c r="AY151" t="e">
        <f t="shared" si="25"/>
        <v>#DIV/0!</v>
      </c>
      <c r="AZ151" t="e">
        <f t="shared" si="26"/>
        <v>#DIV/0!</v>
      </c>
      <c r="BA151" s="5">
        <v>6000000</v>
      </c>
      <c r="BB151" s="5">
        <v>0</v>
      </c>
      <c r="BC151" s="4" t="s">
        <v>49</v>
      </c>
      <c r="BD151" s="4">
        <v>47111</v>
      </c>
      <c r="BE151" t="s">
        <v>54</v>
      </c>
    </row>
    <row r="152" spans="1:57" ht="270.75" thickBot="1" x14ac:dyDescent="0.3">
      <c r="A152" s="4" t="s">
        <v>742</v>
      </c>
      <c r="B152" s="4">
        <v>3001</v>
      </c>
      <c r="C152" s="5">
        <v>2</v>
      </c>
      <c r="D152" s="4" t="s">
        <v>44</v>
      </c>
      <c r="E152" s="6">
        <v>46280.38671702546</v>
      </c>
      <c r="F152" s="4" t="s">
        <v>743</v>
      </c>
      <c r="G152" s="4" t="s">
        <v>46</v>
      </c>
      <c r="H152" s="4">
        <v>53</v>
      </c>
      <c r="I152" s="4" t="s">
        <v>47</v>
      </c>
      <c r="J152" s="4">
        <v>5309</v>
      </c>
      <c r="K152" s="4" t="s">
        <v>48</v>
      </c>
      <c r="L152" s="4">
        <v>5309070</v>
      </c>
      <c r="M152" s="4">
        <v>5309070058</v>
      </c>
      <c r="N152" s="4" t="s">
        <v>49</v>
      </c>
      <c r="O152" s="4">
        <v>47111</v>
      </c>
      <c r="P152" s="4" t="s">
        <v>744</v>
      </c>
      <c r="Q152" s="5">
        <v>2</v>
      </c>
      <c r="R152" s="5">
        <v>0</v>
      </c>
      <c r="S152" s="5">
        <v>0</v>
      </c>
      <c r="T152" s="5">
        <v>1000000</v>
      </c>
      <c r="U152" s="5">
        <v>1000000</v>
      </c>
      <c r="V152" s="5">
        <v>0</v>
      </c>
      <c r="W152" s="5">
        <v>2000000</v>
      </c>
      <c r="X152" s="5">
        <v>2500000</v>
      </c>
      <c r="Y152" s="5">
        <v>0</v>
      </c>
      <c r="Z152" s="5">
        <f t="shared" si="18"/>
        <v>500000</v>
      </c>
      <c r="AA152" s="5">
        <v>2000000</v>
      </c>
      <c r="AB152" s="5">
        <f t="shared" si="19"/>
        <v>1500000</v>
      </c>
      <c r="AC152" s="5" t="s">
        <v>167</v>
      </c>
      <c r="AD152" s="4" t="s">
        <v>51</v>
      </c>
      <c r="AE152" s="5">
        <f t="shared" si="20"/>
        <v>0.33333333333333331</v>
      </c>
      <c r="AF152" s="5">
        <v>750000</v>
      </c>
      <c r="AG152" s="5">
        <v>1</v>
      </c>
      <c r="AH152" s="5">
        <v>1</v>
      </c>
      <c r="AI152" s="5">
        <v>1</v>
      </c>
      <c r="AJ152" s="7" t="s">
        <v>745</v>
      </c>
      <c r="AK152" s="5">
        <v>0</v>
      </c>
      <c r="AL152" s="5">
        <v>0</v>
      </c>
      <c r="AM152" s="4">
        <v>2023</v>
      </c>
      <c r="AN152" s="5">
        <v>0</v>
      </c>
      <c r="AO152" s="5">
        <v>2</v>
      </c>
      <c r="AP152" s="8"/>
      <c r="AQ152" s="8"/>
      <c r="AR152" s="8">
        <f t="shared" si="21"/>
        <v>0</v>
      </c>
      <c r="AS152" s="8">
        <f t="shared" si="22"/>
        <v>1000000</v>
      </c>
      <c r="AT152" s="8">
        <f t="shared" si="23"/>
        <v>500000</v>
      </c>
      <c r="AU152" s="8">
        <f t="shared" si="24"/>
        <v>1000000</v>
      </c>
      <c r="AV152" s="4" t="s">
        <v>744</v>
      </c>
      <c r="AW152" s="7" t="s">
        <v>745</v>
      </c>
      <c r="AX152" s="5">
        <v>1000000</v>
      </c>
      <c r="AY152">
        <f t="shared" si="25"/>
        <v>0</v>
      </c>
      <c r="AZ152">
        <f t="shared" si="26"/>
        <v>1000000</v>
      </c>
      <c r="BA152" s="5">
        <v>2500000</v>
      </c>
      <c r="BB152" s="5">
        <v>0</v>
      </c>
      <c r="BC152" s="4" t="s">
        <v>49</v>
      </c>
      <c r="BD152" s="4">
        <v>47111</v>
      </c>
      <c r="BE152" t="s">
        <v>54</v>
      </c>
    </row>
    <row r="153" spans="1:57" ht="270.75" thickBot="1" x14ac:dyDescent="0.3">
      <c r="A153" s="4" t="s">
        <v>746</v>
      </c>
      <c r="B153" s="4">
        <v>1</v>
      </c>
      <c r="C153" s="5">
        <v>2</v>
      </c>
      <c r="D153" s="4" t="s">
        <v>44</v>
      </c>
      <c r="E153" s="6">
        <v>46290.922895983793</v>
      </c>
      <c r="F153" s="4" t="s">
        <v>747</v>
      </c>
      <c r="G153" s="4" t="s">
        <v>46</v>
      </c>
      <c r="H153" s="4">
        <v>53</v>
      </c>
      <c r="I153" s="4" t="s">
        <v>47</v>
      </c>
      <c r="J153" s="4">
        <v>5309</v>
      </c>
      <c r="K153" s="4" t="s">
        <v>48</v>
      </c>
      <c r="L153" s="4">
        <v>5309030</v>
      </c>
      <c r="M153" s="4">
        <v>5309030024</v>
      </c>
      <c r="N153" s="4" t="s">
        <v>49</v>
      </c>
      <c r="O153" s="4">
        <v>47111</v>
      </c>
      <c r="P153" s="4" t="s">
        <v>748</v>
      </c>
      <c r="Q153" s="5">
        <v>1</v>
      </c>
      <c r="R153" s="5">
        <v>0</v>
      </c>
      <c r="S153" s="5">
        <v>0</v>
      </c>
      <c r="T153" s="5">
        <v>105000000</v>
      </c>
      <c r="U153" s="5">
        <v>5000000</v>
      </c>
      <c r="V153" s="5">
        <v>0</v>
      </c>
      <c r="W153" s="5">
        <v>110000000</v>
      </c>
      <c r="X153" s="5">
        <v>198000000</v>
      </c>
      <c r="Y153" s="5">
        <v>0</v>
      </c>
      <c r="Z153" s="5">
        <f t="shared" si="18"/>
        <v>88000000</v>
      </c>
      <c r="AA153" s="5">
        <v>200000000</v>
      </c>
      <c r="AB153" s="5">
        <f t="shared" si="19"/>
        <v>93000000</v>
      </c>
      <c r="AC153" s="5" t="s">
        <v>749</v>
      </c>
      <c r="AD153" s="4" t="s">
        <v>51</v>
      </c>
      <c r="AE153" s="5">
        <f t="shared" si="20"/>
        <v>0.94623655913978499</v>
      </c>
      <c r="AF153" s="5">
        <v>93000000</v>
      </c>
      <c r="AG153" s="5">
        <v>1</v>
      </c>
      <c r="AH153" s="5">
        <v>1</v>
      </c>
      <c r="AI153" s="5">
        <v>1</v>
      </c>
      <c r="AJ153" s="7" t="s">
        <v>750</v>
      </c>
      <c r="AK153" s="5">
        <v>0</v>
      </c>
      <c r="AL153" s="5">
        <v>0</v>
      </c>
      <c r="AM153" s="4">
        <v>2020</v>
      </c>
      <c r="AN153" s="5">
        <v>0</v>
      </c>
      <c r="AO153" s="5">
        <v>1</v>
      </c>
      <c r="AP153" s="8"/>
      <c r="AQ153" s="8"/>
      <c r="AR153" s="8">
        <f t="shared" si="21"/>
        <v>0</v>
      </c>
      <c r="AS153" s="8">
        <f t="shared" si="22"/>
        <v>5000000</v>
      </c>
      <c r="AT153" s="8">
        <f t="shared" si="23"/>
        <v>68820000</v>
      </c>
      <c r="AU153" s="8">
        <f t="shared" si="24"/>
        <v>24180000</v>
      </c>
      <c r="AV153" s="4" t="s">
        <v>748</v>
      </c>
      <c r="AW153" s="7" t="s">
        <v>750</v>
      </c>
      <c r="AX153" s="5">
        <v>105000000</v>
      </c>
      <c r="AY153">
        <f t="shared" si="25"/>
        <v>0</v>
      </c>
      <c r="AZ153">
        <f t="shared" si="26"/>
        <v>24180000</v>
      </c>
      <c r="BA153" s="5">
        <v>198000000</v>
      </c>
      <c r="BB153" s="5">
        <v>0</v>
      </c>
      <c r="BC153" s="4" t="s">
        <v>49</v>
      </c>
      <c r="BD153" s="4">
        <v>47111</v>
      </c>
      <c r="BE153" t="s">
        <v>54</v>
      </c>
    </row>
    <row r="154" spans="1:57" ht="270.75" thickBot="1" x14ac:dyDescent="0.3">
      <c r="A154" s="4" t="s">
        <v>751</v>
      </c>
      <c r="B154" s="4">
        <v>1</v>
      </c>
      <c r="C154" s="5">
        <v>2</v>
      </c>
      <c r="D154" s="4" t="s">
        <v>44</v>
      </c>
      <c r="E154" s="6">
        <v>46207.924110370368</v>
      </c>
      <c r="F154" s="4" t="s">
        <v>752</v>
      </c>
      <c r="G154" s="4" t="s">
        <v>46</v>
      </c>
      <c r="H154" s="4">
        <v>53</v>
      </c>
      <c r="I154" s="4" t="s">
        <v>47</v>
      </c>
      <c r="J154" s="4">
        <v>5309</v>
      </c>
      <c r="K154" s="4" t="s">
        <v>48</v>
      </c>
      <c r="L154" s="4">
        <v>5309060</v>
      </c>
      <c r="M154" s="4">
        <v>5309060020</v>
      </c>
      <c r="N154" s="4" t="s">
        <v>49</v>
      </c>
      <c r="O154" s="4">
        <v>47111</v>
      </c>
      <c r="P154" s="4" t="s">
        <v>753</v>
      </c>
      <c r="Q154" s="5">
        <v>1</v>
      </c>
      <c r="R154" s="5">
        <v>0</v>
      </c>
      <c r="S154" s="5">
        <v>0</v>
      </c>
      <c r="T154" s="5">
        <v>3500000</v>
      </c>
      <c r="U154" s="5">
        <v>2700000</v>
      </c>
      <c r="V154" s="5">
        <v>0</v>
      </c>
      <c r="W154" s="5">
        <v>6200000</v>
      </c>
      <c r="X154" s="5">
        <v>18000000</v>
      </c>
      <c r="Y154" s="5">
        <v>0</v>
      </c>
      <c r="Z154" s="5">
        <f t="shared" si="18"/>
        <v>11800000</v>
      </c>
      <c r="AA154" s="5">
        <v>8500000</v>
      </c>
      <c r="AB154" s="5">
        <f t="shared" si="19"/>
        <v>14500000</v>
      </c>
      <c r="AC154" s="5" t="s">
        <v>754</v>
      </c>
      <c r="AD154" s="4" t="s">
        <v>51</v>
      </c>
      <c r="AE154" s="5">
        <f t="shared" si="20"/>
        <v>0.81379310344827582</v>
      </c>
      <c r="AF154" s="5">
        <v>14500000</v>
      </c>
      <c r="AG154" s="5">
        <v>1</v>
      </c>
      <c r="AH154" s="5">
        <v>1</v>
      </c>
      <c r="AI154" s="5">
        <v>1</v>
      </c>
      <c r="AJ154" s="7" t="s">
        <v>755</v>
      </c>
      <c r="AK154" s="5">
        <v>0</v>
      </c>
      <c r="AL154" s="5">
        <v>0</v>
      </c>
      <c r="AM154" s="4">
        <v>2019</v>
      </c>
      <c r="AN154" s="5">
        <v>0</v>
      </c>
      <c r="AO154" s="5">
        <v>1</v>
      </c>
      <c r="AP154" s="8"/>
      <c r="AQ154" s="8"/>
      <c r="AR154" s="8">
        <f t="shared" si="21"/>
        <v>0</v>
      </c>
      <c r="AS154" s="8">
        <f t="shared" si="22"/>
        <v>2700000</v>
      </c>
      <c r="AT154" s="8">
        <f t="shared" si="23"/>
        <v>10730000</v>
      </c>
      <c r="AU154" s="8">
        <f t="shared" si="24"/>
        <v>3770000</v>
      </c>
      <c r="AV154" s="4" t="s">
        <v>753</v>
      </c>
      <c r="AW154" s="7" t="s">
        <v>755</v>
      </c>
      <c r="AX154" s="5">
        <v>3500000</v>
      </c>
      <c r="AY154">
        <f t="shared" si="25"/>
        <v>0</v>
      </c>
      <c r="AZ154">
        <f t="shared" si="26"/>
        <v>3770000</v>
      </c>
      <c r="BA154" s="5">
        <v>18000000</v>
      </c>
      <c r="BB154" s="5">
        <v>0</v>
      </c>
      <c r="BC154" s="4" t="s">
        <v>49</v>
      </c>
      <c r="BD154" s="4">
        <v>47111</v>
      </c>
      <c r="BE154" t="s">
        <v>54</v>
      </c>
    </row>
    <row r="155" spans="1:57" ht="270.75" thickBot="1" x14ac:dyDescent="0.3">
      <c r="A155" s="4" t="s">
        <v>756</v>
      </c>
      <c r="B155" s="4">
        <v>1001</v>
      </c>
      <c r="C155" s="5">
        <v>2</v>
      </c>
      <c r="D155" s="4" t="s">
        <v>44</v>
      </c>
      <c r="E155" s="6">
        <v>46280.290878287036</v>
      </c>
      <c r="F155" s="4" t="s">
        <v>757</v>
      </c>
      <c r="G155" s="4" t="s">
        <v>46</v>
      </c>
      <c r="H155" s="4">
        <v>53</v>
      </c>
      <c r="I155" s="4" t="s">
        <v>47</v>
      </c>
      <c r="J155" s="4">
        <v>5309</v>
      </c>
      <c r="K155" s="4" t="s">
        <v>48</v>
      </c>
      <c r="L155" s="4">
        <v>5309070</v>
      </c>
      <c r="M155" s="4">
        <v>5309070015</v>
      </c>
      <c r="N155" s="4" t="s">
        <v>49</v>
      </c>
      <c r="O155" s="4">
        <v>47111</v>
      </c>
      <c r="P155" s="4" t="s">
        <v>758</v>
      </c>
      <c r="Q155" s="5">
        <v>1</v>
      </c>
      <c r="R155" s="5">
        <v>0</v>
      </c>
      <c r="S155" s="5">
        <v>50000</v>
      </c>
      <c r="T155" s="5">
        <v>72000000</v>
      </c>
      <c r="U155" s="5">
        <v>300000</v>
      </c>
      <c r="V155" s="5">
        <v>0</v>
      </c>
      <c r="W155" s="5">
        <v>72350000</v>
      </c>
      <c r="X155" s="5">
        <v>90000000</v>
      </c>
      <c r="Y155" s="5">
        <v>0</v>
      </c>
      <c r="Z155" s="5">
        <f t="shared" si="18"/>
        <v>17650000</v>
      </c>
      <c r="AA155" s="5">
        <v>1000000</v>
      </c>
      <c r="AB155" s="5">
        <f t="shared" si="19"/>
        <v>18000000</v>
      </c>
      <c r="AC155" s="5" t="s">
        <v>52</v>
      </c>
      <c r="AD155" s="4" t="s">
        <v>51</v>
      </c>
      <c r="AE155" s="5">
        <f t="shared" si="20"/>
        <v>0.98055555555555551</v>
      </c>
      <c r="AF155" s="5">
        <v>18000000</v>
      </c>
      <c r="AG155" s="5">
        <v>1</v>
      </c>
      <c r="AH155" s="5">
        <v>1</v>
      </c>
      <c r="AI155" s="5">
        <v>1</v>
      </c>
      <c r="AJ155" s="7" t="s">
        <v>759</v>
      </c>
      <c r="AK155" s="5">
        <v>0</v>
      </c>
      <c r="AL155" s="5">
        <v>0</v>
      </c>
      <c r="AM155" s="4">
        <v>2015</v>
      </c>
      <c r="AN155" s="5">
        <v>0</v>
      </c>
      <c r="AO155" s="5">
        <v>1</v>
      </c>
      <c r="AP155" s="8"/>
      <c r="AQ155" s="8"/>
      <c r="AR155" s="8">
        <f t="shared" si="21"/>
        <v>0</v>
      </c>
      <c r="AS155" s="8">
        <f t="shared" si="22"/>
        <v>350000</v>
      </c>
      <c r="AT155" s="8">
        <f t="shared" si="23"/>
        <v>13320000</v>
      </c>
      <c r="AU155" s="8">
        <f t="shared" si="24"/>
        <v>4680000</v>
      </c>
      <c r="AV155" s="4" t="s">
        <v>758</v>
      </c>
      <c r="AW155" s="7" t="s">
        <v>759</v>
      </c>
      <c r="AX155" s="5">
        <v>72000000</v>
      </c>
      <c r="AY155">
        <f t="shared" si="25"/>
        <v>668571.42857142864</v>
      </c>
      <c r="AZ155">
        <f t="shared" si="26"/>
        <v>4011428.5714285714</v>
      </c>
      <c r="BA155" s="5">
        <v>90000000</v>
      </c>
      <c r="BB155" s="5">
        <v>0</v>
      </c>
      <c r="BC155" s="4" t="s">
        <v>49</v>
      </c>
      <c r="BD155" s="4">
        <v>47111</v>
      </c>
      <c r="BE155" t="s">
        <v>54</v>
      </c>
    </row>
    <row r="156" spans="1:57" ht="270.75" thickBot="1" x14ac:dyDescent="0.3">
      <c r="A156" s="4" t="s">
        <v>760</v>
      </c>
      <c r="B156" s="4">
        <v>1003</v>
      </c>
      <c r="C156" s="5">
        <v>2</v>
      </c>
      <c r="D156" s="4" t="s">
        <v>44</v>
      </c>
      <c r="E156" s="6">
        <v>46275.305829340279</v>
      </c>
      <c r="F156" s="4" t="s">
        <v>761</v>
      </c>
      <c r="G156" s="4" t="s">
        <v>46</v>
      </c>
      <c r="H156" s="4">
        <v>53</v>
      </c>
      <c r="I156" s="4" t="s">
        <v>47</v>
      </c>
      <c r="J156" s="4">
        <v>5309</v>
      </c>
      <c r="K156" s="4" t="s">
        <v>48</v>
      </c>
      <c r="L156" s="4">
        <v>5309050</v>
      </c>
      <c r="M156" s="4">
        <v>5309050003</v>
      </c>
      <c r="N156" s="4" t="s">
        <v>49</v>
      </c>
      <c r="O156" s="4">
        <v>47111</v>
      </c>
      <c r="P156" s="4" t="s">
        <v>762</v>
      </c>
      <c r="Q156" s="5">
        <v>1</v>
      </c>
      <c r="R156" s="5">
        <v>0</v>
      </c>
      <c r="S156" s="5">
        <v>50000</v>
      </c>
      <c r="T156" s="5">
        <v>2500000</v>
      </c>
      <c r="U156" s="5">
        <v>105000</v>
      </c>
      <c r="V156" s="5">
        <v>0</v>
      </c>
      <c r="W156" s="5">
        <v>2655000</v>
      </c>
      <c r="X156" s="5">
        <v>4000000</v>
      </c>
      <c r="Y156" s="5">
        <v>0</v>
      </c>
      <c r="Z156" s="5">
        <f t="shared" si="18"/>
        <v>1345000</v>
      </c>
      <c r="AA156" s="5">
        <v>10200000</v>
      </c>
      <c r="AB156" s="5">
        <f t="shared" si="19"/>
        <v>1500000</v>
      </c>
      <c r="AC156" s="5" t="s">
        <v>90</v>
      </c>
      <c r="AD156" s="4" t="s">
        <v>51</v>
      </c>
      <c r="AE156" s="5">
        <f t="shared" si="20"/>
        <v>0.89666666666666661</v>
      </c>
      <c r="AF156" s="5">
        <v>1500000</v>
      </c>
      <c r="AG156" s="5">
        <v>1</v>
      </c>
      <c r="AH156" s="5">
        <v>1</v>
      </c>
      <c r="AI156" s="5">
        <v>1</v>
      </c>
      <c r="AJ156" s="7" t="s">
        <v>763</v>
      </c>
      <c r="AK156" s="5">
        <v>0</v>
      </c>
      <c r="AL156" s="5">
        <v>0</v>
      </c>
      <c r="AM156" s="4">
        <v>2024</v>
      </c>
      <c r="AN156" s="5">
        <v>0</v>
      </c>
      <c r="AO156" s="5">
        <v>1</v>
      </c>
      <c r="AP156" s="8"/>
      <c r="AQ156" s="8"/>
      <c r="AR156" s="8">
        <f t="shared" si="21"/>
        <v>0</v>
      </c>
      <c r="AS156" s="8">
        <f t="shared" si="22"/>
        <v>155000</v>
      </c>
      <c r="AT156" s="8">
        <f t="shared" si="23"/>
        <v>1110000</v>
      </c>
      <c r="AU156" s="8">
        <f t="shared" si="24"/>
        <v>390000</v>
      </c>
      <c r="AV156" s="4" t="s">
        <v>762</v>
      </c>
      <c r="AW156" s="7" t="s">
        <v>763</v>
      </c>
      <c r="AX156" s="5">
        <v>2500000</v>
      </c>
      <c r="AY156">
        <f t="shared" si="25"/>
        <v>125806.45161290321</v>
      </c>
      <c r="AZ156">
        <f t="shared" si="26"/>
        <v>264193.54838709679</v>
      </c>
      <c r="BA156" s="5">
        <v>4000000</v>
      </c>
      <c r="BB156" s="5">
        <v>0</v>
      </c>
      <c r="BC156" s="4" t="s">
        <v>49</v>
      </c>
      <c r="BD156" s="4">
        <v>47111</v>
      </c>
      <c r="BE156" t="s">
        <v>54</v>
      </c>
    </row>
    <row r="157" spans="1:57" ht="270.75" thickBot="1" x14ac:dyDescent="0.3">
      <c r="A157" s="4" t="s">
        <v>764</v>
      </c>
      <c r="B157" s="4">
        <v>3001</v>
      </c>
      <c r="C157" s="5">
        <v>2</v>
      </c>
      <c r="D157" s="4" t="s">
        <v>44</v>
      </c>
      <c r="E157" s="6">
        <v>46255.947784444441</v>
      </c>
      <c r="F157" s="4" t="s">
        <v>765</v>
      </c>
      <c r="G157" s="4" t="s">
        <v>46</v>
      </c>
      <c r="H157" s="4">
        <v>53</v>
      </c>
      <c r="I157" s="4" t="s">
        <v>47</v>
      </c>
      <c r="J157" s="4">
        <v>5309</v>
      </c>
      <c r="K157" s="4" t="s">
        <v>48</v>
      </c>
      <c r="L157" s="4">
        <v>5309071</v>
      </c>
      <c r="M157" s="4">
        <v>5309071001</v>
      </c>
      <c r="N157" s="4" t="s">
        <v>49</v>
      </c>
      <c r="O157" s="4">
        <v>47111</v>
      </c>
      <c r="P157" s="4" t="s">
        <v>766</v>
      </c>
      <c r="Q157" s="5">
        <v>8</v>
      </c>
      <c r="R157" s="5">
        <v>144000000</v>
      </c>
      <c r="S157" s="5">
        <v>0</v>
      </c>
      <c r="T157" s="5">
        <v>500000000</v>
      </c>
      <c r="U157" s="5">
        <v>12000000</v>
      </c>
      <c r="V157" s="5">
        <v>0</v>
      </c>
      <c r="W157" s="5">
        <v>656000000</v>
      </c>
      <c r="X157" s="5">
        <v>980000000</v>
      </c>
      <c r="Y157" s="5">
        <v>0</v>
      </c>
      <c r="Z157" s="5">
        <f t="shared" si="18"/>
        <v>468000000</v>
      </c>
      <c r="AA157" s="5">
        <v>1200000000</v>
      </c>
      <c r="AB157" s="5">
        <f t="shared" si="19"/>
        <v>480000000</v>
      </c>
      <c r="AC157" s="5" t="s">
        <v>767</v>
      </c>
      <c r="AD157" s="4" t="s">
        <v>51</v>
      </c>
      <c r="AE157" s="5">
        <f t="shared" si="20"/>
        <v>0.97499999999999998</v>
      </c>
      <c r="AF157" s="5">
        <v>60000000</v>
      </c>
      <c r="AG157" s="5">
        <v>0</v>
      </c>
      <c r="AH157" s="5">
        <v>1</v>
      </c>
      <c r="AI157" s="5">
        <v>1</v>
      </c>
      <c r="AJ157" s="7" t="s">
        <v>768</v>
      </c>
      <c r="AK157" s="5">
        <v>0</v>
      </c>
      <c r="AL157" s="5">
        <v>0</v>
      </c>
      <c r="AM157" s="4">
        <v>2022</v>
      </c>
      <c r="AN157" s="5">
        <v>8</v>
      </c>
      <c r="AO157" s="5">
        <v>0</v>
      </c>
      <c r="AP157" s="8"/>
      <c r="AQ157" s="8"/>
      <c r="AR157" s="8">
        <f t="shared" si="21"/>
        <v>0</v>
      </c>
      <c r="AS157" s="8">
        <f t="shared" si="22"/>
        <v>12000000</v>
      </c>
      <c r="AT157" s="8">
        <f t="shared" si="23"/>
        <v>355200000</v>
      </c>
      <c r="AU157" s="8">
        <f t="shared" si="24"/>
        <v>124800000</v>
      </c>
      <c r="AV157" s="4" t="s">
        <v>766</v>
      </c>
      <c r="AW157" s="7" t="s">
        <v>768</v>
      </c>
      <c r="AX157" s="5">
        <v>500000000</v>
      </c>
      <c r="AY157">
        <f t="shared" si="25"/>
        <v>0</v>
      </c>
      <c r="AZ157">
        <f t="shared" si="26"/>
        <v>124800000</v>
      </c>
      <c r="BA157" s="5">
        <v>980000000</v>
      </c>
      <c r="BB157" s="5">
        <v>0</v>
      </c>
      <c r="BC157" s="4" t="s">
        <v>49</v>
      </c>
      <c r="BD157" s="4">
        <v>47111</v>
      </c>
      <c r="BE157" t="s">
        <v>54</v>
      </c>
    </row>
    <row r="158" spans="1:57" ht="255.75" thickBot="1" x14ac:dyDescent="0.3">
      <c r="A158" s="4" t="s">
        <v>769</v>
      </c>
      <c r="B158" s="4">
        <v>3001</v>
      </c>
      <c r="C158" s="5">
        <v>2</v>
      </c>
      <c r="D158" s="4" t="s">
        <v>44</v>
      </c>
      <c r="E158" s="6">
        <v>46265.50198144676</v>
      </c>
      <c r="F158" s="4" t="s">
        <v>770</v>
      </c>
      <c r="G158" s="4" t="s">
        <v>46</v>
      </c>
      <c r="H158" s="4">
        <v>53</v>
      </c>
      <c r="I158" s="4" t="s">
        <v>47</v>
      </c>
      <c r="J158" s="4">
        <v>5309</v>
      </c>
      <c r="K158" s="4" t="s">
        <v>48</v>
      </c>
      <c r="L158" s="4">
        <v>5309071</v>
      </c>
      <c r="M158" s="4">
        <v>5309071018</v>
      </c>
      <c r="N158" s="4" t="s">
        <v>49</v>
      </c>
      <c r="O158" s="4">
        <v>47111</v>
      </c>
      <c r="P158" s="4" t="s">
        <v>771</v>
      </c>
      <c r="Q158" s="5">
        <v>2</v>
      </c>
      <c r="R158" s="5">
        <v>0</v>
      </c>
      <c r="S158" s="5">
        <v>3000000</v>
      </c>
      <c r="T158" s="5">
        <v>0</v>
      </c>
      <c r="U158" s="5">
        <v>100000</v>
      </c>
      <c r="V158" s="5">
        <v>0</v>
      </c>
      <c r="W158" s="5">
        <v>3100000</v>
      </c>
      <c r="X158" s="5">
        <v>4000000</v>
      </c>
      <c r="Y158" s="5">
        <v>0</v>
      </c>
      <c r="Z158" s="5">
        <f t="shared" si="18"/>
        <v>900000</v>
      </c>
      <c r="AA158" s="5">
        <v>2000000</v>
      </c>
      <c r="AB158" s="5">
        <f t="shared" si="19"/>
        <v>4000000</v>
      </c>
      <c r="AC158" s="5">
        <v>0</v>
      </c>
      <c r="AD158" s="4" t="s">
        <v>51</v>
      </c>
      <c r="AE158" s="5">
        <f t="shared" si="20"/>
        <v>0.22500000000000001</v>
      </c>
      <c r="AF158" s="5">
        <v>2000000</v>
      </c>
      <c r="AG158" s="5">
        <v>1</v>
      </c>
      <c r="AH158" s="5">
        <v>1</v>
      </c>
      <c r="AI158" s="5">
        <v>1</v>
      </c>
      <c r="AJ158" s="7" t="s">
        <v>772</v>
      </c>
      <c r="AK158" s="5">
        <v>0</v>
      </c>
      <c r="AL158" s="5">
        <v>0</v>
      </c>
      <c r="AM158" s="4">
        <v>2025</v>
      </c>
      <c r="AN158" s="5">
        <v>0</v>
      </c>
      <c r="AO158" s="5">
        <v>2</v>
      </c>
      <c r="AP158" s="8"/>
      <c r="AQ158" s="8"/>
      <c r="AR158" s="8">
        <f t="shared" si="21"/>
        <v>0</v>
      </c>
      <c r="AS158" s="8">
        <f t="shared" si="22"/>
        <v>3100000</v>
      </c>
      <c r="AT158" s="8">
        <f t="shared" si="23"/>
        <v>900000</v>
      </c>
      <c r="AU158" s="8">
        <f t="shared" si="24"/>
        <v>3100000</v>
      </c>
      <c r="AV158" s="4" t="s">
        <v>771</v>
      </c>
      <c r="AW158" s="7" t="s">
        <v>772</v>
      </c>
      <c r="AX158" s="5">
        <v>0</v>
      </c>
      <c r="AY158">
        <f t="shared" si="25"/>
        <v>3000000</v>
      </c>
      <c r="AZ158">
        <f t="shared" si="26"/>
        <v>100000</v>
      </c>
      <c r="BA158" s="5">
        <v>4000000</v>
      </c>
      <c r="BB158" s="5">
        <v>0</v>
      </c>
      <c r="BC158" s="4" t="s">
        <v>49</v>
      </c>
      <c r="BD158" s="4">
        <v>47111</v>
      </c>
      <c r="BE158" t="s">
        <v>54</v>
      </c>
    </row>
    <row r="159" spans="1:57" ht="270.75" thickBot="1" x14ac:dyDescent="0.3">
      <c r="A159" s="4" t="s">
        <v>773</v>
      </c>
      <c r="B159" s="4">
        <v>2001</v>
      </c>
      <c r="C159" s="5">
        <v>2</v>
      </c>
      <c r="D159" s="4" t="s">
        <v>44</v>
      </c>
      <c r="E159" s="9">
        <v>46206.527314814812</v>
      </c>
      <c r="F159" s="4" t="s">
        <v>774</v>
      </c>
      <c r="G159" s="4" t="s">
        <v>46</v>
      </c>
      <c r="H159" s="4">
        <v>53</v>
      </c>
      <c r="I159" s="4" t="s">
        <v>47</v>
      </c>
      <c r="J159" s="4">
        <v>5309</v>
      </c>
      <c r="K159" s="4" t="s">
        <v>48</v>
      </c>
      <c r="L159" s="4">
        <v>5309010</v>
      </c>
      <c r="M159" s="4">
        <v>5309010004</v>
      </c>
      <c r="N159" s="4" t="s">
        <v>49</v>
      </c>
      <c r="O159" s="4">
        <v>47111</v>
      </c>
      <c r="P159" s="4" t="s">
        <v>775</v>
      </c>
      <c r="Q159" s="5">
        <v>2</v>
      </c>
      <c r="R159" s="5">
        <v>0</v>
      </c>
      <c r="S159" s="5">
        <v>500000</v>
      </c>
      <c r="T159" s="5">
        <v>24000000</v>
      </c>
      <c r="U159" s="5">
        <v>55000</v>
      </c>
      <c r="V159" s="5">
        <v>100000</v>
      </c>
      <c r="W159" s="5">
        <v>24655000</v>
      </c>
      <c r="X159" s="5">
        <v>55000000</v>
      </c>
      <c r="Y159" s="5">
        <v>0</v>
      </c>
      <c r="Z159" s="5">
        <f t="shared" si="18"/>
        <v>30445000</v>
      </c>
      <c r="AA159" s="5">
        <v>10000000</v>
      </c>
      <c r="AB159" s="5">
        <f t="shared" si="19"/>
        <v>31000000</v>
      </c>
      <c r="AC159" s="5" t="s">
        <v>776</v>
      </c>
      <c r="AD159" s="4" t="s">
        <v>51</v>
      </c>
      <c r="AE159" s="5">
        <f t="shared" si="20"/>
        <v>0.98209677419354835</v>
      </c>
      <c r="AF159" s="5">
        <v>15500000</v>
      </c>
      <c r="AG159" s="5">
        <v>1</v>
      </c>
      <c r="AH159" s="5">
        <v>1</v>
      </c>
      <c r="AI159" s="5">
        <v>1</v>
      </c>
      <c r="AJ159" s="7" t="s">
        <v>777</v>
      </c>
      <c r="AK159" s="5">
        <v>0</v>
      </c>
      <c r="AL159" s="5">
        <v>0</v>
      </c>
      <c r="AM159" s="4">
        <v>2022</v>
      </c>
      <c r="AN159" s="5">
        <v>0</v>
      </c>
      <c r="AO159" s="5">
        <v>2</v>
      </c>
      <c r="AP159" s="8"/>
      <c r="AQ159" s="8"/>
      <c r="AR159" s="8">
        <f t="shared" si="21"/>
        <v>0</v>
      </c>
      <c r="AS159" s="8">
        <f t="shared" si="22"/>
        <v>555000</v>
      </c>
      <c r="AT159" s="8">
        <f t="shared" si="23"/>
        <v>22940000</v>
      </c>
      <c r="AU159" s="8">
        <f t="shared" si="24"/>
        <v>8060000</v>
      </c>
      <c r="AV159" s="4" t="s">
        <v>775</v>
      </c>
      <c r="AW159" s="7" t="s">
        <v>777</v>
      </c>
      <c r="AX159" s="5">
        <v>24000000</v>
      </c>
      <c r="AY159">
        <f t="shared" si="25"/>
        <v>7261261.2612612611</v>
      </c>
      <c r="AZ159">
        <f t="shared" si="26"/>
        <v>798738.7387387387</v>
      </c>
      <c r="BA159" s="5">
        <v>55000000</v>
      </c>
      <c r="BB159" s="5">
        <v>0</v>
      </c>
      <c r="BC159" s="4" t="s">
        <v>49</v>
      </c>
      <c r="BD159" s="4">
        <v>47111</v>
      </c>
      <c r="BE159" t="s">
        <v>54</v>
      </c>
    </row>
    <row r="160" spans="1:57" ht="270.75" thickBot="1" x14ac:dyDescent="0.3">
      <c r="A160" s="4" t="s">
        <v>778</v>
      </c>
      <c r="B160" s="4">
        <v>1</v>
      </c>
      <c r="C160" s="5">
        <v>2</v>
      </c>
      <c r="D160" s="4" t="s">
        <v>44</v>
      </c>
      <c r="E160" s="6">
        <v>46258.696968344906</v>
      </c>
      <c r="F160" s="4" t="s">
        <v>779</v>
      </c>
      <c r="G160" s="4" t="s">
        <v>46</v>
      </c>
      <c r="H160" s="4">
        <v>53</v>
      </c>
      <c r="I160" s="4" t="s">
        <v>47</v>
      </c>
      <c r="J160" s="4">
        <v>5309</v>
      </c>
      <c r="K160" s="4" t="s">
        <v>48</v>
      </c>
      <c r="L160" s="4">
        <v>5309040</v>
      </c>
      <c r="M160" s="4">
        <v>5309040015</v>
      </c>
      <c r="N160" s="4" t="s">
        <v>49</v>
      </c>
      <c r="O160" s="4">
        <v>47111</v>
      </c>
      <c r="P160" s="4" t="s">
        <v>780</v>
      </c>
      <c r="Q160" s="5">
        <v>2</v>
      </c>
      <c r="R160" s="5">
        <v>12000000</v>
      </c>
      <c r="S160" s="5">
        <v>50000</v>
      </c>
      <c r="T160" s="5">
        <v>60000000</v>
      </c>
      <c r="U160" s="5">
        <v>1200000</v>
      </c>
      <c r="V160" s="5">
        <v>0</v>
      </c>
      <c r="W160" s="5">
        <v>73250000</v>
      </c>
      <c r="X160" s="5">
        <v>89000000</v>
      </c>
      <c r="Y160" s="5">
        <v>0</v>
      </c>
      <c r="Z160" s="5">
        <f t="shared" si="18"/>
        <v>27750000</v>
      </c>
      <c r="AA160" s="5">
        <v>7000000</v>
      </c>
      <c r="AB160" s="5">
        <f t="shared" si="19"/>
        <v>29000000</v>
      </c>
      <c r="AC160" s="5" t="s">
        <v>781</v>
      </c>
      <c r="AD160" s="4" t="s">
        <v>51</v>
      </c>
      <c r="AE160" s="5">
        <f t="shared" si="20"/>
        <v>0.9568965517241379</v>
      </c>
      <c r="AF160" s="5">
        <v>14500000</v>
      </c>
      <c r="AG160" s="5">
        <v>1</v>
      </c>
      <c r="AH160" s="5">
        <v>0</v>
      </c>
      <c r="AI160" s="5">
        <v>1</v>
      </c>
      <c r="AJ160" s="7" t="s">
        <v>782</v>
      </c>
      <c r="AK160" s="5">
        <v>0</v>
      </c>
      <c r="AL160" s="5">
        <v>0</v>
      </c>
      <c r="AM160" s="4">
        <v>2019</v>
      </c>
      <c r="AN160" s="5">
        <v>1</v>
      </c>
      <c r="AO160" s="5">
        <v>1</v>
      </c>
      <c r="AP160" s="8"/>
      <c r="AQ160" s="8"/>
      <c r="AR160" s="8">
        <f t="shared" si="21"/>
        <v>0</v>
      </c>
      <c r="AS160" s="8">
        <f t="shared" si="22"/>
        <v>1250000</v>
      </c>
      <c r="AT160" s="8">
        <f t="shared" si="23"/>
        <v>21460000</v>
      </c>
      <c r="AU160" s="8">
        <f t="shared" si="24"/>
        <v>7540000</v>
      </c>
      <c r="AV160" s="4" t="s">
        <v>780</v>
      </c>
      <c r="AW160" s="7" t="s">
        <v>782</v>
      </c>
      <c r="AX160" s="5">
        <v>60000000</v>
      </c>
      <c r="AY160">
        <f t="shared" si="25"/>
        <v>301600</v>
      </c>
      <c r="AZ160">
        <f t="shared" si="26"/>
        <v>7238400</v>
      </c>
      <c r="BA160" s="5">
        <v>89000000</v>
      </c>
      <c r="BB160" s="5">
        <v>0</v>
      </c>
      <c r="BC160" s="4" t="s">
        <v>49</v>
      </c>
      <c r="BD160" s="4">
        <v>47111</v>
      </c>
      <c r="BE160" t="s">
        <v>54</v>
      </c>
    </row>
    <row r="161" spans="1:57" ht="270.75" thickBot="1" x14ac:dyDescent="0.3">
      <c r="A161" s="4" t="s">
        <v>783</v>
      </c>
      <c r="B161" s="4">
        <v>1002</v>
      </c>
      <c r="C161" s="5">
        <v>2</v>
      </c>
      <c r="D161" s="4" t="s">
        <v>44</v>
      </c>
      <c r="E161" s="6">
        <v>46277.709049131947</v>
      </c>
      <c r="F161" s="4" t="s">
        <v>784</v>
      </c>
      <c r="G161" s="4" t="s">
        <v>46</v>
      </c>
      <c r="H161" s="4">
        <v>53</v>
      </c>
      <c r="I161" s="4" t="s">
        <v>47</v>
      </c>
      <c r="J161" s="4">
        <v>5309</v>
      </c>
      <c r="K161" s="4" t="s">
        <v>48</v>
      </c>
      <c r="L161" s="4">
        <v>5309070</v>
      </c>
      <c r="M161" s="4">
        <v>5309070006</v>
      </c>
      <c r="N161" s="4" t="s">
        <v>49</v>
      </c>
      <c r="O161" s="4">
        <v>47111</v>
      </c>
      <c r="P161" s="4" t="s">
        <v>785</v>
      </c>
      <c r="Q161" s="5">
        <v>2</v>
      </c>
      <c r="R161" s="5">
        <v>0</v>
      </c>
      <c r="S161" s="5">
        <v>300000</v>
      </c>
      <c r="T161" s="5">
        <v>30000000</v>
      </c>
      <c r="U161" s="5">
        <v>350000</v>
      </c>
      <c r="V161" s="5">
        <v>0</v>
      </c>
      <c r="W161" s="5">
        <v>30650000</v>
      </c>
      <c r="X161" s="5">
        <v>37500000</v>
      </c>
      <c r="Y161" s="5">
        <v>0</v>
      </c>
      <c r="Z161" s="5">
        <f t="shared" si="18"/>
        <v>6850000</v>
      </c>
      <c r="AA161" s="5">
        <v>33000000</v>
      </c>
      <c r="AB161" s="5">
        <f t="shared" si="19"/>
        <v>7500000</v>
      </c>
      <c r="AC161" s="5" t="s">
        <v>52</v>
      </c>
      <c r="AD161" s="4" t="s">
        <v>51</v>
      </c>
      <c r="AE161" s="5">
        <f t="shared" si="20"/>
        <v>0.91333333333333333</v>
      </c>
      <c r="AF161" s="5">
        <v>3750000</v>
      </c>
      <c r="AG161" s="5">
        <v>0</v>
      </c>
      <c r="AH161" s="5">
        <v>1</v>
      </c>
      <c r="AI161" s="5">
        <v>1</v>
      </c>
      <c r="AJ161" s="7" t="s">
        <v>786</v>
      </c>
      <c r="AK161" s="5">
        <v>0</v>
      </c>
      <c r="AL161" s="5">
        <v>0</v>
      </c>
      <c r="AM161" s="4">
        <v>2017</v>
      </c>
      <c r="AN161" s="5">
        <v>0</v>
      </c>
      <c r="AO161" s="5">
        <v>2</v>
      </c>
      <c r="AP161" s="8"/>
      <c r="AQ161" s="8"/>
      <c r="AR161" s="8">
        <f t="shared" si="21"/>
        <v>0</v>
      </c>
      <c r="AS161" s="8">
        <f t="shared" si="22"/>
        <v>650000</v>
      </c>
      <c r="AT161" s="8">
        <f t="shared" si="23"/>
        <v>5550000</v>
      </c>
      <c r="AU161" s="8">
        <f t="shared" si="24"/>
        <v>1950000</v>
      </c>
      <c r="AV161" s="4" t="s">
        <v>785</v>
      </c>
      <c r="AW161" s="7" t="s">
        <v>786</v>
      </c>
      <c r="AX161" s="5">
        <v>30000000</v>
      </c>
      <c r="AY161">
        <f t="shared" si="25"/>
        <v>900000</v>
      </c>
      <c r="AZ161">
        <f t="shared" si="26"/>
        <v>1050000</v>
      </c>
      <c r="BA161" s="5">
        <v>37500000</v>
      </c>
      <c r="BB161" s="5">
        <v>0</v>
      </c>
      <c r="BC161" s="4" t="s">
        <v>49</v>
      </c>
      <c r="BD161" s="4">
        <v>47111</v>
      </c>
      <c r="BE161" t="s">
        <v>54</v>
      </c>
    </row>
    <row r="162" spans="1:57" ht="270.75" thickBot="1" x14ac:dyDescent="0.3">
      <c r="A162" s="4" t="s">
        <v>787</v>
      </c>
      <c r="B162" s="4">
        <v>2001</v>
      </c>
      <c r="C162" s="5">
        <v>2</v>
      </c>
      <c r="D162" s="4" t="s">
        <v>44</v>
      </c>
      <c r="E162" s="6">
        <v>46280.447382812497</v>
      </c>
      <c r="F162" s="4" t="s">
        <v>788</v>
      </c>
      <c r="G162" s="4" t="s">
        <v>46</v>
      </c>
      <c r="H162" s="4">
        <v>53</v>
      </c>
      <c r="I162" s="4" t="s">
        <v>47</v>
      </c>
      <c r="J162" s="4">
        <v>5309</v>
      </c>
      <c r="K162" s="4" t="s">
        <v>48</v>
      </c>
      <c r="L162" s="4">
        <v>5309050</v>
      </c>
      <c r="M162" s="4">
        <v>5309050003</v>
      </c>
      <c r="N162" s="4" t="s">
        <v>49</v>
      </c>
      <c r="O162" s="4">
        <v>47111</v>
      </c>
      <c r="P162" s="4" t="s">
        <v>789</v>
      </c>
      <c r="Q162" s="5">
        <v>1</v>
      </c>
      <c r="R162" s="5">
        <v>0</v>
      </c>
      <c r="S162" s="5">
        <v>6000000</v>
      </c>
      <c r="T162" s="5">
        <v>18000000</v>
      </c>
      <c r="U162" s="5">
        <v>500000</v>
      </c>
      <c r="V162" s="5">
        <v>0</v>
      </c>
      <c r="W162" s="5">
        <v>24500000</v>
      </c>
      <c r="X162" s="5">
        <v>28000000</v>
      </c>
      <c r="Y162" s="5">
        <v>0</v>
      </c>
      <c r="Z162" s="5">
        <f t="shared" si="18"/>
        <v>3500000</v>
      </c>
      <c r="AA162" s="5">
        <v>23000000</v>
      </c>
      <c r="AB162" s="5">
        <f t="shared" si="19"/>
        <v>10000000</v>
      </c>
      <c r="AC162" s="5" t="s">
        <v>790</v>
      </c>
      <c r="AD162" s="4" t="s">
        <v>51</v>
      </c>
      <c r="AE162" s="5">
        <f t="shared" si="20"/>
        <v>0.35</v>
      </c>
      <c r="AF162" s="5">
        <v>10000000</v>
      </c>
      <c r="AG162" s="5">
        <v>1</v>
      </c>
      <c r="AH162" s="5">
        <v>1</v>
      </c>
      <c r="AI162" s="5">
        <v>1</v>
      </c>
      <c r="AJ162" s="7" t="s">
        <v>791</v>
      </c>
      <c r="AK162" s="5">
        <v>0</v>
      </c>
      <c r="AL162" s="5">
        <v>0</v>
      </c>
      <c r="AM162" s="4">
        <v>2023</v>
      </c>
      <c r="AN162" s="5">
        <v>0</v>
      </c>
      <c r="AO162" s="5">
        <v>1</v>
      </c>
      <c r="AP162" s="8"/>
      <c r="AQ162" s="8"/>
      <c r="AR162" s="8">
        <f t="shared" si="21"/>
        <v>0</v>
      </c>
      <c r="AS162" s="8">
        <f t="shared" si="22"/>
        <v>6500000</v>
      </c>
      <c r="AT162" s="8">
        <f t="shared" si="23"/>
        <v>3500000</v>
      </c>
      <c r="AU162" s="8">
        <f t="shared" si="24"/>
        <v>6500000</v>
      </c>
      <c r="AV162" s="4" t="s">
        <v>789</v>
      </c>
      <c r="AW162" s="7" t="s">
        <v>791</v>
      </c>
      <c r="AX162" s="5">
        <v>18000000</v>
      </c>
      <c r="AY162">
        <f t="shared" si="25"/>
        <v>6000000</v>
      </c>
      <c r="AZ162">
        <f t="shared" si="26"/>
        <v>500000</v>
      </c>
      <c r="BA162" s="5">
        <v>28000000</v>
      </c>
      <c r="BB162" s="5">
        <v>0</v>
      </c>
      <c r="BC162" s="4" t="s">
        <v>49</v>
      </c>
      <c r="BD162" s="4">
        <v>47111</v>
      </c>
      <c r="BE162" t="s">
        <v>54</v>
      </c>
    </row>
    <row r="163" spans="1:57" ht="270.75" thickBot="1" x14ac:dyDescent="0.3">
      <c r="A163" s="4" t="s">
        <v>792</v>
      </c>
      <c r="B163" s="4">
        <v>1</v>
      </c>
      <c r="C163" s="5">
        <v>2</v>
      </c>
      <c r="D163" s="4" t="s">
        <v>44</v>
      </c>
      <c r="E163" s="9">
        <v>46237.539004629631</v>
      </c>
      <c r="F163" s="4" t="s">
        <v>793</v>
      </c>
      <c r="G163" s="4" t="s">
        <v>46</v>
      </c>
      <c r="H163" s="4">
        <v>53</v>
      </c>
      <c r="I163" s="4" t="s">
        <v>47</v>
      </c>
      <c r="J163" s="4">
        <v>5309</v>
      </c>
      <c r="K163" s="4" t="s">
        <v>48</v>
      </c>
      <c r="L163" s="4">
        <v>5309060</v>
      </c>
      <c r="M163" s="4">
        <v>5309060010</v>
      </c>
      <c r="N163" s="4" t="s">
        <v>49</v>
      </c>
      <c r="O163" s="4">
        <v>47111</v>
      </c>
      <c r="P163" s="4" t="s">
        <v>794</v>
      </c>
      <c r="Q163" s="5">
        <v>2</v>
      </c>
      <c r="R163" s="5">
        <v>0</v>
      </c>
      <c r="S163" s="5">
        <v>1000000</v>
      </c>
      <c r="T163" s="5">
        <v>3000000</v>
      </c>
      <c r="U163" s="5">
        <v>500000</v>
      </c>
      <c r="V163" s="5">
        <v>0</v>
      </c>
      <c r="W163" s="5">
        <v>4500000</v>
      </c>
      <c r="X163" s="5">
        <v>15000000</v>
      </c>
      <c r="Y163" s="5">
        <v>0</v>
      </c>
      <c r="Z163" s="5">
        <f t="shared" si="18"/>
        <v>10500000</v>
      </c>
      <c r="AA163" s="5">
        <v>3000000</v>
      </c>
      <c r="AB163" s="5">
        <f t="shared" si="19"/>
        <v>12000000</v>
      </c>
      <c r="AC163" s="5" t="s">
        <v>233</v>
      </c>
      <c r="AD163" s="4" t="s">
        <v>51</v>
      </c>
      <c r="AE163" s="5">
        <f t="shared" si="20"/>
        <v>0.875</v>
      </c>
      <c r="AF163" s="5">
        <v>6000000</v>
      </c>
      <c r="AG163" s="5">
        <v>1</v>
      </c>
      <c r="AH163" s="5">
        <v>1</v>
      </c>
      <c r="AI163" s="5">
        <v>1</v>
      </c>
      <c r="AJ163" s="7" t="s">
        <v>795</v>
      </c>
      <c r="AK163" s="5">
        <v>0</v>
      </c>
      <c r="AL163" s="5">
        <v>0</v>
      </c>
      <c r="AM163" s="4">
        <v>2025</v>
      </c>
      <c r="AN163" s="5">
        <v>0</v>
      </c>
      <c r="AO163" s="5">
        <v>2</v>
      </c>
      <c r="AP163" s="8"/>
      <c r="AQ163" s="8"/>
      <c r="AR163" s="8">
        <f t="shared" si="21"/>
        <v>0</v>
      </c>
      <c r="AS163" s="8">
        <f t="shared" si="22"/>
        <v>1500000</v>
      </c>
      <c r="AT163" s="8">
        <f t="shared" si="23"/>
        <v>8880000</v>
      </c>
      <c r="AU163" s="8">
        <f t="shared" si="24"/>
        <v>3120000</v>
      </c>
      <c r="AV163" s="4" t="s">
        <v>794</v>
      </c>
      <c r="AW163" s="7" t="s">
        <v>795</v>
      </c>
      <c r="AX163" s="5">
        <v>3000000</v>
      </c>
      <c r="AY163">
        <f t="shared" si="25"/>
        <v>2080000</v>
      </c>
      <c r="AZ163">
        <f t="shared" si="26"/>
        <v>1040000</v>
      </c>
      <c r="BA163" s="5">
        <v>15000000</v>
      </c>
      <c r="BB163" s="5">
        <v>0</v>
      </c>
      <c r="BC163" s="4" t="s">
        <v>49</v>
      </c>
      <c r="BD163" s="4">
        <v>47111</v>
      </c>
      <c r="BE163" t="s">
        <v>54</v>
      </c>
    </row>
    <row r="164" spans="1:57" ht="270.75" thickBot="1" x14ac:dyDescent="0.3">
      <c r="A164" s="4" t="s">
        <v>796</v>
      </c>
      <c r="B164" s="4">
        <v>1</v>
      </c>
      <c r="C164" s="5">
        <v>2</v>
      </c>
      <c r="D164" s="4" t="s">
        <v>44</v>
      </c>
      <c r="E164" s="6">
        <v>46290.922819953703</v>
      </c>
      <c r="F164" s="4" t="s">
        <v>797</v>
      </c>
      <c r="G164" s="4" t="s">
        <v>46</v>
      </c>
      <c r="H164" s="4">
        <v>53</v>
      </c>
      <c r="I164" s="4" t="s">
        <v>47</v>
      </c>
      <c r="J164" s="4">
        <v>5309</v>
      </c>
      <c r="K164" s="4" t="s">
        <v>48</v>
      </c>
      <c r="L164" s="4">
        <v>5309030</v>
      </c>
      <c r="M164" s="4">
        <v>5309030019</v>
      </c>
      <c r="N164" s="4" t="s">
        <v>49</v>
      </c>
      <c r="O164" s="4">
        <v>47111</v>
      </c>
      <c r="P164" s="4" t="s">
        <v>798</v>
      </c>
      <c r="Q164" s="5">
        <v>1</v>
      </c>
      <c r="R164" s="5">
        <v>0</v>
      </c>
      <c r="S164" s="5">
        <v>1000000</v>
      </c>
      <c r="T164" s="5">
        <v>550000</v>
      </c>
      <c r="U164" s="5">
        <v>250000</v>
      </c>
      <c r="V164" s="5">
        <v>0</v>
      </c>
      <c r="W164" s="5">
        <v>1800000</v>
      </c>
      <c r="X164" s="5">
        <v>3500000</v>
      </c>
      <c r="Y164" s="5">
        <v>0</v>
      </c>
      <c r="Z164" s="5">
        <f t="shared" si="18"/>
        <v>1700000</v>
      </c>
      <c r="AA164" s="5">
        <v>500000</v>
      </c>
      <c r="AB164" s="5">
        <f t="shared" si="19"/>
        <v>2950000</v>
      </c>
      <c r="AC164" s="5" t="s">
        <v>799</v>
      </c>
      <c r="AD164" s="4" t="s">
        <v>51</v>
      </c>
      <c r="AE164" s="5">
        <f t="shared" si="20"/>
        <v>0.57627118644067798</v>
      </c>
      <c r="AF164" s="5">
        <v>2950000</v>
      </c>
      <c r="AG164" s="5">
        <v>1</v>
      </c>
      <c r="AH164" s="5">
        <v>1</v>
      </c>
      <c r="AI164" s="5">
        <v>1</v>
      </c>
      <c r="AJ164" s="7" t="s">
        <v>800</v>
      </c>
      <c r="AK164" s="5">
        <v>0</v>
      </c>
      <c r="AL164" s="5">
        <v>0</v>
      </c>
      <c r="AM164" s="4">
        <v>2019</v>
      </c>
      <c r="AN164" s="5">
        <v>0</v>
      </c>
      <c r="AO164" s="5">
        <v>1</v>
      </c>
      <c r="AP164" s="8"/>
      <c r="AQ164" s="8"/>
      <c r="AR164" s="8">
        <f t="shared" si="21"/>
        <v>0</v>
      </c>
      <c r="AS164" s="8">
        <f t="shared" si="22"/>
        <v>1250000</v>
      </c>
      <c r="AT164" s="8">
        <f t="shared" si="23"/>
        <v>1700000</v>
      </c>
      <c r="AU164" s="8">
        <f t="shared" si="24"/>
        <v>1250000</v>
      </c>
      <c r="AV164" s="4" t="s">
        <v>798</v>
      </c>
      <c r="AW164" s="7" t="s">
        <v>800</v>
      </c>
      <c r="AX164" s="5">
        <v>550000</v>
      </c>
      <c r="AY164">
        <f t="shared" si="25"/>
        <v>1000000</v>
      </c>
      <c r="AZ164">
        <f t="shared" si="26"/>
        <v>250000</v>
      </c>
      <c r="BA164" s="5">
        <v>3500000</v>
      </c>
      <c r="BB164" s="5">
        <v>0</v>
      </c>
      <c r="BC164" s="4" t="s">
        <v>49</v>
      </c>
      <c r="BD164" s="4">
        <v>47111</v>
      </c>
      <c r="BE164" t="s">
        <v>54</v>
      </c>
    </row>
    <row r="165" spans="1:57" ht="270.75" thickBot="1" x14ac:dyDescent="0.3">
      <c r="A165" s="4" t="s">
        <v>801</v>
      </c>
      <c r="B165" s="4">
        <v>3002</v>
      </c>
      <c r="C165" s="5">
        <v>2</v>
      </c>
      <c r="D165" s="4" t="s">
        <v>44</v>
      </c>
      <c r="E165" s="6">
        <v>46280.370986956019</v>
      </c>
      <c r="F165" s="4" t="s">
        <v>802</v>
      </c>
      <c r="G165" s="4" t="s">
        <v>46</v>
      </c>
      <c r="H165" s="4">
        <v>53</v>
      </c>
      <c r="I165" s="4" t="s">
        <v>47</v>
      </c>
      <c r="J165" s="4">
        <v>5309</v>
      </c>
      <c r="K165" s="4" t="s">
        <v>48</v>
      </c>
      <c r="L165" s="4">
        <v>5309050</v>
      </c>
      <c r="M165" s="4">
        <v>5309050003</v>
      </c>
      <c r="N165" s="4" t="s">
        <v>49</v>
      </c>
      <c r="O165" s="4">
        <v>47111</v>
      </c>
      <c r="P165" s="4" t="s">
        <v>803</v>
      </c>
      <c r="Q165" s="5">
        <v>1</v>
      </c>
      <c r="R165" s="5">
        <v>0</v>
      </c>
      <c r="S165" s="5">
        <v>0</v>
      </c>
      <c r="T165" s="5">
        <v>2500000</v>
      </c>
      <c r="U165" s="5">
        <v>150000</v>
      </c>
      <c r="V165" s="5">
        <v>0</v>
      </c>
      <c r="W165" s="5">
        <v>2650000</v>
      </c>
      <c r="X165" s="5">
        <v>4000000</v>
      </c>
      <c r="Y165" s="5">
        <v>0</v>
      </c>
      <c r="Z165" s="5">
        <f t="shared" si="18"/>
        <v>1350000</v>
      </c>
      <c r="AA165" s="5">
        <v>3000000</v>
      </c>
      <c r="AB165" s="5">
        <f t="shared" si="19"/>
        <v>1500000</v>
      </c>
      <c r="AC165" s="5" t="s">
        <v>90</v>
      </c>
      <c r="AD165" s="4" t="s">
        <v>51</v>
      </c>
      <c r="AE165" s="5">
        <f t="shared" si="20"/>
        <v>0.9</v>
      </c>
      <c r="AF165" s="5">
        <v>1500000</v>
      </c>
      <c r="AG165" s="5">
        <v>1</v>
      </c>
      <c r="AH165" s="5">
        <v>1</v>
      </c>
      <c r="AI165" s="5">
        <v>1</v>
      </c>
      <c r="AJ165" s="7" t="s">
        <v>804</v>
      </c>
      <c r="AK165" s="5">
        <v>0</v>
      </c>
      <c r="AL165" s="5">
        <v>0</v>
      </c>
      <c r="AM165" s="4">
        <v>2016</v>
      </c>
      <c r="AN165" s="5">
        <v>0</v>
      </c>
      <c r="AO165" s="5">
        <v>1</v>
      </c>
      <c r="AP165" s="8"/>
      <c r="AQ165" s="8"/>
      <c r="AR165" s="8">
        <f t="shared" si="21"/>
        <v>0</v>
      </c>
      <c r="AS165" s="8">
        <f t="shared" si="22"/>
        <v>150000</v>
      </c>
      <c r="AT165" s="8">
        <f t="shared" si="23"/>
        <v>1110000</v>
      </c>
      <c r="AU165" s="8">
        <f t="shared" si="24"/>
        <v>390000</v>
      </c>
      <c r="AV165" s="4" t="s">
        <v>803</v>
      </c>
      <c r="AW165" s="7" t="s">
        <v>804</v>
      </c>
      <c r="AX165" s="5">
        <v>2500000</v>
      </c>
      <c r="AY165">
        <f t="shared" si="25"/>
        <v>0</v>
      </c>
      <c r="AZ165">
        <f t="shared" si="26"/>
        <v>390000</v>
      </c>
      <c r="BA165" s="5">
        <v>4000000</v>
      </c>
      <c r="BB165" s="5">
        <v>0</v>
      </c>
      <c r="BC165" s="4" t="s">
        <v>49</v>
      </c>
      <c r="BD165" s="4">
        <v>47111</v>
      </c>
      <c r="BE165" t="s">
        <v>54</v>
      </c>
    </row>
    <row r="166" spans="1:57" ht="270.75" thickBot="1" x14ac:dyDescent="0.3">
      <c r="A166" s="4" t="s">
        <v>805</v>
      </c>
      <c r="B166" s="4">
        <v>1</v>
      </c>
      <c r="C166" s="5">
        <v>2</v>
      </c>
      <c r="D166" s="4" t="s">
        <v>44</v>
      </c>
      <c r="E166" s="6">
        <v>46278.800365416668</v>
      </c>
      <c r="F166" s="4" t="s">
        <v>806</v>
      </c>
      <c r="G166" s="4" t="s">
        <v>46</v>
      </c>
      <c r="H166" s="4">
        <v>53</v>
      </c>
      <c r="I166" s="4" t="s">
        <v>47</v>
      </c>
      <c r="J166" s="4">
        <v>5309</v>
      </c>
      <c r="K166" s="4" t="s">
        <v>48</v>
      </c>
      <c r="L166" s="4">
        <v>5309070</v>
      </c>
      <c r="M166" s="4">
        <v>5309070057</v>
      </c>
      <c r="N166" s="4" t="s">
        <v>49</v>
      </c>
      <c r="O166" s="4">
        <v>47111</v>
      </c>
      <c r="P166" s="4" t="s">
        <v>807</v>
      </c>
      <c r="Q166" s="5">
        <v>3</v>
      </c>
      <c r="R166" s="5">
        <v>0</v>
      </c>
      <c r="S166" s="5">
        <v>200000</v>
      </c>
      <c r="T166" s="5">
        <v>24000000</v>
      </c>
      <c r="U166" s="5">
        <v>0</v>
      </c>
      <c r="V166" s="5">
        <v>0</v>
      </c>
      <c r="W166" s="5">
        <v>24200000</v>
      </c>
      <c r="X166" s="5">
        <v>36200000</v>
      </c>
      <c r="Y166" s="5">
        <v>0</v>
      </c>
      <c r="Z166" s="5">
        <f t="shared" si="18"/>
        <v>12000000</v>
      </c>
      <c r="AA166" s="5">
        <v>1800000</v>
      </c>
      <c r="AB166" s="5">
        <f t="shared" si="19"/>
        <v>12200000</v>
      </c>
      <c r="AC166" s="5" t="s">
        <v>808</v>
      </c>
      <c r="AD166" s="4" t="s">
        <v>51</v>
      </c>
      <c r="AE166" s="5">
        <f t="shared" si="20"/>
        <v>0.98360655737704916</v>
      </c>
      <c r="AF166" s="10">
        <v>4066666667</v>
      </c>
      <c r="AG166" s="5">
        <v>1</v>
      </c>
      <c r="AH166" s="5">
        <v>1</v>
      </c>
      <c r="AI166" s="5">
        <v>1</v>
      </c>
      <c r="AJ166" s="7" t="s">
        <v>809</v>
      </c>
      <c r="AK166" s="5">
        <v>0</v>
      </c>
      <c r="AL166" s="5">
        <v>0</v>
      </c>
      <c r="AM166" s="4">
        <v>2020</v>
      </c>
      <c r="AN166" s="5">
        <v>0</v>
      </c>
      <c r="AO166" s="5">
        <v>3</v>
      </c>
      <c r="AP166" s="8"/>
      <c r="AQ166" s="8"/>
      <c r="AR166" s="8">
        <f t="shared" si="21"/>
        <v>0</v>
      </c>
      <c r="AS166" s="8">
        <f t="shared" si="22"/>
        <v>200000</v>
      </c>
      <c r="AT166" s="8">
        <f t="shared" si="23"/>
        <v>9028000</v>
      </c>
      <c r="AU166" s="8">
        <f t="shared" si="24"/>
        <v>3172000</v>
      </c>
      <c r="AV166" s="4" t="s">
        <v>807</v>
      </c>
      <c r="AW166" s="7" t="s">
        <v>809</v>
      </c>
      <c r="AX166" s="5">
        <v>24000000</v>
      </c>
      <c r="AY166">
        <f t="shared" si="25"/>
        <v>3172000</v>
      </c>
      <c r="AZ166">
        <f t="shared" si="26"/>
        <v>0</v>
      </c>
      <c r="BA166" s="5">
        <v>36200000</v>
      </c>
      <c r="BB166" s="5">
        <v>0</v>
      </c>
      <c r="BC166" s="4" t="s">
        <v>49</v>
      </c>
      <c r="BD166" s="4">
        <v>47111</v>
      </c>
      <c r="BE166" t="s">
        <v>54</v>
      </c>
    </row>
    <row r="167" spans="1:57" ht="270.75" thickBot="1" x14ac:dyDescent="0.3">
      <c r="A167" s="4" t="s">
        <v>810</v>
      </c>
      <c r="B167" s="4">
        <v>1001</v>
      </c>
      <c r="C167" s="5">
        <v>2</v>
      </c>
      <c r="D167" s="4" t="s">
        <v>44</v>
      </c>
      <c r="E167" s="6">
        <v>46290.922802407411</v>
      </c>
      <c r="F167" s="4" t="s">
        <v>811</v>
      </c>
      <c r="G167" s="4" t="s">
        <v>46</v>
      </c>
      <c r="H167" s="4">
        <v>53</v>
      </c>
      <c r="I167" s="4" t="s">
        <v>47</v>
      </c>
      <c r="J167" s="4">
        <v>5309</v>
      </c>
      <c r="K167" s="4" t="s">
        <v>48</v>
      </c>
      <c r="L167" s="4">
        <v>5309030</v>
      </c>
      <c r="M167" s="4">
        <v>5309030019</v>
      </c>
      <c r="N167" s="4" t="s">
        <v>49</v>
      </c>
      <c r="O167" s="4">
        <v>47111</v>
      </c>
      <c r="P167" s="4" t="s">
        <v>812</v>
      </c>
      <c r="Q167" s="5">
        <v>1</v>
      </c>
      <c r="R167" s="5">
        <v>0</v>
      </c>
      <c r="S167" s="5">
        <v>2500000</v>
      </c>
      <c r="T167" s="5">
        <v>3000000</v>
      </c>
      <c r="U167" s="5">
        <v>1200000</v>
      </c>
      <c r="V167" s="5">
        <v>0</v>
      </c>
      <c r="W167" s="5">
        <v>6700000</v>
      </c>
      <c r="X167" s="5">
        <v>8000000</v>
      </c>
      <c r="Y167" s="5">
        <v>0</v>
      </c>
      <c r="Z167" s="5">
        <f t="shared" si="18"/>
        <v>1300000</v>
      </c>
      <c r="AA167" s="5">
        <v>2500000</v>
      </c>
      <c r="AB167" s="5">
        <f t="shared" si="19"/>
        <v>5000000</v>
      </c>
      <c r="AC167" s="5" t="s">
        <v>736</v>
      </c>
      <c r="AD167" s="4" t="s">
        <v>51</v>
      </c>
      <c r="AE167" s="5">
        <f t="shared" si="20"/>
        <v>0.26</v>
      </c>
      <c r="AF167" s="5">
        <v>5000000</v>
      </c>
      <c r="AG167" s="5">
        <v>1</v>
      </c>
      <c r="AH167" s="5">
        <v>1</v>
      </c>
      <c r="AI167" s="5">
        <v>1</v>
      </c>
      <c r="AJ167" s="7" t="s">
        <v>813</v>
      </c>
      <c r="AK167" s="5">
        <v>0</v>
      </c>
      <c r="AL167" s="5">
        <v>0</v>
      </c>
      <c r="AM167" s="4">
        <v>2023</v>
      </c>
      <c r="AN167" s="5">
        <v>0</v>
      </c>
      <c r="AO167" s="5">
        <v>1</v>
      </c>
      <c r="AP167" s="8"/>
      <c r="AQ167" s="8"/>
      <c r="AR167" s="8">
        <f t="shared" si="21"/>
        <v>0</v>
      </c>
      <c r="AS167" s="8">
        <f t="shared" si="22"/>
        <v>3700000</v>
      </c>
      <c r="AT167" s="8">
        <f t="shared" si="23"/>
        <v>1300000</v>
      </c>
      <c r="AU167" s="8">
        <f t="shared" si="24"/>
        <v>3700000</v>
      </c>
      <c r="AV167" s="4" t="s">
        <v>812</v>
      </c>
      <c r="AW167" s="7" t="s">
        <v>813</v>
      </c>
      <c r="AX167" s="5">
        <v>3000000</v>
      </c>
      <c r="AY167">
        <f t="shared" si="25"/>
        <v>2500000</v>
      </c>
      <c r="AZ167">
        <f t="shared" si="26"/>
        <v>1200000</v>
      </c>
      <c r="BA167" s="5">
        <v>8000000</v>
      </c>
      <c r="BB167" s="5">
        <v>0</v>
      </c>
      <c r="BC167" s="4" t="s">
        <v>49</v>
      </c>
      <c r="BD167" s="4">
        <v>47111</v>
      </c>
      <c r="BE167" t="s">
        <v>54</v>
      </c>
    </row>
    <row r="168" spans="1:57" ht="270.75" thickBot="1" x14ac:dyDescent="0.3">
      <c r="A168" s="4" t="s">
        <v>814</v>
      </c>
      <c r="B168" s="4">
        <v>1</v>
      </c>
      <c r="C168" s="5">
        <v>2</v>
      </c>
      <c r="D168" s="4" t="s">
        <v>44</v>
      </c>
      <c r="E168" s="6">
        <v>46278.447553796294</v>
      </c>
      <c r="F168" s="4" t="s">
        <v>815</v>
      </c>
      <c r="G168" s="4" t="s">
        <v>46</v>
      </c>
      <c r="H168" s="4">
        <v>53</v>
      </c>
      <c r="I168" s="4" t="s">
        <v>47</v>
      </c>
      <c r="J168" s="4">
        <v>5309</v>
      </c>
      <c r="K168" s="4" t="s">
        <v>48</v>
      </c>
      <c r="L168" s="4">
        <v>5309071</v>
      </c>
      <c r="M168" s="4">
        <v>5309071014</v>
      </c>
      <c r="N168" s="4" t="s">
        <v>49</v>
      </c>
      <c r="O168" s="4">
        <v>47111</v>
      </c>
      <c r="P168" s="4" t="s">
        <v>816</v>
      </c>
      <c r="Q168" s="5">
        <v>2</v>
      </c>
      <c r="R168" s="5">
        <v>0</v>
      </c>
      <c r="S168" s="5">
        <v>250000</v>
      </c>
      <c r="T168" s="5">
        <v>3750000</v>
      </c>
      <c r="U168" s="5">
        <v>0</v>
      </c>
      <c r="V168" s="5">
        <v>0</v>
      </c>
      <c r="W168" s="5">
        <v>4000000</v>
      </c>
      <c r="X168" s="5">
        <v>6000000</v>
      </c>
      <c r="Y168" s="5">
        <v>0</v>
      </c>
      <c r="Z168" s="5">
        <f t="shared" si="18"/>
        <v>2000000</v>
      </c>
      <c r="AA168" s="5">
        <v>11500000</v>
      </c>
      <c r="AB168" s="5">
        <f t="shared" si="19"/>
        <v>2250000</v>
      </c>
      <c r="AC168" s="5" t="s">
        <v>90</v>
      </c>
      <c r="AD168" s="4" t="s">
        <v>51</v>
      </c>
      <c r="AE168" s="5">
        <f t="shared" si="20"/>
        <v>0.88888888888888884</v>
      </c>
      <c r="AF168" s="5">
        <v>1125000</v>
      </c>
      <c r="AG168" s="5">
        <v>1</v>
      </c>
      <c r="AH168" s="5">
        <v>1</v>
      </c>
      <c r="AI168" s="5">
        <v>1</v>
      </c>
      <c r="AJ168" s="7" t="s">
        <v>817</v>
      </c>
      <c r="AK168" s="5">
        <v>0</v>
      </c>
      <c r="AL168" s="5">
        <v>0</v>
      </c>
      <c r="AM168" s="4">
        <v>1981</v>
      </c>
      <c r="AN168" s="5">
        <v>0</v>
      </c>
      <c r="AO168" s="5">
        <v>2</v>
      </c>
      <c r="AP168" s="8"/>
      <c r="AQ168" s="8"/>
      <c r="AR168" s="8">
        <f t="shared" si="21"/>
        <v>0</v>
      </c>
      <c r="AS168" s="8">
        <f t="shared" si="22"/>
        <v>250000</v>
      </c>
      <c r="AT168" s="8">
        <f t="shared" si="23"/>
        <v>1665000</v>
      </c>
      <c r="AU168" s="8">
        <f t="shared" si="24"/>
        <v>585000</v>
      </c>
      <c r="AV168" s="4" t="s">
        <v>816</v>
      </c>
      <c r="AW168" s="7" t="s">
        <v>817</v>
      </c>
      <c r="AX168" s="5">
        <v>3750000</v>
      </c>
      <c r="AY168">
        <f t="shared" si="25"/>
        <v>585000</v>
      </c>
      <c r="AZ168">
        <f t="shared" si="26"/>
        <v>0</v>
      </c>
      <c r="BA168" s="5">
        <v>6000000</v>
      </c>
      <c r="BB168" s="5">
        <v>0</v>
      </c>
      <c r="BC168" s="4" t="s">
        <v>49</v>
      </c>
      <c r="BD168" s="4">
        <v>47111</v>
      </c>
      <c r="BE168" t="s">
        <v>54</v>
      </c>
    </row>
    <row r="169" spans="1:57" ht="270.75" thickBot="1" x14ac:dyDescent="0.3">
      <c r="A169" s="4" t="s">
        <v>818</v>
      </c>
      <c r="B169" s="4">
        <v>1001</v>
      </c>
      <c r="C169" s="5">
        <v>2</v>
      </c>
      <c r="D169" s="4" t="s">
        <v>44</v>
      </c>
      <c r="E169" s="6">
        <v>46290.922817766201</v>
      </c>
      <c r="F169" s="4" t="s">
        <v>819</v>
      </c>
      <c r="G169" s="4" t="s">
        <v>46</v>
      </c>
      <c r="H169" s="4">
        <v>53</v>
      </c>
      <c r="I169" s="4" t="s">
        <v>47</v>
      </c>
      <c r="J169" s="4">
        <v>5309</v>
      </c>
      <c r="K169" s="4" t="s">
        <v>48</v>
      </c>
      <c r="L169" s="4">
        <v>5309030</v>
      </c>
      <c r="M169" s="4">
        <v>5309030019</v>
      </c>
      <c r="N169" s="4" t="s">
        <v>49</v>
      </c>
      <c r="O169" s="4">
        <v>47111</v>
      </c>
      <c r="P169" s="4" t="s">
        <v>820</v>
      </c>
      <c r="Q169" s="5">
        <v>7</v>
      </c>
      <c r="R169" s="5">
        <v>90000000</v>
      </c>
      <c r="S169" s="5">
        <v>0</v>
      </c>
      <c r="T169" s="5">
        <v>1000000000</v>
      </c>
      <c r="U169" s="5">
        <v>18500000</v>
      </c>
      <c r="V169" s="5">
        <v>3500000</v>
      </c>
      <c r="W169" s="5">
        <v>1112000000</v>
      </c>
      <c r="X169" s="5">
        <v>1360000000</v>
      </c>
      <c r="Y169" s="5">
        <v>0</v>
      </c>
      <c r="Z169" s="5">
        <f t="shared" si="18"/>
        <v>341500000</v>
      </c>
      <c r="AA169" s="5">
        <v>7500000</v>
      </c>
      <c r="AB169" s="5">
        <f t="shared" si="19"/>
        <v>360000000</v>
      </c>
      <c r="AC169" s="5" t="s">
        <v>821</v>
      </c>
      <c r="AD169" s="4" t="s">
        <v>51</v>
      </c>
      <c r="AE169" s="5">
        <f t="shared" si="20"/>
        <v>0.94861111111111107</v>
      </c>
      <c r="AF169" s="5" t="s">
        <v>822</v>
      </c>
      <c r="AG169" s="5">
        <v>1</v>
      </c>
      <c r="AH169" s="5">
        <v>1</v>
      </c>
      <c r="AI169" s="5">
        <v>1</v>
      </c>
      <c r="AJ169" s="7" t="s">
        <v>823</v>
      </c>
      <c r="AK169" s="5">
        <v>0</v>
      </c>
      <c r="AL169" s="5">
        <v>0</v>
      </c>
      <c r="AM169" s="4">
        <v>1995</v>
      </c>
      <c r="AN169" s="5">
        <v>5</v>
      </c>
      <c r="AO169" s="5">
        <v>2</v>
      </c>
      <c r="AP169" s="8"/>
      <c r="AQ169" s="8"/>
      <c r="AR169" s="8">
        <f t="shared" si="21"/>
        <v>0</v>
      </c>
      <c r="AS169" s="8">
        <f t="shared" si="22"/>
        <v>18500000</v>
      </c>
      <c r="AT169" s="8">
        <f t="shared" si="23"/>
        <v>266400000</v>
      </c>
      <c r="AU169" s="8">
        <f t="shared" si="24"/>
        <v>93600000</v>
      </c>
      <c r="AV169" s="4" t="s">
        <v>820</v>
      </c>
      <c r="AW169" s="7" t="s">
        <v>823</v>
      </c>
      <c r="AX169" s="5">
        <v>1000000000</v>
      </c>
      <c r="AY169">
        <f t="shared" si="25"/>
        <v>0</v>
      </c>
      <c r="AZ169">
        <f t="shared" si="26"/>
        <v>93600000</v>
      </c>
      <c r="BA169" s="5">
        <v>1360000000</v>
      </c>
      <c r="BB169" s="5">
        <v>0</v>
      </c>
      <c r="BC169" s="4" t="s">
        <v>49</v>
      </c>
      <c r="BD169" s="4">
        <v>47111</v>
      </c>
      <c r="BE169" t="s">
        <v>54</v>
      </c>
    </row>
    <row r="170" spans="1:57" ht="270.75" thickBot="1" x14ac:dyDescent="0.3">
      <c r="A170" s="4" t="s">
        <v>824</v>
      </c>
      <c r="B170" s="4">
        <v>1</v>
      </c>
      <c r="C170" s="5">
        <v>2</v>
      </c>
      <c r="D170" s="4" t="s">
        <v>44</v>
      </c>
      <c r="E170" s="9">
        <v>46227.616655092592</v>
      </c>
      <c r="F170" s="4" t="s">
        <v>825</v>
      </c>
      <c r="G170" s="4" t="s">
        <v>46</v>
      </c>
      <c r="H170" s="4">
        <v>53</v>
      </c>
      <c r="I170" s="4" t="s">
        <v>47</v>
      </c>
      <c r="J170" s="4">
        <v>5309</v>
      </c>
      <c r="K170" s="4" t="s">
        <v>48</v>
      </c>
      <c r="L170" s="4">
        <v>5309032</v>
      </c>
      <c r="M170" s="4">
        <v>5309032002</v>
      </c>
      <c r="N170" s="4" t="s">
        <v>49</v>
      </c>
      <c r="O170" s="4">
        <v>47111</v>
      </c>
      <c r="P170" s="4" t="s">
        <v>826</v>
      </c>
      <c r="Q170" s="5">
        <v>2</v>
      </c>
      <c r="R170" s="5">
        <v>0</v>
      </c>
      <c r="S170" s="5">
        <v>20000000</v>
      </c>
      <c r="T170" s="5">
        <v>10000000</v>
      </c>
      <c r="U170" s="5">
        <v>250000</v>
      </c>
      <c r="V170" s="5">
        <v>0</v>
      </c>
      <c r="W170" s="5">
        <v>30250000</v>
      </c>
      <c r="X170" s="5">
        <v>43000000</v>
      </c>
      <c r="Y170" s="5">
        <v>0</v>
      </c>
      <c r="Z170" s="5">
        <f t="shared" si="18"/>
        <v>12750000</v>
      </c>
      <c r="AA170" s="5">
        <v>57000000</v>
      </c>
      <c r="AB170" s="5">
        <f t="shared" si="19"/>
        <v>33000000</v>
      </c>
      <c r="AC170" s="5" t="s">
        <v>827</v>
      </c>
      <c r="AD170" s="4" t="s">
        <v>51</v>
      </c>
      <c r="AE170" s="5">
        <f t="shared" si="20"/>
        <v>0.38636363636363635</v>
      </c>
      <c r="AF170" s="5">
        <v>16500000</v>
      </c>
      <c r="AG170" s="5">
        <v>1</v>
      </c>
      <c r="AH170" s="5">
        <v>1</v>
      </c>
      <c r="AI170" s="5">
        <v>1</v>
      </c>
      <c r="AJ170" s="7" t="s">
        <v>828</v>
      </c>
      <c r="AK170" s="5">
        <v>0</v>
      </c>
      <c r="AL170" s="5">
        <v>0</v>
      </c>
      <c r="AM170" s="4">
        <v>2019</v>
      </c>
      <c r="AN170" s="5">
        <v>0</v>
      </c>
      <c r="AO170" s="5">
        <v>2</v>
      </c>
      <c r="AP170" s="8"/>
      <c r="AQ170" s="8"/>
      <c r="AR170" s="8">
        <f t="shared" si="21"/>
        <v>0</v>
      </c>
      <c r="AS170" s="8">
        <f t="shared" si="22"/>
        <v>20250000</v>
      </c>
      <c r="AT170" s="8">
        <f t="shared" si="23"/>
        <v>12750000</v>
      </c>
      <c r="AU170" s="8">
        <f t="shared" si="24"/>
        <v>20250000</v>
      </c>
      <c r="AV170" s="4" t="s">
        <v>826</v>
      </c>
      <c r="AW170" s="7" t="s">
        <v>828</v>
      </c>
      <c r="AX170" s="5">
        <v>10000000</v>
      </c>
      <c r="AY170">
        <f t="shared" si="25"/>
        <v>20000000</v>
      </c>
      <c r="AZ170">
        <f t="shared" si="26"/>
        <v>250000</v>
      </c>
      <c r="BA170" s="5">
        <v>43000000</v>
      </c>
      <c r="BB170" s="5">
        <v>0</v>
      </c>
      <c r="BC170" s="4" t="s">
        <v>49</v>
      </c>
      <c r="BD170" s="4">
        <v>47111</v>
      </c>
      <c r="BE170" t="s">
        <v>54</v>
      </c>
    </row>
    <row r="171" spans="1:57" ht="255.75" thickBot="1" x14ac:dyDescent="0.3">
      <c r="A171" s="4" t="s">
        <v>829</v>
      </c>
      <c r="B171" s="4">
        <v>1</v>
      </c>
      <c r="C171" s="5">
        <v>2</v>
      </c>
      <c r="D171" s="4" t="s">
        <v>60</v>
      </c>
      <c r="E171" s="6">
        <v>46283.381793576387</v>
      </c>
      <c r="F171" s="4" t="s">
        <v>830</v>
      </c>
      <c r="G171" s="4" t="s">
        <v>46</v>
      </c>
      <c r="H171" s="4">
        <v>53</v>
      </c>
      <c r="I171" s="4" t="s">
        <v>47</v>
      </c>
      <c r="J171" s="4">
        <v>5309</v>
      </c>
      <c r="K171" s="4" t="s">
        <v>48</v>
      </c>
      <c r="L171" s="4">
        <v>5309060</v>
      </c>
      <c r="M171" s="4">
        <v>5309060010</v>
      </c>
      <c r="N171" s="4" t="s">
        <v>49</v>
      </c>
      <c r="O171" s="4">
        <v>47111</v>
      </c>
      <c r="P171" s="4" t="s">
        <v>831</v>
      </c>
      <c r="Q171" s="5">
        <v>3</v>
      </c>
      <c r="R171" s="5">
        <v>0</v>
      </c>
      <c r="S171" s="5">
        <v>500000</v>
      </c>
      <c r="T171" s="5">
        <v>10000000</v>
      </c>
      <c r="U171" s="5">
        <v>250000</v>
      </c>
      <c r="V171" s="5">
        <v>0</v>
      </c>
      <c r="W171" s="5">
        <v>10750000</v>
      </c>
      <c r="X171" s="5">
        <v>18000000</v>
      </c>
      <c r="Y171" s="5">
        <v>0</v>
      </c>
      <c r="Z171" s="5">
        <f t="shared" si="18"/>
        <v>7250000</v>
      </c>
      <c r="AA171" s="5">
        <v>5000000</v>
      </c>
      <c r="AB171" s="5">
        <f t="shared" si="19"/>
        <v>8000000</v>
      </c>
      <c r="AC171" s="5" t="s">
        <v>117</v>
      </c>
      <c r="AD171" s="4" t="s">
        <v>51</v>
      </c>
      <c r="AE171" s="5">
        <f t="shared" si="20"/>
        <v>0.90625</v>
      </c>
      <c r="AF171" s="10">
        <v>2666666667</v>
      </c>
      <c r="AG171" s="5">
        <v>1</v>
      </c>
      <c r="AH171" s="5">
        <v>1</v>
      </c>
      <c r="AI171" s="5">
        <v>1</v>
      </c>
      <c r="AJ171" s="7" t="s">
        <v>832</v>
      </c>
      <c r="AK171" s="5">
        <v>0</v>
      </c>
      <c r="AL171" s="5">
        <v>0</v>
      </c>
      <c r="AM171" s="4">
        <v>2018</v>
      </c>
      <c r="AN171" s="5">
        <v>0</v>
      </c>
      <c r="AO171" s="5">
        <v>3</v>
      </c>
      <c r="AP171" s="8"/>
      <c r="AQ171" s="8"/>
      <c r="AR171" s="8">
        <f t="shared" si="21"/>
        <v>0</v>
      </c>
      <c r="AS171" s="8">
        <f t="shared" si="22"/>
        <v>750000</v>
      </c>
      <c r="AT171" s="8">
        <f t="shared" si="23"/>
        <v>5920000</v>
      </c>
      <c r="AU171" s="8">
        <f t="shared" si="24"/>
        <v>2080000</v>
      </c>
      <c r="AV171" s="4" t="s">
        <v>831</v>
      </c>
      <c r="AW171" s="7" t="s">
        <v>832</v>
      </c>
      <c r="AX171" s="5">
        <v>10000000</v>
      </c>
      <c r="AY171">
        <f t="shared" si="25"/>
        <v>1386666.6666666665</v>
      </c>
      <c r="AZ171">
        <f t="shared" si="26"/>
        <v>693333.33333333337</v>
      </c>
      <c r="BA171" s="5">
        <v>18000000</v>
      </c>
      <c r="BB171" s="5">
        <v>0</v>
      </c>
      <c r="BC171" s="4" t="s">
        <v>49</v>
      </c>
      <c r="BD171" s="4">
        <v>47111</v>
      </c>
      <c r="BE171" t="s">
        <v>54</v>
      </c>
    </row>
    <row r="172" spans="1:57" ht="270.75" thickBot="1" x14ac:dyDescent="0.3">
      <c r="A172" s="4" t="s">
        <v>833</v>
      </c>
      <c r="B172" s="4">
        <v>1002</v>
      </c>
      <c r="C172" s="5">
        <v>2</v>
      </c>
      <c r="D172" s="4" t="s">
        <v>44</v>
      </c>
      <c r="E172" s="6">
        <v>46253.705699409722</v>
      </c>
      <c r="F172" s="4" t="s">
        <v>834</v>
      </c>
      <c r="G172" s="4" t="s">
        <v>46</v>
      </c>
      <c r="H172" s="4">
        <v>53</v>
      </c>
      <c r="I172" s="4" t="s">
        <v>47</v>
      </c>
      <c r="J172" s="4">
        <v>5309</v>
      </c>
      <c r="K172" s="4" t="s">
        <v>48</v>
      </c>
      <c r="L172" s="4">
        <v>5309010</v>
      </c>
      <c r="M172" s="4">
        <v>5309010011</v>
      </c>
      <c r="N172" s="4" t="s">
        <v>49</v>
      </c>
      <c r="O172" s="4">
        <v>47111</v>
      </c>
      <c r="P172" s="4" t="s">
        <v>835</v>
      </c>
      <c r="Q172" s="5">
        <v>1</v>
      </c>
      <c r="R172" s="5">
        <v>0</v>
      </c>
      <c r="S172" s="5">
        <v>250000</v>
      </c>
      <c r="T172" s="5">
        <v>12000000</v>
      </c>
      <c r="U172" s="5">
        <v>1000000</v>
      </c>
      <c r="V172" s="5">
        <v>50000</v>
      </c>
      <c r="W172" s="5">
        <v>13300000</v>
      </c>
      <c r="X172" s="5">
        <v>25000000</v>
      </c>
      <c r="Y172" s="5">
        <v>0</v>
      </c>
      <c r="Z172" s="5">
        <f t="shared" si="18"/>
        <v>11750000</v>
      </c>
      <c r="AA172" s="5">
        <v>32000000</v>
      </c>
      <c r="AB172" s="5">
        <f t="shared" si="19"/>
        <v>13000000</v>
      </c>
      <c r="AC172" s="5" t="s">
        <v>395</v>
      </c>
      <c r="AD172" s="4" t="s">
        <v>51</v>
      </c>
      <c r="AE172" s="5">
        <f t="shared" si="20"/>
        <v>0.90384615384615385</v>
      </c>
      <c r="AF172" s="5">
        <v>13000000</v>
      </c>
      <c r="AG172" s="5">
        <v>1</v>
      </c>
      <c r="AH172" s="5">
        <v>1</v>
      </c>
      <c r="AI172" s="5">
        <v>1</v>
      </c>
      <c r="AJ172" s="7" t="s">
        <v>836</v>
      </c>
      <c r="AK172" s="5">
        <v>0</v>
      </c>
      <c r="AL172" s="5">
        <v>0</v>
      </c>
      <c r="AM172" s="4">
        <v>2022</v>
      </c>
      <c r="AN172" s="5">
        <v>0</v>
      </c>
      <c r="AO172" s="5">
        <v>1</v>
      </c>
      <c r="AP172" s="8"/>
      <c r="AQ172" s="8"/>
      <c r="AR172" s="8">
        <f t="shared" si="21"/>
        <v>0</v>
      </c>
      <c r="AS172" s="8">
        <f t="shared" si="22"/>
        <v>1250000</v>
      </c>
      <c r="AT172" s="8">
        <f t="shared" si="23"/>
        <v>9620000</v>
      </c>
      <c r="AU172" s="8">
        <f t="shared" si="24"/>
        <v>3380000</v>
      </c>
      <c r="AV172" s="4" t="s">
        <v>835</v>
      </c>
      <c r="AW172" s="7" t="s">
        <v>836</v>
      </c>
      <c r="AX172" s="5">
        <v>12000000</v>
      </c>
      <c r="AY172">
        <f t="shared" si="25"/>
        <v>676000</v>
      </c>
      <c r="AZ172">
        <f t="shared" si="26"/>
        <v>2704000</v>
      </c>
      <c r="BA172" s="5">
        <v>25000000</v>
      </c>
      <c r="BB172" s="5">
        <v>0</v>
      </c>
      <c r="BC172" s="4" t="s">
        <v>49</v>
      </c>
      <c r="BD172" s="4">
        <v>47111</v>
      </c>
      <c r="BE172" t="s">
        <v>54</v>
      </c>
    </row>
    <row r="173" spans="1:57" ht="255.75" thickBot="1" x14ac:dyDescent="0.3">
      <c r="A173" s="4" t="s">
        <v>837</v>
      </c>
      <c r="B173" s="4">
        <v>2001</v>
      </c>
      <c r="C173" s="5">
        <v>2</v>
      </c>
      <c r="D173" s="4" t="s">
        <v>44</v>
      </c>
      <c r="E173" s="6">
        <v>46293.103480833335</v>
      </c>
      <c r="F173" s="4" t="s">
        <v>838</v>
      </c>
      <c r="G173" s="4" t="s">
        <v>46</v>
      </c>
      <c r="H173" s="4">
        <v>53</v>
      </c>
      <c r="I173" s="4" t="s">
        <v>47</v>
      </c>
      <c r="J173" s="4">
        <v>5309</v>
      </c>
      <c r="K173" s="4" t="s">
        <v>48</v>
      </c>
      <c r="L173" s="4">
        <v>5309031</v>
      </c>
      <c r="M173" s="4">
        <v>5309031002</v>
      </c>
      <c r="N173" s="4" t="s">
        <v>49</v>
      </c>
      <c r="O173" s="4">
        <v>47111</v>
      </c>
      <c r="P173" s="4" t="s">
        <v>839</v>
      </c>
      <c r="Q173" s="5">
        <v>2</v>
      </c>
      <c r="R173" s="5">
        <v>0</v>
      </c>
      <c r="S173" s="5">
        <v>900000</v>
      </c>
      <c r="T173" s="5">
        <v>24000000</v>
      </c>
      <c r="U173" s="5">
        <v>195000</v>
      </c>
      <c r="V173" s="5">
        <v>0</v>
      </c>
      <c r="W173" s="5">
        <v>25095000</v>
      </c>
      <c r="X173" s="5">
        <v>36000000</v>
      </c>
      <c r="Y173" s="5">
        <v>0</v>
      </c>
      <c r="Z173" s="5">
        <f t="shared" si="18"/>
        <v>10905000</v>
      </c>
      <c r="AA173" s="5">
        <v>73000000</v>
      </c>
      <c r="AB173" s="5">
        <f t="shared" si="19"/>
        <v>12000000</v>
      </c>
      <c r="AC173" s="5" t="s">
        <v>102</v>
      </c>
      <c r="AD173" s="4" t="s">
        <v>51</v>
      </c>
      <c r="AE173" s="5">
        <f t="shared" si="20"/>
        <v>0.90874999999999995</v>
      </c>
      <c r="AF173" s="5">
        <v>6000000</v>
      </c>
      <c r="AG173" s="5">
        <v>1</v>
      </c>
      <c r="AH173" s="5">
        <v>1</v>
      </c>
      <c r="AI173" s="5">
        <v>1</v>
      </c>
      <c r="AJ173" s="7" t="s">
        <v>840</v>
      </c>
      <c r="AK173" s="5">
        <v>0</v>
      </c>
      <c r="AL173" s="5">
        <v>0</v>
      </c>
      <c r="AM173" s="4">
        <v>2010</v>
      </c>
      <c r="AN173" s="5">
        <v>0</v>
      </c>
      <c r="AO173" s="5">
        <v>2</v>
      </c>
      <c r="AP173" s="8"/>
      <c r="AQ173" s="8"/>
      <c r="AR173" s="8">
        <f t="shared" si="21"/>
        <v>0</v>
      </c>
      <c r="AS173" s="8">
        <f t="shared" si="22"/>
        <v>1095000</v>
      </c>
      <c r="AT173" s="8">
        <f t="shared" si="23"/>
        <v>8880000</v>
      </c>
      <c r="AU173" s="8">
        <f t="shared" si="24"/>
        <v>3120000</v>
      </c>
      <c r="AV173" s="4" t="s">
        <v>839</v>
      </c>
      <c r="AW173" s="7" t="s">
        <v>840</v>
      </c>
      <c r="AX173" s="5">
        <v>24000000</v>
      </c>
      <c r="AY173">
        <f t="shared" si="25"/>
        <v>2564383.5616438356</v>
      </c>
      <c r="AZ173">
        <f t="shared" si="26"/>
        <v>555616.43835616438</v>
      </c>
      <c r="BA173" s="5">
        <v>36000000</v>
      </c>
      <c r="BB173" s="5">
        <v>0</v>
      </c>
      <c r="BC173" s="4" t="s">
        <v>49</v>
      </c>
      <c r="BD173" s="4">
        <v>47111</v>
      </c>
      <c r="BE173" t="s">
        <v>54</v>
      </c>
    </row>
    <row r="174" spans="1:57" ht="270.75" thickBot="1" x14ac:dyDescent="0.3">
      <c r="A174" s="4" t="s">
        <v>841</v>
      </c>
      <c r="B174" s="4">
        <v>1002</v>
      </c>
      <c r="C174" s="5">
        <v>2</v>
      </c>
      <c r="D174" s="4" t="s">
        <v>44</v>
      </c>
      <c r="E174" s="6">
        <v>46280.169853182873</v>
      </c>
      <c r="F174" s="4" t="s">
        <v>842</v>
      </c>
      <c r="G174" s="4" t="s">
        <v>46</v>
      </c>
      <c r="H174" s="4">
        <v>53</v>
      </c>
      <c r="I174" s="4" t="s">
        <v>47</v>
      </c>
      <c r="J174" s="4">
        <v>5309</v>
      </c>
      <c r="K174" s="4" t="s">
        <v>48</v>
      </c>
      <c r="L174" s="4">
        <v>5309070</v>
      </c>
      <c r="M174" s="4">
        <v>5309070015</v>
      </c>
      <c r="N174" s="4" t="s">
        <v>49</v>
      </c>
      <c r="O174" s="4">
        <v>47111</v>
      </c>
      <c r="P174" s="4" t="s">
        <v>843</v>
      </c>
      <c r="Q174" s="5">
        <v>1</v>
      </c>
      <c r="R174" s="5">
        <v>0</v>
      </c>
      <c r="S174" s="5">
        <v>100000</v>
      </c>
      <c r="T174" s="5">
        <v>14400000</v>
      </c>
      <c r="U174" s="5">
        <v>300000</v>
      </c>
      <c r="V174" s="5">
        <v>0</v>
      </c>
      <c r="W174" s="5">
        <v>14800000</v>
      </c>
      <c r="X174" s="5">
        <v>20000000</v>
      </c>
      <c r="Y174" s="5">
        <v>0</v>
      </c>
      <c r="Z174" s="5">
        <f t="shared" si="18"/>
        <v>5200000</v>
      </c>
      <c r="AA174" s="5">
        <v>2000000</v>
      </c>
      <c r="AB174" s="5">
        <f t="shared" si="19"/>
        <v>5600000</v>
      </c>
      <c r="AC174" s="5" t="s">
        <v>844</v>
      </c>
      <c r="AD174" s="4" t="s">
        <v>51</v>
      </c>
      <c r="AE174" s="5">
        <f t="shared" si="20"/>
        <v>0.9285714285714286</v>
      </c>
      <c r="AF174" s="5">
        <v>5600000</v>
      </c>
      <c r="AG174" s="5">
        <v>1</v>
      </c>
      <c r="AH174" s="5">
        <v>1</v>
      </c>
      <c r="AI174" s="5">
        <v>1</v>
      </c>
      <c r="AJ174" s="7" t="s">
        <v>845</v>
      </c>
      <c r="AK174" s="5">
        <v>0</v>
      </c>
      <c r="AL174" s="5">
        <v>0</v>
      </c>
      <c r="AM174" s="4">
        <v>2000</v>
      </c>
      <c r="AN174" s="5">
        <v>0</v>
      </c>
      <c r="AO174" s="5">
        <v>1</v>
      </c>
      <c r="AP174" s="8"/>
      <c r="AQ174" s="8"/>
      <c r="AR174" s="8">
        <f t="shared" si="21"/>
        <v>0</v>
      </c>
      <c r="AS174" s="8">
        <f t="shared" si="22"/>
        <v>400000</v>
      </c>
      <c r="AT174" s="8">
        <f t="shared" si="23"/>
        <v>4144000</v>
      </c>
      <c r="AU174" s="8">
        <f t="shared" si="24"/>
        <v>1456000</v>
      </c>
      <c r="AV174" s="4" t="s">
        <v>843</v>
      </c>
      <c r="AW174" s="7" t="s">
        <v>845</v>
      </c>
      <c r="AX174" s="5">
        <v>14400000</v>
      </c>
      <c r="AY174">
        <f t="shared" si="25"/>
        <v>364000</v>
      </c>
      <c r="AZ174">
        <f t="shared" si="26"/>
        <v>1092000</v>
      </c>
      <c r="BA174" s="5">
        <v>20000000</v>
      </c>
      <c r="BB174" s="5">
        <v>0</v>
      </c>
      <c r="BC174" s="4" t="s">
        <v>49</v>
      </c>
      <c r="BD174" s="4">
        <v>47111</v>
      </c>
      <c r="BE174" t="s">
        <v>54</v>
      </c>
    </row>
    <row r="175" spans="1:57" ht="270.75" thickBot="1" x14ac:dyDescent="0.3">
      <c r="A175" s="4" t="s">
        <v>846</v>
      </c>
      <c r="B175" s="4">
        <v>1101</v>
      </c>
      <c r="C175" s="5">
        <v>2</v>
      </c>
      <c r="D175" s="4" t="s">
        <v>44</v>
      </c>
      <c r="E175" s="6">
        <v>46276.583015763892</v>
      </c>
      <c r="F175" s="4" t="s">
        <v>847</v>
      </c>
      <c r="G175" s="4" t="s">
        <v>46</v>
      </c>
      <c r="H175" s="4">
        <v>53</v>
      </c>
      <c r="I175" s="4" t="s">
        <v>47</v>
      </c>
      <c r="J175" s="4">
        <v>5309</v>
      </c>
      <c r="K175" s="4" t="s">
        <v>48</v>
      </c>
      <c r="L175" s="4">
        <v>5309070</v>
      </c>
      <c r="M175" s="4">
        <v>5309070015</v>
      </c>
      <c r="N175" s="4" t="s">
        <v>49</v>
      </c>
      <c r="O175" s="4">
        <v>47111</v>
      </c>
      <c r="P175" s="4" t="s">
        <v>848</v>
      </c>
      <c r="Q175" s="5">
        <v>2</v>
      </c>
      <c r="R175" s="5">
        <v>0</v>
      </c>
      <c r="S175" s="5">
        <v>100000</v>
      </c>
      <c r="T175" s="5">
        <v>14400000</v>
      </c>
      <c r="U175" s="5">
        <v>200000</v>
      </c>
      <c r="V175" s="5">
        <v>0</v>
      </c>
      <c r="W175" s="5">
        <v>14700000</v>
      </c>
      <c r="X175" s="5">
        <v>27000000</v>
      </c>
      <c r="Y175" s="5">
        <v>0</v>
      </c>
      <c r="Z175" s="5">
        <f t="shared" si="18"/>
        <v>12300000</v>
      </c>
      <c r="AA175" s="5">
        <v>700000</v>
      </c>
      <c r="AB175" s="5">
        <f t="shared" si="19"/>
        <v>12600000</v>
      </c>
      <c r="AC175" s="5" t="s">
        <v>849</v>
      </c>
      <c r="AD175" s="4" t="s">
        <v>51</v>
      </c>
      <c r="AE175" s="5">
        <f t="shared" si="20"/>
        <v>0.97619047619047616</v>
      </c>
      <c r="AF175" s="5">
        <v>6300000</v>
      </c>
      <c r="AG175" s="5">
        <v>1</v>
      </c>
      <c r="AH175" s="5">
        <v>1</v>
      </c>
      <c r="AI175" s="5">
        <v>1</v>
      </c>
      <c r="AJ175" s="7" t="s">
        <v>850</v>
      </c>
      <c r="AK175" s="5">
        <v>0</v>
      </c>
      <c r="AL175" s="5">
        <v>0</v>
      </c>
      <c r="AM175" s="4">
        <v>2018</v>
      </c>
      <c r="AN175" s="5">
        <v>0</v>
      </c>
      <c r="AO175" s="5">
        <v>2</v>
      </c>
      <c r="AP175" s="8"/>
      <c r="AQ175" s="8"/>
      <c r="AR175" s="8">
        <f t="shared" si="21"/>
        <v>0</v>
      </c>
      <c r="AS175" s="8">
        <f t="shared" si="22"/>
        <v>300000</v>
      </c>
      <c r="AT175" s="8">
        <f t="shared" si="23"/>
        <v>9324000</v>
      </c>
      <c r="AU175" s="8">
        <f t="shared" si="24"/>
        <v>3276000</v>
      </c>
      <c r="AV175" s="4" t="s">
        <v>848</v>
      </c>
      <c r="AW175" s="7" t="s">
        <v>850</v>
      </c>
      <c r="AX175" s="5">
        <v>14400000</v>
      </c>
      <c r="AY175">
        <f t="shared" si="25"/>
        <v>1092000</v>
      </c>
      <c r="AZ175">
        <f t="shared" si="26"/>
        <v>2184000</v>
      </c>
      <c r="BA175" s="5">
        <v>27000000</v>
      </c>
      <c r="BB175" s="5">
        <v>0</v>
      </c>
      <c r="BC175" s="4" t="s">
        <v>49</v>
      </c>
      <c r="BD175" s="4">
        <v>47111</v>
      </c>
      <c r="BE175" t="s">
        <v>54</v>
      </c>
    </row>
    <row r="176" spans="1:57" ht="270.75" thickBot="1" x14ac:dyDescent="0.3">
      <c r="A176" s="4" t="s">
        <v>851</v>
      </c>
      <c r="B176" s="4">
        <v>3001</v>
      </c>
      <c r="C176" s="5">
        <v>2</v>
      </c>
      <c r="D176" s="4" t="s">
        <v>44</v>
      </c>
      <c r="E176" s="6">
        <v>46279.933453182872</v>
      </c>
      <c r="F176" s="4" t="s">
        <v>852</v>
      </c>
      <c r="G176" s="4" t="s">
        <v>46</v>
      </c>
      <c r="H176" s="4">
        <v>53</v>
      </c>
      <c r="I176" s="4" t="s">
        <v>47</v>
      </c>
      <c r="J176" s="4">
        <v>5309</v>
      </c>
      <c r="K176" s="4" t="s">
        <v>48</v>
      </c>
      <c r="L176" s="4">
        <v>5309071</v>
      </c>
      <c r="M176" s="4">
        <v>5309071007</v>
      </c>
      <c r="N176" s="4" t="s">
        <v>49</v>
      </c>
      <c r="O176" s="4">
        <v>47111</v>
      </c>
      <c r="P176" s="4" t="s">
        <v>449</v>
      </c>
      <c r="Q176" s="5">
        <v>2</v>
      </c>
      <c r="R176" s="5">
        <v>0</v>
      </c>
      <c r="S176" s="5">
        <v>0</v>
      </c>
      <c r="T176" s="5">
        <v>30000000</v>
      </c>
      <c r="U176" s="5">
        <v>400000</v>
      </c>
      <c r="V176" s="5">
        <v>0</v>
      </c>
      <c r="W176" s="5">
        <v>30400000</v>
      </c>
      <c r="X176" s="5">
        <v>40000000</v>
      </c>
      <c r="Y176" s="5">
        <v>0</v>
      </c>
      <c r="Z176" s="5">
        <f t="shared" si="18"/>
        <v>9600000</v>
      </c>
      <c r="AA176" s="5">
        <v>25000000</v>
      </c>
      <c r="AB176" s="5">
        <f t="shared" si="19"/>
        <v>10000000</v>
      </c>
      <c r="AC176" s="5" t="s">
        <v>255</v>
      </c>
      <c r="AD176" s="4" t="s">
        <v>51</v>
      </c>
      <c r="AE176" s="5">
        <f t="shared" si="20"/>
        <v>0.96</v>
      </c>
      <c r="AF176" s="5">
        <v>5000000</v>
      </c>
      <c r="AG176" s="5">
        <v>0</v>
      </c>
      <c r="AH176" s="5">
        <v>1</v>
      </c>
      <c r="AI176" s="5">
        <v>1</v>
      </c>
      <c r="AJ176" s="7" t="s">
        <v>853</v>
      </c>
      <c r="AK176" s="5">
        <v>0</v>
      </c>
      <c r="AL176" s="5">
        <v>0</v>
      </c>
      <c r="AM176" s="4">
        <v>2024</v>
      </c>
      <c r="AN176" s="5">
        <v>0</v>
      </c>
      <c r="AO176" s="5">
        <v>2</v>
      </c>
      <c r="AP176" s="8"/>
      <c r="AQ176" s="8"/>
      <c r="AR176" s="8">
        <f t="shared" si="21"/>
        <v>0</v>
      </c>
      <c r="AS176" s="8">
        <f t="shared" si="22"/>
        <v>400000</v>
      </c>
      <c r="AT176" s="8">
        <f t="shared" si="23"/>
        <v>7400000</v>
      </c>
      <c r="AU176" s="8">
        <f t="shared" si="24"/>
        <v>2600000</v>
      </c>
      <c r="AV176" s="4" t="s">
        <v>449</v>
      </c>
      <c r="AW176" s="7" t="s">
        <v>853</v>
      </c>
      <c r="AX176" s="5">
        <v>30000000</v>
      </c>
      <c r="AY176">
        <f t="shared" si="25"/>
        <v>0</v>
      </c>
      <c r="AZ176">
        <f t="shared" si="26"/>
        <v>2600000</v>
      </c>
      <c r="BA176" s="5">
        <v>40000000</v>
      </c>
      <c r="BB176" s="5">
        <v>0</v>
      </c>
      <c r="BC176" s="4" t="s">
        <v>49</v>
      </c>
      <c r="BD176" s="4">
        <v>47111</v>
      </c>
      <c r="BE176" t="s">
        <v>54</v>
      </c>
    </row>
    <row r="177" spans="1:57" ht="270.75" thickBot="1" x14ac:dyDescent="0.3">
      <c r="A177" s="4" t="s">
        <v>854</v>
      </c>
      <c r="B177" s="4">
        <v>1</v>
      </c>
      <c r="C177" s="5">
        <v>2</v>
      </c>
      <c r="D177" s="4" t="s">
        <v>44</v>
      </c>
      <c r="E177" s="9">
        <v>46221.980520833335</v>
      </c>
      <c r="F177" s="4" t="s">
        <v>855</v>
      </c>
      <c r="G177" s="4" t="s">
        <v>46</v>
      </c>
      <c r="H177" s="4">
        <v>53</v>
      </c>
      <c r="I177" s="4" t="s">
        <v>47</v>
      </c>
      <c r="J177" s="4">
        <v>5309</v>
      </c>
      <c r="K177" s="4" t="s">
        <v>48</v>
      </c>
      <c r="L177" s="4">
        <v>5309060</v>
      </c>
      <c r="M177" s="4">
        <v>5309060020</v>
      </c>
      <c r="N177" s="4" t="s">
        <v>49</v>
      </c>
      <c r="O177" s="4">
        <v>47111</v>
      </c>
      <c r="P177" s="4" t="s">
        <v>856</v>
      </c>
      <c r="Q177" s="5">
        <v>2</v>
      </c>
      <c r="R177" s="5">
        <v>0</v>
      </c>
      <c r="S177" s="5">
        <v>3000000</v>
      </c>
      <c r="T177" s="5">
        <v>2000000</v>
      </c>
      <c r="U177" s="5">
        <v>950000</v>
      </c>
      <c r="V177" s="5">
        <v>0</v>
      </c>
      <c r="W177" s="5">
        <v>5950000</v>
      </c>
      <c r="X177" s="5">
        <v>6450000</v>
      </c>
      <c r="Y177" s="5">
        <v>2500000</v>
      </c>
      <c r="Z177" s="5">
        <f t="shared" si="18"/>
        <v>500000</v>
      </c>
      <c r="AA177" s="5">
        <v>1000000</v>
      </c>
      <c r="AB177" s="5">
        <f t="shared" si="19"/>
        <v>4450000</v>
      </c>
      <c r="AC177" s="5" t="s">
        <v>857</v>
      </c>
      <c r="AD177" s="4" t="s">
        <v>51</v>
      </c>
      <c r="AE177" s="5">
        <f t="shared" si="20"/>
        <v>0.11235955056179775</v>
      </c>
      <c r="AF177" s="5">
        <v>2225000</v>
      </c>
      <c r="AG177" s="5">
        <v>1</v>
      </c>
      <c r="AH177" s="5">
        <v>1</v>
      </c>
      <c r="AI177" s="5">
        <v>1</v>
      </c>
      <c r="AJ177" s="7" t="s">
        <v>858</v>
      </c>
      <c r="AK177" s="5">
        <v>0</v>
      </c>
      <c r="AL177" s="5">
        <v>0</v>
      </c>
      <c r="AM177" s="4">
        <v>2015</v>
      </c>
      <c r="AN177" s="5">
        <v>0</v>
      </c>
      <c r="AO177" s="5">
        <v>2</v>
      </c>
      <c r="AP177" s="8"/>
      <c r="AQ177" s="8"/>
      <c r="AR177" s="8">
        <f t="shared" si="21"/>
        <v>0</v>
      </c>
      <c r="AS177" s="8">
        <f t="shared" si="22"/>
        <v>3950000</v>
      </c>
      <c r="AT177" s="8">
        <f t="shared" si="23"/>
        <v>500000</v>
      </c>
      <c r="AU177" s="8">
        <f t="shared" si="24"/>
        <v>3950000</v>
      </c>
      <c r="AV177" s="4" t="s">
        <v>856</v>
      </c>
      <c r="AW177" s="7" t="s">
        <v>858</v>
      </c>
      <c r="AX177" s="5">
        <v>2000000</v>
      </c>
      <c r="AY177">
        <f t="shared" si="25"/>
        <v>3000000</v>
      </c>
      <c r="AZ177">
        <f t="shared" si="26"/>
        <v>950000</v>
      </c>
      <c r="BA177" s="5">
        <v>6450000</v>
      </c>
      <c r="BB177" s="5">
        <v>2500000</v>
      </c>
      <c r="BC177" s="4" t="s">
        <v>49</v>
      </c>
      <c r="BD177" s="4">
        <v>47111</v>
      </c>
      <c r="BE177" t="s">
        <v>54</v>
      </c>
    </row>
    <row r="178" spans="1:57" ht="270.75" thickBot="1" x14ac:dyDescent="0.3">
      <c r="A178" s="4" t="s">
        <v>859</v>
      </c>
      <c r="B178" s="4">
        <v>1002</v>
      </c>
      <c r="C178" s="5">
        <v>2</v>
      </c>
      <c r="D178" s="4" t="s">
        <v>44</v>
      </c>
      <c r="E178" s="6">
        <v>46246.963064675925</v>
      </c>
      <c r="F178" s="4" t="s">
        <v>860</v>
      </c>
      <c r="G178" s="4" t="s">
        <v>46</v>
      </c>
      <c r="H178" s="4">
        <v>53</v>
      </c>
      <c r="I178" s="4" t="s">
        <v>47</v>
      </c>
      <c r="J178" s="4">
        <v>5309</v>
      </c>
      <c r="K178" s="4" t="s">
        <v>48</v>
      </c>
      <c r="L178" s="4">
        <v>5309020</v>
      </c>
      <c r="M178" s="4">
        <v>5309020015</v>
      </c>
      <c r="N178" s="4" t="s">
        <v>49</v>
      </c>
      <c r="O178" s="4">
        <v>47111</v>
      </c>
      <c r="P178" s="4" t="s">
        <v>861</v>
      </c>
      <c r="Q178" s="5">
        <v>2</v>
      </c>
      <c r="R178" s="5">
        <v>0</v>
      </c>
      <c r="S178" s="5">
        <v>1500000</v>
      </c>
      <c r="T178" s="5">
        <v>5000000</v>
      </c>
      <c r="U178" s="5">
        <v>1000000</v>
      </c>
      <c r="V178" s="5">
        <v>0</v>
      </c>
      <c r="W178" s="5">
        <v>7500000</v>
      </c>
      <c r="X178" s="5">
        <v>9000000</v>
      </c>
      <c r="Y178" s="5">
        <v>0</v>
      </c>
      <c r="Z178" s="5">
        <f t="shared" si="18"/>
        <v>1500000</v>
      </c>
      <c r="AA178" s="5">
        <v>13500000</v>
      </c>
      <c r="AB178" s="5">
        <f t="shared" si="19"/>
        <v>4000000</v>
      </c>
      <c r="AC178" s="5" t="s">
        <v>117</v>
      </c>
      <c r="AD178" s="4" t="s">
        <v>51</v>
      </c>
      <c r="AE178" s="5">
        <f t="shared" si="20"/>
        <v>0.375</v>
      </c>
      <c r="AF178" s="5">
        <v>2000000</v>
      </c>
      <c r="AG178" s="5">
        <v>0</v>
      </c>
      <c r="AH178" s="5">
        <v>1</v>
      </c>
      <c r="AI178" s="5">
        <v>1</v>
      </c>
      <c r="AJ178" s="7" t="s">
        <v>862</v>
      </c>
      <c r="AK178" s="5">
        <v>0</v>
      </c>
      <c r="AL178" s="5">
        <v>0</v>
      </c>
      <c r="AM178" s="4">
        <v>2020</v>
      </c>
      <c r="AN178" s="5">
        <v>0</v>
      </c>
      <c r="AO178" s="5">
        <v>2</v>
      </c>
      <c r="AP178" s="8"/>
      <c r="AQ178" s="8"/>
      <c r="AR178" s="8">
        <f t="shared" si="21"/>
        <v>0</v>
      </c>
      <c r="AS178" s="8">
        <f t="shared" si="22"/>
        <v>2500000</v>
      </c>
      <c r="AT178" s="8">
        <f t="shared" si="23"/>
        <v>1500000</v>
      </c>
      <c r="AU178" s="8">
        <f t="shared" si="24"/>
        <v>2500000</v>
      </c>
      <c r="AV178" s="4" t="s">
        <v>861</v>
      </c>
      <c r="AW178" s="7" t="s">
        <v>862</v>
      </c>
      <c r="AX178" s="5">
        <v>5000000</v>
      </c>
      <c r="AY178">
        <f t="shared" si="25"/>
        <v>1500000</v>
      </c>
      <c r="AZ178">
        <f t="shared" si="26"/>
        <v>1000000</v>
      </c>
      <c r="BA178" s="5">
        <v>9000000</v>
      </c>
      <c r="BB178" s="5">
        <v>0</v>
      </c>
      <c r="BC178" s="4" t="s">
        <v>49</v>
      </c>
      <c r="BD178" s="4">
        <v>47111</v>
      </c>
      <c r="BE178" t="s">
        <v>54</v>
      </c>
    </row>
    <row r="179" spans="1:57" ht="270.75" thickBot="1" x14ac:dyDescent="0.3">
      <c r="A179" s="4" t="s">
        <v>863</v>
      </c>
      <c r="B179" s="4">
        <v>1001</v>
      </c>
      <c r="C179" s="5">
        <v>2</v>
      </c>
      <c r="D179" s="4" t="s">
        <v>44</v>
      </c>
      <c r="E179" s="6">
        <v>46279.572447141203</v>
      </c>
      <c r="F179" s="4" t="s">
        <v>864</v>
      </c>
      <c r="G179" s="4" t="s">
        <v>46</v>
      </c>
      <c r="H179" s="4">
        <v>53</v>
      </c>
      <c r="I179" s="4" t="s">
        <v>47</v>
      </c>
      <c r="J179" s="4">
        <v>5309</v>
      </c>
      <c r="K179" s="4" t="s">
        <v>48</v>
      </c>
      <c r="L179" s="4">
        <v>5309071</v>
      </c>
      <c r="M179" s="4">
        <v>5309071009</v>
      </c>
      <c r="N179" s="4" t="s">
        <v>49</v>
      </c>
      <c r="O179" s="4">
        <v>47111</v>
      </c>
      <c r="P179" s="4" t="s">
        <v>865</v>
      </c>
      <c r="Q179" s="5">
        <v>3</v>
      </c>
      <c r="R179" s="5">
        <v>12000000</v>
      </c>
      <c r="S179" s="5">
        <v>2500000</v>
      </c>
      <c r="T179" s="5">
        <v>264000000</v>
      </c>
      <c r="U179" s="5">
        <v>12500000</v>
      </c>
      <c r="V179" s="5">
        <v>120000</v>
      </c>
      <c r="W179" s="5">
        <v>291120000</v>
      </c>
      <c r="X179" s="5">
        <v>423000000</v>
      </c>
      <c r="Y179" s="5">
        <v>0</v>
      </c>
      <c r="Z179" s="5">
        <f t="shared" si="18"/>
        <v>144000000</v>
      </c>
      <c r="AA179" s="5">
        <v>130000000</v>
      </c>
      <c r="AB179" s="5">
        <f t="shared" si="19"/>
        <v>159000000</v>
      </c>
      <c r="AC179" s="5" t="s">
        <v>866</v>
      </c>
      <c r="AD179" s="4" t="s">
        <v>51</v>
      </c>
      <c r="AE179" s="5">
        <f t="shared" si="20"/>
        <v>0.90566037735849059</v>
      </c>
      <c r="AF179" s="5">
        <v>53000000</v>
      </c>
      <c r="AG179" s="5">
        <v>1</v>
      </c>
      <c r="AH179" s="5">
        <v>1</v>
      </c>
      <c r="AI179" s="5">
        <v>1</v>
      </c>
      <c r="AJ179" s="7" t="s">
        <v>867</v>
      </c>
      <c r="AK179" s="5">
        <v>0</v>
      </c>
      <c r="AL179" s="5">
        <v>0</v>
      </c>
      <c r="AM179" s="4">
        <v>2015</v>
      </c>
      <c r="AN179" s="5">
        <v>1</v>
      </c>
      <c r="AO179" s="5">
        <v>2</v>
      </c>
      <c r="AP179" s="8"/>
      <c r="AQ179" s="8"/>
      <c r="AR179" s="8">
        <f t="shared" si="21"/>
        <v>0</v>
      </c>
      <c r="AS179" s="8">
        <f t="shared" si="22"/>
        <v>15000000</v>
      </c>
      <c r="AT179" s="8">
        <f t="shared" si="23"/>
        <v>117660000</v>
      </c>
      <c r="AU179" s="8">
        <f t="shared" si="24"/>
        <v>41340000</v>
      </c>
      <c r="AV179" s="4" t="s">
        <v>865</v>
      </c>
      <c r="AW179" s="7" t="s">
        <v>867</v>
      </c>
      <c r="AX179" s="5">
        <v>264000000</v>
      </c>
      <c r="AY179">
        <f t="shared" si="25"/>
        <v>6890000</v>
      </c>
      <c r="AZ179">
        <f t="shared" si="26"/>
        <v>34450000</v>
      </c>
      <c r="BA179" s="5">
        <v>423000000</v>
      </c>
      <c r="BB179" s="5">
        <v>0</v>
      </c>
      <c r="BC179" s="4" t="s">
        <v>49</v>
      </c>
      <c r="BD179" s="4">
        <v>47111</v>
      </c>
      <c r="BE179" t="s">
        <v>54</v>
      </c>
    </row>
    <row r="180" spans="1:57" ht="270.75" thickBot="1" x14ac:dyDescent="0.3">
      <c r="A180" s="4" t="s">
        <v>868</v>
      </c>
      <c r="B180" s="4">
        <v>1101</v>
      </c>
      <c r="C180" s="5">
        <v>2</v>
      </c>
      <c r="D180" s="4" t="s">
        <v>44</v>
      </c>
      <c r="E180" s="6">
        <v>46274.400804641205</v>
      </c>
      <c r="F180" s="4" t="s">
        <v>869</v>
      </c>
      <c r="G180" s="4" t="s">
        <v>46</v>
      </c>
      <c r="H180" s="4">
        <v>53</v>
      </c>
      <c r="I180" s="4" t="s">
        <v>47</v>
      </c>
      <c r="J180" s="4">
        <v>5309</v>
      </c>
      <c r="K180" s="4" t="s">
        <v>48</v>
      </c>
      <c r="L180" s="4">
        <v>5309050</v>
      </c>
      <c r="M180" s="4">
        <v>5309050011</v>
      </c>
      <c r="N180" s="4" t="s">
        <v>49</v>
      </c>
      <c r="O180" s="4">
        <v>47111</v>
      </c>
      <c r="P180" s="4" t="s">
        <v>870</v>
      </c>
      <c r="Q180" s="5">
        <v>1</v>
      </c>
      <c r="R180" s="5">
        <v>0</v>
      </c>
      <c r="S180" s="5">
        <v>0</v>
      </c>
      <c r="T180" s="5">
        <v>4500000</v>
      </c>
      <c r="U180" s="5">
        <v>700000</v>
      </c>
      <c r="V180" s="5">
        <v>0</v>
      </c>
      <c r="W180" s="5">
        <v>5200000</v>
      </c>
      <c r="X180" s="5">
        <v>8700000</v>
      </c>
      <c r="Y180" s="5">
        <v>0</v>
      </c>
      <c r="Z180" s="5">
        <f t="shared" si="18"/>
        <v>3500000</v>
      </c>
      <c r="AA180" s="5">
        <v>200000</v>
      </c>
      <c r="AB180" s="5">
        <f t="shared" si="19"/>
        <v>4200000</v>
      </c>
      <c r="AC180" s="5" t="s">
        <v>871</v>
      </c>
      <c r="AD180" s="4" t="s">
        <v>51</v>
      </c>
      <c r="AE180" s="5">
        <f t="shared" si="20"/>
        <v>0.83333333333333337</v>
      </c>
      <c r="AF180" s="5">
        <v>4200000</v>
      </c>
      <c r="AG180" s="5">
        <v>1</v>
      </c>
      <c r="AH180" s="5">
        <v>1</v>
      </c>
      <c r="AI180" s="5">
        <v>1</v>
      </c>
      <c r="AJ180" s="7" t="s">
        <v>872</v>
      </c>
      <c r="AK180" s="5">
        <v>0</v>
      </c>
      <c r="AL180" s="5">
        <v>0</v>
      </c>
      <c r="AM180" s="4">
        <v>2021</v>
      </c>
      <c r="AN180" s="5">
        <v>0</v>
      </c>
      <c r="AO180" s="5">
        <v>1</v>
      </c>
      <c r="AP180" s="8"/>
      <c r="AQ180" s="8"/>
      <c r="AR180" s="8">
        <f t="shared" si="21"/>
        <v>0</v>
      </c>
      <c r="AS180" s="8">
        <f t="shared" si="22"/>
        <v>700000</v>
      </c>
      <c r="AT180" s="8">
        <f t="shared" si="23"/>
        <v>3108000</v>
      </c>
      <c r="AU180" s="8">
        <f t="shared" si="24"/>
        <v>1092000</v>
      </c>
      <c r="AV180" s="4" t="s">
        <v>870</v>
      </c>
      <c r="AW180" s="7" t="s">
        <v>872</v>
      </c>
      <c r="AX180" s="5">
        <v>4500000</v>
      </c>
      <c r="AY180">
        <f t="shared" si="25"/>
        <v>0</v>
      </c>
      <c r="AZ180">
        <f t="shared" si="26"/>
        <v>1092000</v>
      </c>
      <c r="BA180" s="5">
        <v>8700000</v>
      </c>
      <c r="BB180" s="5">
        <v>0</v>
      </c>
      <c r="BC180" s="4" t="s">
        <v>49</v>
      </c>
      <c r="BD180" s="4">
        <v>47111</v>
      </c>
      <c r="BE180" t="s">
        <v>54</v>
      </c>
    </row>
    <row r="181" spans="1:57" ht="270.75" thickBot="1" x14ac:dyDescent="0.3">
      <c r="A181" s="4" t="s">
        <v>873</v>
      </c>
      <c r="B181" s="4">
        <v>1002</v>
      </c>
      <c r="C181" s="5">
        <v>2</v>
      </c>
      <c r="D181" s="4" t="s">
        <v>44</v>
      </c>
      <c r="E181" s="6">
        <v>46216.410073993058</v>
      </c>
      <c r="F181" s="4" t="s">
        <v>874</v>
      </c>
      <c r="G181" s="4" t="s">
        <v>46</v>
      </c>
      <c r="H181" s="4">
        <v>53</v>
      </c>
      <c r="I181" s="4" t="s">
        <v>47</v>
      </c>
      <c r="J181" s="4">
        <v>5309</v>
      </c>
      <c r="K181" s="4" t="s">
        <v>48</v>
      </c>
      <c r="L181" s="4">
        <v>5309062</v>
      </c>
      <c r="M181" s="4">
        <v>5309062009</v>
      </c>
      <c r="N181" s="4" t="s">
        <v>49</v>
      </c>
      <c r="O181" s="4">
        <v>47111</v>
      </c>
      <c r="P181" s="4" t="s">
        <v>875</v>
      </c>
      <c r="Q181" s="5">
        <v>2</v>
      </c>
      <c r="R181" s="5">
        <v>0</v>
      </c>
      <c r="S181" s="5">
        <v>0</v>
      </c>
      <c r="T181" s="5">
        <v>3600000</v>
      </c>
      <c r="U181" s="5">
        <v>100000</v>
      </c>
      <c r="V181" s="5">
        <v>0</v>
      </c>
      <c r="W181" s="5">
        <v>3700000</v>
      </c>
      <c r="X181" s="5">
        <v>4800000</v>
      </c>
      <c r="Y181" s="5">
        <v>0</v>
      </c>
      <c r="Z181" s="5">
        <f t="shared" si="18"/>
        <v>1100000</v>
      </c>
      <c r="AA181" s="5">
        <v>200000</v>
      </c>
      <c r="AB181" s="5">
        <f t="shared" si="19"/>
        <v>1200000</v>
      </c>
      <c r="AC181" s="5" t="s">
        <v>255</v>
      </c>
      <c r="AD181" s="4" t="s">
        <v>51</v>
      </c>
      <c r="AE181" s="5">
        <f t="shared" si="20"/>
        <v>0.91666666666666663</v>
      </c>
      <c r="AF181" s="5">
        <v>600000</v>
      </c>
      <c r="AG181" s="5">
        <v>1</v>
      </c>
      <c r="AH181" s="5">
        <v>1</v>
      </c>
      <c r="AI181" s="5">
        <v>1</v>
      </c>
      <c r="AJ181" s="7" t="s">
        <v>876</v>
      </c>
      <c r="AK181" s="5">
        <v>0</v>
      </c>
      <c r="AL181" s="5">
        <v>0</v>
      </c>
      <c r="AM181" s="4">
        <v>2023</v>
      </c>
      <c r="AN181" s="5">
        <v>0</v>
      </c>
      <c r="AO181" s="5">
        <v>2</v>
      </c>
      <c r="AP181" s="8"/>
      <c r="AQ181" s="8"/>
      <c r="AR181" s="8">
        <f t="shared" si="21"/>
        <v>0</v>
      </c>
      <c r="AS181" s="8">
        <f t="shared" si="22"/>
        <v>100000</v>
      </c>
      <c r="AT181" s="8">
        <f t="shared" si="23"/>
        <v>888000</v>
      </c>
      <c r="AU181" s="8">
        <f t="shared" si="24"/>
        <v>312000</v>
      </c>
      <c r="AV181" s="4" t="s">
        <v>875</v>
      </c>
      <c r="AW181" s="7" t="s">
        <v>876</v>
      </c>
      <c r="AX181" s="5">
        <v>3600000</v>
      </c>
      <c r="AY181">
        <f t="shared" si="25"/>
        <v>0</v>
      </c>
      <c r="AZ181">
        <f t="shared" si="26"/>
        <v>312000</v>
      </c>
      <c r="BA181" s="5">
        <v>4800000</v>
      </c>
      <c r="BB181" s="5">
        <v>0</v>
      </c>
      <c r="BC181" s="4" t="s">
        <v>49</v>
      </c>
      <c r="BD181" s="4">
        <v>47111</v>
      </c>
      <c r="BE181" t="s">
        <v>54</v>
      </c>
    </row>
    <row r="182" spans="1:57" ht="270.75" thickBot="1" x14ac:dyDescent="0.3">
      <c r="A182" s="4" t="s">
        <v>877</v>
      </c>
      <c r="B182" s="4">
        <v>1002</v>
      </c>
      <c r="C182" s="5">
        <v>2</v>
      </c>
      <c r="D182" s="4" t="s">
        <v>44</v>
      </c>
      <c r="E182" s="9">
        <v>46245.007835648146</v>
      </c>
      <c r="F182" s="4" t="s">
        <v>878</v>
      </c>
      <c r="G182" s="4" t="s">
        <v>46</v>
      </c>
      <c r="H182" s="4">
        <v>53</v>
      </c>
      <c r="I182" s="4" t="s">
        <v>47</v>
      </c>
      <c r="J182" s="4">
        <v>5309</v>
      </c>
      <c r="K182" s="4" t="s">
        <v>48</v>
      </c>
      <c r="L182" s="4">
        <v>5309072</v>
      </c>
      <c r="M182" s="4">
        <v>5309072007</v>
      </c>
      <c r="N182" s="4" t="s">
        <v>49</v>
      </c>
      <c r="O182" s="4">
        <v>47111</v>
      </c>
      <c r="P182" s="4" t="s">
        <v>879</v>
      </c>
      <c r="Q182" s="5">
        <v>2</v>
      </c>
      <c r="R182" s="5">
        <v>0</v>
      </c>
      <c r="S182" s="5">
        <v>0</v>
      </c>
      <c r="T182" s="5">
        <v>3643000</v>
      </c>
      <c r="U182" s="5">
        <v>500000</v>
      </c>
      <c r="V182" s="5">
        <v>0</v>
      </c>
      <c r="W182" s="5">
        <v>4143000</v>
      </c>
      <c r="X182" s="5">
        <v>6546500</v>
      </c>
      <c r="Y182" s="5">
        <v>0</v>
      </c>
      <c r="Z182" s="5">
        <f t="shared" si="18"/>
        <v>2403500</v>
      </c>
      <c r="AA182" s="5">
        <v>25000000</v>
      </c>
      <c r="AB182" s="5">
        <f t="shared" si="19"/>
        <v>2903500</v>
      </c>
      <c r="AC182" s="5" t="s">
        <v>880</v>
      </c>
      <c r="AD182" s="4" t="s">
        <v>51</v>
      </c>
      <c r="AE182" s="5">
        <f t="shared" si="20"/>
        <v>0.82779404167384196</v>
      </c>
      <c r="AF182" s="5">
        <v>1451750</v>
      </c>
      <c r="AG182" s="5">
        <v>1</v>
      </c>
      <c r="AH182" s="5">
        <v>1</v>
      </c>
      <c r="AI182" s="5">
        <v>1</v>
      </c>
      <c r="AJ182" s="7" t="s">
        <v>881</v>
      </c>
      <c r="AK182" s="5">
        <v>0</v>
      </c>
      <c r="AL182" s="5">
        <v>0</v>
      </c>
      <c r="AM182" s="4">
        <v>2020</v>
      </c>
      <c r="AN182" s="5">
        <v>0</v>
      </c>
      <c r="AO182" s="5">
        <v>2</v>
      </c>
      <c r="AP182" s="8"/>
      <c r="AQ182" s="8"/>
      <c r="AR182" s="8">
        <f t="shared" si="21"/>
        <v>0</v>
      </c>
      <c r="AS182" s="8">
        <f t="shared" si="22"/>
        <v>500000</v>
      </c>
      <c r="AT182" s="8">
        <f t="shared" si="23"/>
        <v>2148590</v>
      </c>
      <c r="AU182" s="8">
        <f t="shared" si="24"/>
        <v>754910</v>
      </c>
      <c r="AV182" s="4" t="s">
        <v>879</v>
      </c>
      <c r="AW182" s="7" t="s">
        <v>881</v>
      </c>
      <c r="AX182" s="5">
        <v>3643000</v>
      </c>
      <c r="AY182">
        <f t="shared" si="25"/>
        <v>0</v>
      </c>
      <c r="AZ182">
        <f t="shared" si="26"/>
        <v>754910</v>
      </c>
      <c r="BA182" s="5">
        <v>6546500</v>
      </c>
      <c r="BB182" s="5">
        <v>0</v>
      </c>
      <c r="BC182" s="4" t="s">
        <v>49</v>
      </c>
      <c r="BD182" s="4">
        <v>47111</v>
      </c>
      <c r="BE182" t="s">
        <v>54</v>
      </c>
    </row>
    <row r="183" spans="1:57" ht="270.75" thickBot="1" x14ac:dyDescent="0.3">
      <c r="A183" s="4" t="s">
        <v>882</v>
      </c>
      <c r="B183" s="4">
        <v>3002</v>
      </c>
      <c r="C183" s="5">
        <v>2</v>
      </c>
      <c r="D183" s="4" t="s">
        <v>60</v>
      </c>
      <c r="E183" s="6">
        <v>46313.212736134257</v>
      </c>
      <c r="F183" s="4" t="s">
        <v>883</v>
      </c>
      <c r="G183" s="4" t="s">
        <v>46</v>
      </c>
      <c r="H183" s="4">
        <v>53</v>
      </c>
      <c r="I183" s="4" t="s">
        <v>47</v>
      </c>
      <c r="J183" s="4">
        <v>5309</v>
      </c>
      <c r="K183" s="4" t="s">
        <v>48</v>
      </c>
      <c r="L183" s="4">
        <v>5309040</v>
      </c>
      <c r="M183" s="4">
        <v>5309040010</v>
      </c>
      <c r="N183" s="4" t="s">
        <v>49</v>
      </c>
      <c r="O183" s="4">
        <v>47111</v>
      </c>
      <c r="P183" s="4" t="s">
        <v>884</v>
      </c>
      <c r="Q183" s="5">
        <v>3</v>
      </c>
      <c r="R183" s="5">
        <v>0</v>
      </c>
      <c r="S183" s="5">
        <v>0</v>
      </c>
      <c r="T183" s="5">
        <v>3000000</v>
      </c>
      <c r="U183" s="5">
        <v>120000</v>
      </c>
      <c r="V183" s="5">
        <v>0</v>
      </c>
      <c r="W183" s="5">
        <v>3120000</v>
      </c>
      <c r="X183" s="5">
        <v>4800000</v>
      </c>
      <c r="Y183" s="5">
        <v>0</v>
      </c>
      <c r="Z183" s="5">
        <f t="shared" si="18"/>
        <v>1680000</v>
      </c>
      <c r="AA183" s="5">
        <v>42000000</v>
      </c>
      <c r="AB183" s="5">
        <f t="shared" si="19"/>
        <v>1800000</v>
      </c>
      <c r="AC183" s="5" t="s">
        <v>90</v>
      </c>
      <c r="AD183" s="4" t="s">
        <v>51</v>
      </c>
      <c r="AE183" s="5">
        <f t="shared" si="20"/>
        <v>0.93333333333333335</v>
      </c>
      <c r="AF183" s="5">
        <v>600000</v>
      </c>
      <c r="AG183" s="5">
        <v>1</v>
      </c>
      <c r="AH183" s="5">
        <v>1</v>
      </c>
      <c r="AI183" s="5">
        <v>1</v>
      </c>
      <c r="AJ183" s="7" t="s">
        <v>885</v>
      </c>
      <c r="AK183" s="5">
        <v>0</v>
      </c>
      <c r="AL183" s="5">
        <v>0</v>
      </c>
      <c r="AM183" s="4">
        <v>2021</v>
      </c>
      <c r="AN183" s="5">
        <v>0</v>
      </c>
      <c r="AO183" s="5">
        <v>3</v>
      </c>
      <c r="AP183" s="8"/>
      <c r="AQ183" s="8"/>
      <c r="AR183" s="8">
        <f t="shared" si="21"/>
        <v>0</v>
      </c>
      <c r="AS183" s="8">
        <f t="shared" si="22"/>
        <v>120000</v>
      </c>
      <c r="AT183" s="8">
        <f t="shared" si="23"/>
        <v>1332000</v>
      </c>
      <c r="AU183" s="8">
        <f t="shared" si="24"/>
        <v>468000</v>
      </c>
      <c r="AV183" s="4" t="s">
        <v>884</v>
      </c>
      <c r="AW183" s="7" t="s">
        <v>885</v>
      </c>
      <c r="AX183" s="5">
        <v>3000000</v>
      </c>
      <c r="AY183">
        <f t="shared" si="25"/>
        <v>0</v>
      </c>
      <c r="AZ183">
        <f t="shared" si="26"/>
        <v>468000</v>
      </c>
      <c r="BA183" s="5">
        <v>4800000</v>
      </c>
      <c r="BB183" s="5">
        <v>0</v>
      </c>
      <c r="BC183" s="4" t="s">
        <v>49</v>
      </c>
      <c r="BD183" s="4">
        <v>47111</v>
      </c>
      <c r="BE183" t="s">
        <v>54</v>
      </c>
    </row>
    <row r="184" spans="1:57" ht="270.75" thickBot="1" x14ac:dyDescent="0.3">
      <c r="A184" s="4" t="s">
        <v>886</v>
      </c>
      <c r="B184" s="4">
        <v>2001</v>
      </c>
      <c r="C184" s="5">
        <v>2</v>
      </c>
      <c r="D184" s="4" t="s">
        <v>44</v>
      </c>
      <c r="E184" s="9">
        <v>46246.090208333335</v>
      </c>
      <c r="F184" s="4" t="s">
        <v>887</v>
      </c>
      <c r="G184" s="4" t="s">
        <v>46</v>
      </c>
      <c r="H184" s="4">
        <v>53</v>
      </c>
      <c r="I184" s="4" t="s">
        <v>47</v>
      </c>
      <c r="J184" s="4">
        <v>5309</v>
      </c>
      <c r="K184" s="4" t="s">
        <v>48</v>
      </c>
      <c r="L184" s="4">
        <v>5309062</v>
      </c>
      <c r="M184" s="4">
        <v>5309062006</v>
      </c>
      <c r="N184" s="4" t="s">
        <v>49</v>
      </c>
      <c r="O184" s="4">
        <v>47111</v>
      </c>
      <c r="P184" s="4" t="s">
        <v>888</v>
      </c>
      <c r="Q184" s="5">
        <v>1</v>
      </c>
      <c r="R184" s="5">
        <v>0</v>
      </c>
      <c r="S184" s="5">
        <v>0</v>
      </c>
      <c r="T184" s="5">
        <v>360000000</v>
      </c>
      <c r="U184" s="5">
        <v>5760000</v>
      </c>
      <c r="V184" s="5">
        <v>730000</v>
      </c>
      <c r="W184" s="5">
        <v>366490000</v>
      </c>
      <c r="X184" s="5">
        <v>432000000</v>
      </c>
      <c r="Y184" s="5">
        <v>0</v>
      </c>
      <c r="Z184" s="5">
        <f t="shared" si="18"/>
        <v>66240000</v>
      </c>
      <c r="AA184" s="5">
        <v>400000</v>
      </c>
      <c r="AB184" s="5">
        <f t="shared" si="19"/>
        <v>72000000</v>
      </c>
      <c r="AC184" s="5" t="s">
        <v>192</v>
      </c>
      <c r="AD184" s="4" t="s">
        <v>51</v>
      </c>
      <c r="AE184" s="5">
        <f t="shared" si="20"/>
        <v>0.92</v>
      </c>
      <c r="AF184" s="5">
        <v>72000000</v>
      </c>
      <c r="AG184" s="5">
        <v>1</v>
      </c>
      <c r="AH184" s="5">
        <v>1</v>
      </c>
      <c r="AI184" s="5">
        <v>1</v>
      </c>
      <c r="AJ184" s="7" t="s">
        <v>889</v>
      </c>
      <c r="AK184" s="5">
        <v>0</v>
      </c>
      <c r="AL184" s="5">
        <v>0</v>
      </c>
      <c r="AM184" s="4">
        <v>2012</v>
      </c>
      <c r="AN184" s="5">
        <v>0</v>
      </c>
      <c r="AO184" s="5">
        <v>1</v>
      </c>
      <c r="AP184" s="8"/>
      <c r="AQ184" s="8"/>
      <c r="AR184" s="8">
        <f t="shared" si="21"/>
        <v>0</v>
      </c>
      <c r="AS184" s="8">
        <f t="shared" si="22"/>
        <v>5760000</v>
      </c>
      <c r="AT184" s="8">
        <f t="shared" si="23"/>
        <v>53280000</v>
      </c>
      <c r="AU184" s="8">
        <f t="shared" si="24"/>
        <v>18720000</v>
      </c>
      <c r="AV184" s="4" t="s">
        <v>888</v>
      </c>
      <c r="AW184" s="7" t="s">
        <v>889</v>
      </c>
      <c r="AX184" s="5">
        <v>360000000</v>
      </c>
      <c r="AY184">
        <f t="shared" si="25"/>
        <v>0</v>
      </c>
      <c r="AZ184">
        <f t="shared" si="26"/>
        <v>18720000</v>
      </c>
      <c r="BA184" s="5">
        <v>432000000</v>
      </c>
      <c r="BB184" s="5">
        <v>0</v>
      </c>
      <c r="BC184" s="4" t="s">
        <v>49</v>
      </c>
      <c r="BD184" s="4">
        <v>47111</v>
      </c>
      <c r="BE184" t="s">
        <v>54</v>
      </c>
    </row>
    <row r="185" spans="1:57" ht="270.75" thickBot="1" x14ac:dyDescent="0.3">
      <c r="A185" s="4" t="s">
        <v>890</v>
      </c>
      <c r="B185" s="4">
        <v>1002</v>
      </c>
      <c r="C185" s="5">
        <v>2</v>
      </c>
      <c r="D185" s="4" t="s">
        <v>44</v>
      </c>
      <c r="E185" s="6">
        <v>46259.680817222223</v>
      </c>
      <c r="F185" s="4" t="s">
        <v>891</v>
      </c>
      <c r="G185" s="4" t="s">
        <v>46</v>
      </c>
      <c r="H185" s="4">
        <v>53</v>
      </c>
      <c r="I185" s="4" t="s">
        <v>47</v>
      </c>
      <c r="J185" s="4">
        <v>5309</v>
      </c>
      <c r="K185" s="4" t="s">
        <v>48</v>
      </c>
      <c r="L185" s="4">
        <v>5309031</v>
      </c>
      <c r="M185" s="4">
        <v>5309031007</v>
      </c>
      <c r="N185" s="4" t="s">
        <v>49</v>
      </c>
      <c r="O185" s="4">
        <v>47111</v>
      </c>
      <c r="P185" s="4" t="s">
        <v>892</v>
      </c>
      <c r="Q185" s="5">
        <v>1</v>
      </c>
      <c r="R185" s="5">
        <v>0</v>
      </c>
      <c r="S185" s="5">
        <v>250000</v>
      </c>
      <c r="T185" s="5">
        <v>3000000</v>
      </c>
      <c r="U185" s="5">
        <v>250000</v>
      </c>
      <c r="V185" s="5">
        <v>0</v>
      </c>
      <c r="W185" s="5">
        <v>3500000</v>
      </c>
      <c r="X185" s="5">
        <v>5500000</v>
      </c>
      <c r="Y185" s="5">
        <v>0</v>
      </c>
      <c r="Z185" s="5">
        <f t="shared" si="18"/>
        <v>2000000</v>
      </c>
      <c r="AA185" s="5">
        <v>56000000</v>
      </c>
      <c r="AB185" s="5">
        <f t="shared" si="19"/>
        <v>2500000</v>
      </c>
      <c r="AC185" s="5" t="s">
        <v>521</v>
      </c>
      <c r="AD185" s="4" t="s">
        <v>51</v>
      </c>
      <c r="AE185" s="5">
        <f t="shared" si="20"/>
        <v>0.8</v>
      </c>
      <c r="AF185" s="5">
        <v>2500000</v>
      </c>
      <c r="AG185" s="5">
        <v>1</v>
      </c>
      <c r="AH185" s="5">
        <v>1</v>
      </c>
      <c r="AI185" s="5">
        <v>1</v>
      </c>
      <c r="AJ185" s="7" t="s">
        <v>893</v>
      </c>
      <c r="AK185" s="5">
        <v>0</v>
      </c>
      <c r="AL185" s="5">
        <v>0</v>
      </c>
      <c r="AM185" s="4">
        <v>2025</v>
      </c>
      <c r="AN185" s="5">
        <v>0</v>
      </c>
      <c r="AO185" s="5">
        <v>1</v>
      </c>
      <c r="AP185" s="8"/>
      <c r="AQ185" s="8"/>
      <c r="AR185" s="8">
        <f t="shared" si="21"/>
        <v>0</v>
      </c>
      <c r="AS185" s="8">
        <f t="shared" si="22"/>
        <v>500000</v>
      </c>
      <c r="AT185" s="8">
        <f t="shared" si="23"/>
        <v>1850000</v>
      </c>
      <c r="AU185" s="8">
        <f t="shared" si="24"/>
        <v>650000</v>
      </c>
      <c r="AV185" s="4" t="s">
        <v>892</v>
      </c>
      <c r="AW185" s="7" t="s">
        <v>893</v>
      </c>
      <c r="AX185" s="5">
        <v>3000000</v>
      </c>
      <c r="AY185">
        <f t="shared" si="25"/>
        <v>325000</v>
      </c>
      <c r="AZ185">
        <f t="shared" si="26"/>
        <v>325000</v>
      </c>
      <c r="BA185" s="5">
        <v>5500000</v>
      </c>
      <c r="BB185" s="5">
        <v>0</v>
      </c>
      <c r="BC185" s="4" t="s">
        <v>49</v>
      </c>
      <c r="BD185" s="4">
        <v>47111</v>
      </c>
      <c r="BE185" t="s">
        <v>54</v>
      </c>
    </row>
    <row r="186" spans="1:57" ht="270.75" thickBot="1" x14ac:dyDescent="0.3">
      <c r="A186" s="4" t="s">
        <v>894</v>
      </c>
      <c r="B186" s="4">
        <v>2001</v>
      </c>
      <c r="C186" s="5">
        <v>2</v>
      </c>
      <c r="D186" s="4" t="s">
        <v>44</v>
      </c>
      <c r="E186" s="9">
        <v>46239.437928240739</v>
      </c>
      <c r="F186" s="4" t="s">
        <v>895</v>
      </c>
      <c r="G186" s="4" t="s">
        <v>46</v>
      </c>
      <c r="H186" s="4">
        <v>53</v>
      </c>
      <c r="I186" s="4" t="s">
        <v>47</v>
      </c>
      <c r="J186" s="4">
        <v>5309</v>
      </c>
      <c r="K186" s="4" t="s">
        <v>48</v>
      </c>
      <c r="L186" s="4">
        <v>5309032</v>
      </c>
      <c r="M186" s="4">
        <v>5309032001</v>
      </c>
      <c r="N186" s="4" t="s">
        <v>49</v>
      </c>
      <c r="O186" s="4">
        <v>47111</v>
      </c>
      <c r="P186" s="4" t="s">
        <v>896</v>
      </c>
      <c r="Q186" s="5">
        <v>4</v>
      </c>
      <c r="R186" s="5">
        <v>1000000</v>
      </c>
      <c r="S186" s="5">
        <v>0</v>
      </c>
      <c r="T186" s="5">
        <v>2500000</v>
      </c>
      <c r="U186" s="5">
        <v>275000</v>
      </c>
      <c r="V186" s="5">
        <v>80000</v>
      </c>
      <c r="W186" s="5">
        <v>3855000</v>
      </c>
      <c r="X186" s="5">
        <v>5250000</v>
      </c>
      <c r="Y186" s="5">
        <v>0</v>
      </c>
      <c r="Z186" s="5">
        <f t="shared" si="18"/>
        <v>2475000</v>
      </c>
      <c r="AA186" s="5">
        <v>2700000</v>
      </c>
      <c r="AB186" s="5">
        <f t="shared" si="19"/>
        <v>2750000</v>
      </c>
      <c r="AC186" s="5" t="s">
        <v>897</v>
      </c>
      <c r="AD186" s="4" t="s">
        <v>51</v>
      </c>
      <c r="AE186" s="5">
        <f t="shared" si="20"/>
        <v>0.9</v>
      </c>
      <c r="AF186" s="5">
        <v>687500</v>
      </c>
      <c r="AG186" s="5">
        <v>1</v>
      </c>
      <c r="AH186" s="5">
        <v>0</v>
      </c>
      <c r="AI186" s="5">
        <v>1</v>
      </c>
      <c r="AJ186" s="7" t="s">
        <v>898</v>
      </c>
      <c r="AK186" s="5">
        <v>0</v>
      </c>
      <c r="AL186" s="5">
        <v>0</v>
      </c>
      <c r="AM186" s="4">
        <v>2020</v>
      </c>
      <c r="AN186" s="5">
        <v>4</v>
      </c>
      <c r="AO186" s="5">
        <v>0</v>
      </c>
      <c r="AP186" s="8"/>
      <c r="AQ186" s="8"/>
      <c r="AR186" s="8">
        <f t="shared" si="21"/>
        <v>0</v>
      </c>
      <c r="AS186" s="8">
        <f t="shared" si="22"/>
        <v>275000</v>
      </c>
      <c r="AT186" s="8">
        <f t="shared" si="23"/>
        <v>2035000</v>
      </c>
      <c r="AU186" s="8">
        <f t="shared" si="24"/>
        <v>715000</v>
      </c>
      <c r="AV186" s="4" t="s">
        <v>896</v>
      </c>
      <c r="AW186" s="7" t="s">
        <v>898</v>
      </c>
      <c r="AX186" s="5">
        <v>2500000</v>
      </c>
      <c r="AY186">
        <f t="shared" si="25"/>
        <v>0</v>
      </c>
      <c r="AZ186">
        <f t="shared" si="26"/>
        <v>715000</v>
      </c>
      <c r="BA186" s="5">
        <v>5250000</v>
      </c>
      <c r="BB186" s="5">
        <v>0</v>
      </c>
      <c r="BC186" s="4" t="s">
        <v>49</v>
      </c>
      <c r="BD186" s="4">
        <v>47111</v>
      </c>
      <c r="BE186" t="s">
        <v>54</v>
      </c>
    </row>
    <row r="187" spans="1:57" ht="270.75" thickBot="1" x14ac:dyDescent="0.3">
      <c r="A187" s="4" t="s">
        <v>899</v>
      </c>
      <c r="B187" s="4">
        <v>1</v>
      </c>
      <c r="C187" s="5">
        <v>2</v>
      </c>
      <c r="D187" s="4" t="s">
        <v>44</v>
      </c>
      <c r="E187" s="9">
        <v>46238.241643518515</v>
      </c>
      <c r="F187" s="4" t="s">
        <v>900</v>
      </c>
      <c r="G187" s="4" t="s">
        <v>46</v>
      </c>
      <c r="H187" s="4">
        <v>53</v>
      </c>
      <c r="I187" s="4" t="s">
        <v>47</v>
      </c>
      <c r="J187" s="4">
        <v>5309</v>
      </c>
      <c r="K187" s="4" t="s">
        <v>48</v>
      </c>
      <c r="L187" s="4">
        <v>5309074</v>
      </c>
      <c r="M187" s="4">
        <v>5309074001</v>
      </c>
      <c r="N187" s="4" t="s">
        <v>49</v>
      </c>
      <c r="O187" s="4">
        <v>47111</v>
      </c>
      <c r="P187" s="4" t="s">
        <v>901</v>
      </c>
      <c r="Q187" s="5">
        <v>2</v>
      </c>
      <c r="R187" s="5">
        <v>0</v>
      </c>
      <c r="S187" s="5">
        <v>1500000</v>
      </c>
      <c r="T187" s="5">
        <v>50000000</v>
      </c>
      <c r="U187" s="5">
        <v>2000000</v>
      </c>
      <c r="V187" s="5">
        <v>0</v>
      </c>
      <c r="W187" s="5">
        <v>53500000</v>
      </c>
      <c r="X187" s="5">
        <v>80000000</v>
      </c>
      <c r="Y187" s="5">
        <v>0</v>
      </c>
      <c r="Z187" s="5">
        <f t="shared" si="18"/>
        <v>26500000</v>
      </c>
      <c r="AA187" s="5">
        <v>35000000</v>
      </c>
      <c r="AB187" s="5">
        <f t="shared" si="19"/>
        <v>30000000</v>
      </c>
      <c r="AC187" s="5" t="s">
        <v>90</v>
      </c>
      <c r="AD187" s="4" t="s">
        <v>51</v>
      </c>
      <c r="AE187" s="5">
        <f t="shared" si="20"/>
        <v>0.8833333333333333</v>
      </c>
      <c r="AF187" s="5">
        <v>15000000</v>
      </c>
      <c r="AG187" s="5">
        <v>1</v>
      </c>
      <c r="AH187" s="5">
        <v>1</v>
      </c>
      <c r="AI187" s="5">
        <v>1</v>
      </c>
      <c r="AJ187" s="7" t="s">
        <v>902</v>
      </c>
      <c r="AK187" s="5">
        <v>0</v>
      </c>
      <c r="AL187" s="5">
        <v>0</v>
      </c>
      <c r="AM187" s="4">
        <v>2005</v>
      </c>
      <c r="AN187" s="5">
        <v>0</v>
      </c>
      <c r="AO187" s="5">
        <v>2</v>
      </c>
      <c r="AP187" s="8"/>
      <c r="AQ187" s="8"/>
      <c r="AR187" s="8">
        <f t="shared" si="21"/>
        <v>0</v>
      </c>
      <c r="AS187" s="8">
        <f t="shared" si="22"/>
        <v>3500000</v>
      </c>
      <c r="AT187" s="8">
        <f t="shared" si="23"/>
        <v>22200000</v>
      </c>
      <c r="AU187" s="8">
        <f t="shared" si="24"/>
        <v>7800000</v>
      </c>
      <c r="AV187" s="4" t="s">
        <v>901</v>
      </c>
      <c r="AW187" s="7" t="s">
        <v>902</v>
      </c>
      <c r="AX187" s="5">
        <v>50000000</v>
      </c>
      <c r="AY187">
        <f t="shared" si="25"/>
        <v>3342857.1428571427</v>
      </c>
      <c r="AZ187">
        <f t="shared" si="26"/>
        <v>4457142.8571428573</v>
      </c>
      <c r="BA187" s="5">
        <v>80000000</v>
      </c>
      <c r="BB187" s="5">
        <v>0</v>
      </c>
      <c r="BC187" s="4" t="s">
        <v>49</v>
      </c>
      <c r="BD187" s="4">
        <v>47111</v>
      </c>
      <c r="BE187" t="s">
        <v>54</v>
      </c>
    </row>
    <row r="188" spans="1:57" ht="270.75" thickBot="1" x14ac:dyDescent="0.3">
      <c r="A188" s="4" t="s">
        <v>903</v>
      </c>
      <c r="B188" s="4">
        <v>3001</v>
      </c>
      <c r="C188" s="5">
        <v>2</v>
      </c>
      <c r="D188" s="4" t="s">
        <v>44</v>
      </c>
      <c r="E188" s="6">
        <v>46256.286216574073</v>
      </c>
      <c r="F188" s="4" t="s">
        <v>904</v>
      </c>
      <c r="G188" s="4" t="s">
        <v>46</v>
      </c>
      <c r="H188" s="4">
        <v>53</v>
      </c>
      <c r="I188" s="4" t="s">
        <v>47</v>
      </c>
      <c r="J188" s="4">
        <v>5309</v>
      </c>
      <c r="K188" s="4" t="s">
        <v>48</v>
      </c>
      <c r="L188" s="4">
        <v>5309011</v>
      </c>
      <c r="M188" s="4">
        <v>5309011011</v>
      </c>
      <c r="N188" s="4" t="s">
        <v>49</v>
      </c>
      <c r="O188" s="4">
        <v>47112</v>
      </c>
      <c r="P188" s="4" t="s">
        <v>905</v>
      </c>
      <c r="Q188" s="5">
        <v>2</v>
      </c>
      <c r="R188" s="5">
        <v>0</v>
      </c>
      <c r="S188" s="5">
        <v>10000000</v>
      </c>
      <c r="T188" s="5">
        <v>4600000</v>
      </c>
      <c r="U188" s="5">
        <v>350000</v>
      </c>
      <c r="V188" s="5">
        <v>150000</v>
      </c>
      <c r="W188" s="5">
        <v>15100000</v>
      </c>
      <c r="X188" s="5">
        <v>23200000</v>
      </c>
      <c r="Y188" s="5">
        <v>2600000</v>
      </c>
      <c r="Z188" s="5">
        <f t="shared" si="18"/>
        <v>8250000</v>
      </c>
      <c r="AA188" s="5">
        <v>11400000</v>
      </c>
      <c r="AB188" s="5">
        <f t="shared" si="19"/>
        <v>18600000</v>
      </c>
      <c r="AC188" s="5" t="s">
        <v>906</v>
      </c>
      <c r="AD188" s="4" t="s">
        <v>51</v>
      </c>
      <c r="AE188" s="5">
        <f t="shared" si="20"/>
        <v>0.44354838709677419</v>
      </c>
      <c r="AF188" s="5">
        <v>9300000</v>
      </c>
      <c r="AG188" s="5">
        <v>1</v>
      </c>
      <c r="AH188" s="5">
        <v>1</v>
      </c>
      <c r="AI188" s="5">
        <v>1</v>
      </c>
      <c r="AJ188" s="7" t="s">
        <v>907</v>
      </c>
      <c r="AK188" s="5">
        <v>0</v>
      </c>
      <c r="AL188" s="5">
        <v>0</v>
      </c>
      <c r="AM188" s="4">
        <v>2018</v>
      </c>
      <c r="AN188" s="5">
        <v>0</v>
      </c>
      <c r="AO188" s="5">
        <v>2</v>
      </c>
      <c r="AP188" s="8"/>
      <c r="AQ188" s="8"/>
      <c r="AR188" s="8">
        <f t="shared" si="21"/>
        <v>0</v>
      </c>
      <c r="AS188" s="8">
        <f t="shared" si="22"/>
        <v>10350000</v>
      </c>
      <c r="AT188" s="8">
        <f t="shared" si="23"/>
        <v>8250000</v>
      </c>
      <c r="AU188" s="8">
        <f t="shared" si="24"/>
        <v>10350000</v>
      </c>
      <c r="AV188" s="4" t="s">
        <v>905</v>
      </c>
      <c r="AW188" s="7" t="s">
        <v>907</v>
      </c>
      <c r="AX188" s="5">
        <v>4600000</v>
      </c>
      <c r="AY188">
        <f t="shared" si="25"/>
        <v>10000000</v>
      </c>
      <c r="AZ188">
        <f t="shared" si="26"/>
        <v>350000</v>
      </c>
      <c r="BA188" s="5">
        <v>23200000</v>
      </c>
      <c r="BB188" s="5">
        <v>2600000</v>
      </c>
      <c r="BC188" s="4" t="s">
        <v>49</v>
      </c>
      <c r="BD188" s="4">
        <v>47112</v>
      </c>
      <c r="BE188" t="s">
        <v>54</v>
      </c>
    </row>
    <row r="189" spans="1:57" ht="270.75" thickBot="1" x14ac:dyDescent="0.3">
      <c r="A189" s="4" t="s">
        <v>908</v>
      </c>
      <c r="B189" s="4">
        <v>1001</v>
      </c>
      <c r="C189" s="5">
        <v>2</v>
      </c>
      <c r="D189" s="4" t="s">
        <v>56</v>
      </c>
      <c r="E189" s="6">
        <v>46307.586390729164</v>
      </c>
      <c r="F189" s="4" t="s">
        <v>909</v>
      </c>
      <c r="G189" s="4" t="s">
        <v>46</v>
      </c>
      <c r="H189" s="4">
        <v>53</v>
      </c>
      <c r="I189" s="4" t="s">
        <v>47</v>
      </c>
      <c r="J189" s="4">
        <v>5309</v>
      </c>
      <c r="K189" s="4" t="s">
        <v>48</v>
      </c>
      <c r="L189" s="4">
        <v>5309073</v>
      </c>
      <c r="M189" s="4">
        <v>5309073009</v>
      </c>
      <c r="N189" s="4" t="s">
        <v>49</v>
      </c>
      <c r="O189" s="4">
        <v>47112</v>
      </c>
      <c r="P189" s="4" t="s">
        <v>910</v>
      </c>
      <c r="Q189" s="5">
        <v>1</v>
      </c>
      <c r="R189" s="5">
        <v>0</v>
      </c>
      <c r="S189" s="5">
        <v>0</v>
      </c>
      <c r="T189" s="5">
        <v>12000000</v>
      </c>
      <c r="U189" s="5">
        <v>400000</v>
      </c>
      <c r="V189" s="5">
        <v>0</v>
      </c>
      <c r="W189" s="5">
        <v>12400000</v>
      </c>
      <c r="X189" s="5">
        <v>20800000</v>
      </c>
      <c r="Y189" s="5">
        <v>0</v>
      </c>
      <c r="Z189" s="5">
        <f t="shared" si="18"/>
        <v>8400000</v>
      </c>
      <c r="AA189" s="5">
        <v>10000000</v>
      </c>
      <c r="AB189" s="5">
        <f t="shared" si="19"/>
        <v>8800000</v>
      </c>
      <c r="AC189" s="5" t="s">
        <v>911</v>
      </c>
      <c r="AD189" s="4" t="s">
        <v>51</v>
      </c>
      <c r="AE189" s="5">
        <f t="shared" si="20"/>
        <v>0.95454545454545459</v>
      </c>
      <c r="AF189" s="5">
        <v>8800000</v>
      </c>
      <c r="AG189" s="5">
        <v>1</v>
      </c>
      <c r="AH189" s="5">
        <v>1</v>
      </c>
      <c r="AI189" s="5">
        <v>1</v>
      </c>
      <c r="AJ189" s="7" t="s">
        <v>912</v>
      </c>
      <c r="AK189" s="5">
        <v>0</v>
      </c>
      <c r="AL189" s="5">
        <v>0</v>
      </c>
      <c r="AM189" s="4">
        <v>2025</v>
      </c>
      <c r="AN189" s="5">
        <v>0</v>
      </c>
      <c r="AO189" s="5">
        <v>1</v>
      </c>
      <c r="AP189" s="8"/>
      <c r="AQ189" s="8"/>
      <c r="AR189" s="8">
        <f t="shared" si="21"/>
        <v>0</v>
      </c>
      <c r="AS189" s="8">
        <f t="shared" si="22"/>
        <v>400000</v>
      </c>
      <c r="AT189" s="8">
        <f t="shared" si="23"/>
        <v>6512000</v>
      </c>
      <c r="AU189" s="8">
        <f t="shared" si="24"/>
        <v>2288000</v>
      </c>
      <c r="AV189" s="4" t="s">
        <v>910</v>
      </c>
      <c r="AW189" s="7" t="s">
        <v>912</v>
      </c>
      <c r="AX189" s="5">
        <v>12000000</v>
      </c>
      <c r="AY189">
        <f t="shared" si="25"/>
        <v>0</v>
      </c>
      <c r="AZ189">
        <f t="shared" si="26"/>
        <v>2288000</v>
      </c>
      <c r="BA189" s="5">
        <v>20800000</v>
      </c>
      <c r="BB189" s="5">
        <v>0</v>
      </c>
      <c r="BC189" s="4" t="s">
        <v>49</v>
      </c>
      <c r="BD189" s="4">
        <v>47112</v>
      </c>
      <c r="BE189" t="s">
        <v>54</v>
      </c>
    </row>
    <row r="190" spans="1:57" ht="270.75" thickBot="1" x14ac:dyDescent="0.3">
      <c r="A190" s="4" t="s">
        <v>913</v>
      </c>
      <c r="B190" s="4">
        <v>1</v>
      </c>
      <c r="C190" s="5">
        <v>2</v>
      </c>
      <c r="D190" s="4" t="s">
        <v>44</v>
      </c>
      <c r="E190" s="6">
        <v>46223.856275972219</v>
      </c>
      <c r="F190" s="4" t="s">
        <v>914</v>
      </c>
      <c r="G190" s="4" t="s">
        <v>46</v>
      </c>
      <c r="H190" s="4">
        <v>53</v>
      </c>
      <c r="I190" s="4" t="s">
        <v>47</v>
      </c>
      <c r="J190" s="4">
        <v>5309</v>
      </c>
      <c r="K190" s="4" t="s">
        <v>48</v>
      </c>
      <c r="L190" s="4">
        <v>5309041</v>
      </c>
      <c r="M190" s="4">
        <v>5309041001</v>
      </c>
      <c r="N190" s="4" t="s">
        <v>49</v>
      </c>
      <c r="O190" s="4">
        <v>47112</v>
      </c>
      <c r="P190" s="4" t="s">
        <v>915</v>
      </c>
      <c r="Q190" s="5">
        <v>1</v>
      </c>
      <c r="R190" s="5">
        <v>0</v>
      </c>
      <c r="S190" s="5">
        <v>90000</v>
      </c>
      <c r="T190" s="5">
        <v>1500000</v>
      </c>
      <c r="U190" s="5">
        <v>500000</v>
      </c>
      <c r="V190" s="5">
        <v>100000</v>
      </c>
      <c r="W190" s="5">
        <v>2190000</v>
      </c>
      <c r="X190" s="5">
        <v>2800000</v>
      </c>
      <c r="Y190" s="5">
        <v>0</v>
      </c>
      <c r="Z190" s="5">
        <f t="shared" si="18"/>
        <v>710000</v>
      </c>
      <c r="AA190" s="5">
        <v>1500000</v>
      </c>
      <c r="AB190" s="5">
        <f t="shared" si="19"/>
        <v>1300000</v>
      </c>
      <c r="AC190" s="5" t="s">
        <v>916</v>
      </c>
      <c r="AD190" s="4" t="s">
        <v>51</v>
      </c>
      <c r="AE190" s="5">
        <f t="shared" si="20"/>
        <v>0.5461538461538461</v>
      </c>
      <c r="AF190" s="5">
        <v>1300000</v>
      </c>
      <c r="AG190" s="5">
        <v>1</v>
      </c>
      <c r="AH190" s="5">
        <v>1</v>
      </c>
      <c r="AI190" s="5">
        <v>1</v>
      </c>
      <c r="AJ190" s="7" t="s">
        <v>917</v>
      </c>
      <c r="AK190" s="5">
        <v>0</v>
      </c>
      <c r="AL190" s="5">
        <v>0</v>
      </c>
      <c r="AM190" s="4">
        <v>2004</v>
      </c>
      <c r="AN190" s="5">
        <v>0</v>
      </c>
      <c r="AO190" s="5">
        <v>1</v>
      </c>
      <c r="AP190" s="8"/>
      <c r="AQ190" s="8"/>
      <c r="AR190" s="8">
        <f t="shared" si="21"/>
        <v>0</v>
      </c>
      <c r="AS190" s="8">
        <f t="shared" si="22"/>
        <v>590000</v>
      </c>
      <c r="AT190" s="8">
        <f t="shared" si="23"/>
        <v>710000</v>
      </c>
      <c r="AU190" s="8">
        <f t="shared" si="24"/>
        <v>590000</v>
      </c>
      <c r="AV190" s="4" t="s">
        <v>915</v>
      </c>
      <c r="AW190" s="7" t="s">
        <v>917</v>
      </c>
      <c r="AX190" s="5">
        <v>1500000</v>
      </c>
      <c r="AY190">
        <f t="shared" si="25"/>
        <v>90000</v>
      </c>
      <c r="AZ190">
        <f t="shared" si="26"/>
        <v>500000</v>
      </c>
      <c r="BA190" s="5">
        <v>2800000</v>
      </c>
      <c r="BB190" s="5">
        <v>0</v>
      </c>
      <c r="BC190" s="4" t="s">
        <v>49</v>
      </c>
      <c r="BD190" s="4">
        <v>47112</v>
      </c>
      <c r="BE190" t="s">
        <v>54</v>
      </c>
    </row>
    <row r="191" spans="1:57" ht="270.75" thickBot="1" x14ac:dyDescent="0.3">
      <c r="A191" s="4" t="s">
        <v>918</v>
      </c>
      <c r="B191" s="4">
        <v>1002</v>
      </c>
      <c r="C191" s="5">
        <v>2</v>
      </c>
      <c r="D191" s="4" t="s">
        <v>44</v>
      </c>
      <c r="E191" s="6">
        <v>46290.922836296297</v>
      </c>
      <c r="F191" s="4" t="s">
        <v>919</v>
      </c>
      <c r="G191" s="4" t="s">
        <v>46</v>
      </c>
      <c r="H191" s="4">
        <v>53</v>
      </c>
      <c r="I191" s="4" t="s">
        <v>47</v>
      </c>
      <c r="J191" s="4">
        <v>5309</v>
      </c>
      <c r="K191" s="4" t="s">
        <v>48</v>
      </c>
      <c r="L191" s="4">
        <v>5309030</v>
      </c>
      <c r="M191" s="4">
        <v>5309030027</v>
      </c>
      <c r="N191" s="4" t="s">
        <v>49</v>
      </c>
      <c r="O191" s="4">
        <v>47112</v>
      </c>
      <c r="P191" s="4" t="s">
        <v>920</v>
      </c>
      <c r="Q191" s="5">
        <v>1</v>
      </c>
      <c r="R191" s="5">
        <v>0</v>
      </c>
      <c r="S191" s="5">
        <v>700000</v>
      </c>
      <c r="T191" s="5">
        <v>700000</v>
      </c>
      <c r="U191" s="5">
        <v>60000</v>
      </c>
      <c r="V191" s="5">
        <v>0</v>
      </c>
      <c r="W191" s="5">
        <v>1460000</v>
      </c>
      <c r="X191" s="5">
        <v>2000000</v>
      </c>
      <c r="Y191" s="5">
        <v>1200000</v>
      </c>
      <c r="Z191" s="5">
        <f t="shared" si="18"/>
        <v>540000</v>
      </c>
      <c r="AA191" s="5">
        <v>1200000</v>
      </c>
      <c r="AB191" s="5">
        <f t="shared" si="19"/>
        <v>1300000</v>
      </c>
      <c r="AC191" s="5" t="s">
        <v>921</v>
      </c>
      <c r="AD191" s="4" t="s">
        <v>51</v>
      </c>
      <c r="AE191" s="5">
        <f t="shared" si="20"/>
        <v>0.41538461538461541</v>
      </c>
      <c r="AF191" s="5">
        <v>300000</v>
      </c>
      <c r="AG191" s="5">
        <v>0</v>
      </c>
      <c r="AH191" s="5">
        <v>1</v>
      </c>
      <c r="AI191" s="5">
        <v>1</v>
      </c>
      <c r="AJ191" s="7" t="s">
        <v>922</v>
      </c>
      <c r="AK191" s="5">
        <v>0</v>
      </c>
      <c r="AL191" s="5">
        <v>0</v>
      </c>
      <c r="AM191" s="4">
        <v>2019</v>
      </c>
      <c r="AN191" s="5">
        <v>0</v>
      </c>
      <c r="AO191" s="5">
        <v>1</v>
      </c>
      <c r="AP191" s="8"/>
      <c r="AQ191" s="8"/>
      <c r="AR191" s="8">
        <f t="shared" si="21"/>
        <v>0</v>
      </c>
      <c r="AS191" s="8">
        <f t="shared" si="22"/>
        <v>760000</v>
      </c>
      <c r="AT191" s="8">
        <f t="shared" si="23"/>
        <v>540000</v>
      </c>
      <c r="AU191" s="8">
        <f t="shared" si="24"/>
        <v>760000</v>
      </c>
      <c r="AV191" s="4" t="s">
        <v>920</v>
      </c>
      <c r="AW191" s="7" t="s">
        <v>922</v>
      </c>
      <c r="AX191" s="5">
        <v>700000</v>
      </c>
      <c r="AY191">
        <f t="shared" si="25"/>
        <v>700000</v>
      </c>
      <c r="AZ191">
        <f t="shared" si="26"/>
        <v>60000</v>
      </c>
      <c r="BA191" s="5">
        <v>2000000</v>
      </c>
      <c r="BB191" s="5">
        <v>1200000</v>
      </c>
      <c r="BC191" s="4" t="s">
        <v>49</v>
      </c>
      <c r="BD191" s="4">
        <v>47112</v>
      </c>
      <c r="BE191" t="s">
        <v>54</v>
      </c>
    </row>
    <row r="192" spans="1:57" ht="270.75" thickBot="1" x14ac:dyDescent="0.3">
      <c r="A192" s="4" t="s">
        <v>923</v>
      </c>
      <c r="B192" s="4">
        <v>1</v>
      </c>
      <c r="C192" s="5">
        <v>2</v>
      </c>
      <c r="D192" s="4" t="s">
        <v>60</v>
      </c>
      <c r="E192" s="6">
        <v>46280.52983644676</v>
      </c>
      <c r="F192" s="4" t="s">
        <v>924</v>
      </c>
      <c r="G192" s="4" t="s">
        <v>46</v>
      </c>
      <c r="H192" s="4">
        <v>53</v>
      </c>
      <c r="I192" s="4" t="s">
        <v>47</v>
      </c>
      <c r="J192" s="4">
        <v>5309</v>
      </c>
      <c r="K192" s="4" t="s">
        <v>48</v>
      </c>
      <c r="L192" s="4">
        <v>5309072</v>
      </c>
      <c r="M192" s="4">
        <v>5309072004</v>
      </c>
      <c r="N192" s="4" t="s">
        <v>49</v>
      </c>
      <c r="O192" s="4">
        <v>47112</v>
      </c>
      <c r="P192" s="4" t="s">
        <v>925</v>
      </c>
      <c r="Q192" s="5">
        <v>1</v>
      </c>
      <c r="R192" s="5">
        <v>0</v>
      </c>
      <c r="S192" s="5">
        <v>500000</v>
      </c>
      <c r="T192" s="5">
        <v>7000000</v>
      </c>
      <c r="U192" s="5">
        <v>150000</v>
      </c>
      <c r="V192" s="5">
        <v>0</v>
      </c>
      <c r="W192" s="5">
        <v>7650000</v>
      </c>
      <c r="X192" s="5">
        <v>8500000</v>
      </c>
      <c r="Y192" s="5">
        <v>0</v>
      </c>
      <c r="Z192" s="5">
        <f t="shared" si="18"/>
        <v>850000</v>
      </c>
      <c r="AA192" s="5">
        <v>200000000</v>
      </c>
      <c r="AB192" s="5">
        <f t="shared" si="19"/>
        <v>1500000</v>
      </c>
      <c r="AC192" s="5" t="s">
        <v>926</v>
      </c>
      <c r="AD192" s="4" t="s">
        <v>51</v>
      </c>
      <c r="AE192" s="5">
        <f t="shared" si="20"/>
        <v>0.56666666666666665</v>
      </c>
      <c r="AF192" s="5">
        <v>1500000</v>
      </c>
      <c r="AG192" s="5">
        <v>1</v>
      </c>
      <c r="AH192" s="5">
        <v>1</v>
      </c>
      <c r="AI192" s="5">
        <v>1</v>
      </c>
      <c r="AJ192" s="7" t="s">
        <v>927</v>
      </c>
      <c r="AK192" s="5">
        <v>0</v>
      </c>
      <c r="AL192" s="5">
        <v>0</v>
      </c>
      <c r="AM192" s="4">
        <v>2015</v>
      </c>
      <c r="AN192" s="5">
        <v>0</v>
      </c>
      <c r="AO192" s="5">
        <v>1</v>
      </c>
      <c r="AP192" s="8"/>
      <c r="AQ192" s="8"/>
      <c r="AR192" s="8">
        <f t="shared" si="21"/>
        <v>0</v>
      </c>
      <c r="AS192" s="8">
        <f t="shared" si="22"/>
        <v>650000</v>
      </c>
      <c r="AT192" s="8">
        <f t="shared" si="23"/>
        <v>850000</v>
      </c>
      <c r="AU192" s="8">
        <f t="shared" si="24"/>
        <v>650000</v>
      </c>
      <c r="AV192" s="4" t="s">
        <v>925</v>
      </c>
      <c r="AW192" s="7" t="s">
        <v>927</v>
      </c>
      <c r="AX192" s="5">
        <v>7000000</v>
      </c>
      <c r="AY192">
        <f t="shared" si="25"/>
        <v>500000</v>
      </c>
      <c r="AZ192">
        <f t="shared" si="26"/>
        <v>150000</v>
      </c>
      <c r="BA192" s="5">
        <v>8500000</v>
      </c>
      <c r="BB192" s="5">
        <v>0</v>
      </c>
      <c r="BC192" s="4" t="s">
        <v>49</v>
      </c>
      <c r="BD192" s="4">
        <v>47112</v>
      </c>
      <c r="BE192" t="s">
        <v>54</v>
      </c>
    </row>
    <row r="193" spans="1:57" ht="255.75" thickBot="1" x14ac:dyDescent="0.3">
      <c r="A193" s="4" t="s">
        <v>928</v>
      </c>
      <c r="B193" s="4">
        <v>2001</v>
      </c>
      <c r="C193" s="5">
        <v>2</v>
      </c>
      <c r="D193" s="4" t="s">
        <v>44</v>
      </c>
      <c r="E193" s="6">
        <v>46239.232835844909</v>
      </c>
      <c r="F193" s="4" t="s">
        <v>929</v>
      </c>
      <c r="G193" s="4" t="s">
        <v>46</v>
      </c>
      <c r="H193" s="4">
        <v>53</v>
      </c>
      <c r="I193" s="4" t="s">
        <v>47</v>
      </c>
      <c r="J193" s="4">
        <v>5309</v>
      </c>
      <c r="K193" s="4" t="s">
        <v>48</v>
      </c>
      <c r="L193" s="4">
        <v>5309032</v>
      </c>
      <c r="M193" s="4">
        <v>5309032001</v>
      </c>
      <c r="N193" s="4" t="s">
        <v>49</v>
      </c>
      <c r="O193" s="4">
        <v>47112</v>
      </c>
      <c r="P193" s="4" t="s">
        <v>930</v>
      </c>
      <c r="Q193" s="5">
        <v>2</v>
      </c>
      <c r="R193" s="5">
        <v>0</v>
      </c>
      <c r="S193" s="5">
        <v>0</v>
      </c>
      <c r="T193" s="5">
        <v>1500000</v>
      </c>
      <c r="U193" s="5">
        <v>175000</v>
      </c>
      <c r="V193" s="5">
        <v>0</v>
      </c>
      <c r="W193" s="5">
        <v>1675000</v>
      </c>
      <c r="X193" s="5">
        <v>2570000</v>
      </c>
      <c r="Y193" s="5">
        <v>0</v>
      </c>
      <c r="Z193" s="5">
        <f t="shared" si="18"/>
        <v>895000</v>
      </c>
      <c r="AA193" s="5">
        <v>900000</v>
      </c>
      <c r="AB193" s="5">
        <f t="shared" si="19"/>
        <v>1070000</v>
      </c>
      <c r="AC193" s="5" t="s">
        <v>931</v>
      </c>
      <c r="AD193" s="4" t="s">
        <v>51</v>
      </c>
      <c r="AE193" s="5">
        <f t="shared" si="20"/>
        <v>0.83644859813084116</v>
      </c>
      <c r="AF193" s="5">
        <v>535000</v>
      </c>
      <c r="AG193" s="5">
        <v>1</v>
      </c>
      <c r="AH193" s="5">
        <v>1</v>
      </c>
      <c r="AI193" s="5">
        <v>1</v>
      </c>
      <c r="AJ193" s="7" t="s">
        <v>932</v>
      </c>
      <c r="AK193" s="5">
        <v>0</v>
      </c>
      <c r="AL193" s="5">
        <v>0</v>
      </c>
      <c r="AM193" s="4">
        <v>2025</v>
      </c>
      <c r="AN193" s="5">
        <v>0</v>
      </c>
      <c r="AO193" s="5">
        <v>2</v>
      </c>
      <c r="AP193" s="8"/>
      <c r="AQ193" s="8"/>
      <c r="AR193" s="8">
        <f t="shared" si="21"/>
        <v>0</v>
      </c>
      <c r="AS193" s="8">
        <f t="shared" si="22"/>
        <v>175000</v>
      </c>
      <c r="AT193" s="8">
        <f t="shared" si="23"/>
        <v>791800</v>
      </c>
      <c r="AU193" s="8">
        <f t="shared" si="24"/>
        <v>278200</v>
      </c>
      <c r="AV193" s="4" t="s">
        <v>930</v>
      </c>
      <c r="AW193" s="7" t="s">
        <v>932</v>
      </c>
      <c r="AX193" s="5">
        <v>1500000</v>
      </c>
      <c r="AY193">
        <f t="shared" si="25"/>
        <v>0</v>
      </c>
      <c r="AZ193">
        <f t="shared" si="26"/>
        <v>278200</v>
      </c>
      <c r="BA193" s="5">
        <v>2570000</v>
      </c>
      <c r="BB193" s="5">
        <v>0</v>
      </c>
      <c r="BC193" s="4" t="s">
        <v>49</v>
      </c>
      <c r="BD193" s="4">
        <v>47112</v>
      </c>
      <c r="BE193" t="s">
        <v>54</v>
      </c>
    </row>
    <row r="194" spans="1:57" ht="270.75" thickBot="1" x14ac:dyDescent="0.3">
      <c r="A194" s="4" t="s">
        <v>933</v>
      </c>
      <c r="B194" s="4">
        <v>1001</v>
      </c>
      <c r="C194" s="5">
        <v>2</v>
      </c>
      <c r="D194" s="4" t="s">
        <v>44</v>
      </c>
      <c r="E194" s="6">
        <v>46269.698425659721</v>
      </c>
      <c r="F194" s="4" t="s">
        <v>934</v>
      </c>
      <c r="G194" s="4" t="s">
        <v>46</v>
      </c>
      <c r="H194" s="4">
        <v>53</v>
      </c>
      <c r="I194" s="4" t="s">
        <v>47</v>
      </c>
      <c r="J194" s="4">
        <v>5309</v>
      </c>
      <c r="K194" s="4" t="s">
        <v>48</v>
      </c>
      <c r="L194" s="4">
        <v>5309050</v>
      </c>
      <c r="M194" s="4">
        <v>5309050011</v>
      </c>
      <c r="N194" s="4" t="s">
        <v>49</v>
      </c>
      <c r="O194" s="4">
        <v>47112</v>
      </c>
      <c r="P194" s="4" t="s">
        <v>935</v>
      </c>
      <c r="Q194" s="5">
        <v>1</v>
      </c>
      <c r="R194" s="5">
        <v>0</v>
      </c>
      <c r="S194" s="5">
        <v>0</v>
      </c>
      <c r="T194" s="5">
        <v>4500000</v>
      </c>
      <c r="U194" s="5">
        <v>800000</v>
      </c>
      <c r="V194" s="5">
        <v>0</v>
      </c>
      <c r="W194" s="5">
        <v>5300000</v>
      </c>
      <c r="X194" s="5">
        <v>6500000</v>
      </c>
      <c r="Y194" s="5">
        <v>0</v>
      </c>
      <c r="Z194" s="5">
        <f t="shared" si="18"/>
        <v>1200000</v>
      </c>
      <c r="AA194" s="5">
        <v>500000</v>
      </c>
      <c r="AB194" s="5">
        <f t="shared" si="19"/>
        <v>2000000</v>
      </c>
      <c r="AC194" s="5" t="s">
        <v>936</v>
      </c>
      <c r="AD194" s="4" t="s">
        <v>51</v>
      </c>
      <c r="AE194" s="5">
        <f t="shared" si="20"/>
        <v>0.6</v>
      </c>
      <c r="AF194" s="5">
        <v>2000000</v>
      </c>
      <c r="AG194" s="5">
        <v>1</v>
      </c>
      <c r="AH194" s="5">
        <v>1</v>
      </c>
      <c r="AI194" s="5">
        <v>1</v>
      </c>
      <c r="AJ194" s="7" t="s">
        <v>937</v>
      </c>
      <c r="AK194" s="5">
        <v>0</v>
      </c>
      <c r="AL194" s="5">
        <v>0</v>
      </c>
      <c r="AM194" s="4">
        <v>2025</v>
      </c>
      <c r="AN194" s="5">
        <v>0</v>
      </c>
      <c r="AO194" s="5">
        <v>1</v>
      </c>
      <c r="AP194" s="8"/>
      <c r="AQ194" s="8"/>
      <c r="AR194" s="8">
        <f t="shared" si="21"/>
        <v>0</v>
      </c>
      <c r="AS194" s="8">
        <f t="shared" si="22"/>
        <v>800000</v>
      </c>
      <c r="AT194" s="8">
        <f t="shared" si="23"/>
        <v>1200000</v>
      </c>
      <c r="AU194" s="8">
        <f t="shared" si="24"/>
        <v>800000</v>
      </c>
      <c r="AV194" s="4" t="s">
        <v>935</v>
      </c>
      <c r="AW194" s="7" t="s">
        <v>937</v>
      </c>
      <c r="AX194" s="5">
        <v>4500000</v>
      </c>
      <c r="AY194">
        <f t="shared" si="25"/>
        <v>0</v>
      </c>
      <c r="AZ194">
        <f t="shared" si="26"/>
        <v>800000</v>
      </c>
      <c r="BA194" s="5">
        <v>6500000</v>
      </c>
      <c r="BB194" s="5">
        <v>0</v>
      </c>
      <c r="BC194" s="4" t="s">
        <v>49</v>
      </c>
      <c r="BD194" s="4">
        <v>47112</v>
      </c>
      <c r="BE194" t="s">
        <v>54</v>
      </c>
    </row>
    <row r="195" spans="1:57" ht="270.75" thickBot="1" x14ac:dyDescent="0.3">
      <c r="A195" s="4" t="s">
        <v>938</v>
      </c>
      <c r="B195" s="4">
        <v>3001</v>
      </c>
      <c r="C195" s="5">
        <v>2</v>
      </c>
      <c r="D195" s="4" t="s">
        <v>44</v>
      </c>
      <c r="E195" s="6">
        <v>46273.334268634258</v>
      </c>
      <c r="F195" s="4" t="s">
        <v>939</v>
      </c>
      <c r="G195" s="4" t="s">
        <v>46</v>
      </c>
      <c r="H195" s="4">
        <v>53</v>
      </c>
      <c r="I195" s="4" t="s">
        <v>47</v>
      </c>
      <c r="J195" s="4">
        <v>5309</v>
      </c>
      <c r="K195" s="4" t="s">
        <v>48</v>
      </c>
      <c r="L195" s="4">
        <v>5309021</v>
      </c>
      <c r="M195" s="4">
        <v>5309021003</v>
      </c>
      <c r="N195" s="4" t="s">
        <v>49</v>
      </c>
      <c r="O195" s="4">
        <v>47112</v>
      </c>
      <c r="P195" s="4" t="s">
        <v>940</v>
      </c>
      <c r="Q195" s="5">
        <v>3</v>
      </c>
      <c r="R195" s="5">
        <v>0</v>
      </c>
      <c r="S195" s="5">
        <v>0</v>
      </c>
      <c r="T195" s="5">
        <v>3000000</v>
      </c>
      <c r="U195" s="5">
        <v>350000</v>
      </c>
      <c r="V195" s="5">
        <v>0</v>
      </c>
      <c r="W195" s="5">
        <v>3350000</v>
      </c>
      <c r="X195" s="5">
        <v>5000000</v>
      </c>
      <c r="Y195" s="5">
        <v>0</v>
      </c>
      <c r="Z195" s="5">
        <f t="shared" ref="Z195:Z258" si="27">X195-SUM(S195:U195)</f>
        <v>1650000</v>
      </c>
      <c r="AA195" s="5">
        <v>55000000</v>
      </c>
      <c r="AB195" s="5">
        <f t="shared" ref="AB195:AB258" si="28">X195-T195</f>
        <v>2000000</v>
      </c>
      <c r="AC195" s="5" t="s">
        <v>100</v>
      </c>
      <c r="AD195" s="4" t="s">
        <v>51</v>
      </c>
      <c r="AE195" s="5">
        <f t="shared" ref="AE195:AE258" si="29">Z195/AB195</f>
        <v>0.82499999999999996</v>
      </c>
      <c r="AF195" s="10">
        <v>6666666667</v>
      </c>
      <c r="AG195" s="5">
        <v>1</v>
      </c>
      <c r="AH195" s="5">
        <v>1</v>
      </c>
      <c r="AI195" s="5">
        <v>1</v>
      </c>
      <c r="AJ195" s="7" t="s">
        <v>941</v>
      </c>
      <c r="AK195" s="5">
        <v>0</v>
      </c>
      <c r="AL195" s="5">
        <v>0</v>
      </c>
      <c r="AM195" s="4">
        <v>2018</v>
      </c>
      <c r="AN195" s="5">
        <v>0</v>
      </c>
      <c r="AO195" s="5">
        <v>3</v>
      </c>
      <c r="AP195" s="8"/>
      <c r="AQ195" s="8"/>
      <c r="AR195" s="8">
        <f t="shared" ref="AR195:AR258" si="30">IF(Z195&lt;=0,1,0)</f>
        <v>0</v>
      </c>
      <c r="AS195" s="8">
        <f t="shared" ref="AS195:AS258" si="31">AB195-Z195</f>
        <v>350000</v>
      </c>
      <c r="AT195" s="8">
        <f t="shared" ref="AT195:AT258" si="32">IF(AE195&gt;0.78,(Z195*0.74/AE195),IF(Z195&lt;0.64,(Z195*0.68/AE195),Z195))</f>
        <v>1480000</v>
      </c>
      <c r="AU195" s="8">
        <f t="shared" ref="AU195:AU258" si="33">AB195-AT195</f>
        <v>520000</v>
      </c>
      <c r="AV195" s="4" t="s">
        <v>940</v>
      </c>
      <c r="AW195" s="7" t="s">
        <v>941</v>
      </c>
      <c r="AX195" s="5">
        <v>3000000</v>
      </c>
      <c r="AY195">
        <f t="shared" ref="AY195:AY258" si="34">AU195-AZ195</f>
        <v>0</v>
      </c>
      <c r="AZ195">
        <f t="shared" ref="AZ195:AZ258" si="35">U195*AU195/AS195</f>
        <v>520000</v>
      </c>
      <c r="BA195" s="5">
        <v>5000000</v>
      </c>
      <c r="BB195" s="5">
        <v>0</v>
      </c>
      <c r="BC195" s="4" t="s">
        <v>49</v>
      </c>
      <c r="BD195" s="4">
        <v>47112</v>
      </c>
      <c r="BE195" t="s">
        <v>54</v>
      </c>
    </row>
    <row r="196" spans="1:57" ht="270.75" thickBot="1" x14ac:dyDescent="0.3">
      <c r="A196" s="4" t="s">
        <v>942</v>
      </c>
      <c r="B196" s="4">
        <v>1002</v>
      </c>
      <c r="C196" s="5">
        <v>2</v>
      </c>
      <c r="D196" s="4" t="s">
        <v>44</v>
      </c>
      <c r="E196" s="6">
        <v>46290.922879409722</v>
      </c>
      <c r="F196" s="4" t="s">
        <v>943</v>
      </c>
      <c r="G196" s="4" t="s">
        <v>46</v>
      </c>
      <c r="H196" s="4">
        <v>53</v>
      </c>
      <c r="I196" s="4" t="s">
        <v>47</v>
      </c>
      <c r="J196" s="4">
        <v>5309</v>
      </c>
      <c r="K196" s="4" t="s">
        <v>48</v>
      </c>
      <c r="L196" s="4">
        <v>5309030</v>
      </c>
      <c r="M196" s="4">
        <v>5309030024</v>
      </c>
      <c r="N196" s="4" t="s">
        <v>49</v>
      </c>
      <c r="O196" s="4">
        <v>47112</v>
      </c>
      <c r="P196" s="4" t="s">
        <v>944</v>
      </c>
      <c r="Q196" s="5">
        <v>1</v>
      </c>
      <c r="R196" s="5">
        <v>0</v>
      </c>
      <c r="S196" s="5">
        <v>0</v>
      </c>
      <c r="T196" s="5">
        <v>6000000</v>
      </c>
      <c r="U196" s="5">
        <v>1200000</v>
      </c>
      <c r="V196" s="5">
        <v>0</v>
      </c>
      <c r="W196" s="5">
        <v>7200000</v>
      </c>
      <c r="X196" s="5">
        <v>8400000</v>
      </c>
      <c r="Y196" s="5">
        <v>0</v>
      </c>
      <c r="Z196" s="5">
        <f t="shared" si="27"/>
        <v>1200000</v>
      </c>
      <c r="AA196" s="5">
        <v>0</v>
      </c>
      <c r="AB196" s="5">
        <f t="shared" si="28"/>
        <v>2400000</v>
      </c>
      <c r="AC196" s="5" t="s">
        <v>454</v>
      </c>
      <c r="AD196" s="4" t="s">
        <v>51</v>
      </c>
      <c r="AE196" s="5">
        <f t="shared" si="29"/>
        <v>0.5</v>
      </c>
      <c r="AF196" s="5">
        <v>2400000</v>
      </c>
      <c r="AG196" s="4"/>
      <c r="AH196" s="5">
        <v>1</v>
      </c>
      <c r="AI196" s="5">
        <v>1</v>
      </c>
      <c r="AJ196" s="7" t="s">
        <v>945</v>
      </c>
      <c r="AK196" s="5">
        <v>0</v>
      </c>
      <c r="AL196" s="5">
        <v>0</v>
      </c>
      <c r="AM196" s="4">
        <v>2026</v>
      </c>
      <c r="AN196" s="5">
        <v>0</v>
      </c>
      <c r="AO196" s="5">
        <v>1</v>
      </c>
      <c r="AP196" s="8"/>
      <c r="AQ196" s="8"/>
      <c r="AR196" s="8">
        <f t="shared" si="30"/>
        <v>0</v>
      </c>
      <c r="AS196" s="8">
        <f t="shared" si="31"/>
        <v>1200000</v>
      </c>
      <c r="AT196" s="8">
        <f t="shared" si="32"/>
        <v>1200000</v>
      </c>
      <c r="AU196" s="8">
        <f t="shared" si="33"/>
        <v>1200000</v>
      </c>
      <c r="AV196" s="4" t="s">
        <v>944</v>
      </c>
      <c r="AW196" s="7" t="s">
        <v>945</v>
      </c>
      <c r="AX196" s="5">
        <v>6000000</v>
      </c>
      <c r="AY196">
        <f t="shared" si="34"/>
        <v>0</v>
      </c>
      <c r="AZ196">
        <f t="shared" si="35"/>
        <v>1200000</v>
      </c>
      <c r="BA196" s="5">
        <v>8400000</v>
      </c>
      <c r="BB196" s="5">
        <v>0</v>
      </c>
      <c r="BC196" s="4" t="s">
        <v>49</v>
      </c>
      <c r="BD196" s="4">
        <v>47112</v>
      </c>
      <c r="BE196" t="s">
        <v>54</v>
      </c>
    </row>
    <row r="197" spans="1:57" ht="270.75" thickBot="1" x14ac:dyDescent="0.3">
      <c r="A197" s="4" t="s">
        <v>946</v>
      </c>
      <c r="B197" s="4">
        <v>1</v>
      </c>
      <c r="C197" s="5">
        <v>2</v>
      </c>
      <c r="D197" s="4" t="s">
        <v>44</v>
      </c>
      <c r="E197" s="6">
        <v>46270.307872986108</v>
      </c>
      <c r="F197" s="4" t="s">
        <v>947</v>
      </c>
      <c r="G197" s="4" t="s">
        <v>46</v>
      </c>
      <c r="H197" s="4">
        <v>53</v>
      </c>
      <c r="I197" s="4" t="s">
        <v>47</v>
      </c>
      <c r="J197" s="4">
        <v>5309</v>
      </c>
      <c r="K197" s="4" t="s">
        <v>48</v>
      </c>
      <c r="L197" s="4">
        <v>5309070</v>
      </c>
      <c r="M197" s="4">
        <v>5309070002</v>
      </c>
      <c r="N197" s="4" t="s">
        <v>49</v>
      </c>
      <c r="O197" s="4">
        <v>47112</v>
      </c>
      <c r="P197" s="4" t="s">
        <v>948</v>
      </c>
      <c r="Q197" s="5">
        <v>1</v>
      </c>
      <c r="R197" s="5">
        <v>0</v>
      </c>
      <c r="S197" s="5">
        <v>300000</v>
      </c>
      <c r="T197" s="5">
        <v>10000000</v>
      </c>
      <c r="U197" s="5">
        <v>500000</v>
      </c>
      <c r="V197" s="5">
        <v>0</v>
      </c>
      <c r="W197" s="5">
        <v>10800000</v>
      </c>
      <c r="X197" s="5">
        <v>16000000</v>
      </c>
      <c r="Y197" s="5">
        <v>0</v>
      </c>
      <c r="Z197" s="5">
        <f t="shared" si="27"/>
        <v>5200000</v>
      </c>
      <c r="AA197" s="5">
        <v>5200000</v>
      </c>
      <c r="AB197" s="5">
        <f t="shared" si="28"/>
        <v>6000000</v>
      </c>
      <c r="AC197" s="5" t="s">
        <v>90</v>
      </c>
      <c r="AD197" s="4" t="s">
        <v>51</v>
      </c>
      <c r="AE197" s="5">
        <f t="shared" si="29"/>
        <v>0.8666666666666667</v>
      </c>
      <c r="AF197" s="5">
        <v>6000000</v>
      </c>
      <c r="AG197" s="5">
        <v>1</v>
      </c>
      <c r="AH197" s="5">
        <v>1</v>
      </c>
      <c r="AI197" s="5">
        <v>1</v>
      </c>
      <c r="AJ197" s="7" t="s">
        <v>949</v>
      </c>
      <c r="AK197" s="5">
        <v>0</v>
      </c>
      <c r="AL197" s="5">
        <v>0</v>
      </c>
      <c r="AM197" s="4">
        <v>2012</v>
      </c>
      <c r="AN197" s="5">
        <v>0</v>
      </c>
      <c r="AO197" s="5">
        <v>1</v>
      </c>
      <c r="AP197" s="8"/>
      <c r="AQ197" s="8"/>
      <c r="AR197" s="8">
        <f t="shared" si="30"/>
        <v>0</v>
      </c>
      <c r="AS197" s="8">
        <f t="shared" si="31"/>
        <v>800000</v>
      </c>
      <c r="AT197" s="8">
        <f t="shared" si="32"/>
        <v>4440000</v>
      </c>
      <c r="AU197" s="8">
        <f t="shared" si="33"/>
        <v>1560000</v>
      </c>
      <c r="AV197" s="4" t="s">
        <v>948</v>
      </c>
      <c r="AW197" s="7" t="s">
        <v>949</v>
      </c>
      <c r="AX197" s="5">
        <v>10000000</v>
      </c>
      <c r="AY197">
        <f t="shared" si="34"/>
        <v>585000</v>
      </c>
      <c r="AZ197">
        <f t="shared" si="35"/>
        <v>975000</v>
      </c>
      <c r="BA197" s="5">
        <v>16000000</v>
      </c>
      <c r="BB197" s="5">
        <v>0</v>
      </c>
      <c r="BC197" s="4" t="s">
        <v>49</v>
      </c>
      <c r="BD197" s="4">
        <v>47112</v>
      </c>
      <c r="BE197" t="s">
        <v>54</v>
      </c>
    </row>
    <row r="198" spans="1:57" ht="270.75" thickBot="1" x14ac:dyDescent="0.3">
      <c r="A198" s="11" t="s">
        <v>950</v>
      </c>
      <c r="B198" s="4">
        <v>3001</v>
      </c>
      <c r="C198" s="5">
        <v>2</v>
      </c>
      <c r="D198" s="4" t="s">
        <v>44</v>
      </c>
      <c r="E198" s="6">
        <v>46260.061718194447</v>
      </c>
      <c r="F198" s="11" t="s">
        <v>951</v>
      </c>
      <c r="G198" s="4" t="s">
        <v>46</v>
      </c>
      <c r="H198" s="4">
        <v>53</v>
      </c>
      <c r="I198" s="4" t="s">
        <v>47</v>
      </c>
      <c r="J198" s="4">
        <v>5309</v>
      </c>
      <c r="K198" s="4" t="s">
        <v>48</v>
      </c>
      <c r="L198" s="4">
        <v>5309040</v>
      </c>
      <c r="M198" s="4">
        <v>5309040017</v>
      </c>
      <c r="N198" s="4" t="s">
        <v>49</v>
      </c>
      <c r="O198" s="4">
        <v>47112</v>
      </c>
      <c r="P198" s="4" t="s">
        <v>952</v>
      </c>
      <c r="Q198" s="5">
        <v>1</v>
      </c>
      <c r="R198" s="5">
        <v>0</v>
      </c>
      <c r="S198" s="5">
        <v>200000</v>
      </c>
      <c r="T198" s="5">
        <v>11800000</v>
      </c>
      <c r="U198" s="5">
        <v>0</v>
      </c>
      <c r="V198" s="5">
        <v>0</v>
      </c>
      <c r="W198" s="5">
        <v>12000000</v>
      </c>
      <c r="X198" s="5">
        <v>14400000</v>
      </c>
      <c r="Y198" s="5">
        <v>0</v>
      </c>
      <c r="Z198" s="5">
        <f t="shared" si="27"/>
        <v>2400000</v>
      </c>
      <c r="AA198" s="5">
        <v>20000000</v>
      </c>
      <c r="AB198" s="5">
        <f t="shared" si="28"/>
        <v>2600000</v>
      </c>
      <c r="AC198" s="5" t="s">
        <v>953</v>
      </c>
      <c r="AD198" s="4" t="s">
        <v>51</v>
      </c>
      <c r="AE198" s="5">
        <f t="shared" si="29"/>
        <v>0.92307692307692313</v>
      </c>
      <c r="AF198" s="5">
        <v>2600000</v>
      </c>
      <c r="AG198" s="5">
        <v>1</v>
      </c>
      <c r="AH198" s="5">
        <v>1</v>
      </c>
      <c r="AI198" s="5">
        <v>1</v>
      </c>
      <c r="AJ198" s="7" t="s">
        <v>954</v>
      </c>
      <c r="AK198" s="5">
        <v>0</v>
      </c>
      <c r="AL198" s="5">
        <v>0</v>
      </c>
      <c r="AM198" s="4">
        <v>2025</v>
      </c>
      <c r="AN198" s="5">
        <v>0</v>
      </c>
      <c r="AO198" s="5">
        <v>1</v>
      </c>
      <c r="AP198" s="8"/>
      <c r="AQ198" s="8"/>
      <c r="AR198" s="8">
        <f t="shared" si="30"/>
        <v>0</v>
      </c>
      <c r="AS198" s="8">
        <f t="shared" si="31"/>
        <v>200000</v>
      </c>
      <c r="AT198" s="8">
        <f t="shared" si="32"/>
        <v>1924000</v>
      </c>
      <c r="AU198" s="8">
        <f t="shared" si="33"/>
        <v>676000</v>
      </c>
      <c r="AV198" s="4" t="s">
        <v>952</v>
      </c>
      <c r="AW198" s="7" t="s">
        <v>954</v>
      </c>
      <c r="AX198" s="5">
        <v>11800000</v>
      </c>
      <c r="AY198">
        <f t="shared" si="34"/>
        <v>676000</v>
      </c>
      <c r="AZ198">
        <f t="shared" si="35"/>
        <v>0</v>
      </c>
      <c r="BA198" s="5">
        <v>14400000</v>
      </c>
      <c r="BB198" s="5">
        <v>0</v>
      </c>
      <c r="BC198" s="4" t="s">
        <v>49</v>
      </c>
      <c r="BD198" s="4">
        <v>47112</v>
      </c>
      <c r="BE198" t="s">
        <v>54</v>
      </c>
    </row>
    <row r="199" spans="1:57" ht="270.75" thickBot="1" x14ac:dyDescent="0.3">
      <c r="A199" s="4" t="s">
        <v>955</v>
      </c>
      <c r="B199" s="4">
        <v>2001</v>
      </c>
      <c r="C199" s="5">
        <v>2</v>
      </c>
      <c r="D199" s="4" t="s">
        <v>44</v>
      </c>
      <c r="E199" s="6">
        <v>46280.555489965278</v>
      </c>
      <c r="F199" s="4" t="s">
        <v>956</v>
      </c>
      <c r="G199" s="4" t="s">
        <v>46</v>
      </c>
      <c r="H199" s="4">
        <v>53</v>
      </c>
      <c r="I199" s="4" t="s">
        <v>47</v>
      </c>
      <c r="J199" s="4">
        <v>5309</v>
      </c>
      <c r="K199" s="4" t="s">
        <v>48</v>
      </c>
      <c r="L199" s="4">
        <v>5309070</v>
      </c>
      <c r="M199" s="4">
        <v>5309070012</v>
      </c>
      <c r="N199" s="4" t="s">
        <v>49</v>
      </c>
      <c r="O199" s="4">
        <v>47112</v>
      </c>
      <c r="P199" s="4" t="s">
        <v>957</v>
      </c>
      <c r="Q199" s="5">
        <v>1</v>
      </c>
      <c r="R199" s="5">
        <v>0</v>
      </c>
      <c r="S199" s="5">
        <v>50000</v>
      </c>
      <c r="T199" s="5">
        <v>10000000</v>
      </c>
      <c r="U199" s="5">
        <v>100000</v>
      </c>
      <c r="V199" s="5">
        <v>0</v>
      </c>
      <c r="W199" s="5">
        <v>10150000</v>
      </c>
      <c r="X199" s="5">
        <v>15000000</v>
      </c>
      <c r="Y199" s="5">
        <v>0</v>
      </c>
      <c r="Z199" s="5">
        <f t="shared" si="27"/>
        <v>4850000</v>
      </c>
      <c r="AA199" s="5">
        <v>10000000</v>
      </c>
      <c r="AB199" s="5">
        <f t="shared" si="28"/>
        <v>5000000</v>
      </c>
      <c r="AC199" s="5" t="s">
        <v>102</v>
      </c>
      <c r="AD199" s="4" t="s">
        <v>51</v>
      </c>
      <c r="AE199" s="5">
        <f t="shared" si="29"/>
        <v>0.97</v>
      </c>
      <c r="AF199" s="5">
        <v>5000000</v>
      </c>
      <c r="AG199" s="5">
        <v>1</v>
      </c>
      <c r="AH199" s="5">
        <v>1</v>
      </c>
      <c r="AI199" s="5">
        <v>1</v>
      </c>
      <c r="AJ199" s="7" t="s">
        <v>958</v>
      </c>
      <c r="AK199" s="5">
        <v>0</v>
      </c>
      <c r="AL199" s="5">
        <v>0</v>
      </c>
      <c r="AM199" s="4">
        <v>2025</v>
      </c>
      <c r="AN199" s="5">
        <v>0</v>
      </c>
      <c r="AO199" s="5">
        <v>1</v>
      </c>
      <c r="AP199" s="8"/>
      <c r="AQ199" s="8"/>
      <c r="AR199" s="8">
        <f t="shared" si="30"/>
        <v>0</v>
      </c>
      <c r="AS199" s="8">
        <f t="shared" si="31"/>
        <v>150000</v>
      </c>
      <c r="AT199" s="8">
        <f t="shared" si="32"/>
        <v>3700000</v>
      </c>
      <c r="AU199" s="8">
        <f t="shared" si="33"/>
        <v>1300000</v>
      </c>
      <c r="AV199" s="4" t="s">
        <v>957</v>
      </c>
      <c r="AW199" s="7" t="s">
        <v>958</v>
      </c>
      <c r="AX199" s="5">
        <v>10000000</v>
      </c>
      <c r="AY199">
        <f t="shared" si="34"/>
        <v>433333.33333333337</v>
      </c>
      <c r="AZ199">
        <f t="shared" si="35"/>
        <v>866666.66666666663</v>
      </c>
      <c r="BA199" s="5">
        <v>15000000</v>
      </c>
      <c r="BB199" s="5">
        <v>0</v>
      </c>
      <c r="BC199" s="4" t="s">
        <v>49</v>
      </c>
      <c r="BD199" s="4">
        <v>47112</v>
      </c>
      <c r="BE199" t="s">
        <v>54</v>
      </c>
    </row>
    <row r="200" spans="1:57" ht="270.75" thickBot="1" x14ac:dyDescent="0.3">
      <c r="A200" s="4" t="s">
        <v>959</v>
      </c>
      <c r="B200" s="4">
        <v>1001</v>
      </c>
      <c r="C200" s="5">
        <v>2</v>
      </c>
      <c r="D200" s="4" t="s">
        <v>44</v>
      </c>
      <c r="E200" s="6">
        <v>46272.317908495374</v>
      </c>
      <c r="F200" s="4" t="s">
        <v>960</v>
      </c>
      <c r="G200" s="4" t="s">
        <v>46</v>
      </c>
      <c r="H200" s="4">
        <v>53</v>
      </c>
      <c r="I200" s="4" t="s">
        <v>47</v>
      </c>
      <c r="J200" s="4">
        <v>5309</v>
      </c>
      <c r="K200" s="4" t="s">
        <v>48</v>
      </c>
      <c r="L200" s="4">
        <v>5309070</v>
      </c>
      <c r="M200" s="4">
        <v>5309070007</v>
      </c>
      <c r="N200" s="4" t="s">
        <v>49</v>
      </c>
      <c r="O200" s="4">
        <v>47112</v>
      </c>
      <c r="P200" s="4" t="s">
        <v>961</v>
      </c>
      <c r="Q200" s="5">
        <v>1</v>
      </c>
      <c r="R200" s="5">
        <v>0</v>
      </c>
      <c r="S200" s="5">
        <v>35000</v>
      </c>
      <c r="T200" s="5">
        <v>13000000</v>
      </c>
      <c r="U200" s="5">
        <v>240000</v>
      </c>
      <c r="V200" s="5">
        <v>0</v>
      </c>
      <c r="W200" s="5">
        <v>13275000</v>
      </c>
      <c r="X200" s="5">
        <v>13650000</v>
      </c>
      <c r="Y200" s="5">
        <v>0</v>
      </c>
      <c r="Z200" s="5">
        <f t="shared" si="27"/>
        <v>375000</v>
      </c>
      <c r="AA200" s="5">
        <v>150000</v>
      </c>
      <c r="AB200" s="5">
        <f t="shared" si="28"/>
        <v>650000</v>
      </c>
      <c r="AC200" s="5" t="s">
        <v>962</v>
      </c>
      <c r="AD200" s="4" t="s">
        <v>51</v>
      </c>
      <c r="AE200" s="5">
        <f t="shared" si="29"/>
        <v>0.57692307692307687</v>
      </c>
      <c r="AF200" s="5">
        <v>650000</v>
      </c>
      <c r="AG200" s="5">
        <v>1</v>
      </c>
      <c r="AH200" s="5">
        <v>1</v>
      </c>
      <c r="AI200" s="5">
        <v>1</v>
      </c>
      <c r="AJ200" s="7" t="s">
        <v>963</v>
      </c>
      <c r="AK200" s="5">
        <v>0</v>
      </c>
      <c r="AL200" s="5">
        <v>0</v>
      </c>
      <c r="AM200" s="4">
        <v>2021</v>
      </c>
      <c r="AN200" s="5">
        <v>0</v>
      </c>
      <c r="AO200" s="5">
        <v>1</v>
      </c>
      <c r="AP200" s="8"/>
      <c r="AQ200" s="8"/>
      <c r="AR200" s="8">
        <f t="shared" si="30"/>
        <v>0</v>
      </c>
      <c r="AS200" s="8">
        <f t="shared" si="31"/>
        <v>275000</v>
      </c>
      <c r="AT200" s="8">
        <f t="shared" si="32"/>
        <v>375000</v>
      </c>
      <c r="AU200" s="8">
        <f t="shared" si="33"/>
        <v>275000</v>
      </c>
      <c r="AV200" s="4" t="s">
        <v>961</v>
      </c>
      <c r="AW200" s="7" t="s">
        <v>963</v>
      </c>
      <c r="AX200" s="5">
        <v>13000000</v>
      </c>
      <c r="AY200">
        <f t="shared" si="34"/>
        <v>35000</v>
      </c>
      <c r="AZ200">
        <f t="shared" si="35"/>
        <v>240000</v>
      </c>
      <c r="BA200" s="5">
        <v>13650000</v>
      </c>
      <c r="BB200" s="5">
        <v>0</v>
      </c>
      <c r="BC200" s="4" t="s">
        <v>49</v>
      </c>
      <c r="BD200" s="4">
        <v>47112</v>
      </c>
      <c r="BE200" t="s">
        <v>54</v>
      </c>
    </row>
    <row r="201" spans="1:57" ht="255.75" thickBot="1" x14ac:dyDescent="0.3">
      <c r="A201" s="4" t="s">
        <v>964</v>
      </c>
      <c r="B201" s="4">
        <v>2001</v>
      </c>
      <c r="C201" s="5">
        <v>2</v>
      </c>
      <c r="D201" s="4" t="s">
        <v>44</v>
      </c>
      <c r="E201" s="6">
        <v>46226.308248819441</v>
      </c>
      <c r="F201" s="4" t="s">
        <v>965</v>
      </c>
      <c r="G201" s="4" t="s">
        <v>46</v>
      </c>
      <c r="H201" s="4">
        <v>53</v>
      </c>
      <c r="I201" s="4" t="s">
        <v>47</v>
      </c>
      <c r="J201" s="4">
        <v>5309</v>
      </c>
      <c r="K201" s="4" t="s">
        <v>48</v>
      </c>
      <c r="L201" s="4">
        <v>5309040</v>
      </c>
      <c r="M201" s="4">
        <v>5309040002</v>
      </c>
      <c r="N201" s="4" t="s">
        <v>49</v>
      </c>
      <c r="O201" s="4">
        <v>47112</v>
      </c>
      <c r="P201" s="4" t="s">
        <v>966</v>
      </c>
      <c r="Q201" s="5">
        <v>2</v>
      </c>
      <c r="R201" s="5">
        <v>0</v>
      </c>
      <c r="S201" s="5">
        <v>1000000</v>
      </c>
      <c r="T201" s="5">
        <v>500000</v>
      </c>
      <c r="U201" s="5">
        <v>1200000</v>
      </c>
      <c r="V201" s="5">
        <v>0</v>
      </c>
      <c r="W201" s="5">
        <v>2700000</v>
      </c>
      <c r="X201" s="5">
        <v>6000000</v>
      </c>
      <c r="Y201" s="5">
        <v>0</v>
      </c>
      <c r="Z201" s="5">
        <f t="shared" si="27"/>
        <v>3300000</v>
      </c>
      <c r="AA201" s="5">
        <v>83350000</v>
      </c>
      <c r="AB201" s="5">
        <f t="shared" si="28"/>
        <v>5500000</v>
      </c>
      <c r="AC201" s="5" t="s">
        <v>967</v>
      </c>
      <c r="AD201" s="4" t="s">
        <v>51</v>
      </c>
      <c r="AE201" s="5">
        <f t="shared" si="29"/>
        <v>0.6</v>
      </c>
      <c r="AF201" s="5">
        <v>2750000</v>
      </c>
      <c r="AG201" s="5">
        <v>1</v>
      </c>
      <c r="AH201" s="5">
        <v>1</v>
      </c>
      <c r="AI201" s="5">
        <v>1</v>
      </c>
      <c r="AJ201" s="7" t="s">
        <v>968</v>
      </c>
      <c r="AK201" s="5">
        <v>0</v>
      </c>
      <c r="AL201" s="5">
        <v>0</v>
      </c>
      <c r="AM201" s="4">
        <v>2023</v>
      </c>
      <c r="AN201" s="5">
        <v>0</v>
      </c>
      <c r="AO201" s="5">
        <v>2</v>
      </c>
      <c r="AP201" s="8"/>
      <c r="AQ201" s="8"/>
      <c r="AR201" s="8">
        <f t="shared" si="30"/>
        <v>0</v>
      </c>
      <c r="AS201" s="8">
        <f t="shared" si="31"/>
        <v>2200000</v>
      </c>
      <c r="AT201" s="8">
        <f t="shared" si="32"/>
        <v>3300000</v>
      </c>
      <c r="AU201" s="8">
        <f t="shared" si="33"/>
        <v>2200000</v>
      </c>
      <c r="AV201" s="4" t="s">
        <v>966</v>
      </c>
      <c r="AW201" s="7" t="s">
        <v>968</v>
      </c>
      <c r="AX201" s="5">
        <v>500000</v>
      </c>
      <c r="AY201">
        <f t="shared" si="34"/>
        <v>1000000</v>
      </c>
      <c r="AZ201">
        <f t="shared" si="35"/>
        <v>1200000</v>
      </c>
      <c r="BA201" s="5">
        <v>6000000</v>
      </c>
      <c r="BB201" s="5">
        <v>0</v>
      </c>
      <c r="BC201" s="4" t="s">
        <v>49</v>
      </c>
      <c r="BD201" s="4">
        <v>47112</v>
      </c>
      <c r="BE201" t="s">
        <v>54</v>
      </c>
    </row>
    <row r="202" spans="1:57" ht="270.75" thickBot="1" x14ac:dyDescent="0.3">
      <c r="A202" s="4" t="s">
        <v>969</v>
      </c>
      <c r="B202" s="4">
        <v>1002</v>
      </c>
      <c r="C202" s="5">
        <v>2</v>
      </c>
      <c r="D202" s="4" t="s">
        <v>44</v>
      </c>
      <c r="E202" s="6">
        <v>46262.441248229166</v>
      </c>
      <c r="F202" s="4" t="s">
        <v>970</v>
      </c>
      <c r="G202" s="4" t="s">
        <v>46</v>
      </c>
      <c r="H202" s="4">
        <v>53</v>
      </c>
      <c r="I202" s="4" t="s">
        <v>47</v>
      </c>
      <c r="J202" s="4">
        <v>5309</v>
      </c>
      <c r="K202" s="4" t="s">
        <v>48</v>
      </c>
      <c r="L202" s="4">
        <v>5309031</v>
      </c>
      <c r="M202" s="4">
        <v>5309031003</v>
      </c>
      <c r="N202" s="4" t="s">
        <v>49</v>
      </c>
      <c r="O202" s="4">
        <v>47112</v>
      </c>
      <c r="P202" s="4" t="s">
        <v>971</v>
      </c>
      <c r="Q202" s="5">
        <v>1</v>
      </c>
      <c r="R202" s="5">
        <v>0</v>
      </c>
      <c r="S202" s="5">
        <v>600000</v>
      </c>
      <c r="T202" s="5">
        <v>48000000</v>
      </c>
      <c r="U202" s="5">
        <v>960000</v>
      </c>
      <c r="V202" s="5">
        <v>5000</v>
      </c>
      <c r="W202" s="5">
        <v>49565000</v>
      </c>
      <c r="X202" s="5">
        <v>72000000</v>
      </c>
      <c r="Y202" s="5">
        <v>0</v>
      </c>
      <c r="Z202" s="5">
        <f t="shared" si="27"/>
        <v>22440000</v>
      </c>
      <c r="AA202" s="5">
        <v>82000000</v>
      </c>
      <c r="AB202" s="5">
        <f t="shared" si="28"/>
        <v>24000000</v>
      </c>
      <c r="AC202" s="5" t="s">
        <v>102</v>
      </c>
      <c r="AD202" s="4" t="s">
        <v>51</v>
      </c>
      <c r="AE202" s="5">
        <f t="shared" si="29"/>
        <v>0.93500000000000005</v>
      </c>
      <c r="AF202" s="5">
        <v>24000000</v>
      </c>
      <c r="AG202" s="5">
        <v>0</v>
      </c>
      <c r="AH202" s="5">
        <v>1</v>
      </c>
      <c r="AI202" s="5">
        <v>1</v>
      </c>
      <c r="AJ202" s="7" t="s">
        <v>972</v>
      </c>
      <c r="AK202" s="5">
        <v>0</v>
      </c>
      <c r="AL202" s="5">
        <v>0</v>
      </c>
      <c r="AM202" s="4">
        <v>2015</v>
      </c>
      <c r="AN202" s="5">
        <v>0</v>
      </c>
      <c r="AO202" s="5">
        <v>1</v>
      </c>
      <c r="AP202" s="8"/>
      <c r="AQ202" s="8"/>
      <c r="AR202" s="8">
        <f t="shared" si="30"/>
        <v>0</v>
      </c>
      <c r="AS202" s="8">
        <f t="shared" si="31"/>
        <v>1560000</v>
      </c>
      <c r="AT202" s="8">
        <f t="shared" si="32"/>
        <v>17760000</v>
      </c>
      <c r="AU202" s="8">
        <f t="shared" si="33"/>
        <v>6240000</v>
      </c>
      <c r="AV202" s="4" t="s">
        <v>971</v>
      </c>
      <c r="AW202" s="7" t="s">
        <v>972</v>
      </c>
      <c r="AX202" s="5">
        <v>48000000</v>
      </c>
      <c r="AY202">
        <f t="shared" si="34"/>
        <v>2400000</v>
      </c>
      <c r="AZ202">
        <f t="shared" si="35"/>
        <v>3840000</v>
      </c>
      <c r="BA202" s="5">
        <v>72000000</v>
      </c>
      <c r="BB202" s="5">
        <v>0</v>
      </c>
      <c r="BC202" s="4" t="s">
        <v>49</v>
      </c>
      <c r="BD202" s="4">
        <v>47112</v>
      </c>
      <c r="BE202" t="s">
        <v>54</v>
      </c>
    </row>
    <row r="203" spans="1:57" ht="270.75" thickBot="1" x14ac:dyDescent="0.3">
      <c r="A203" s="4" t="s">
        <v>973</v>
      </c>
      <c r="B203" s="4">
        <v>1002</v>
      </c>
      <c r="C203" s="5">
        <v>2</v>
      </c>
      <c r="D203" s="4" t="s">
        <v>60</v>
      </c>
      <c r="E203" s="6">
        <v>46300.323637384259</v>
      </c>
      <c r="F203" s="4" t="s">
        <v>974</v>
      </c>
      <c r="G203" s="4" t="s">
        <v>46</v>
      </c>
      <c r="H203" s="4">
        <v>53</v>
      </c>
      <c r="I203" s="4" t="s">
        <v>47</v>
      </c>
      <c r="J203" s="4">
        <v>5309</v>
      </c>
      <c r="K203" s="4" t="s">
        <v>48</v>
      </c>
      <c r="L203" s="4">
        <v>5309030</v>
      </c>
      <c r="M203" s="4">
        <v>5309030010</v>
      </c>
      <c r="N203" s="4" t="s">
        <v>49</v>
      </c>
      <c r="O203" s="4">
        <v>47112</v>
      </c>
      <c r="P203" s="4" t="s">
        <v>975</v>
      </c>
      <c r="Q203" s="5">
        <v>1</v>
      </c>
      <c r="R203" s="5">
        <v>0</v>
      </c>
      <c r="S203" s="5">
        <v>0</v>
      </c>
      <c r="T203" s="5">
        <v>10000000</v>
      </c>
      <c r="U203" s="5">
        <v>0</v>
      </c>
      <c r="V203" s="5">
        <v>0</v>
      </c>
      <c r="W203" s="5">
        <v>10000000</v>
      </c>
      <c r="X203" s="5">
        <v>13000000</v>
      </c>
      <c r="Y203" s="5">
        <v>0</v>
      </c>
      <c r="Z203" s="5">
        <f t="shared" si="27"/>
        <v>3000000</v>
      </c>
      <c r="AA203" s="5">
        <v>1500000</v>
      </c>
      <c r="AB203" s="5">
        <f t="shared" si="28"/>
        <v>3000000</v>
      </c>
      <c r="AC203" s="5" t="s">
        <v>671</v>
      </c>
      <c r="AD203" s="4" t="s">
        <v>51</v>
      </c>
      <c r="AE203" s="5">
        <f t="shared" si="29"/>
        <v>1</v>
      </c>
      <c r="AF203" s="5">
        <v>3000000</v>
      </c>
      <c r="AG203" s="5">
        <v>1</v>
      </c>
      <c r="AH203" s="5">
        <v>1</v>
      </c>
      <c r="AI203" s="5">
        <v>1</v>
      </c>
      <c r="AJ203" s="7" t="s">
        <v>976</v>
      </c>
      <c r="AK203" s="5">
        <v>0</v>
      </c>
      <c r="AL203" s="5">
        <v>0</v>
      </c>
      <c r="AM203" s="4">
        <v>2023</v>
      </c>
      <c r="AN203" s="5">
        <v>0</v>
      </c>
      <c r="AO203" s="5">
        <v>1</v>
      </c>
      <c r="AP203" s="8"/>
      <c r="AQ203" s="8"/>
      <c r="AR203" s="8">
        <f t="shared" si="30"/>
        <v>0</v>
      </c>
      <c r="AS203" s="8">
        <f t="shared" si="31"/>
        <v>0</v>
      </c>
      <c r="AT203" s="8">
        <f t="shared" si="32"/>
        <v>2220000</v>
      </c>
      <c r="AU203" s="8">
        <f t="shared" si="33"/>
        <v>780000</v>
      </c>
      <c r="AV203" s="4" t="s">
        <v>975</v>
      </c>
      <c r="AW203" s="7" t="s">
        <v>976</v>
      </c>
      <c r="AX203" s="5">
        <v>10000000</v>
      </c>
      <c r="AY203" t="e">
        <f t="shared" si="34"/>
        <v>#DIV/0!</v>
      </c>
      <c r="AZ203" t="e">
        <f t="shared" si="35"/>
        <v>#DIV/0!</v>
      </c>
      <c r="BA203" s="5">
        <v>13000000</v>
      </c>
      <c r="BB203" s="5">
        <v>0</v>
      </c>
      <c r="BC203" s="4" t="s">
        <v>49</v>
      </c>
      <c r="BD203" s="4">
        <v>47112</v>
      </c>
      <c r="BE203" t="s">
        <v>54</v>
      </c>
    </row>
    <row r="204" spans="1:57" ht="255.75" thickBot="1" x14ac:dyDescent="0.3">
      <c r="A204" s="4" t="s">
        <v>977</v>
      </c>
      <c r="B204" s="4">
        <v>1</v>
      </c>
      <c r="C204" s="5">
        <v>2</v>
      </c>
      <c r="D204" s="4" t="s">
        <v>44</v>
      </c>
      <c r="E204" s="6">
        <v>46274.517904849534</v>
      </c>
      <c r="F204" s="4" t="s">
        <v>978</v>
      </c>
      <c r="G204" s="4" t="s">
        <v>46</v>
      </c>
      <c r="H204" s="4">
        <v>53</v>
      </c>
      <c r="I204" s="4" t="s">
        <v>47</v>
      </c>
      <c r="J204" s="4">
        <v>5309</v>
      </c>
      <c r="K204" s="4" t="s">
        <v>48</v>
      </c>
      <c r="L204" s="4">
        <v>5309021</v>
      </c>
      <c r="M204" s="4">
        <v>5309021006</v>
      </c>
      <c r="N204" s="4" t="s">
        <v>49</v>
      </c>
      <c r="O204" s="4">
        <v>47112</v>
      </c>
      <c r="P204" s="4" t="s">
        <v>979</v>
      </c>
      <c r="Q204" s="5">
        <v>1</v>
      </c>
      <c r="R204" s="5">
        <v>0</v>
      </c>
      <c r="S204" s="5">
        <v>0</v>
      </c>
      <c r="T204" s="5">
        <v>15000000</v>
      </c>
      <c r="U204" s="5">
        <v>1000000</v>
      </c>
      <c r="V204" s="5">
        <v>0</v>
      </c>
      <c r="W204" s="5">
        <v>16000000</v>
      </c>
      <c r="X204" s="5">
        <v>25000000</v>
      </c>
      <c r="Y204" s="5">
        <v>0</v>
      </c>
      <c r="Z204" s="5">
        <f t="shared" si="27"/>
        <v>9000000</v>
      </c>
      <c r="AA204" s="5">
        <v>35000000</v>
      </c>
      <c r="AB204" s="5">
        <f t="shared" si="28"/>
        <v>10000000</v>
      </c>
      <c r="AC204" s="5" t="s">
        <v>100</v>
      </c>
      <c r="AD204" s="4" t="s">
        <v>51</v>
      </c>
      <c r="AE204" s="5">
        <f t="shared" si="29"/>
        <v>0.9</v>
      </c>
      <c r="AF204" s="5">
        <v>10000000</v>
      </c>
      <c r="AG204" s="5">
        <v>0</v>
      </c>
      <c r="AH204" s="5">
        <v>1</v>
      </c>
      <c r="AI204" s="5">
        <v>1</v>
      </c>
      <c r="AJ204" s="7" t="s">
        <v>980</v>
      </c>
      <c r="AK204" s="5">
        <v>0</v>
      </c>
      <c r="AL204" s="5">
        <v>0</v>
      </c>
      <c r="AM204" s="4">
        <v>2006</v>
      </c>
      <c r="AN204" s="5">
        <v>0</v>
      </c>
      <c r="AO204" s="5">
        <v>1</v>
      </c>
      <c r="AP204" s="8"/>
      <c r="AQ204" s="8"/>
      <c r="AR204" s="8">
        <f t="shared" si="30"/>
        <v>0</v>
      </c>
      <c r="AS204" s="8">
        <f t="shared" si="31"/>
        <v>1000000</v>
      </c>
      <c r="AT204" s="8">
        <f t="shared" si="32"/>
        <v>7400000</v>
      </c>
      <c r="AU204" s="8">
        <f t="shared" si="33"/>
        <v>2600000</v>
      </c>
      <c r="AV204" s="4" t="s">
        <v>979</v>
      </c>
      <c r="AW204" s="7" t="s">
        <v>980</v>
      </c>
      <c r="AX204" s="5">
        <v>15000000</v>
      </c>
      <c r="AY204">
        <f t="shared" si="34"/>
        <v>0</v>
      </c>
      <c r="AZ204">
        <f t="shared" si="35"/>
        <v>2600000</v>
      </c>
      <c r="BA204" s="5">
        <v>25000000</v>
      </c>
      <c r="BB204" s="5">
        <v>0</v>
      </c>
      <c r="BC204" s="4" t="s">
        <v>49</v>
      </c>
      <c r="BD204" s="4">
        <v>47112</v>
      </c>
      <c r="BE204" t="s">
        <v>54</v>
      </c>
    </row>
    <row r="205" spans="1:57" ht="270.75" thickBot="1" x14ac:dyDescent="0.3">
      <c r="A205" s="4" t="s">
        <v>981</v>
      </c>
      <c r="B205" s="4">
        <v>2001</v>
      </c>
      <c r="C205" s="5">
        <v>2</v>
      </c>
      <c r="D205" s="4" t="s">
        <v>44</v>
      </c>
      <c r="E205" s="6">
        <v>46290.922817766201</v>
      </c>
      <c r="F205" s="4" t="s">
        <v>982</v>
      </c>
      <c r="G205" s="4" t="s">
        <v>46</v>
      </c>
      <c r="H205" s="4">
        <v>53</v>
      </c>
      <c r="I205" s="4" t="s">
        <v>47</v>
      </c>
      <c r="J205" s="4">
        <v>5309</v>
      </c>
      <c r="K205" s="4" t="s">
        <v>48</v>
      </c>
      <c r="L205" s="4">
        <v>5309030</v>
      </c>
      <c r="M205" s="4">
        <v>5309030019</v>
      </c>
      <c r="N205" s="4" t="s">
        <v>49</v>
      </c>
      <c r="O205" s="4">
        <v>47112</v>
      </c>
      <c r="P205" s="4" t="s">
        <v>983</v>
      </c>
      <c r="Q205" s="5">
        <v>1</v>
      </c>
      <c r="R205" s="5">
        <v>0</v>
      </c>
      <c r="S205" s="5">
        <v>0</v>
      </c>
      <c r="T205" s="5">
        <v>24000000</v>
      </c>
      <c r="U205" s="5">
        <v>0</v>
      </c>
      <c r="V205" s="5">
        <v>1200000</v>
      </c>
      <c r="W205" s="5">
        <v>25200000</v>
      </c>
      <c r="X205" s="5">
        <v>36000000</v>
      </c>
      <c r="Y205" s="5">
        <v>0</v>
      </c>
      <c r="Z205" s="5">
        <f t="shared" si="27"/>
        <v>12000000</v>
      </c>
      <c r="AA205" s="5">
        <v>1000000</v>
      </c>
      <c r="AB205" s="5">
        <f t="shared" si="28"/>
        <v>12000000</v>
      </c>
      <c r="AC205" s="5" t="s">
        <v>102</v>
      </c>
      <c r="AD205" s="4" t="s">
        <v>51</v>
      </c>
      <c r="AE205" s="5">
        <f t="shared" si="29"/>
        <v>1</v>
      </c>
      <c r="AF205" s="5">
        <v>12000000</v>
      </c>
      <c r="AG205" s="5">
        <v>1</v>
      </c>
      <c r="AH205" s="5">
        <v>1</v>
      </c>
      <c r="AI205" s="5">
        <v>1</v>
      </c>
      <c r="AJ205" s="7" t="s">
        <v>984</v>
      </c>
      <c r="AK205" s="5">
        <v>0</v>
      </c>
      <c r="AL205" s="5">
        <v>0</v>
      </c>
      <c r="AM205" s="4">
        <v>2025</v>
      </c>
      <c r="AN205" s="5">
        <v>0</v>
      </c>
      <c r="AO205" s="5">
        <v>1</v>
      </c>
      <c r="AP205" s="8"/>
      <c r="AQ205" s="8"/>
      <c r="AR205" s="8">
        <f t="shared" si="30"/>
        <v>0</v>
      </c>
      <c r="AS205" s="8">
        <f t="shared" si="31"/>
        <v>0</v>
      </c>
      <c r="AT205" s="8">
        <f t="shared" si="32"/>
        <v>8880000</v>
      </c>
      <c r="AU205" s="8">
        <f t="shared" si="33"/>
        <v>3120000</v>
      </c>
      <c r="AV205" s="4" t="s">
        <v>983</v>
      </c>
      <c r="AW205" s="7" t="s">
        <v>984</v>
      </c>
      <c r="AX205" s="5">
        <v>24000000</v>
      </c>
      <c r="AY205" t="e">
        <f t="shared" si="34"/>
        <v>#DIV/0!</v>
      </c>
      <c r="AZ205" t="e">
        <f t="shared" si="35"/>
        <v>#DIV/0!</v>
      </c>
      <c r="BA205" s="5">
        <v>36000000</v>
      </c>
      <c r="BB205" s="5">
        <v>0</v>
      </c>
      <c r="BC205" s="4" t="s">
        <v>49</v>
      </c>
      <c r="BD205" s="4">
        <v>47112</v>
      </c>
      <c r="BE205" t="s">
        <v>54</v>
      </c>
    </row>
    <row r="206" spans="1:57" ht="270.75" thickBot="1" x14ac:dyDescent="0.3">
      <c r="A206" s="4" t="s">
        <v>985</v>
      </c>
      <c r="B206" s="4">
        <v>1001</v>
      </c>
      <c r="C206" s="5">
        <v>2</v>
      </c>
      <c r="D206" s="4" t="s">
        <v>44</v>
      </c>
      <c r="E206" s="6">
        <v>46235.203612997684</v>
      </c>
      <c r="F206" s="4" t="s">
        <v>986</v>
      </c>
      <c r="G206" s="4" t="s">
        <v>46</v>
      </c>
      <c r="H206" s="4">
        <v>53</v>
      </c>
      <c r="I206" s="4" t="s">
        <v>47</v>
      </c>
      <c r="J206" s="4">
        <v>5309</v>
      </c>
      <c r="K206" s="4" t="s">
        <v>48</v>
      </c>
      <c r="L206" s="4">
        <v>5309030</v>
      </c>
      <c r="M206" s="4">
        <v>5309030013</v>
      </c>
      <c r="N206" s="4" t="s">
        <v>49</v>
      </c>
      <c r="O206" s="4">
        <v>47112</v>
      </c>
      <c r="P206" s="4" t="s">
        <v>987</v>
      </c>
      <c r="Q206" s="5">
        <v>1</v>
      </c>
      <c r="R206" s="5">
        <v>0</v>
      </c>
      <c r="S206" s="5">
        <v>12000000</v>
      </c>
      <c r="T206" s="5">
        <v>2400000</v>
      </c>
      <c r="U206" s="5">
        <v>600000</v>
      </c>
      <c r="V206" s="5">
        <v>6065000</v>
      </c>
      <c r="W206" s="5">
        <v>21065000</v>
      </c>
      <c r="X206" s="5">
        <v>24000000</v>
      </c>
      <c r="Y206" s="5">
        <v>0</v>
      </c>
      <c r="Z206" s="5">
        <f t="shared" si="27"/>
        <v>9000000</v>
      </c>
      <c r="AA206" s="5">
        <v>30000000</v>
      </c>
      <c r="AB206" s="5">
        <f t="shared" si="28"/>
        <v>21600000</v>
      </c>
      <c r="AC206" s="5" t="s">
        <v>310</v>
      </c>
      <c r="AD206" s="4" t="s">
        <v>51</v>
      </c>
      <c r="AE206" s="5">
        <f t="shared" si="29"/>
        <v>0.41666666666666669</v>
      </c>
      <c r="AF206" s="5">
        <v>21600000</v>
      </c>
      <c r="AG206" s="5">
        <v>1</v>
      </c>
      <c r="AH206" s="5">
        <v>1</v>
      </c>
      <c r="AI206" s="5">
        <v>1</v>
      </c>
      <c r="AJ206" s="7" t="s">
        <v>988</v>
      </c>
      <c r="AK206" s="5">
        <v>0</v>
      </c>
      <c r="AL206" s="5">
        <v>0</v>
      </c>
      <c r="AM206" s="4">
        <v>2015</v>
      </c>
      <c r="AN206" s="5">
        <v>0</v>
      </c>
      <c r="AO206" s="5">
        <v>1</v>
      </c>
      <c r="AP206" s="8"/>
      <c r="AQ206" s="8"/>
      <c r="AR206" s="8">
        <f t="shared" si="30"/>
        <v>0</v>
      </c>
      <c r="AS206" s="8">
        <f t="shared" si="31"/>
        <v>12600000</v>
      </c>
      <c r="AT206" s="8">
        <f t="shared" si="32"/>
        <v>9000000</v>
      </c>
      <c r="AU206" s="8">
        <f t="shared" si="33"/>
        <v>12600000</v>
      </c>
      <c r="AV206" s="4" t="s">
        <v>987</v>
      </c>
      <c r="AW206" s="7" t="s">
        <v>988</v>
      </c>
      <c r="AX206" s="5">
        <v>2400000</v>
      </c>
      <c r="AY206">
        <f t="shared" si="34"/>
        <v>12000000</v>
      </c>
      <c r="AZ206">
        <f t="shared" si="35"/>
        <v>600000</v>
      </c>
      <c r="BA206" s="5">
        <v>24000000</v>
      </c>
      <c r="BB206" s="5">
        <v>0</v>
      </c>
      <c r="BC206" s="4" t="s">
        <v>49</v>
      </c>
      <c r="BD206" s="4">
        <v>47112</v>
      </c>
      <c r="BE206" t="s">
        <v>54</v>
      </c>
    </row>
    <row r="207" spans="1:57" ht="270.75" thickBot="1" x14ac:dyDescent="0.3">
      <c r="A207" s="4" t="s">
        <v>989</v>
      </c>
      <c r="B207" s="4">
        <v>3001</v>
      </c>
      <c r="C207" s="5">
        <v>2</v>
      </c>
      <c r="D207" s="4" t="s">
        <v>44</v>
      </c>
      <c r="E207" s="6">
        <v>46275.131044421294</v>
      </c>
      <c r="F207" s="4" t="s">
        <v>990</v>
      </c>
      <c r="G207" s="4" t="s">
        <v>46</v>
      </c>
      <c r="H207" s="4">
        <v>53</v>
      </c>
      <c r="I207" s="4" t="s">
        <v>47</v>
      </c>
      <c r="J207" s="4">
        <v>5309</v>
      </c>
      <c r="K207" s="4" t="s">
        <v>48</v>
      </c>
      <c r="L207" s="4">
        <v>5309071</v>
      </c>
      <c r="M207" s="4">
        <v>5309071008</v>
      </c>
      <c r="N207" s="4" t="s">
        <v>49</v>
      </c>
      <c r="O207" s="4">
        <v>47112</v>
      </c>
      <c r="P207" s="4" t="s">
        <v>991</v>
      </c>
      <c r="Q207" s="5">
        <v>1</v>
      </c>
      <c r="R207" s="5">
        <v>0</v>
      </c>
      <c r="S207" s="5">
        <v>5000000</v>
      </c>
      <c r="T207" s="5">
        <v>5500000</v>
      </c>
      <c r="U207" s="5">
        <v>500000</v>
      </c>
      <c r="V207" s="5">
        <v>0</v>
      </c>
      <c r="W207" s="5">
        <v>11000000</v>
      </c>
      <c r="X207" s="5">
        <v>14000000</v>
      </c>
      <c r="Y207" s="5">
        <v>0</v>
      </c>
      <c r="Z207" s="5">
        <f t="shared" si="27"/>
        <v>3000000</v>
      </c>
      <c r="AA207" s="5">
        <v>25000000</v>
      </c>
      <c r="AB207" s="5">
        <f t="shared" si="28"/>
        <v>8500000</v>
      </c>
      <c r="AC207" s="5" t="s">
        <v>992</v>
      </c>
      <c r="AD207" s="4" t="s">
        <v>51</v>
      </c>
      <c r="AE207" s="5">
        <f t="shared" si="29"/>
        <v>0.35294117647058826</v>
      </c>
      <c r="AF207" s="5">
        <v>2500000</v>
      </c>
      <c r="AG207" s="5">
        <v>1</v>
      </c>
      <c r="AH207" s="5">
        <v>1</v>
      </c>
      <c r="AI207" s="5">
        <v>1</v>
      </c>
      <c r="AJ207" s="7" t="s">
        <v>993</v>
      </c>
      <c r="AK207" s="5">
        <v>0</v>
      </c>
      <c r="AL207" s="5">
        <v>0</v>
      </c>
      <c r="AM207" s="4">
        <v>2019</v>
      </c>
      <c r="AN207" s="5">
        <v>0</v>
      </c>
      <c r="AO207" s="5">
        <v>1</v>
      </c>
      <c r="AP207" s="8"/>
      <c r="AQ207" s="8"/>
      <c r="AR207" s="8">
        <f t="shared" si="30"/>
        <v>0</v>
      </c>
      <c r="AS207" s="8">
        <f t="shared" si="31"/>
        <v>5500000</v>
      </c>
      <c r="AT207" s="8">
        <f t="shared" si="32"/>
        <v>3000000</v>
      </c>
      <c r="AU207" s="8">
        <f t="shared" si="33"/>
        <v>5500000</v>
      </c>
      <c r="AV207" s="4" t="s">
        <v>991</v>
      </c>
      <c r="AW207" s="7" t="s">
        <v>993</v>
      </c>
      <c r="AX207" s="5">
        <v>5500000</v>
      </c>
      <c r="AY207">
        <f t="shared" si="34"/>
        <v>5000000</v>
      </c>
      <c r="AZ207">
        <f t="shared" si="35"/>
        <v>500000</v>
      </c>
      <c r="BA207" s="5">
        <v>14000000</v>
      </c>
      <c r="BB207" s="5">
        <v>0</v>
      </c>
      <c r="BC207" s="4" t="s">
        <v>49</v>
      </c>
      <c r="BD207" s="4">
        <v>47112</v>
      </c>
      <c r="BE207" t="s">
        <v>54</v>
      </c>
    </row>
    <row r="208" spans="1:57" ht="270.75" thickBot="1" x14ac:dyDescent="0.3">
      <c r="A208" s="4" t="s">
        <v>994</v>
      </c>
      <c r="B208" s="4">
        <v>1</v>
      </c>
      <c r="C208" s="5">
        <v>2</v>
      </c>
      <c r="D208" s="4" t="s">
        <v>44</v>
      </c>
      <c r="E208" s="6">
        <v>46261.084845717596</v>
      </c>
      <c r="F208" s="4" t="s">
        <v>995</v>
      </c>
      <c r="G208" s="4" t="s">
        <v>46</v>
      </c>
      <c r="H208" s="4">
        <v>53</v>
      </c>
      <c r="I208" s="4" t="s">
        <v>47</v>
      </c>
      <c r="J208" s="4">
        <v>5309</v>
      </c>
      <c r="K208" s="4" t="s">
        <v>48</v>
      </c>
      <c r="L208" s="4">
        <v>5309031</v>
      </c>
      <c r="M208" s="4">
        <v>5309031008</v>
      </c>
      <c r="N208" s="4" t="s">
        <v>49</v>
      </c>
      <c r="O208" s="4">
        <v>47112</v>
      </c>
      <c r="P208" s="4" t="s">
        <v>996</v>
      </c>
      <c r="Q208" s="5">
        <v>2</v>
      </c>
      <c r="R208" s="5">
        <v>12600000</v>
      </c>
      <c r="S208" s="5">
        <v>105000</v>
      </c>
      <c r="T208" s="5">
        <v>25000001</v>
      </c>
      <c r="U208" s="5">
        <v>2500000</v>
      </c>
      <c r="V208" s="5">
        <v>0</v>
      </c>
      <c r="W208" s="5">
        <v>40205001</v>
      </c>
      <c r="X208" s="5">
        <v>55000000</v>
      </c>
      <c r="Y208" s="5">
        <v>0</v>
      </c>
      <c r="Z208" s="5">
        <f t="shared" si="27"/>
        <v>27394999</v>
      </c>
      <c r="AA208" s="5">
        <v>120000000</v>
      </c>
      <c r="AB208" s="5">
        <f t="shared" si="28"/>
        <v>29999999</v>
      </c>
      <c r="AC208" s="5" t="s">
        <v>92</v>
      </c>
      <c r="AD208" s="4" t="s">
        <v>51</v>
      </c>
      <c r="AE208" s="5">
        <f t="shared" si="29"/>
        <v>0.91316666377222211</v>
      </c>
      <c r="AF208" s="5" t="s">
        <v>997</v>
      </c>
      <c r="AG208" s="5">
        <v>0</v>
      </c>
      <c r="AH208" s="5">
        <v>0</v>
      </c>
      <c r="AI208" s="5">
        <v>1</v>
      </c>
      <c r="AJ208" s="7" t="s">
        <v>998</v>
      </c>
      <c r="AK208" s="5">
        <v>0</v>
      </c>
      <c r="AL208" s="5">
        <v>0</v>
      </c>
      <c r="AM208" s="4">
        <v>2023</v>
      </c>
      <c r="AN208" s="5">
        <v>2</v>
      </c>
      <c r="AO208" s="5">
        <v>0</v>
      </c>
      <c r="AP208" s="8"/>
      <c r="AQ208" s="8"/>
      <c r="AR208" s="8">
        <f t="shared" si="30"/>
        <v>0</v>
      </c>
      <c r="AS208" s="8">
        <f t="shared" si="31"/>
        <v>2605000</v>
      </c>
      <c r="AT208" s="8">
        <f t="shared" si="32"/>
        <v>22199999.259999998</v>
      </c>
      <c r="AU208" s="8">
        <f t="shared" si="33"/>
        <v>7799999.7400000021</v>
      </c>
      <c r="AV208" s="4" t="s">
        <v>996</v>
      </c>
      <c r="AW208" s="7" t="s">
        <v>998</v>
      </c>
      <c r="AX208" s="5">
        <v>25000001</v>
      </c>
      <c r="AY208">
        <f t="shared" si="34"/>
        <v>314395.38299424201</v>
      </c>
      <c r="AZ208">
        <f t="shared" si="35"/>
        <v>7485604.3570057601</v>
      </c>
      <c r="BA208" s="5">
        <v>55000000</v>
      </c>
      <c r="BB208" s="5">
        <v>0</v>
      </c>
      <c r="BC208" s="4" t="s">
        <v>49</v>
      </c>
      <c r="BD208" s="4">
        <v>47112</v>
      </c>
      <c r="BE208" t="s">
        <v>54</v>
      </c>
    </row>
    <row r="209" spans="1:57" ht="270.75" thickBot="1" x14ac:dyDescent="0.3">
      <c r="A209" s="4" t="s">
        <v>999</v>
      </c>
      <c r="B209" s="4">
        <v>1002</v>
      </c>
      <c r="C209" s="5">
        <v>2</v>
      </c>
      <c r="D209" s="4" t="s">
        <v>44</v>
      </c>
      <c r="E209" s="6">
        <v>46228.688735706019</v>
      </c>
      <c r="F209" s="4" t="s">
        <v>1000</v>
      </c>
      <c r="G209" s="4" t="s">
        <v>46</v>
      </c>
      <c r="H209" s="4">
        <v>53</v>
      </c>
      <c r="I209" s="4" t="s">
        <v>47</v>
      </c>
      <c r="J209" s="4">
        <v>5309</v>
      </c>
      <c r="K209" s="4" t="s">
        <v>48</v>
      </c>
      <c r="L209" s="4">
        <v>5309061</v>
      </c>
      <c r="M209" s="4">
        <v>5309061008</v>
      </c>
      <c r="N209" s="4" t="s">
        <v>49</v>
      </c>
      <c r="O209" s="4">
        <v>47112</v>
      </c>
      <c r="P209" s="4" t="s">
        <v>1001</v>
      </c>
      <c r="Q209" s="5">
        <v>1</v>
      </c>
      <c r="R209" s="5">
        <v>0</v>
      </c>
      <c r="S209" s="5">
        <v>1000000</v>
      </c>
      <c r="T209" s="5">
        <v>1500000</v>
      </c>
      <c r="U209" s="5">
        <v>25000</v>
      </c>
      <c r="V209" s="5">
        <v>0</v>
      </c>
      <c r="W209" s="5">
        <v>2525000</v>
      </c>
      <c r="X209" s="5">
        <v>3600000</v>
      </c>
      <c r="Y209" s="5">
        <v>0</v>
      </c>
      <c r="Z209" s="5">
        <f t="shared" si="27"/>
        <v>1075000</v>
      </c>
      <c r="AA209" s="5">
        <v>3000000</v>
      </c>
      <c r="AB209" s="5">
        <f t="shared" si="28"/>
        <v>2100000</v>
      </c>
      <c r="AC209" s="5" t="s">
        <v>260</v>
      </c>
      <c r="AD209" s="4" t="s">
        <v>51</v>
      </c>
      <c r="AE209" s="5">
        <f t="shared" si="29"/>
        <v>0.51190476190476186</v>
      </c>
      <c r="AF209" s="5">
        <v>2100000</v>
      </c>
      <c r="AG209" s="5">
        <v>1</v>
      </c>
      <c r="AH209" s="5">
        <v>1</v>
      </c>
      <c r="AI209" s="5">
        <v>1</v>
      </c>
      <c r="AJ209" s="7" t="s">
        <v>1002</v>
      </c>
      <c r="AK209" s="5">
        <v>0</v>
      </c>
      <c r="AL209" s="5">
        <v>0</v>
      </c>
      <c r="AM209" s="4">
        <v>2015</v>
      </c>
      <c r="AN209" s="5">
        <v>0</v>
      </c>
      <c r="AO209" s="5">
        <v>1</v>
      </c>
      <c r="AP209" s="8"/>
      <c r="AQ209" s="8"/>
      <c r="AR209" s="8">
        <f t="shared" si="30"/>
        <v>0</v>
      </c>
      <c r="AS209" s="8">
        <f t="shared" si="31"/>
        <v>1025000</v>
      </c>
      <c r="AT209" s="8">
        <f t="shared" si="32"/>
        <v>1075000</v>
      </c>
      <c r="AU209" s="8">
        <f t="shared" si="33"/>
        <v>1025000</v>
      </c>
      <c r="AV209" s="4" t="s">
        <v>1001</v>
      </c>
      <c r="AW209" s="7" t="s">
        <v>1002</v>
      </c>
      <c r="AX209" s="5">
        <v>1500000</v>
      </c>
      <c r="AY209">
        <f t="shared" si="34"/>
        <v>1000000</v>
      </c>
      <c r="AZ209">
        <f t="shared" si="35"/>
        <v>25000</v>
      </c>
      <c r="BA209" s="5">
        <v>3600000</v>
      </c>
      <c r="BB209" s="5">
        <v>0</v>
      </c>
      <c r="BC209" s="4" t="s">
        <v>49</v>
      </c>
      <c r="BD209" s="4">
        <v>47112</v>
      </c>
      <c r="BE209" t="s">
        <v>54</v>
      </c>
    </row>
    <row r="210" spans="1:57" ht="270.75" thickBot="1" x14ac:dyDescent="0.3">
      <c r="A210" s="4" t="s">
        <v>1003</v>
      </c>
      <c r="B210" s="4">
        <v>2001</v>
      </c>
      <c r="C210" s="5">
        <v>2</v>
      </c>
      <c r="D210" s="4" t="s">
        <v>44</v>
      </c>
      <c r="E210" s="6">
        <v>46240.887538449075</v>
      </c>
      <c r="F210" s="4" t="s">
        <v>1004</v>
      </c>
      <c r="G210" s="4" t="s">
        <v>46</v>
      </c>
      <c r="H210" s="4">
        <v>53</v>
      </c>
      <c r="I210" s="4" t="s">
        <v>47</v>
      </c>
      <c r="J210" s="4">
        <v>5309</v>
      </c>
      <c r="K210" s="4" t="s">
        <v>48</v>
      </c>
      <c r="L210" s="4">
        <v>5309020</v>
      </c>
      <c r="M210" s="4">
        <v>5309020010</v>
      </c>
      <c r="N210" s="4" t="s">
        <v>49</v>
      </c>
      <c r="O210" s="4">
        <v>47112</v>
      </c>
      <c r="P210" s="4" t="s">
        <v>1005</v>
      </c>
      <c r="Q210" s="5">
        <v>2</v>
      </c>
      <c r="R210" s="5">
        <v>0</v>
      </c>
      <c r="S210" s="5">
        <v>1250000</v>
      </c>
      <c r="T210" s="5">
        <v>5000000</v>
      </c>
      <c r="U210" s="5">
        <v>200000</v>
      </c>
      <c r="V210" s="5">
        <v>0</v>
      </c>
      <c r="W210" s="5">
        <v>6450000</v>
      </c>
      <c r="X210" s="5">
        <v>7350000</v>
      </c>
      <c r="Y210" s="5">
        <v>0</v>
      </c>
      <c r="Z210" s="5">
        <f t="shared" si="27"/>
        <v>900000</v>
      </c>
      <c r="AA210" s="5">
        <v>10500000</v>
      </c>
      <c r="AB210" s="5">
        <f t="shared" si="28"/>
        <v>2350000</v>
      </c>
      <c r="AC210" s="5" t="s">
        <v>1006</v>
      </c>
      <c r="AD210" s="4" t="s">
        <v>51</v>
      </c>
      <c r="AE210" s="5">
        <f t="shared" si="29"/>
        <v>0.38297872340425532</v>
      </c>
      <c r="AF210" s="5">
        <v>1175000</v>
      </c>
      <c r="AG210" s="5">
        <v>0</v>
      </c>
      <c r="AH210" s="5">
        <v>1</v>
      </c>
      <c r="AI210" s="5">
        <v>1</v>
      </c>
      <c r="AJ210" s="7" t="s">
        <v>1007</v>
      </c>
      <c r="AK210" s="5">
        <v>0</v>
      </c>
      <c r="AL210" s="5">
        <v>0</v>
      </c>
      <c r="AM210" s="4">
        <v>2023</v>
      </c>
      <c r="AN210" s="5">
        <v>0</v>
      </c>
      <c r="AO210" s="5">
        <v>2</v>
      </c>
      <c r="AP210" s="8"/>
      <c r="AQ210" s="8"/>
      <c r="AR210" s="8">
        <f t="shared" si="30"/>
        <v>0</v>
      </c>
      <c r="AS210" s="8">
        <f t="shared" si="31"/>
        <v>1450000</v>
      </c>
      <c r="AT210" s="8">
        <f t="shared" si="32"/>
        <v>900000</v>
      </c>
      <c r="AU210" s="8">
        <f t="shared" si="33"/>
        <v>1450000</v>
      </c>
      <c r="AV210" s="4" t="s">
        <v>1005</v>
      </c>
      <c r="AW210" s="7" t="s">
        <v>1007</v>
      </c>
      <c r="AX210" s="5">
        <v>5000000</v>
      </c>
      <c r="AY210">
        <f t="shared" si="34"/>
        <v>1250000</v>
      </c>
      <c r="AZ210">
        <f t="shared" si="35"/>
        <v>200000</v>
      </c>
      <c r="BA210" s="5">
        <v>7350000</v>
      </c>
      <c r="BB210" s="5">
        <v>0</v>
      </c>
      <c r="BC210" s="4" t="s">
        <v>49</v>
      </c>
      <c r="BD210" s="4">
        <v>47112</v>
      </c>
      <c r="BE210" t="s">
        <v>54</v>
      </c>
    </row>
    <row r="211" spans="1:57" ht="270.75" thickBot="1" x14ac:dyDescent="0.3">
      <c r="A211" s="4" t="s">
        <v>1008</v>
      </c>
      <c r="B211" s="4">
        <v>2001</v>
      </c>
      <c r="C211" s="5">
        <v>2</v>
      </c>
      <c r="D211" s="4" t="s">
        <v>44</v>
      </c>
      <c r="E211" s="6">
        <v>46256.909471956016</v>
      </c>
      <c r="F211" s="4" t="s">
        <v>1009</v>
      </c>
      <c r="G211" s="4" t="s">
        <v>46</v>
      </c>
      <c r="H211" s="4">
        <v>53</v>
      </c>
      <c r="I211" s="4" t="s">
        <v>47</v>
      </c>
      <c r="J211" s="4">
        <v>5309</v>
      </c>
      <c r="K211" s="4" t="s">
        <v>48</v>
      </c>
      <c r="L211" s="4">
        <v>5309072</v>
      </c>
      <c r="M211" s="4">
        <v>5309072004</v>
      </c>
      <c r="N211" s="4" t="s">
        <v>49</v>
      </c>
      <c r="O211" s="4">
        <v>47112</v>
      </c>
      <c r="P211" s="4" t="s">
        <v>1010</v>
      </c>
      <c r="Q211" s="5">
        <v>2</v>
      </c>
      <c r="R211" s="5">
        <v>0</v>
      </c>
      <c r="S211" s="5">
        <v>500000</v>
      </c>
      <c r="T211" s="5">
        <v>197220000</v>
      </c>
      <c r="U211" s="5">
        <v>500000</v>
      </c>
      <c r="V211" s="5">
        <v>0</v>
      </c>
      <c r="W211" s="5">
        <v>198220000</v>
      </c>
      <c r="X211" s="5">
        <v>222780000</v>
      </c>
      <c r="Y211" s="5">
        <v>0</v>
      </c>
      <c r="Z211" s="5">
        <f t="shared" si="27"/>
        <v>24560000</v>
      </c>
      <c r="AA211" s="5">
        <v>18000000</v>
      </c>
      <c r="AB211" s="5">
        <f t="shared" si="28"/>
        <v>25560000</v>
      </c>
      <c r="AC211" s="5" t="s">
        <v>1011</v>
      </c>
      <c r="AD211" s="4" t="s">
        <v>51</v>
      </c>
      <c r="AE211" s="5">
        <f t="shared" si="29"/>
        <v>0.96087636932707354</v>
      </c>
      <c r="AF211" s="5">
        <v>12780000</v>
      </c>
      <c r="AG211" s="5">
        <v>1</v>
      </c>
      <c r="AH211" s="5">
        <v>1</v>
      </c>
      <c r="AI211" s="5">
        <v>1</v>
      </c>
      <c r="AJ211" s="7" t="s">
        <v>1012</v>
      </c>
      <c r="AK211" s="5">
        <v>0</v>
      </c>
      <c r="AL211" s="5">
        <v>0</v>
      </c>
      <c r="AM211" s="4">
        <v>2018</v>
      </c>
      <c r="AN211" s="5">
        <v>0</v>
      </c>
      <c r="AO211" s="5">
        <v>2</v>
      </c>
      <c r="AP211" s="8"/>
      <c r="AQ211" s="8"/>
      <c r="AR211" s="8">
        <f t="shared" si="30"/>
        <v>0</v>
      </c>
      <c r="AS211" s="8">
        <f t="shared" si="31"/>
        <v>1000000</v>
      </c>
      <c r="AT211" s="8">
        <f t="shared" si="32"/>
        <v>18914400</v>
      </c>
      <c r="AU211" s="8">
        <f t="shared" si="33"/>
        <v>6645600</v>
      </c>
      <c r="AV211" s="4" t="s">
        <v>1010</v>
      </c>
      <c r="AW211" s="7" t="s">
        <v>1012</v>
      </c>
      <c r="AX211" s="5">
        <v>197220000</v>
      </c>
      <c r="AY211">
        <f t="shared" si="34"/>
        <v>3322800</v>
      </c>
      <c r="AZ211">
        <f t="shared" si="35"/>
        <v>3322800</v>
      </c>
      <c r="BA211" s="5">
        <v>222780000</v>
      </c>
      <c r="BB211" s="5">
        <v>0</v>
      </c>
      <c r="BC211" s="4" t="s">
        <v>49</v>
      </c>
      <c r="BD211" s="4">
        <v>47112</v>
      </c>
      <c r="BE211" t="s">
        <v>54</v>
      </c>
    </row>
    <row r="212" spans="1:57" ht="270.75" thickBot="1" x14ac:dyDescent="0.3">
      <c r="A212" s="4" t="s">
        <v>1013</v>
      </c>
      <c r="B212" s="4">
        <v>1001</v>
      </c>
      <c r="C212" s="5">
        <v>2</v>
      </c>
      <c r="D212" s="4" t="s">
        <v>44</v>
      </c>
      <c r="E212" s="6">
        <v>46279.434891342593</v>
      </c>
      <c r="F212" s="4" t="s">
        <v>1014</v>
      </c>
      <c r="G212" s="4" t="s">
        <v>46</v>
      </c>
      <c r="H212" s="4">
        <v>53</v>
      </c>
      <c r="I212" s="4" t="s">
        <v>47</v>
      </c>
      <c r="J212" s="4">
        <v>5309</v>
      </c>
      <c r="K212" s="4" t="s">
        <v>48</v>
      </c>
      <c r="L212" s="4">
        <v>5309071</v>
      </c>
      <c r="M212" s="4">
        <v>5309071010</v>
      </c>
      <c r="N212" s="4" t="s">
        <v>49</v>
      </c>
      <c r="O212" s="4">
        <v>47112</v>
      </c>
      <c r="P212" s="4" t="s">
        <v>1015</v>
      </c>
      <c r="Q212" s="5">
        <v>1</v>
      </c>
      <c r="R212" s="5">
        <v>0</v>
      </c>
      <c r="S212" s="5">
        <v>300000</v>
      </c>
      <c r="T212" s="5">
        <v>36000000</v>
      </c>
      <c r="U212" s="5">
        <v>500000</v>
      </c>
      <c r="V212" s="5">
        <v>60000</v>
      </c>
      <c r="W212" s="5">
        <v>36860000</v>
      </c>
      <c r="X212" s="5">
        <v>45600000</v>
      </c>
      <c r="Y212" s="5">
        <v>0</v>
      </c>
      <c r="Z212" s="5">
        <f t="shared" si="27"/>
        <v>8800000</v>
      </c>
      <c r="AA212" s="5">
        <v>50000000</v>
      </c>
      <c r="AB212" s="5">
        <f t="shared" si="28"/>
        <v>9600000</v>
      </c>
      <c r="AC212" s="5" t="s">
        <v>1016</v>
      </c>
      <c r="AD212" s="4" t="s">
        <v>51</v>
      </c>
      <c r="AE212" s="5">
        <f t="shared" si="29"/>
        <v>0.91666666666666663</v>
      </c>
      <c r="AF212" s="5">
        <v>9600000</v>
      </c>
      <c r="AG212" s="5">
        <v>1</v>
      </c>
      <c r="AH212" s="5">
        <v>1</v>
      </c>
      <c r="AI212" s="5">
        <v>1</v>
      </c>
      <c r="AJ212" s="7" t="s">
        <v>1017</v>
      </c>
      <c r="AK212" s="5">
        <v>0</v>
      </c>
      <c r="AL212" s="5">
        <v>0</v>
      </c>
      <c r="AM212" s="4">
        <v>2015</v>
      </c>
      <c r="AN212" s="5">
        <v>0</v>
      </c>
      <c r="AO212" s="5">
        <v>1</v>
      </c>
      <c r="AP212" s="8"/>
      <c r="AQ212" s="8"/>
      <c r="AR212" s="8">
        <f t="shared" si="30"/>
        <v>0</v>
      </c>
      <c r="AS212" s="8">
        <f t="shared" si="31"/>
        <v>800000</v>
      </c>
      <c r="AT212" s="8">
        <f t="shared" si="32"/>
        <v>7104000</v>
      </c>
      <c r="AU212" s="8">
        <f t="shared" si="33"/>
        <v>2496000</v>
      </c>
      <c r="AV212" s="4" t="s">
        <v>1015</v>
      </c>
      <c r="AW212" s="7" t="s">
        <v>1017</v>
      </c>
      <c r="AX212" s="5">
        <v>36000000</v>
      </c>
      <c r="AY212">
        <f t="shared" si="34"/>
        <v>936000</v>
      </c>
      <c r="AZ212">
        <f t="shared" si="35"/>
        <v>1560000</v>
      </c>
      <c r="BA212" s="5">
        <v>45600000</v>
      </c>
      <c r="BB212" s="5">
        <v>0</v>
      </c>
      <c r="BC212" s="4" t="s">
        <v>49</v>
      </c>
      <c r="BD212" s="4">
        <v>47112</v>
      </c>
      <c r="BE212" t="s">
        <v>54</v>
      </c>
    </row>
    <row r="213" spans="1:57" ht="270.75" thickBot="1" x14ac:dyDescent="0.3">
      <c r="A213" s="4" t="s">
        <v>1018</v>
      </c>
      <c r="B213" s="4">
        <v>2001</v>
      </c>
      <c r="C213" s="5">
        <v>2</v>
      </c>
      <c r="D213" s="4" t="s">
        <v>44</v>
      </c>
      <c r="E213" s="6">
        <v>46267.259368784726</v>
      </c>
      <c r="F213" s="4" t="s">
        <v>1019</v>
      </c>
      <c r="G213" s="4" t="s">
        <v>46</v>
      </c>
      <c r="H213" s="4">
        <v>53</v>
      </c>
      <c r="I213" s="4" t="s">
        <v>47</v>
      </c>
      <c r="J213" s="4">
        <v>5309</v>
      </c>
      <c r="K213" s="4" t="s">
        <v>48</v>
      </c>
      <c r="L213" s="4">
        <v>5309012</v>
      </c>
      <c r="M213" s="4">
        <v>5309012002</v>
      </c>
      <c r="N213" s="4" t="s">
        <v>49</v>
      </c>
      <c r="O213" s="4">
        <v>47112</v>
      </c>
      <c r="P213" s="4" t="s">
        <v>1020</v>
      </c>
      <c r="Q213" s="5">
        <v>2</v>
      </c>
      <c r="R213" s="5">
        <v>0</v>
      </c>
      <c r="S213" s="5">
        <v>2000000</v>
      </c>
      <c r="T213" s="5">
        <v>50000000</v>
      </c>
      <c r="U213" s="5">
        <v>4200000</v>
      </c>
      <c r="V213" s="5">
        <v>0</v>
      </c>
      <c r="W213" s="5">
        <v>56200000</v>
      </c>
      <c r="X213" s="5">
        <v>66200000</v>
      </c>
      <c r="Y213" s="5">
        <v>0</v>
      </c>
      <c r="Z213" s="5">
        <f t="shared" si="27"/>
        <v>10000000</v>
      </c>
      <c r="AA213" s="5">
        <v>60000000</v>
      </c>
      <c r="AB213" s="5">
        <f t="shared" si="28"/>
        <v>16200000</v>
      </c>
      <c r="AC213" s="5" t="s">
        <v>1021</v>
      </c>
      <c r="AD213" s="4" t="s">
        <v>51</v>
      </c>
      <c r="AE213" s="5">
        <f t="shared" si="29"/>
        <v>0.61728395061728392</v>
      </c>
      <c r="AF213" s="5">
        <v>8100000</v>
      </c>
      <c r="AG213" s="5">
        <v>0</v>
      </c>
      <c r="AH213" s="5">
        <v>1</v>
      </c>
      <c r="AI213" s="5">
        <v>1</v>
      </c>
      <c r="AJ213" s="7" t="s">
        <v>1023</v>
      </c>
      <c r="AK213" s="5">
        <v>0</v>
      </c>
      <c r="AL213" s="5">
        <v>0</v>
      </c>
      <c r="AM213" s="4">
        <v>2023</v>
      </c>
      <c r="AN213" s="5">
        <v>0</v>
      </c>
      <c r="AO213" s="5">
        <v>2</v>
      </c>
      <c r="AP213" s="8"/>
      <c r="AQ213" s="8"/>
      <c r="AR213" s="8">
        <f t="shared" si="30"/>
        <v>0</v>
      </c>
      <c r="AS213" s="8">
        <f t="shared" si="31"/>
        <v>6200000</v>
      </c>
      <c r="AT213" s="8">
        <f t="shared" si="32"/>
        <v>10000000</v>
      </c>
      <c r="AU213" s="8">
        <f t="shared" si="33"/>
        <v>6200000</v>
      </c>
      <c r="AV213" s="4" t="s">
        <v>1020</v>
      </c>
      <c r="AW213" s="7" t="s">
        <v>1023</v>
      </c>
      <c r="AX213" s="5">
        <v>50000000</v>
      </c>
      <c r="AY213">
        <f t="shared" si="34"/>
        <v>2000000</v>
      </c>
      <c r="AZ213">
        <f t="shared" si="35"/>
        <v>4200000</v>
      </c>
      <c r="BA213" s="5">
        <v>66200000</v>
      </c>
      <c r="BB213" s="5">
        <v>0</v>
      </c>
      <c r="BC213" s="4" t="s">
        <v>49</v>
      </c>
      <c r="BD213" s="4">
        <v>47112</v>
      </c>
      <c r="BE213" t="s">
        <v>54</v>
      </c>
    </row>
    <row r="214" spans="1:57" ht="270.75" thickBot="1" x14ac:dyDescent="0.3">
      <c r="A214" s="4" t="s">
        <v>1024</v>
      </c>
      <c r="B214" s="4">
        <v>1002</v>
      </c>
      <c r="C214" s="5">
        <v>2</v>
      </c>
      <c r="D214" s="4" t="s">
        <v>44</v>
      </c>
      <c r="E214" s="6">
        <v>46264.018209201386</v>
      </c>
      <c r="F214" s="4" t="s">
        <v>1025</v>
      </c>
      <c r="G214" s="4" t="s">
        <v>46</v>
      </c>
      <c r="H214" s="4">
        <v>53</v>
      </c>
      <c r="I214" s="4" t="s">
        <v>47</v>
      </c>
      <c r="J214" s="4">
        <v>5309</v>
      </c>
      <c r="K214" s="4" t="s">
        <v>48</v>
      </c>
      <c r="L214" s="4">
        <v>5309030</v>
      </c>
      <c r="M214" s="4">
        <v>5309030018</v>
      </c>
      <c r="N214" s="4" t="s">
        <v>49</v>
      </c>
      <c r="O214" s="4">
        <v>47112</v>
      </c>
      <c r="P214" s="4" t="s">
        <v>1026</v>
      </c>
      <c r="Q214" s="5">
        <v>1</v>
      </c>
      <c r="R214" s="5">
        <v>0</v>
      </c>
      <c r="S214" s="5">
        <v>0</v>
      </c>
      <c r="T214" s="5">
        <v>38500000</v>
      </c>
      <c r="U214" s="5">
        <v>300000</v>
      </c>
      <c r="V214" s="5">
        <v>0</v>
      </c>
      <c r="W214" s="5">
        <v>38800000</v>
      </c>
      <c r="X214" s="5">
        <v>61600000</v>
      </c>
      <c r="Y214" s="5">
        <v>0</v>
      </c>
      <c r="Z214" s="5">
        <f t="shared" si="27"/>
        <v>22800000</v>
      </c>
      <c r="AA214" s="5">
        <v>0</v>
      </c>
      <c r="AB214" s="5">
        <f t="shared" si="28"/>
        <v>23100000</v>
      </c>
      <c r="AC214" s="5" t="s">
        <v>90</v>
      </c>
      <c r="AD214" s="4" t="s">
        <v>51</v>
      </c>
      <c r="AE214" s="5">
        <f t="shared" si="29"/>
        <v>0.98701298701298701</v>
      </c>
      <c r="AF214" s="5">
        <v>23100000</v>
      </c>
      <c r="AG214" s="4"/>
      <c r="AH214" s="5">
        <v>1</v>
      </c>
      <c r="AI214" s="5">
        <v>1</v>
      </c>
      <c r="AJ214" s="7" t="s">
        <v>1027</v>
      </c>
      <c r="AK214" s="5">
        <v>0</v>
      </c>
      <c r="AL214" s="5">
        <v>0</v>
      </c>
      <c r="AM214" s="4">
        <v>2023</v>
      </c>
      <c r="AN214" s="5">
        <v>0</v>
      </c>
      <c r="AO214" s="5">
        <v>1</v>
      </c>
      <c r="AP214" s="8"/>
      <c r="AQ214" s="8"/>
      <c r="AR214" s="8">
        <f t="shared" si="30"/>
        <v>0</v>
      </c>
      <c r="AS214" s="8">
        <f t="shared" si="31"/>
        <v>300000</v>
      </c>
      <c r="AT214" s="8">
        <f t="shared" si="32"/>
        <v>17094000</v>
      </c>
      <c r="AU214" s="8">
        <f t="shared" si="33"/>
        <v>6006000</v>
      </c>
      <c r="AV214" s="4" t="s">
        <v>1026</v>
      </c>
      <c r="AW214" s="7" t="s">
        <v>1027</v>
      </c>
      <c r="AX214" s="5">
        <v>38500000</v>
      </c>
      <c r="AY214">
        <f t="shared" si="34"/>
        <v>0</v>
      </c>
      <c r="AZ214">
        <f t="shared" si="35"/>
        <v>6006000</v>
      </c>
      <c r="BA214" s="5">
        <v>61600000</v>
      </c>
      <c r="BB214" s="5">
        <v>0</v>
      </c>
      <c r="BC214" s="4" t="s">
        <v>49</v>
      </c>
      <c r="BD214" s="4">
        <v>47112</v>
      </c>
      <c r="BE214" t="s">
        <v>54</v>
      </c>
    </row>
    <row r="215" spans="1:57" ht="270.75" thickBot="1" x14ac:dyDescent="0.3">
      <c r="A215" s="4" t="s">
        <v>1028</v>
      </c>
      <c r="B215" s="4">
        <v>2001</v>
      </c>
      <c r="C215" s="5">
        <v>2</v>
      </c>
      <c r="D215" s="4" t="s">
        <v>60</v>
      </c>
      <c r="E215" s="6">
        <v>46283.367728796293</v>
      </c>
      <c r="F215" s="4" t="s">
        <v>1029</v>
      </c>
      <c r="G215" s="4" t="s">
        <v>46</v>
      </c>
      <c r="H215" s="4">
        <v>53</v>
      </c>
      <c r="I215" s="4" t="s">
        <v>47</v>
      </c>
      <c r="J215" s="4">
        <v>5309</v>
      </c>
      <c r="K215" s="4" t="s">
        <v>48</v>
      </c>
      <c r="L215" s="4">
        <v>5309061</v>
      </c>
      <c r="M215" s="4">
        <v>5309061007</v>
      </c>
      <c r="N215" s="4" t="s">
        <v>49</v>
      </c>
      <c r="O215" s="4">
        <v>47112</v>
      </c>
      <c r="P215" s="4" t="s">
        <v>449</v>
      </c>
      <c r="Q215" s="5">
        <v>1</v>
      </c>
      <c r="R215" s="5">
        <v>0</v>
      </c>
      <c r="S215" s="5">
        <v>0</v>
      </c>
      <c r="T215" s="5">
        <v>3000000</v>
      </c>
      <c r="U215" s="5">
        <v>100000</v>
      </c>
      <c r="V215" s="5">
        <v>0</v>
      </c>
      <c r="W215" s="5">
        <v>3100000</v>
      </c>
      <c r="X215" s="5">
        <v>4500000</v>
      </c>
      <c r="Y215" s="5">
        <v>300000</v>
      </c>
      <c r="Z215" s="5">
        <f t="shared" si="27"/>
        <v>1400000</v>
      </c>
      <c r="AA215" s="5">
        <v>15000000</v>
      </c>
      <c r="AB215" s="5">
        <f t="shared" si="28"/>
        <v>1500000</v>
      </c>
      <c r="AC215" s="5" t="s">
        <v>102</v>
      </c>
      <c r="AD215" s="4" t="s">
        <v>51</v>
      </c>
      <c r="AE215" s="5">
        <f t="shared" si="29"/>
        <v>0.93333333333333335</v>
      </c>
      <c r="AF215" s="5">
        <v>1500000</v>
      </c>
      <c r="AG215" s="5">
        <v>1</v>
      </c>
      <c r="AH215" s="5">
        <v>1</v>
      </c>
      <c r="AI215" s="5">
        <v>1</v>
      </c>
      <c r="AJ215" s="7" t="s">
        <v>1030</v>
      </c>
      <c r="AK215" s="5">
        <v>0</v>
      </c>
      <c r="AL215" s="5">
        <v>0</v>
      </c>
      <c r="AM215" s="4">
        <v>2024</v>
      </c>
      <c r="AN215" s="5">
        <v>0</v>
      </c>
      <c r="AO215" s="5">
        <v>1</v>
      </c>
      <c r="AP215" s="8"/>
      <c r="AQ215" s="8"/>
      <c r="AR215" s="8">
        <f t="shared" si="30"/>
        <v>0</v>
      </c>
      <c r="AS215" s="8">
        <f t="shared" si="31"/>
        <v>100000</v>
      </c>
      <c r="AT215" s="8">
        <f t="shared" si="32"/>
        <v>1110000</v>
      </c>
      <c r="AU215" s="8">
        <f t="shared" si="33"/>
        <v>390000</v>
      </c>
      <c r="AV215" s="4" t="s">
        <v>449</v>
      </c>
      <c r="AW215" s="7" t="s">
        <v>1030</v>
      </c>
      <c r="AX215" s="5">
        <v>3000000</v>
      </c>
      <c r="AY215">
        <f t="shared" si="34"/>
        <v>0</v>
      </c>
      <c r="AZ215">
        <f t="shared" si="35"/>
        <v>390000</v>
      </c>
      <c r="BA215" s="5">
        <v>4500000</v>
      </c>
      <c r="BB215" s="5">
        <v>300000</v>
      </c>
      <c r="BC215" s="4" t="s">
        <v>49</v>
      </c>
      <c r="BD215" s="4">
        <v>47112</v>
      </c>
      <c r="BE215" t="s">
        <v>54</v>
      </c>
    </row>
    <row r="216" spans="1:57" ht="270.75" thickBot="1" x14ac:dyDescent="0.3">
      <c r="A216" s="4" t="s">
        <v>1031</v>
      </c>
      <c r="B216" s="4">
        <v>3002</v>
      </c>
      <c r="C216" s="5">
        <v>2</v>
      </c>
      <c r="D216" s="4" t="s">
        <v>44</v>
      </c>
      <c r="E216" s="6">
        <v>46259.97394596065</v>
      </c>
      <c r="F216" s="4" t="s">
        <v>1032</v>
      </c>
      <c r="G216" s="4" t="s">
        <v>46</v>
      </c>
      <c r="H216" s="4">
        <v>53</v>
      </c>
      <c r="I216" s="4" t="s">
        <v>47</v>
      </c>
      <c r="J216" s="4">
        <v>5309</v>
      </c>
      <c r="K216" s="4" t="s">
        <v>48</v>
      </c>
      <c r="L216" s="4">
        <v>5309041</v>
      </c>
      <c r="M216" s="4">
        <v>5309041006</v>
      </c>
      <c r="N216" s="4" t="s">
        <v>49</v>
      </c>
      <c r="O216" s="4">
        <v>47112</v>
      </c>
      <c r="P216" s="4" t="s">
        <v>1033</v>
      </c>
      <c r="Q216" s="5">
        <v>3</v>
      </c>
      <c r="R216" s="5">
        <v>500000</v>
      </c>
      <c r="S216" s="5">
        <v>1000000</v>
      </c>
      <c r="T216" s="5">
        <v>20000000</v>
      </c>
      <c r="U216" s="5">
        <v>1000000</v>
      </c>
      <c r="V216" s="5">
        <v>2000000</v>
      </c>
      <c r="W216" s="5">
        <v>24500000</v>
      </c>
      <c r="X216" s="5">
        <v>50000000</v>
      </c>
      <c r="Y216" s="5">
        <v>0</v>
      </c>
      <c r="Z216" s="5">
        <f t="shared" si="27"/>
        <v>28000000</v>
      </c>
      <c r="AA216" s="5">
        <v>10000000</v>
      </c>
      <c r="AB216" s="5">
        <f t="shared" si="28"/>
        <v>30000000</v>
      </c>
      <c r="AC216" s="5" t="s">
        <v>167</v>
      </c>
      <c r="AD216" s="4" t="s">
        <v>51</v>
      </c>
      <c r="AE216" s="5">
        <f t="shared" si="29"/>
        <v>0.93333333333333335</v>
      </c>
      <c r="AF216" s="5">
        <v>10000000</v>
      </c>
      <c r="AG216" s="5">
        <v>1</v>
      </c>
      <c r="AH216" s="5">
        <v>1</v>
      </c>
      <c r="AI216" s="5">
        <v>1</v>
      </c>
      <c r="AJ216" s="7" t="s">
        <v>1034</v>
      </c>
      <c r="AK216" s="5">
        <v>0</v>
      </c>
      <c r="AL216" s="5">
        <v>0</v>
      </c>
      <c r="AM216" s="4">
        <v>2014</v>
      </c>
      <c r="AN216" s="5">
        <v>1</v>
      </c>
      <c r="AO216" s="5">
        <v>2</v>
      </c>
      <c r="AP216" s="8"/>
      <c r="AQ216" s="8"/>
      <c r="AR216" s="8">
        <f t="shared" si="30"/>
        <v>0</v>
      </c>
      <c r="AS216" s="8">
        <f t="shared" si="31"/>
        <v>2000000</v>
      </c>
      <c r="AT216" s="8">
        <f t="shared" si="32"/>
        <v>22200000</v>
      </c>
      <c r="AU216" s="8">
        <f t="shared" si="33"/>
        <v>7800000</v>
      </c>
      <c r="AV216" s="4" t="s">
        <v>1033</v>
      </c>
      <c r="AW216" s="7" t="s">
        <v>1034</v>
      </c>
      <c r="AX216" s="5">
        <v>20000000</v>
      </c>
      <c r="AY216">
        <f t="shared" si="34"/>
        <v>3900000</v>
      </c>
      <c r="AZ216">
        <f t="shared" si="35"/>
        <v>3900000</v>
      </c>
      <c r="BA216" s="5">
        <v>50000000</v>
      </c>
      <c r="BB216" s="5">
        <v>0</v>
      </c>
      <c r="BC216" s="4" t="s">
        <v>49</v>
      </c>
      <c r="BD216" s="4">
        <v>47112</v>
      </c>
      <c r="BE216" t="s">
        <v>54</v>
      </c>
    </row>
    <row r="217" spans="1:57" ht="270.75" thickBot="1" x14ac:dyDescent="0.3">
      <c r="A217" s="4" t="s">
        <v>1035</v>
      </c>
      <c r="B217" s="4">
        <v>1002</v>
      </c>
      <c r="C217" s="5">
        <v>2</v>
      </c>
      <c r="D217" s="4" t="s">
        <v>44</v>
      </c>
      <c r="E217" s="6">
        <v>46219.998636354168</v>
      </c>
      <c r="F217" s="4" t="s">
        <v>1036</v>
      </c>
      <c r="G217" s="4" t="s">
        <v>46</v>
      </c>
      <c r="H217" s="4">
        <v>53</v>
      </c>
      <c r="I217" s="4" t="s">
        <v>47</v>
      </c>
      <c r="J217" s="4">
        <v>5309</v>
      </c>
      <c r="K217" s="4" t="s">
        <v>48</v>
      </c>
      <c r="L217" s="4">
        <v>5309012</v>
      </c>
      <c r="M217" s="4">
        <v>5309012006</v>
      </c>
      <c r="N217" s="4" t="s">
        <v>49</v>
      </c>
      <c r="O217" s="4">
        <v>47112</v>
      </c>
      <c r="P217" s="4" t="s">
        <v>1037</v>
      </c>
      <c r="Q217" s="5">
        <v>1</v>
      </c>
      <c r="R217" s="5">
        <v>0</v>
      </c>
      <c r="S217" s="5">
        <v>0</v>
      </c>
      <c r="T217" s="5">
        <v>3600000</v>
      </c>
      <c r="U217" s="5">
        <v>720000</v>
      </c>
      <c r="V217" s="5">
        <v>0</v>
      </c>
      <c r="W217" s="5">
        <v>4320000</v>
      </c>
      <c r="X217" s="5">
        <v>7200000</v>
      </c>
      <c r="Y217" s="5">
        <v>0</v>
      </c>
      <c r="Z217" s="5">
        <f t="shared" si="27"/>
        <v>2880000</v>
      </c>
      <c r="AA217" s="5">
        <v>0</v>
      </c>
      <c r="AB217" s="5">
        <f t="shared" si="28"/>
        <v>3600000</v>
      </c>
      <c r="AC217" s="5" t="s">
        <v>93</v>
      </c>
      <c r="AD217" s="4" t="s">
        <v>51</v>
      </c>
      <c r="AE217" s="5">
        <f t="shared" si="29"/>
        <v>0.8</v>
      </c>
      <c r="AF217" s="5">
        <v>3600000</v>
      </c>
      <c r="AG217" s="4"/>
      <c r="AH217" s="5">
        <v>1</v>
      </c>
      <c r="AI217" s="5">
        <v>1</v>
      </c>
      <c r="AJ217" s="7" t="s">
        <v>1038</v>
      </c>
      <c r="AK217" s="5">
        <v>0</v>
      </c>
      <c r="AL217" s="5">
        <v>0</v>
      </c>
      <c r="AM217" s="4">
        <v>2026</v>
      </c>
      <c r="AN217" s="5">
        <v>0</v>
      </c>
      <c r="AO217" s="5">
        <v>1</v>
      </c>
      <c r="AP217" s="8"/>
      <c r="AQ217" s="8"/>
      <c r="AR217" s="8">
        <f t="shared" si="30"/>
        <v>0</v>
      </c>
      <c r="AS217" s="8">
        <f t="shared" si="31"/>
        <v>720000</v>
      </c>
      <c r="AT217" s="8">
        <f t="shared" si="32"/>
        <v>2664000</v>
      </c>
      <c r="AU217" s="8">
        <f t="shared" si="33"/>
        <v>936000</v>
      </c>
      <c r="AV217" s="4" t="s">
        <v>1037</v>
      </c>
      <c r="AW217" s="7" t="s">
        <v>1038</v>
      </c>
      <c r="AX217" s="5">
        <v>3600000</v>
      </c>
      <c r="AY217">
        <f t="shared" si="34"/>
        <v>0</v>
      </c>
      <c r="AZ217">
        <f t="shared" si="35"/>
        <v>936000</v>
      </c>
      <c r="BA217" s="5">
        <v>7200000</v>
      </c>
      <c r="BB217" s="5">
        <v>0</v>
      </c>
      <c r="BC217" s="4" t="s">
        <v>49</v>
      </c>
      <c r="BD217" s="4">
        <v>47112</v>
      </c>
      <c r="BE217" t="s">
        <v>54</v>
      </c>
    </row>
    <row r="218" spans="1:57" ht="270.75" thickBot="1" x14ac:dyDescent="0.3">
      <c r="A218" s="4" t="s">
        <v>1039</v>
      </c>
      <c r="B218" s="4">
        <v>1002</v>
      </c>
      <c r="C218" s="5">
        <v>2</v>
      </c>
      <c r="D218" s="4" t="s">
        <v>44</v>
      </c>
      <c r="E218" s="6">
        <v>46249.273197037037</v>
      </c>
      <c r="F218" s="4" t="s">
        <v>1040</v>
      </c>
      <c r="G218" s="4" t="s">
        <v>46</v>
      </c>
      <c r="H218" s="4">
        <v>53</v>
      </c>
      <c r="I218" s="4" t="s">
        <v>47</v>
      </c>
      <c r="J218" s="4">
        <v>5309</v>
      </c>
      <c r="K218" s="4" t="s">
        <v>48</v>
      </c>
      <c r="L218" s="4">
        <v>5309012</v>
      </c>
      <c r="M218" s="4">
        <v>5309012005</v>
      </c>
      <c r="N218" s="4" t="s">
        <v>49</v>
      </c>
      <c r="O218" s="4">
        <v>47112</v>
      </c>
      <c r="P218" s="4" t="s">
        <v>1041</v>
      </c>
      <c r="Q218" s="5">
        <v>2</v>
      </c>
      <c r="R218" s="5">
        <v>0</v>
      </c>
      <c r="S218" s="5">
        <v>50000</v>
      </c>
      <c r="T218" s="5">
        <v>3000000</v>
      </c>
      <c r="U218" s="5">
        <v>40000</v>
      </c>
      <c r="V218" s="5">
        <v>0</v>
      </c>
      <c r="W218" s="5">
        <v>3090000</v>
      </c>
      <c r="X218" s="5">
        <v>3600000</v>
      </c>
      <c r="Y218" s="5">
        <v>0</v>
      </c>
      <c r="Z218" s="5">
        <f t="shared" si="27"/>
        <v>510000</v>
      </c>
      <c r="AA218" s="5">
        <v>1200000</v>
      </c>
      <c r="AB218" s="5">
        <f t="shared" si="28"/>
        <v>600000</v>
      </c>
      <c r="AC218" s="5" t="s">
        <v>192</v>
      </c>
      <c r="AD218" s="4" t="s">
        <v>51</v>
      </c>
      <c r="AE218" s="5">
        <f t="shared" si="29"/>
        <v>0.85</v>
      </c>
      <c r="AF218" s="5">
        <v>300000</v>
      </c>
      <c r="AG218" s="5">
        <v>1</v>
      </c>
      <c r="AH218" s="5">
        <v>1</v>
      </c>
      <c r="AI218" s="5">
        <v>1</v>
      </c>
      <c r="AJ218" s="7" t="s">
        <v>1042</v>
      </c>
      <c r="AK218" s="5">
        <v>0</v>
      </c>
      <c r="AL218" s="5">
        <v>0</v>
      </c>
      <c r="AM218" s="4">
        <v>2023</v>
      </c>
      <c r="AN218" s="5">
        <v>0</v>
      </c>
      <c r="AO218" s="5">
        <v>2</v>
      </c>
      <c r="AP218" s="8"/>
      <c r="AQ218" s="8"/>
      <c r="AR218" s="8">
        <f t="shared" si="30"/>
        <v>0</v>
      </c>
      <c r="AS218" s="8">
        <f t="shared" si="31"/>
        <v>90000</v>
      </c>
      <c r="AT218" s="8">
        <f t="shared" si="32"/>
        <v>444000</v>
      </c>
      <c r="AU218" s="8">
        <f t="shared" si="33"/>
        <v>156000</v>
      </c>
      <c r="AV218" s="4" t="s">
        <v>1041</v>
      </c>
      <c r="AW218" s="7" t="s">
        <v>1042</v>
      </c>
      <c r="AX218" s="5">
        <v>3000000</v>
      </c>
      <c r="AY218">
        <f t="shared" si="34"/>
        <v>86666.666666666672</v>
      </c>
      <c r="AZ218">
        <f t="shared" si="35"/>
        <v>69333.333333333328</v>
      </c>
      <c r="BA218" s="5">
        <v>3600000</v>
      </c>
      <c r="BB218" s="5">
        <v>0</v>
      </c>
      <c r="BC218" s="4" t="s">
        <v>49</v>
      </c>
      <c r="BD218" s="4">
        <v>47112</v>
      </c>
      <c r="BE218" t="s">
        <v>54</v>
      </c>
    </row>
    <row r="219" spans="1:57" ht="270.75" thickBot="1" x14ac:dyDescent="0.3">
      <c r="A219" s="4" t="s">
        <v>1043</v>
      </c>
      <c r="B219" s="4">
        <v>1001</v>
      </c>
      <c r="C219" s="5">
        <v>2</v>
      </c>
      <c r="D219" s="4" t="s">
        <v>56</v>
      </c>
      <c r="E219" s="6">
        <v>46293.103488611108</v>
      </c>
      <c r="F219" s="4" t="s">
        <v>1044</v>
      </c>
      <c r="G219" s="4" t="s">
        <v>46</v>
      </c>
      <c r="H219" s="4">
        <v>53</v>
      </c>
      <c r="I219" s="4" t="s">
        <v>47</v>
      </c>
      <c r="J219" s="4">
        <v>5309</v>
      </c>
      <c r="K219" s="4" t="s">
        <v>48</v>
      </c>
      <c r="L219" s="4">
        <v>5309040</v>
      </c>
      <c r="M219" s="4">
        <v>5309040001</v>
      </c>
      <c r="N219" s="4" t="s">
        <v>49</v>
      </c>
      <c r="O219" s="4">
        <v>47112</v>
      </c>
      <c r="P219" s="4" t="s">
        <v>1045</v>
      </c>
      <c r="Q219" s="5">
        <v>2</v>
      </c>
      <c r="R219" s="5">
        <v>0</v>
      </c>
      <c r="S219" s="5">
        <v>100000</v>
      </c>
      <c r="T219" s="5">
        <v>5000000</v>
      </c>
      <c r="U219" s="5">
        <v>200000</v>
      </c>
      <c r="V219" s="5">
        <v>0</v>
      </c>
      <c r="W219" s="5">
        <v>5300000</v>
      </c>
      <c r="X219" s="5">
        <v>192000000</v>
      </c>
      <c r="Y219" s="5">
        <v>0</v>
      </c>
      <c r="Z219" s="5">
        <f t="shared" si="27"/>
        <v>186700000</v>
      </c>
      <c r="AA219" s="5">
        <v>33750000</v>
      </c>
      <c r="AB219" s="5">
        <f t="shared" si="28"/>
        <v>187000000</v>
      </c>
      <c r="AC219" s="5" t="s">
        <v>1046</v>
      </c>
      <c r="AD219" s="4" t="s">
        <v>51</v>
      </c>
      <c r="AE219" s="5">
        <f t="shared" si="29"/>
        <v>0.99839572192513371</v>
      </c>
      <c r="AF219" s="5">
        <v>93500000</v>
      </c>
      <c r="AG219" s="5">
        <v>1</v>
      </c>
      <c r="AH219" s="5">
        <v>1</v>
      </c>
      <c r="AI219" s="5">
        <v>1</v>
      </c>
      <c r="AJ219" s="7" t="s">
        <v>1047</v>
      </c>
      <c r="AK219" s="5">
        <v>0</v>
      </c>
      <c r="AL219" s="5">
        <v>0</v>
      </c>
      <c r="AM219" s="4">
        <v>2023</v>
      </c>
      <c r="AN219" s="5">
        <v>0</v>
      </c>
      <c r="AO219" s="5">
        <v>2</v>
      </c>
      <c r="AP219" s="8"/>
      <c r="AQ219" s="8"/>
      <c r="AR219" s="8">
        <f t="shared" si="30"/>
        <v>0</v>
      </c>
      <c r="AS219" s="8">
        <f t="shared" si="31"/>
        <v>300000</v>
      </c>
      <c r="AT219" s="8">
        <f t="shared" si="32"/>
        <v>138380000</v>
      </c>
      <c r="AU219" s="8">
        <f t="shared" si="33"/>
        <v>48620000</v>
      </c>
      <c r="AV219" s="4" t="s">
        <v>1045</v>
      </c>
      <c r="AW219" s="7" t="s">
        <v>1047</v>
      </c>
      <c r="AX219" s="5">
        <v>5000000</v>
      </c>
      <c r="AY219">
        <f t="shared" si="34"/>
        <v>16206666.666666668</v>
      </c>
      <c r="AZ219">
        <f t="shared" si="35"/>
        <v>32413333.333333332</v>
      </c>
      <c r="BA219" s="5">
        <v>192000000</v>
      </c>
      <c r="BB219" s="5">
        <v>0</v>
      </c>
      <c r="BC219" s="4" t="s">
        <v>49</v>
      </c>
      <c r="BD219" s="4">
        <v>47112</v>
      </c>
      <c r="BE219" t="s">
        <v>54</v>
      </c>
    </row>
    <row r="220" spans="1:57" ht="270.75" thickBot="1" x14ac:dyDescent="0.3">
      <c r="A220" s="4" t="s">
        <v>1048</v>
      </c>
      <c r="B220" s="4">
        <v>2001</v>
      </c>
      <c r="C220" s="5">
        <v>2</v>
      </c>
      <c r="D220" s="4" t="s">
        <v>44</v>
      </c>
      <c r="E220" s="6">
        <v>46293.103501655096</v>
      </c>
      <c r="F220" s="4" t="s">
        <v>1049</v>
      </c>
      <c r="G220" s="4" t="s">
        <v>46</v>
      </c>
      <c r="H220" s="4">
        <v>53</v>
      </c>
      <c r="I220" s="4" t="s">
        <v>47</v>
      </c>
      <c r="J220" s="4">
        <v>5309</v>
      </c>
      <c r="K220" s="4" t="s">
        <v>48</v>
      </c>
      <c r="L220" s="4">
        <v>5309071</v>
      </c>
      <c r="M220" s="4">
        <v>5309071011</v>
      </c>
      <c r="N220" s="4" t="s">
        <v>49</v>
      </c>
      <c r="O220" s="4">
        <v>47112</v>
      </c>
      <c r="P220" s="4" t="s">
        <v>1050</v>
      </c>
      <c r="Q220" s="5">
        <v>2</v>
      </c>
      <c r="R220" s="5">
        <v>0</v>
      </c>
      <c r="S220" s="5">
        <v>500000</v>
      </c>
      <c r="T220" s="5">
        <v>120000000</v>
      </c>
      <c r="U220" s="5">
        <v>1300000</v>
      </c>
      <c r="V220" s="5">
        <v>0</v>
      </c>
      <c r="W220" s="5">
        <v>121800000</v>
      </c>
      <c r="X220" s="5">
        <v>156000000</v>
      </c>
      <c r="Y220" s="5">
        <v>1200000</v>
      </c>
      <c r="Z220" s="5">
        <f t="shared" si="27"/>
        <v>34200000</v>
      </c>
      <c r="AA220" s="5">
        <v>64000000</v>
      </c>
      <c r="AB220" s="5">
        <f t="shared" si="28"/>
        <v>36000000</v>
      </c>
      <c r="AC220" s="5" t="s">
        <v>671</v>
      </c>
      <c r="AD220" s="4" t="s">
        <v>51</v>
      </c>
      <c r="AE220" s="5">
        <f t="shared" si="29"/>
        <v>0.95</v>
      </c>
      <c r="AF220" s="5">
        <v>18000000</v>
      </c>
      <c r="AG220" s="5">
        <v>1</v>
      </c>
      <c r="AH220" s="5">
        <v>1</v>
      </c>
      <c r="AI220" s="5">
        <v>1</v>
      </c>
      <c r="AJ220" s="7" t="s">
        <v>1051</v>
      </c>
      <c r="AK220" s="5">
        <v>0</v>
      </c>
      <c r="AL220" s="5">
        <v>0</v>
      </c>
      <c r="AM220" s="4">
        <v>2017</v>
      </c>
      <c r="AN220" s="5">
        <v>0</v>
      </c>
      <c r="AO220" s="5">
        <v>2</v>
      </c>
      <c r="AP220" s="8"/>
      <c r="AQ220" s="8"/>
      <c r="AR220" s="8">
        <f t="shared" si="30"/>
        <v>0</v>
      </c>
      <c r="AS220" s="8">
        <f t="shared" si="31"/>
        <v>1800000</v>
      </c>
      <c r="AT220" s="8">
        <f t="shared" si="32"/>
        <v>26640000</v>
      </c>
      <c r="AU220" s="8">
        <f t="shared" si="33"/>
        <v>9360000</v>
      </c>
      <c r="AV220" s="4" t="s">
        <v>1050</v>
      </c>
      <c r="AW220" s="7" t="s">
        <v>1051</v>
      </c>
      <c r="AX220" s="5">
        <v>120000000</v>
      </c>
      <c r="AY220">
        <f t="shared" si="34"/>
        <v>2600000</v>
      </c>
      <c r="AZ220">
        <f t="shared" si="35"/>
        <v>6760000</v>
      </c>
      <c r="BA220" s="5">
        <v>156000000</v>
      </c>
      <c r="BB220" s="5">
        <v>1200000</v>
      </c>
      <c r="BC220" s="4" t="s">
        <v>49</v>
      </c>
      <c r="BD220" s="4">
        <v>47112</v>
      </c>
      <c r="BE220" t="s">
        <v>54</v>
      </c>
    </row>
    <row r="221" spans="1:57" ht="270.75" thickBot="1" x14ac:dyDescent="0.3">
      <c r="A221" s="4" t="s">
        <v>1052</v>
      </c>
      <c r="B221" s="4">
        <v>3001</v>
      </c>
      <c r="C221" s="5">
        <v>2</v>
      </c>
      <c r="D221" s="4" t="s">
        <v>44</v>
      </c>
      <c r="E221" s="6">
        <v>46278.598264687498</v>
      </c>
      <c r="F221" s="4" t="s">
        <v>1053</v>
      </c>
      <c r="G221" s="4" t="s">
        <v>46</v>
      </c>
      <c r="H221" s="4">
        <v>53</v>
      </c>
      <c r="I221" s="4" t="s">
        <v>47</v>
      </c>
      <c r="J221" s="4">
        <v>5309</v>
      </c>
      <c r="K221" s="4" t="s">
        <v>48</v>
      </c>
      <c r="L221" s="4">
        <v>5309070</v>
      </c>
      <c r="M221" s="4">
        <v>5309070002</v>
      </c>
      <c r="N221" s="4" t="s">
        <v>49</v>
      </c>
      <c r="O221" s="4">
        <v>47112</v>
      </c>
      <c r="P221" s="4" t="s">
        <v>1054</v>
      </c>
      <c r="Q221" s="5">
        <v>2</v>
      </c>
      <c r="R221" s="5">
        <v>0</v>
      </c>
      <c r="S221" s="5">
        <v>1500000</v>
      </c>
      <c r="T221" s="5">
        <v>5800000</v>
      </c>
      <c r="U221" s="5">
        <v>580000</v>
      </c>
      <c r="V221" s="5">
        <v>0</v>
      </c>
      <c r="W221" s="5">
        <v>7880000</v>
      </c>
      <c r="X221" s="5">
        <v>9800000</v>
      </c>
      <c r="Y221" s="5">
        <v>0</v>
      </c>
      <c r="Z221" s="5">
        <f t="shared" si="27"/>
        <v>1920000</v>
      </c>
      <c r="AA221" s="5">
        <v>1580000</v>
      </c>
      <c r="AB221" s="5">
        <f t="shared" si="28"/>
        <v>4000000</v>
      </c>
      <c r="AC221" s="5" t="s">
        <v>1055</v>
      </c>
      <c r="AD221" s="4" t="s">
        <v>51</v>
      </c>
      <c r="AE221" s="5">
        <f t="shared" si="29"/>
        <v>0.48</v>
      </c>
      <c r="AF221" s="5">
        <v>2000000</v>
      </c>
      <c r="AG221" s="5">
        <v>1</v>
      </c>
      <c r="AH221" s="5">
        <v>1</v>
      </c>
      <c r="AI221" s="5">
        <v>1</v>
      </c>
      <c r="AJ221" s="7" t="s">
        <v>1056</v>
      </c>
      <c r="AK221" s="5">
        <v>0</v>
      </c>
      <c r="AL221" s="5">
        <v>0</v>
      </c>
      <c r="AM221" s="4">
        <v>2010</v>
      </c>
      <c r="AN221" s="5">
        <v>0</v>
      </c>
      <c r="AO221" s="5">
        <v>2</v>
      </c>
      <c r="AP221" s="8"/>
      <c r="AQ221" s="8"/>
      <c r="AR221" s="8">
        <f t="shared" si="30"/>
        <v>0</v>
      </c>
      <c r="AS221" s="8">
        <f t="shared" si="31"/>
        <v>2080000</v>
      </c>
      <c r="AT221" s="8">
        <f t="shared" si="32"/>
        <v>1920000</v>
      </c>
      <c r="AU221" s="8">
        <f t="shared" si="33"/>
        <v>2080000</v>
      </c>
      <c r="AV221" s="4" t="s">
        <v>1054</v>
      </c>
      <c r="AW221" s="7" t="s">
        <v>1056</v>
      </c>
      <c r="AX221" s="5">
        <v>5800000</v>
      </c>
      <c r="AY221">
        <f t="shared" si="34"/>
        <v>1500000</v>
      </c>
      <c r="AZ221">
        <f t="shared" si="35"/>
        <v>580000</v>
      </c>
      <c r="BA221" s="5">
        <v>9800000</v>
      </c>
      <c r="BB221" s="5">
        <v>0</v>
      </c>
      <c r="BC221" s="4" t="s">
        <v>49</v>
      </c>
      <c r="BD221" s="4">
        <v>47112</v>
      </c>
      <c r="BE221" t="s">
        <v>54</v>
      </c>
    </row>
    <row r="222" spans="1:57" ht="270.75" thickBot="1" x14ac:dyDescent="0.3">
      <c r="A222" s="4" t="s">
        <v>1057</v>
      </c>
      <c r="B222" s="4">
        <v>2001</v>
      </c>
      <c r="C222" s="5">
        <v>2</v>
      </c>
      <c r="D222" s="4" t="s">
        <v>44</v>
      </c>
      <c r="E222" s="6">
        <v>46246.102138831018</v>
      </c>
      <c r="F222" s="4" t="s">
        <v>1058</v>
      </c>
      <c r="G222" s="4" t="s">
        <v>46</v>
      </c>
      <c r="H222" s="4">
        <v>53</v>
      </c>
      <c r="I222" s="4" t="s">
        <v>47</v>
      </c>
      <c r="J222" s="4">
        <v>5309</v>
      </c>
      <c r="K222" s="4" t="s">
        <v>48</v>
      </c>
      <c r="L222" s="4">
        <v>5309070</v>
      </c>
      <c r="M222" s="4">
        <v>5309070006</v>
      </c>
      <c r="N222" s="4" t="s">
        <v>49</v>
      </c>
      <c r="O222" s="4">
        <v>47112</v>
      </c>
      <c r="P222" s="4" t="s">
        <v>1059</v>
      </c>
      <c r="Q222" s="5">
        <v>2</v>
      </c>
      <c r="R222" s="5">
        <v>0</v>
      </c>
      <c r="S222" s="5">
        <v>1500000</v>
      </c>
      <c r="T222" s="5">
        <v>24000000</v>
      </c>
      <c r="U222" s="5">
        <v>600000</v>
      </c>
      <c r="V222" s="5">
        <v>0</v>
      </c>
      <c r="W222" s="5">
        <v>26100000</v>
      </c>
      <c r="X222" s="5">
        <v>34500000</v>
      </c>
      <c r="Y222" s="5">
        <v>0</v>
      </c>
      <c r="Z222" s="5">
        <f t="shared" si="27"/>
        <v>8400000</v>
      </c>
      <c r="AA222" s="5">
        <v>11500000</v>
      </c>
      <c r="AB222" s="5">
        <f t="shared" si="28"/>
        <v>10500000</v>
      </c>
      <c r="AC222" s="5" t="s">
        <v>1060</v>
      </c>
      <c r="AD222" s="4" t="s">
        <v>51</v>
      </c>
      <c r="AE222" s="5">
        <f t="shared" si="29"/>
        <v>0.8</v>
      </c>
      <c r="AF222" s="5">
        <v>5250000</v>
      </c>
      <c r="AG222" s="5">
        <v>1</v>
      </c>
      <c r="AH222" s="5">
        <v>1</v>
      </c>
      <c r="AI222" s="5">
        <v>1</v>
      </c>
      <c r="AJ222" s="7" t="s">
        <v>1061</v>
      </c>
      <c r="AK222" s="5">
        <v>0</v>
      </c>
      <c r="AL222" s="5">
        <v>0</v>
      </c>
      <c r="AM222" s="4">
        <v>2025</v>
      </c>
      <c r="AN222" s="5">
        <v>0</v>
      </c>
      <c r="AO222" s="5">
        <v>2</v>
      </c>
      <c r="AP222" s="8"/>
      <c r="AQ222" s="8"/>
      <c r="AR222" s="8">
        <f t="shared" si="30"/>
        <v>0</v>
      </c>
      <c r="AS222" s="8">
        <f t="shared" si="31"/>
        <v>2100000</v>
      </c>
      <c r="AT222" s="8">
        <f t="shared" si="32"/>
        <v>7770000</v>
      </c>
      <c r="AU222" s="8">
        <f t="shared" si="33"/>
        <v>2730000</v>
      </c>
      <c r="AV222" s="4" t="s">
        <v>1059</v>
      </c>
      <c r="AW222" s="7" t="s">
        <v>1061</v>
      </c>
      <c r="AX222" s="5">
        <v>24000000</v>
      </c>
      <c r="AY222">
        <f t="shared" si="34"/>
        <v>1950000</v>
      </c>
      <c r="AZ222">
        <f t="shared" si="35"/>
        <v>780000</v>
      </c>
      <c r="BA222" s="5">
        <v>34500000</v>
      </c>
      <c r="BB222" s="5">
        <v>0</v>
      </c>
      <c r="BC222" s="4" t="s">
        <v>49</v>
      </c>
      <c r="BD222" s="4">
        <v>47112</v>
      </c>
      <c r="BE222" t="s">
        <v>54</v>
      </c>
    </row>
    <row r="223" spans="1:57" ht="255.75" thickBot="1" x14ac:dyDescent="0.3">
      <c r="A223" s="4" t="s">
        <v>1062</v>
      </c>
      <c r="B223" s="4">
        <v>3001</v>
      </c>
      <c r="C223" s="5">
        <v>2</v>
      </c>
      <c r="D223" s="4" t="s">
        <v>44</v>
      </c>
      <c r="E223" s="6">
        <v>46220.037103506947</v>
      </c>
      <c r="F223" s="4" t="s">
        <v>1063</v>
      </c>
      <c r="G223" s="4" t="s">
        <v>46</v>
      </c>
      <c r="H223" s="4">
        <v>53</v>
      </c>
      <c r="I223" s="4" t="s">
        <v>47</v>
      </c>
      <c r="J223" s="4">
        <v>5309</v>
      </c>
      <c r="K223" s="4" t="s">
        <v>48</v>
      </c>
      <c r="L223" s="4">
        <v>5309073</v>
      </c>
      <c r="M223" s="4">
        <v>5309073002</v>
      </c>
      <c r="N223" s="4" t="s">
        <v>49</v>
      </c>
      <c r="O223" s="4">
        <v>47112</v>
      </c>
      <c r="P223" s="4" t="s">
        <v>1064</v>
      </c>
      <c r="Q223" s="5">
        <v>2</v>
      </c>
      <c r="R223" s="5">
        <v>0</v>
      </c>
      <c r="S223" s="5">
        <v>0</v>
      </c>
      <c r="T223" s="5">
        <v>3500000</v>
      </c>
      <c r="U223" s="5">
        <v>210000</v>
      </c>
      <c r="V223" s="5">
        <v>0</v>
      </c>
      <c r="W223" s="5">
        <v>3710000</v>
      </c>
      <c r="X223" s="5">
        <v>15600000</v>
      </c>
      <c r="Y223" s="5">
        <v>0</v>
      </c>
      <c r="Z223" s="5">
        <f t="shared" si="27"/>
        <v>11890000</v>
      </c>
      <c r="AA223" s="5">
        <v>6700000</v>
      </c>
      <c r="AB223" s="5">
        <f t="shared" si="28"/>
        <v>12100000</v>
      </c>
      <c r="AC223" s="5" t="s">
        <v>1065</v>
      </c>
      <c r="AD223" s="4" t="s">
        <v>51</v>
      </c>
      <c r="AE223" s="5">
        <f t="shared" si="29"/>
        <v>0.98264462809917352</v>
      </c>
      <c r="AF223" s="5">
        <v>6050000</v>
      </c>
      <c r="AG223" s="5">
        <v>1</v>
      </c>
      <c r="AH223" s="5">
        <v>1</v>
      </c>
      <c r="AI223" s="5">
        <v>1</v>
      </c>
      <c r="AJ223" s="7" t="s">
        <v>1066</v>
      </c>
      <c r="AK223" s="5">
        <v>0</v>
      </c>
      <c r="AL223" s="5">
        <v>0</v>
      </c>
      <c r="AM223" s="4">
        <v>2024</v>
      </c>
      <c r="AN223" s="5">
        <v>0</v>
      </c>
      <c r="AO223" s="5">
        <v>2</v>
      </c>
      <c r="AP223" s="8"/>
      <c r="AQ223" s="8"/>
      <c r="AR223" s="8">
        <f t="shared" si="30"/>
        <v>0</v>
      </c>
      <c r="AS223" s="8">
        <f t="shared" si="31"/>
        <v>210000</v>
      </c>
      <c r="AT223" s="8">
        <f t="shared" si="32"/>
        <v>8954000</v>
      </c>
      <c r="AU223" s="8">
        <f t="shared" si="33"/>
        <v>3146000</v>
      </c>
      <c r="AV223" s="4" t="s">
        <v>1064</v>
      </c>
      <c r="AW223" s="7" t="s">
        <v>1066</v>
      </c>
      <c r="AX223" s="5">
        <v>3500000</v>
      </c>
      <c r="AY223">
        <f t="shared" si="34"/>
        <v>0</v>
      </c>
      <c r="AZ223">
        <f t="shared" si="35"/>
        <v>3146000</v>
      </c>
      <c r="BA223" s="5">
        <v>15600000</v>
      </c>
      <c r="BB223" s="5">
        <v>0</v>
      </c>
      <c r="BC223" s="4" t="s">
        <v>49</v>
      </c>
      <c r="BD223" s="4">
        <v>47112</v>
      </c>
      <c r="BE223" t="s">
        <v>54</v>
      </c>
    </row>
    <row r="224" spans="1:57" ht="270.75" thickBot="1" x14ac:dyDescent="0.3">
      <c r="A224" s="4" t="s">
        <v>1067</v>
      </c>
      <c r="B224" s="4">
        <v>3002</v>
      </c>
      <c r="C224" s="5">
        <v>2</v>
      </c>
      <c r="D224" s="4" t="s">
        <v>60</v>
      </c>
      <c r="E224" s="6">
        <v>46280.625937939818</v>
      </c>
      <c r="F224" s="4" t="s">
        <v>1068</v>
      </c>
      <c r="G224" s="4" t="s">
        <v>46</v>
      </c>
      <c r="H224" s="4">
        <v>53</v>
      </c>
      <c r="I224" s="4" t="s">
        <v>47</v>
      </c>
      <c r="J224" s="4">
        <v>5309</v>
      </c>
      <c r="K224" s="4" t="s">
        <v>48</v>
      </c>
      <c r="L224" s="4">
        <v>5309073</v>
      </c>
      <c r="M224" s="4">
        <v>5309073002</v>
      </c>
      <c r="N224" s="4" t="s">
        <v>49</v>
      </c>
      <c r="O224" s="4">
        <v>47112</v>
      </c>
      <c r="P224" s="4" t="s">
        <v>1069</v>
      </c>
      <c r="Q224" s="5">
        <v>2</v>
      </c>
      <c r="R224" s="5">
        <v>0</v>
      </c>
      <c r="S224" s="5">
        <v>0</v>
      </c>
      <c r="T224" s="5">
        <v>3450000</v>
      </c>
      <c r="U224" s="5">
        <v>150000</v>
      </c>
      <c r="V224" s="5">
        <v>0</v>
      </c>
      <c r="W224" s="5">
        <v>3600000</v>
      </c>
      <c r="X224" s="5">
        <v>6700000</v>
      </c>
      <c r="Y224" s="5">
        <v>0</v>
      </c>
      <c r="Z224" s="5">
        <f t="shared" si="27"/>
        <v>3100000</v>
      </c>
      <c r="AA224" s="5">
        <v>1400000</v>
      </c>
      <c r="AB224" s="5">
        <f t="shared" si="28"/>
        <v>3250000</v>
      </c>
      <c r="AC224" s="5" t="s">
        <v>1070</v>
      </c>
      <c r="AD224" s="4" t="s">
        <v>51</v>
      </c>
      <c r="AE224" s="5">
        <f t="shared" si="29"/>
        <v>0.9538461538461539</v>
      </c>
      <c r="AF224" s="5">
        <v>1625000</v>
      </c>
      <c r="AG224" s="5">
        <v>1</v>
      </c>
      <c r="AH224" s="5">
        <v>1</v>
      </c>
      <c r="AI224" s="5">
        <v>1</v>
      </c>
      <c r="AJ224" s="7" t="s">
        <v>1071</v>
      </c>
      <c r="AK224" s="5">
        <v>0</v>
      </c>
      <c r="AL224" s="5">
        <v>0</v>
      </c>
      <c r="AM224" s="4">
        <v>2024</v>
      </c>
      <c r="AN224" s="5">
        <v>0</v>
      </c>
      <c r="AO224" s="5">
        <v>2</v>
      </c>
      <c r="AP224" s="8"/>
      <c r="AQ224" s="8"/>
      <c r="AR224" s="8">
        <f t="shared" si="30"/>
        <v>0</v>
      </c>
      <c r="AS224" s="8">
        <f t="shared" si="31"/>
        <v>150000</v>
      </c>
      <c r="AT224" s="8">
        <f t="shared" si="32"/>
        <v>2405000</v>
      </c>
      <c r="AU224" s="8">
        <f t="shared" si="33"/>
        <v>845000</v>
      </c>
      <c r="AV224" s="4" t="s">
        <v>1069</v>
      </c>
      <c r="AW224" s="7" t="s">
        <v>1071</v>
      </c>
      <c r="AX224" s="5">
        <v>3450000</v>
      </c>
      <c r="AY224">
        <f t="shared" si="34"/>
        <v>0</v>
      </c>
      <c r="AZ224">
        <f t="shared" si="35"/>
        <v>845000</v>
      </c>
      <c r="BA224" s="5">
        <v>6700000</v>
      </c>
      <c r="BB224" s="5">
        <v>0</v>
      </c>
      <c r="BC224" s="4" t="s">
        <v>49</v>
      </c>
      <c r="BD224" s="4">
        <v>47112</v>
      </c>
      <c r="BE224" t="s">
        <v>54</v>
      </c>
    </row>
    <row r="225" spans="1:57" ht="270.75" thickBot="1" x14ac:dyDescent="0.3">
      <c r="A225" s="4" t="s">
        <v>1072</v>
      </c>
      <c r="B225" s="4">
        <v>1</v>
      </c>
      <c r="C225" s="5">
        <v>2</v>
      </c>
      <c r="D225" s="4" t="s">
        <v>44</v>
      </c>
      <c r="E225" s="6">
        <v>46216.574617939812</v>
      </c>
      <c r="F225" s="4" t="s">
        <v>1073</v>
      </c>
      <c r="G225" s="4" t="s">
        <v>46</v>
      </c>
      <c r="H225" s="4">
        <v>53</v>
      </c>
      <c r="I225" s="4" t="s">
        <v>47</v>
      </c>
      <c r="J225" s="4">
        <v>5309</v>
      </c>
      <c r="K225" s="4" t="s">
        <v>48</v>
      </c>
      <c r="L225" s="4">
        <v>5309041</v>
      </c>
      <c r="M225" s="4">
        <v>5309041006</v>
      </c>
      <c r="N225" s="4" t="s">
        <v>49</v>
      </c>
      <c r="O225" s="4">
        <v>47112</v>
      </c>
      <c r="P225" s="4" t="s">
        <v>1074</v>
      </c>
      <c r="Q225" s="5">
        <v>2</v>
      </c>
      <c r="R225" s="5">
        <v>3500000</v>
      </c>
      <c r="S225" s="5">
        <v>3000001</v>
      </c>
      <c r="T225" s="5">
        <v>150000000</v>
      </c>
      <c r="U225" s="5">
        <v>1500000</v>
      </c>
      <c r="V225" s="5">
        <v>1000000</v>
      </c>
      <c r="W225" s="5">
        <v>159000001</v>
      </c>
      <c r="X225" s="5">
        <v>300000000</v>
      </c>
      <c r="Y225" s="5">
        <v>0</v>
      </c>
      <c r="Z225" s="5">
        <f t="shared" si="27"/>
        <v>145499999</v>
      </c>
      <c r="AA225" s="5">
        <v>5000000</v>
      </c>
      <c r="AB225" s="5">
        <f t="shared" si="28"/>
        <v>150000000</v>
      </c>
      <c r="AC225" s="5" t="s">
        <v>93</v>
      </c>
      <c r="AD225" s="4" t="s">
        <v>51</v>
      </c>
      <c r="AE225" s="5">
        <f t="shared" si="29"/>
        <v>0.96999999333333331</v>
      </c>
      <c r="AF225" s="5">
        <v>75000000</v>
      </c>
      <c r="AG225" s="5">
        <v>1</v>
      </c>
      <c r="AH225" s="5">
        <v>1</v>
      </c>
      <c r="AI225" s="5">
        <v>1</v>
      </c>
      <c r="AJ225" s="7" t="s">
        <v>1075</v>
      </c>
      <c r="AK225" s="5">
        <v>0</v>
      </c>
      <c r="AL225" s="5">
        <v>0</v>
      </c>
      <c r="AM225" s="4">
        <v>1998</v>
      </c>
      <c r="AN225" s="5">
        <v>2</v>
      </c>
      <c r="AO225" s="5">
        <v>0</v>
      </c>
      <c r="AP225" s="8"/>
      <c r="AQ225" s="8"/>
      <c r="AR225" s="8">
        <f t="shared" si="30"/>
        <v>0</v>
      </c>
      <c r="AS225" s="8">
        <f t="shared" si="31"/>
        <v>4500001</v>
      </c>
      <c r="AT225" s="8">
        <f t="shared" si="32"/>
        <v>111000000.00000001</v>
      </c>
      <c r="AU225" s="8">
        <f t="shared" si="33"/>
        <v>38999999.999999985</v>
      </c>
      <c r="AV225" s="4" t="s">
        <v>1074</v>
      </c>
      <c r="AW225" s="7" t="s">
        <v>1075</v>
      </c>
      <c r="AX225" s="5">
        <v>150000000</v>
      </c>
      <c r="AY225">
        <f t="shared" si="34"/>
        <v>26000002.88888824</v>
      </c>
      <c r="AZ225">
        <f t="shared" si="35"/>
        <v>12999997.111111747</v>
      </c>
      <c r="BA225" s="5">
        <v>300000000</v>
      </c>
      <c r="BB225" s="5">
        <v>0</v>
      </c>
      <c r="BC225" s="4" t="s">
        <v>49</v>
      </c>
      <c r="BD225" s="4">
        <v>47112</v>
      </c>
      <c r="BE225" t="s">
        <v>54</v>
      </c>
    </row>
    <row r="226" spans="1:57" ht="270.75" thickBot="1" x14ac:dyDescent="0.3">
      <c r="A226" s="4" t="s">
        <v>1076</v>
      </c>
      <c r="B226" s="4">
        <v>1101</v>
      </c>
      <c r="C226" s="5">
        <v>2</v>
      </c>
      <c r="D226" s="4" t="s">
        <v>44</v>
      </c>
      <c r="E226" s="6">
        <v>46275.43585804398</v>
      </c>
      <c r="F226" s="4" t="s">
        <v>1077</v>
      </c>
      <c r="G226" s="4" t="s">
        <v>46</v>
      </c>
      <c r="H226" s="4">
        <v>53</v>
      </c>
      <c r="I226" s="4" t="s">
        <v>47</v>
      </c>
      <c r="J226" s="4">
        <v>5309</v>
      </c>
      <c r="K226" s="4" t="s">
        <v>48</v>
      </c>
      <c r="L226" s="4">
        <v>5309011</v>
      </c>
      <c r="M226" s="4">
        <v>5309011011</v>
      </c>
      <c r="N226" s="4" t="s">
        <v>49</v>
      </c>
      <c r="O226" s="4">
        <v>47112</v>
      </c>
      <c r="P226" s="4" t="s">
        <v>1078</v>
      </c>
      <c r="Q226" s="5">
        <v>2</v>
      </c>
      <c r="R226" s="5">
        <v>0</v>
      </c>
      <c r="S226" s="5">
        <v>0</v>
      </c>
      <c r="T226" s="5">
        <v>18000000</v>
      </c>
      <c r="U226" s="5">
        <v>600000</v>
      </c>
      <c r="V226" s="5">
        <v>0</v>
      </c>
      <c r="W226" s="5">
        <v>18600000</v>
      </c>
      <c r="X226" s="5">
        <v>24700000</v>
      </c>
      <c r="Y226" s="5">
        <v>0</v>
      </c>
      <c r="Z226" s="5">
        <f t="shared" si="27"/>
        <v>6100000</v>
      </c>
      <c r="AA226" s="5">
        <v>2300000</v>
      </c>
      <c r="AB226" s="5">
        <f t="shared" si="28"/>
        <v>6700000</v>
      </c>
      <c r="AC226" s="5" t="s">
        <v>1079</v>
      </c>
      <c r="AD226" s="4" t="s">
        <v>51</v>
      </c>
      <c r="AE226" s="5">
        <f t="shared" si="29"/>
        <v>0.91044776119402981</v>
      </c>
      <c r="AF226" s="5">
        <v>3350000</v>
      </c>
      <c r="AG226" s="5">
        <v>1</v>
      </c>
      <c r="AH226" s="5">
        <v>1</v>
      </c>
      <c r="AI226" s="5">
        <v>1</v>
      </c>
      <c r="AJ226" s="7" t="s">
        <v>1080</v>
      </c>
      <c r="AK226" s="5">
        <v>0</v>
      </c>
      <c r="AL226" s="5">
        <v>0</v>
      </c>
      <c r="AM226" s="4">
        <v>2023</v>
      </c>
      <c r="AN226" s="5">
        <v>0</v>
      </c>
      <c r="AO226" s="5">
        <v>2</v>
      </c>
      <c r="AP226" s="8"/>
      <c r="AQ226" s="8"/>
      <c r="AR226" s="8">
        <f t="shared" si="30"/>
        <v>0</v>
      </c>
      <c r="AS226" s="8">
        <f t="shared" si="31"/>
        <v>600000</v>
      </c>
      <c r="AT226" s="8">
        <f t="shared" si="32"/>
        <v>4958000</v>
      </c>
      <c r="AU226" s="8">
        <f t="shared" si="33"/>
        <v>1742000</v>
      </c>
      <c r="AV226" s="4" t="s">
        <v>1078</v>
      </c>
      <c r="AW226" s="7" t="s">
        <v>1080</v>
      </c>
      <c r="AX226" s="5">
        <v>18000000</v>
      </c>
      <c r="AY226">
        <f t="shared" si="34"/>
        <v>0</v>
      </c>
      <c r="AZ226">
        <f t="shared" si="35"/>
        <v>1742000</v>
      </c>
      <c r="BA226" s="5">
        <v>24700000</v>
      </c>
      <c r="BB226" s="5">
        <v>0</v>
      </c>
      <c r="BC226" s="4" t="s">
        <v>49</v>
      </c>
      <c r="BD226" s="4">
        <v>47112</v>
      </c>
      <c r="BE226" t="s">
        <v>54</v>
      </c>
    </row>
    <row r="227" spans="1:57" ht="270.75" thickBot="1" x14ac:dyDescent="0.3">
      <c r="A227" s="4" t="s">
        <v>1081</v>
      </c>
      <c r="B227" s="4">
        <v>1002</v>
      </c>
      <c r="C227" s="5">
        <v>2</v>
      </c>
      <c r="D227" s="4" t="s">
        <v>44</v>
      </c>
      <c r="E227" s="6">
        <v>46226.861321631943</v>
      </c>
      <c r="F227" s="4" t="s">
        <v>1082</v>
      </c>
      <c r="G227" s="4" t="s">
        <v>46</v>
      </c>
      <c r="H227" s="4">
        <v>53</v>
      </c>
      <c r="I227" s="4" t="s">
        <v>47</v>
      </c>
      <c r="J227" s="4">
        <v>5309</v>
      </c>
      <c r="K227" s="4" t="s">
        <v>48</v>
      </c>
      <c r="L227" s="4">
        <v>5309020</v>
      </c>
      <c r="M227" s="4">
        <v>5309020015</v>
      </c>
      <c r="N227" s="4" t="s">
        <v>49</v>
      </c>
      <c r="O227" s="4">
        <v>47112</v>
      </c>
      <c r="P227" s="4" t="s">
        <v>1083</v>
      </c>
      <c r="Q227" s="5">
        <v>2</v>
      </c>
      <c r="R227" s="5">
        <v>0</v>
      </c>
      <c r="S227" s="5">
        <v>5000000</v>
      </c>
      <c r="T227" s="5">
        <v>10000000</v>
      </c>
      <c r="U227" s="5">
        <v>2000000</v>
      </c>
      <c r="V227" s="5">
        <v>0</v>
      </c>
      <c r="W227" s="5">
        <v>17000000</v>
      </c>
      <c r="X227" s="5">
        <v>20000000</v>
      </c>
      <c r="Y227" s="5">
        <v>5000000</v>
      </c>
      <c r="Z227" s="5">
        <f t="shared" si="27"/>
        <v>3000000</v>
      </c>
      <c r="AA227" s="5">
        <v>22000000</v>
      </c>
      <c r="AB227" s="5">
        <f t="shared" si="28"/>
        <v>10000000</v>
      </c>
      <c r="AC227" s="5" t="s">
        <v>93</v>
      </c>
      <c r="AD227" s="4" t="s">
        <v>51</v>
      </c>
      <c r="AE227" s="5">
        <f t="shared" si="29"/>
        <v>0.3</v>
      </c>
      <c r="AF227" s="5">
        <v>5000000</v>
      </c>
      <c r="AG227" s="5">
        <v>1</v>
      </c>
      <c r="AH227" s="5">
        <v>1</v>
      </c>
      <c r="AI227" s="5">
        <v>1</v>
      </c>
      <c r="AJ227" s="7" t="s">
        <v>1084</v>
      </c>
      <c r="AK227" s="5">
        <v>0</v>
      </c>
      <c r="AL227" s="5">
        <v>0</v>
      </c>
      <c r="AM227" s="4">
        <v>2023</v>
      </c>
      <c r="AN227" s="5">
        <v>0</v>
      </c>
      <c r="AO227" s="5">
        <v>2</v>
      </c>
      <c r="AP227" s="8"/>
      <c r="AQ227" s="8"/>
      <c r="AR227" s="8">
        <f t="shared" si="30"/>
        <v>0</v>
      </c>
      <c r="AS227" s="8">
        <f t="shared" si="31"/>
        <v>7000000</v>
      </c>
      <c r="AT227" s="8">
        <f t="shared" si="32"/>
        <v>3000000</v>
      </c>
      <c r="AU227" s="8">
        <f t="shared" si="33"/>
        <v>7000000</v>
      </c>
      <c r="AV227" s="4" t="s">
        <v>1083</v>
      </c>
      <c r="AW227" s="7" t="s">
        <v>1084</v>
      </c>
      <c r="AX227" s="5">
        <v>10000000</v>
      </c>
      <c r="AY227">
        <f t="shared" si="34"/>
        <v>5000000</v>
      </c>
      <c r="AZ227">
        <f t="shared" si="35"/>
        <v>2000000</v>
      </c>
      <c r="BA227" s="5">
        <v>20000000</v>
      </c>
      <c r="BB227" s="5">
        <v>5000000</v>
      </c>
      <c r="BC227" s="4" t="s">
        <v>49</v>
      </c>
      <c r="BD227" s="4">
        <v>47112</v>
      </c>
      <c r="BE227" t="s">
        <v>54</v>
      </c>
    </row>
    <row r="228" spans="1:57" ht="270.75" thickBot="1" x14ac:dyDescent="0.3">
      <c r="A228" s="4" t="s">
        <v>1085</v>
      </c>
      <c r="B228" s="4">
        <v>1</v>
      </c>
      <c r="C228" s="5">
        <v>2</v>
      </c>
      <c r="D228" s="4" t="s">
        <v>44</v>
      </c>
      <c r="E228" s="6">
        <v>46290.922910000001</v>
      </c>
      <c r="F228" s="4" t="s">
        <v>1086</v>
      </c>
      <c r="G228" s="4" t="s">
        <v>46</v>
      </c>
      <c r="H228" s="4">
        <v>53</v>
      </c>
      <c r="I228" s="4" t="s">
        <v>47</v>
      </c>
      <c r="J228" s="4">
        <v>5309</v>
      </c>
      <c r="K228" s="4" t="s">
        <v>48</v>
      </c>
      <c r="L228" s="4">
        <v>5309030</v>
      </c>
      <c r="M228" s="4">
        <v>5309030024</v>
      </c>
      <c r="N228" s="4" t="s">
        <v>49</v>
      </c>
      <c r="O228" s="4">
        <v>47112</v>
      </c>
      <c r="P228" s="4" t="s">
        <v>1087</v>
      </c>
      <c r="Q228" s="5">
        <v>1</v>
      </c>
      <c r="R228" s="5">
        <v>0</v>
      </c>
      <c r="S228" s="5">
        <v>0</v>
      </c>
      <c r="T228" s="5">
        <v>9000000</v>
      </c>
      <c r="U228" s="5">
        <v>600000</v>
      </c>
      <c r="V228" s="5">
        <v>0</v>
      </c>
      <c r="W228" s="5">
        <v>9600000</v>
      </c>
      <c r="X228" s="5">
        <v>18000000</v>
      </c>
      <c r="Y228" s="5">
        <v>0</v>
      </c>
      <c r="Z228" s="5">
        <f t="shared" si="27"/>
        <v>8400000</v>
      </c>
      <c r="AA228" s="5">
        <v>5000000</v>
      </c>
      <c r="AB228" s="5">
        <f t="shared" si="28"/>
        <v>9000000</v>
      </c>
      <c r="AC228" s="5" t="s">
        <v>93</v>
      </c>
      <c r="AD228" s="4" t="s">
        <v>51</v>
      </c>
      <c r="AE228" s="5">
        <f t="shared" si="29"/>
        <v>0.93333333333333335</v>
      </c>
      <c r="AF228" s="5">
        <v>9000000</v>
      </c>
      <c r="AG228" s="5">
        <v>1</v>
      </c>
      <c r="AH228" s="5">
        <v>1</v>
      </c>
      <c r="AI228" s="5">
        <v>1</v>
      </c>
      <c r="AJ228" s="7" t="s">
        <v>1088</v>
      </c>
      <c r="AK228" s="5">
        <v>0</v>
      </c>
      <c r="AL228" s="5">
        <v>0</v>
      </c>
      <c r="AM228" s="4">
        <v>2025</v>
      </c>
      <c r="AN228" s="5">
        <v>0</v>
      </c>
      <c r="AO228" s="5">
        <v>1</v>
      </c>
      <c r="AP228" s="8"/>
      <c r="AQ228" s="8"/>
      <c r="AR228" s="8">
        <f t="shared" si="30"/>
        <v>0</v>
      </c>
      <c r="AS228" s="8">
        <f t="shared" si="31"/>
        <v>600000</v>
      </c>
      <c r="AT228" s="8">
        <f t="shared" si="32"/>
        <v>6660000</v>
      </c>
      <c r="AU228" s="8">
        <f t="shared" si="33"/>
        <v>2340000</v>
      </c>
      <c r="AV228" s="4" t="s">
        <v>1087</v>
      </c>
      <c r="AW228" s="7" t="s">
        <v>1088</v>
      </c>
      <c r="AX228" s="5">
        <v>9000000</v>
      </c>
      <c r="AY228">
        <f t="shared" si="34"/>
        <v>0</v>
      </c>
      <c r="AZ228">
        <f t="shared" si="35"/>
        <v>2340000</v>
      </c>
      <c r="BA228" s="5">
        <v>18000000</v>
      </c>
      <c r="BB228" s="5">
        <v>0</v>
      </c>
      <c r="BC228" s="4" t="s">
        <v>49</v>
      </c>
      <c r="BD228" s="4">
        <v>47112</v>
      </c>
      <c r="BE228" t="s">
        <v>54</v>
      </c>
    </row>
    <row r="229" spans="1:57" ht="270.75" thickBot="1" x14ac:dyDescent="0.3">
      <c r="A229" s="4" t="s">
        <v>1089</v>
      </c>
      <c r="B229" s="4">
        <v>1</v>
      </c>
      <c r="C229" s="5">
        <v>2</v>
      </c>
      <c r="D229" s="4" t="s">
        <v>44</v>
      </c>
      <c r="E229" s="6">
        <v>46218.928096782409</v>
      </c>
      <c r="F229" s="4" t="s">
        <v>1090</v>
      </c>
      <c r="G229" s="4" t="s">
        <v>46</v>
      </c>
      <c r="H229" s="4">
        <v>53</v>
      </c>
      <c r="I229" s="4" t="s">
        <v>47</v>
      </c>
      <c r="J229" s="4">
        <v>5309</v>
      </c>
      <c r="K229" s="4" t="s">
        <v>48</v>
      </c>
      <c r="L229" s="4">
        <v>5309010</v>
      </c>
      <c r="M229" s="4">
        <v>5309010004</v>
      </c>
      <c r="N229" s="4" t="s">
        <v>49</v>
      </c>
      <c r="O229" s="4">
        <v>47112</v>
      </c>
      <c r="P229" s="4" t="s">
        <v>1091</v>
      </c>
      <c r="Q229" s="5">
        <v>1</v>
      </c>
      <c r="R229" s="5">
        <v>0</v>
      </c>
      <c r="S229" s="5">
        <v>0</v>
      </c>
      <c r="T229" s="5">
        <v>26000000</v>
      </c>
      <c r="U229" s="5">
        <v>500000</v>
      </c>
      <c r="V229" s="5">
        <v>1</v>
      </c>
      <c r="W229" s="5">
        <v>26500001</v>
      </c>
      <c r="X229" s="5">
        <v>37000000</v>
      </c>
      <c r="Y229" s="5">
        <v>0</v>
      </c>
      <c r="Z229" s="5">
        <f t="shared" si="27"/>
        <v>10500000</v>
      </c>
      <c r="AA229" s="5">
        <v>10000000</v>
      </c>
      <c r="AB229" s="5">
        <f t="shared" si="28"/>
        <v>11000000</v>
      </c>
      <c r="AC229" s="5" t="s">
        <v>1092</v>
      </c>
      <c r="AD229" s="4" t="s">
        <v>51</v>
      </c>
      <c r="AE229" s="5">
        <f t="shared" si="29"/>
        <v>0.95454545454545459</v>
      </c>
      <c r="AF229" s="5">
        <v>11000000</v>
      </c>
      <c r="AG229" s="5">
        <v>1</v>
      </c>
      <c r="AH229" s="5">
        <v>1</v>
      </c>
      <c r="AI229" s="5">
        <v>1</v>
      </c>
      <c r="AJ229" s="7" t="s">
        <v>1093</v>
      </c>
      <c r="AK229" s="5">
        <v>0</v>
      </c>
      <c r="AL229" s="5">
        <v>0</v>
      </c>
      <c r="AM229" s="4">
        <v>2025</v>
      </c>
      <c r="AN229" s="5">
        <v>0</v>
      </c>
      <c r="AO229" s="5">
        <v>1</v>
      </c>
      <c r="AP229" s="8"/>
      <c r="AQ229" s="8"/>
      <c r="AR229" s="8">
        <f t="shared" si="30"/>
        <v>0</v>
      </c>
      <c r="AS229" s="8">
        <f t="shared" si="31"/>
        <v>500000</v>
      </c>
      <c r="AT229" s="8">
        <f t="shared" si="32"/>
        <v>8140000</v>
      </c>
      <c r="AU229" s="8">
        <f t="shared" si="33"/>
        <v>2860000</v>
      </c>
      <c r="AV229" s="4" t="s">
        <v>1091</v>
      </c>
      <c r="AW229" s="7" t="s">
        <v>1093</v>
      </c>
      <c r="AX229" s="5">
        <v>26000000</v>
      </c>
      <c r="AY229">
        <f t="shared" si="34"/>
        <v>0</v>
      </c>
      <c r="AZ229">
        <f t="shared" si="35"/>
        <v>2860000</v>
      </c>
      <c r="BA229" s="5">
        <v>37000000</v>
      </c>
      <c r="BB229" s="5">
        <v>0</v>
      </c>
      <c r="BC229" s="4" t="s">
        <v>49</v>
      </c>
      <c r="BD229" s="4">
        <v>47112</v>
      </c>
      <c r="BE229" t="s">
        <v>54</v>
      </c>
    </row>
    <row r="230" spans="1:57" ht="270.75" thickBot="1" x14ac:dyDescent="0.3">
      <c r="A230" s="4" t="s">
        <v>1094</v>
      </c>
      <c r="B230" s="4">
        <v>2001</v>
      </c>
      <c r="C230" s="5">
        <v>2</v>
      </c>
      <c r="D230" s="4" t="s">
        <v>44</v>
      </c>
      <c r="E230" s="6">
        <v>46241.608469502316</v>
      </c>
      <c r="F230" s="4" t="s">
        <v>1095</v>
      </c>
      <c r="G230" s="4" t="s">
        <v>46</v>
      </c>
      <c r="H230" s="4">
        <v>53</v>
      </c>
      <c r="I230" s="4" t="s">
        <v>47</v>
      </c>
      <c r="J230" s="4">
        <v>5309</v>
      </c>
      <c r="K230" s="4" t="s">
        <v>48</v>
      </c>
      <c r="L230" s="4">
        <v>5309011</v>
      </c>
      <c r="M230" s="4">
        <v>5309011006</v>
      </c>
      <c r="N230" s="4" t="s">
        <v>49</v>
      </c>
      <c r="O230" s="4">
        <v>47112</v>
      </c>
      <c r="P230" s="4" t="s">
        <v>1096</v>
      </c>
      <c r="Q230" s="5">
        <v>1</v>
      </c>
      <c r="R230" s="5">
        <v>0</v>
      </c>
      <c r="S230" s="5">
        <v>500000</v>
      </c>
      <c r="T230" s="5">
        <v>20000000</v>
      </c>
      <c r="U230" s="5">
        <v>1000000</v>
      </c>
      <c r="V230" s="5">
        <v>0</v>
      </c>
      <c r="W230" s="5">
        <v>21500000</v>
      </c>
      <c r="X230" s="5">
        <v>30000000</v>
      </c>
      <c r="Y230" s="5">
        <v>0</v>
      </c>
      <c r="Z230" s="5">
        <f t="shared" si="27"/>
        <v>8500000</v>
      </c>
      <c r="AA230" s="5">
        <v>20000000</v>
      </c>
      <c r="AB230" s="5">
        <f t="shared" si="28"/>
        <v>10000000</v>
      </c>
      <c r="AC230" s="5" t="s">
        <v>102</v>
      </c>
      <c r="AD230" s="4" t="s">
        <v>51</v>
      </c>
      <c r="AE230" s="5">
        <f t="shared" si="29"/>
        <v>0.85</v>
      </c>
      <c r="AF230" s="5">
        <v>10000000</v>
      </c>
      <c r="AG230" s="5">
        <v>1</v>
      </c>
      <c r="AH230" s="5">
        <v>1</v>
      </c>
      <c r="AI230" s="5">
        <v>1</v>
      </c>
      <c r="AJ230" s="7" t="s">
        <v>1097</v>
      </c>
      <c r="AK230" s="5">
        <v>0</v>
      </c>
      <c r="AL230" s="5">
        <v>0</v>
      </c>
      <c r="AM230" s="4">
        <v>2024</v>
      </c>
      <c r="AN230" s="5">
        <v>0</v>
      </c>
      <c r="AO230" s="5">
        <v>1</v>
      </c>
      <c r="AP230" s="8"/>
      <c r="AQ230" s="8"/>
      <c r="AR230" s="8">
        <f t="shared" si="30"/>
        <v>0</v>
      </c>
      <c r="AS230" s="8">
        <f t="shared" si="31"/>
        <v>1500000</v>
      </c>
      <c r="AT230" s="8">
        <f t="shared" si="32"/>
        <v>7400000</v>
      </c>
      <c r="AU230" s="8">
        <f t="shared" si="33"/>
        <v>2600000</v>
      </c>
      <c r="AV230" s="4" t="s">
        <v>1096</v>
      </c>
      <c r="AW230" s="7" t="s">
        <v>1097</v>
      </c>
      <c r="AX230" s="5">
        <v>20000000</v>
      </c>
      <c r="AY230">
        <f t="shared" si="34"/>
        <v>866666.66666666674</v>
      </c>
      <c r="AZ230">
        <f t="shared" si="35"/>
        <v>1733333.3333333333</v>
      </c>
      <c r="BA230" s="5">
        <v>30000000</v>
      </c>
      <c r="BB230" s="5">
        <v>0</v>
      </c>
      <c r="BC230" s="4" t="s">
        <v>49</v>
      </c>
      <c r="BD230" s="4">
        <v>47112</v>
      </c>
      <c r="BE230" t="s">
        <v>54</v>
      </c>
    </row>
    <row r="231" spans="1:57" ht="270.75" thickBot="1" x14ac:dyDescent="0.3">
      <c r="A231" s="4" t="s">
        <v>1098</v>
      </c>
      <c r="B231" s="4">
        <v>1001</v>
      </c>
      <c r="C231" s="5">
        <v>2</v>
      </c>
      <c r="D231" s="4" t="s">
        <v>44</v>
      </c>
      <c r="E231" s="6">
        <v>46295.329932523149</v>
      </c>
      <c r="F231" s="4" t="s">
        <v>1099</v>
      </c>
      <c r="G231" s="4" t="s">
        <v>46</v>
      </c>
      <c r="H231" s="4">
        <v>53</v>
      </c>
      <c r="I231" s="4" t="s">
        <v>47</v>
      </c>
      <c r="J231" s="4">
        <v>5309</v>
      </c>
      <c r="K231" s="4" t="s">
        <v>48</v>
      </c>
      <c r="L231" s="4">
        <v>5309070</v>
      </c>
      <c r="M231" s="4">
        <v>5309070008</v>
      </c>
      <c r="N231" s="4" t="s">
        <v>49</v>
      </c>
      <c r="O231" s="4">
        <v>47112</v>
      </c>
      <c r="P231" s="4" t="s">
        <v>1100</v>
      </c>
      <c r="Q231" s="5">
        <v>4</v>
      </c>
      <c r="R231" s="5">
        <v>0</v>
      </c>
      <c r="S231" s="5">
        <v>0</v>
      </c>
      <c r="T231" s="5">
        <v>96000000</v>
      </c>
      <c r="U231" s="5">
        <v>3600000</v>
      </c>
      <c r="V231" s="5">
        <v>0</v>
      </c>
      <c r="W231" s="5">
        <v>99600000</v>
      </c>
      <c r="X231" s="5">
        <v>115200000</v>
      </c>
      <c r="Y231" s="5">
        <v>0</v>
      </c>
      <c r="Z231" s="5">
        <f t="shared" si="27"/>
        <v>15600000</v>
      </c>
      <c r="AA231" s="5">
        <v>43000000</v>
      </c>
      <c r="AB231" s="5">
        <f t="shared" si="28"/>
        <v>19200000</v>
      </c>
      <c r="AC231" s="5" t="s">
        <v>192</v>
      </c>
      <c r="AD231" s="4" t="s">
        <v>51</v>
      </c>
      <c r="AE231" s="5">
        <f t="shared" si="29"/>
        <v>0.8125</v>
      </c>
      <c r="AF231" s="5">
        <v>4800000</v>
      </c>
      <c r="AG231" s="5">
        <v>1</v>
      </c>
      <c r="AH231" s="5">
        <v>1</v>
      </c>
      <c r="AI231" s="5">
        <v>1</v>
      </c>
      <c r="AJ231" s="7" t="s">
        <v>1101</v>
      </c>
      <c r="AK231" s="5">
        <v>0</v>
      </c>
      <c r="AL231" s="5">
        <v>0</v>
      </c>
      <c r="AM231" s="4">
        <v>2019</v>
      </c>
      <c r="AN231" s="5">
        <v>0</v>
      </c>
      <c r="AO231" s="5">
        <v>4</v>
      </c>
      <c r="AP231" s="8"/>
      <c r="AQ231" s="8"/>
      <c r="AR231" s="8">
        <f t="shared" si="30"/>
        <v>0</v>
      </c>
      <c r="AS231" s="8">
        <f t="shared" si="31"/>
        <v>3600000</v>
      </c>
      <c r="AT231" s="8">
        <f t="shared" si="32"/>
        <v>14208000</v>
      </c>
      <c r="AU231" s="8">
        <f t="shared" si="33"/>
        <v>4992000</v>
      </c>
      <c r="AV231" s="4" t="s">
        <v>1100</v>
      </c>
      <c r="AW231" s="7" t="s">
        <v>1101</v>
      </c>
      <c r="AX231" s="5">
        <v>96000000</v>
      </c>
      <c r="AY231">
        <f t="shared" si="34"/>
        <v>0</v>
      </c>
      <c r="AZ231">
        <f t="shared" si="35"/>
        <v>4992000</v>
      </c>
      <c r="BA231" s="5">
        <v>115200000</v>
      </c>
      <c r="BB231" s="5">
        <v>0</v>
      </c>
      <c r="BC231" s="4" t="s">
        <v>49</v>
      </c>
      <c r="BD231" s="4">
        <v>47112</v>
      </c>
      <c r="BE231" t="s">
        <v>54</v>
      </c>
    </row>
    <row r="232" spans="1:57" ht="270.75" thickBot="1" x14ac:dyDescent="0.3">
      <c r="A232" s="4" t="s">
        <v>1102</v>
      </c>
      <c r="B232" s="4">
        <v>3001</v>
      </c>
      <c r="C232" s="5">
        <v>2</v>
      </c>
      <c r="D232" s="4" t="s">
        <v>44</v>
      </c>
      <c r="E232" s="6">
        <v>46238.584888310186</v>
      </c>
      <c r="F232" s="4" t="s">
        <v>1103</v>
      </c>
      <c r="G232" s="4" t="s">
        <v>46</v>
      </c>
      <c r="H232" s="4">
        <v>53</v>
      </c>
      <c r="I232" s="4" t="s">
        <v>47</v>
      </c>
      <c r="J232" s="4">
        <v>5309</v>
      </c>
      <c r="K232" s="4" t="s">
        <v>48</v>
      </c>
      <c r="L232" s="4">
        <v>5309020</v>
      </c>
      <c r="M232" s="4">
        <v>5309020012</v>
      </c>
      <c r="N232" s="4" t="s">
        <v>49</v>
      </c>
      <c r="O232" s="4">
        <v>47112</v>
      </c>
      <c r="P232" s="4" t="s">
        <v>1104</v>
      </c>
      <c r="Q232" s="5">
        <v>2</v>
      </c>
      <c r="R232" s="5">
        <v>0</v>
      </c>
      <c r="S232" s="5">
        <v>5000000</v>
      </c>
      <c r="T232" s="5">
        <v>12000000</v>
      </c>
      <c r="U232" s="5">
        <v>1500000</v>
      </c>
      <c r="V232" s="5">
        <v>10000</v>
      </c>
      <c r="W232" s="5">
        <v>18510000</v>
      </c>
      <c r="X232" s="5">
        <v>25000000</v>
      </c>
      <c r="Y232" s="5">
        <v>0</v>
      </c>
      <c r="Z232" s="5">
        <f t="shared" si="27"/>
        <v>6500000</v>
      </c>
      <c r="AA232" s="5">
        <v>8500000</v>
      </c>
      <c r="AB232" s="5">
        <f t="shared" si="28"/>
        <v>13000000</v>
      </c>
      <c r="AC232" s="5" t="s">
        <v>395</v>
      </c>
      <c r="AD232" s="4" t="s">
        <v>51</v>
      </c>
      <c r="AE232" s="5">
        <f t="shared" si="29"/>
        <v>0.5</v>
      </c>
      <c r="AF232" s="5">
        <v>6500000</v>
      </c>
      <c r="AG232" s="5">
        <v>1</v>
      </c>
      <c r="AH232" s="5">
        <v>1</v>
      </c>
      <c r="AI232" s="5">
        <v>1</v>
      </c>
      <c r="AJ232" s="7" t="s">
        <v>1105</v>
      </c>
      <c r="AK232" s="5">
        <v>0</v>
      </c>
      <c r="AL232" s="5">
        <v>0</v>
      </c>
      <c r="AM232" s="4">
        <v>2024</v>
      </c>
      <c r="AN232" s="5">
        <v>0</v>
      </c>
      <c r="AO232" s="5">
        <v>2</v>
      </c>
      <c r="AP232" s="8"/>
      <c r="AQ232" s="8"/>
      <c r="AR232" s="8">
        <f t="shared" si="30"/>
        <v>0</v>
      </c>
      <c r="AS232" s="8">
        <f t="shared" si="31"/>
        <v>6500000</v>
      </c>
      <c r="AT232" s="8">
        <f t="shared" si="32"/>
        <v>6500000</v>
      </c>
      <c r="AU232" s="8">
        <f t="shared" si="33"/>
        <v>6500000</v>
      </c>
      <c r="AV232" s="4" t="s">
        <v>1104</v>
      </c>
      <c r="AW232" s="7" t="s">
        <v>1105</v>
      </c>
      <c r="AX232" s="5">
        <v>12000000</v>
      </c>
      <c r="AY232">
        <f t="shared" si="34"/>
        <v>5000000</v>
      </c>
      <c r="AZ232">
        <f t="shared" si="35"/>
        <v>1500000</v>
      </c>
      <c r="BA232" s="5">
        <v>25000000</v>
      </c>
      <c r="BB232" s="5">
        <v>0</v>
      </c>
      <c r="BC232" s="4" t="s">
        <v>49</v>
      </c>
      <c r="BD232" s="4">
        <v>47112</v>
      </c>
      <c r="BE232" t="s">
        <v>54</v>
      </c>
    </row>
    <row r="233" spans="1:57" ht="270.75" thickBot="1" x14ac:dyDescent="0.3">
      <c r="A233" s="4" t="s">
        <v>1106</v>
      </c>
      <c r="B233" s="4">
        <v>2001</v>
      </c>
      <c r="C233" s="5">
        <v>2</v>
      </c>
      <c r="D233" s="4" t="s">
        <v>44</v>
      </c>
      <c r="E233" s="6">
        <v>46245.330290451391</v>
      </c>
      <c r="F233" s="4" t="s">
        <v>1107</v>
      </c>
      <c r="G233" s="4" t="s">
        <v>46</v>
      </c>
      <c r="H233" s="4">
        <v>53</v>
      </c>
      <c r="I233" s="4" t="s">
        <v>47</v>
      </c>
      <c r="J233" s="4">
        <v>5309</v>
      </c>
      <c r="K233" s="4" t="s">
        <v>48</v>
      </c>
      <c r="L233" s="4">
        <v>5309071</v>
      </c>
      <c r="M233" s="4">
        <v>5309071006</v>
      </c>
      <c r="N233" s="4" t="s">
        <v>49</v>
      </c>
      <c r="O233" s="4">
        <v>47112</v>
      </c>
      <c r="P233" s="4" t="s">
        <v>1108</v>
      </c>
      <c r="Q233" s="5">
        <v>1</v>
      </c>
      <c r="R233" s="5">
        <v>0</v>
      </c>
      <c r="S233" s="5">
        <v>0</v>
      </c>
      <c r="T233" s="5">
        <v>15500000</v>
      </c>
      <c r="U233" s="5">
        <v>1500000</v>
      </c>
      <c r="V233" s="5">
        <v>0</v>
      </c>
      <c r="W233" s="5">
        <v>17000000</v>
      </c>
      <c r="X233" s="5">
        <v>24500000</v>
      </c>
      <c r="Y233" s="5">
        <v>0</v>
      </c>
      <c r="Z233" s="5">
        <f t="shared" si="27"/>
        <v>7500000</v>
      </c>
      <c r="AA233" s="5">
        <v>15500000</v>
      </c>
      <c r="AB233" s="5">
        <f t="shared" si="28"/>
        <v>9000000</v>
      </c>
      <c r="AC233" s="5" t="s">
        <v>1109</v>
      </c>
      <c r="AD233" s="4" t="s">
        <v>51</v>
      </c>
      <c r="AE233" s="5">
        <f t="shared" si="29"/>
        <v>0.83333333333333337</v>
      </c>
      <c r="AF233" s="5">
        <v>9000000</v>
      </c>
      <c r="AG233" s="5">
        <v>1</v>
      </c>
      <c r="AH233" s="5">
        <v>1</v>
      </c>
      <c r="AI233" s="5">
        <v>1</v>
      </c>
      <c r="AJ233" s="7" t="s">
        <v>1110</v>
      </c>
      <c r="AK233" s="5">
        <v>0</v>
      </c>
      <c r="AL233" s="5">
        <v>0</v>
      </c>
      <c r="AM233" s="4">
        <v>2025</v>
      </c>
      <c r="AN233" s="5">
        <v>0</v>
      </c>
      <c r="AO233" s="5">
        <v>1</v>
      </c>
      <c r="AP233" s="8"/>
      <c r="AQ233" s="8"/>
      <c r="AR233" s="8">
        <f t="shared" si="30"/>
        <v>0</v>
      </c>
      <c r="AS233" s="8">
        <f t="shared" si="31"/>
        <v>1500000</v>
      </c>
      <c r="AT233" s="8">
        <f t="shared" si="32"/>
        <v>6660000</v>
      </c>
      <c r="AU233" s="8">
        <f t="shared" si="33"/>
        <v>2340000</v>
      </c>
      <c r="AV233" s="4" t="s">
        <v>1108</v>
      </c>
      <c r="AW233" s="7" t="s">
        <v>1110</v>
      </c>
      <c r="AX233" s="5">
        <v>15500000</v>
      </c>
      <c r="AY233">
        <f t="shared" si="34"/>
        <v>0</v>
      </c>
      <c r="AZ233">
        <f t="shared" si="35"/>
        <v>2340000</v>
      </c>
      <c r="BA233" s="5">
        <v>24500000</v>
      </c>
      <c r="BB233" s="5">
        <v>0</v>
      </c>
      <c r="BC233" s="4" t="s">
        <v>49</v>
      </c>
      <c r="BD233" s="4">
        <v>47112</v>
      </c>
      <c r="BE233" t="s">
        <v>54</v>
      </c>
    </row>
    <row r="234" spans="1:57" ht="270.75" thickBot="1" x14ac:dyDescent="0.3">
      <c r="A234" s="11" t="s">
        <v>1111</v>
      </c>
      <c r="B234" s="4">
        <v>3001</v>
      </c>
      <c r="C234" s="5">
        <v>2</v>
      </c>
      <c r="D234" s="4" t="s">
        <v>56</v>
      </c>
      <c r="E234" s="6">
        <v>46315.244040879632</v>
      </c>
      <c r="F234" s="11" t="s">
        <v>1112</v>
      </c>
      <c r="G234" s="4" t="s">
        <v>46</v>
      </c>
      <c r="H234" s="4">
        <v>53</v>
      </c>
      <c r="I234" s="4" t="s">
        <v>47</v>
      </c>
      <c r="J234" s="4">
        <v>5309</v>
      </c>
      <c r="K234" s="4" t="s">
        <v>48</v>
      </c>
      <c r="L234" s="4">
        <v>5309020</v>
      </c>
      <c r="M234" s="4">
        <v>5309020016</v>
      </c>
      <c r="N234" s="4" t="s">
        <v>49</v>
      </c>
      <c r="O234" s="4">
        <v>47112</v>
      </c>
      <c r="P234" s="4" t="s">
        <v>1113</v>
      </c>
      <c r="Q234" s="5">
        <v>2</v>
      </c>
      <c r="R234" s="5">
        <v>0</v>
      </c>
      <c r="S234" s="5">
        <v>5000000</v>
      </c>
      <c r="T234" s="5">
        <v>15000000</v>
      </c>
      <c r="U234" s="5">
        <v>2000000</v>
      </c>
      <c r="V234" s="5">
        <v>0</v>
      </c>
      <c r="W234" s="5">
        <v>22000000</v>
      </c>
      <c r="X234" s="5">
        <v>25000000</v>
      </c>
      <c r="Y234" s="5">
        <v>0</v>
      </c>
      <c r="Z234" s="5">
        <f t="shared" si="27"/>
        <v>3000000</v>
      </c>
      <c r="AA234" s="5">
        <v>5000000</v>
      </c>
      <c r="AB234" s="5">
        <f t="shared" si="28"/>
        <v>10000000</v>
      </c>
      <c r="AC234" s="5" t="s">
        <v>100</v>
      </c>
      <c r="AD234" s="4" t="s">
        <v>51</v>
      </c>
      <c r="AE234" s="5">
        <f t="shared" si="29"/>
        <v>0.3</v>
      </c>
      <c r="AF234" s="5">
        <v>5000000</v>
      </c>
      <c r="AG234" s="5">
        <v>1</v>
      </c>
      <c r="AH234" s="5">
        <v>1</v>
      </c>
      <c r="AI234" s="5">
        <v>1</v>
      </c>
      <c r="AJ234" s="7" t="s">
        <v>1114</v>
      </c>
      <c r="AK234" s="5">
        <v>0</v>
      </c>
      <c r="AL234" s="5">
        <v>0</v>
      </c>
      <c r="AM234" s="4">
        <v>2005</v>
      </c>
      <c r="AN234" s="5">
        <v>0</v>
      </c>
      <c r="AO234" s="5">
        <v>2</v>
      </c>
      <c r="AP234" s="8"/>
      <c r="AQ234" s="8"/>
      <c r="AR234" s="8">
        <f t="shared" si="30"/>
        <v>0</v>
      </c>
      <c r="AS234" s="8">
        <f t="shared" si="31"/>
        <v>7000000</v>
      </c>
      <c r="AT234" s="8">
        <f t="shared" si="32"/>
        <v>3000000</v>
      </c>
      <c r="AU234" s="8">
        <f t="shared" si="33"/>
        <v>7000000</v>
      </c>
      <c r="AV234" s="4" t="s">
        <v>1113</v>
      </c>
      <c r="AW234" s="7" t="s">
        <v>1114</v>
      </c>
      <c r="AX234" s="5">
        <v>15000000</v>
      </c>
      <c r="AY234">
        <f t="shared" si="34"/>
        <v>5000000</v>
      </c>
      <c r="AZ234">
        <f t="shared" si="35"/>
        <v>2000000</v>
      </c>
      <c r="BA234" s="5">
        <v>25000000</v>
      </c>
      <c r="BB234" s="5">
        <v>0</v>
      </c>
      <c r="BC234" s="4" t="s">
        <v>49</v>
      </c>
      <c r="BD234" s="4">
        <v>47112</v>
      </c>
      <c r="BE234" t="s">
        <v>54</v>
      </c>
    </row>
    <row r="235" spans="1:57" ht="270.75" thickBot="1" x14ac:dyDescent="0.3">
      <c r="A235" s="4" t="s">
        <v>1115</v>
      </c>
      <c r="B235" s="4">
        <v>3001</v>
      </c>
      <c r="C235" s="5">
        <v>2</v>
      </c>
      <c r="D235" s="4" t="s">
        <v>44</v>
      </c>
      <c r="E235" s="6">
        <v>46293.073958194444</v>
      </c>
      <c r="F235" s="4" t="s">
        <v>1116</v>
      </c>
      <c r="G235" s="4" t="s">
        <v>46</v>
      </c>
      <c r="H235" s="4">
        <v>53</v>
      </c>
      <c r="I235" s="4" t="s">
        <v>47</v>
      </c>
      <c r="J235" s="4">
        <v>5309</v>
      </c>
      <c r="K235" s="4" t="s">
        <v>48</v>
      </c>
      <c r="L235" s="4">
        <v>5309030</v>
      </c>
      <c r="M235" s="4">
        <v>5309030024</v>
      </c>
      <c r="N235" s="4" t="s">
        <v>49</v>
      </c>
      <c r="O235" s="4">
        <v>47112</v>
      </c>
      <c r="P235" s="4" t="s">
        <v>1117</v>
      </c>
      <c r="Q235" s="5">
        <v>1</v>
      </c>
      <c r="R235" s="5">
        <v>0</v>
      </c>
      <c r="S235" s="5">
        <v>0</v>
      </c>
      <c r="T235" s="5">
        <v>500000</v>
      </c>
      <c r="U235" s="5">
        <v>200000</v>
      </c>
      <c r="V235" s="5">
        <v>0</v>
      </c>
      <c r="W235" s="5">
        <v>700000</v>
      </c>
      <c r="X235" s="5">
        <v>2400000</v>
      </c>
      <c r="Y235" s="5">
        <v>0</v>
      </c>
      <c r="Z235" s="5">
        <f t="shared" si="27"/>
        <v>1700000</v>
      </c>
      <c r="AA235" s="5">
        <v>12000000</v>
      </c>
      <c r="AB235" s="5">
        <f t="shared" si="28"/>
        <v>1900000</v>
      </c>
      <c r="AC235" s="5" t="s">
        <v>1118</v>
      </c>
      <c r="AD235" s="4" t="s">
        <v>51</v>
      </c>
      <c r="AE235" s="5">
        <f t="shared" si="29"/>
        <v>0.89473684210526316</v>
      </c>
      <c r="AF235" s="5">
        <v>1900000</v>
      </c>
      <c r="AG235" s="5">
        <v>1</v>
      </c>
      <c r="AH235" s="5">
        <v>1</v>
      </c>
      <c r="AI235" s="5">
        <v>1</v>
      </c>
      <c r="AJ235" s="7" t="s">
        <v>1119</v>
      </c>
      <c r="AK235" s="5">
        <v>0</v>
      </c>
      <c r="AL235" s="5">
        <v>0</v>
      </c>
      <c r="AM235" s="4">
        <v>2023</v>
      </c>
      <c r="AN235" s="5">
        <v>0</v>
      </c>
      <c r="AO235" s="5">
        <v>1</v>
      </c>
      <c r="AP235" s="8"/>
      <c r="AQ235" s="8"/>
      <c r="AR235" s="8">
        <f t="shared" si="30"/>
        <v>0</v>
      </c>
      <c r="AS235" s="8">
        <f t="shared" si="31"/>
        <v>200000</v>
      </c>
      <c r="AT235" s="8">
        <f t="shared" si="32"/>
        <v>1406000</v>
      </c>
      <c r="AU235" s="8">
        <f t="shared" si="33"/>
        <v>494000</v>
      </c>
      <c r="AV235" s="4" t="s">
        <v>1117</v>
      </c>
      <c r="AW235" s="7" t="s">
        <v>1119</v>
      </c>
      <c r="AX235" s="5">
        <v>500000</v>
      </c>
      <c r="AY235">
        <f t="shared" si="34"/>
        <v>0</v>
      </c>
      <c r="AZ235">
        <f t="shared" si="35"/>
        <v>494000</v>
      </c>
      <c r="BA235" s="5">
        <v>2400000</v>
      </c>
      <c r="BB235" s="5">
        <v>0</v>
      </c>
      <c r="BC235" s="4" t="s">
        <v>49</v>
      </c>
      <c r="BD235" s="4">
        <v>47112</v>
      </c>
      <c r="BE235" t="s">
        <v>54</v>
      </c>
    </row>
    <row r="236" spans="1:57" ht="270.75" thickBot="1" x14ac:dyDescent="0.3">
      <c r="A236" s="4" t="s">
        <v>1120</v>
      </c>
      <c r="B236" s="4">
        <v>3001</v>
      </c>
      <c r="C236" s="5">
        <v>2</v>
      </c>
      <c r="D236" s="4" t="s">
        <v>44</v>
      </c>
      <c r="E236" s="6">
        <v>46290.925862037038</v>
      </c>
      <c r="F236" s="4" t="s">
        <v>1121</v>
      </c>
      <c r="G236" s="4" t="s">
        <v>46</v>
      </c>
      <c r="H236" s="4">
        <v>53</v>
      </c>
      <c r="I236" s="4" t="s">
        <v>47</v>
      </c>
      <c r="J236" s="4">
        <v>5309</v>
      </c>
      <c r="K236" s="4" t="s">
        <v>48</v>
      </c>
      <c r="L236" s="4">
        <v>5309030</v>
      </c>
      <c r="M236" s="4">
        <v>5309030021</v>
      </c>
      <c r="N236" s="4" t="s">
        <v>49</v>
      </c>
      <c r="O236" s="4">
        <v>47112</v>
      </c>
      <c r="P236" s="4" t="s">
        <v>1122</v>
      </c>
      <c r="Q236" s="5">
        <v>1</v>
      </c>
      <c r="R236" s="5">
        <v>0</v>
      </c>
      <c r="S236" s="5">
        <v>350000</v>
      </c>
      <c r="T236" s="5">
        <v>22500000</v>
      </c>
      <c r="U236" s="5">
        <v>500000</v>
      </c>
      <c r="V236" s="5">
        <v>0</v>
      </c>
      <c r="W236" s="5">
        <v>23350000</v>
      </c>
      <c r="X236" s="5">
        <v>29000000</v>
      </c>
      <c r="Y236" s="5">
        <v>1250000</v>
      </c>
      <c r="Z236" s="5">
        <f t="shared" si="27"/>
        <v>5650000</v>
      </c>
      <c r="AA236" s="5">
        <v>60000000</v>
      </c>
      <c r="AB236" s="5">
        <f t="shared" si="28"/>
        <v>6500000</v>
      </c>
      <c r="AC236" s="5" t="s">
        <v>1123</v>
      </c>
      <c r="AD236" s="4" t="s">
        <v>51</v>
      </c>
      <c r="AE236" s="5">
        <f t="shared" si="29"/>
        <v>0.86923076923076925</v>
      </c>
      <c r="AF236" s="5">
        <v>6500000</v>
      </c>
      <c r="AG236" s="5">
        <v>1</v>
      </c>
      <c r="AH236" s="5">
        <v>1</v>
      </c>
      <c r="AI236" s="5">
        <v>1</v>
      </c>
      <c r="AJ236" s="7" t="s">
        <v>1124</v>
      </c>
      <c r="AK236" s="5">
        <v>0</v>
      </c>
      <c r="AL236" s="5">
        <v>0</v>
      </c>
      <c r="AM236" s="4">
        <v>2016</v>
      </c>
      <c r="AN236" s="5">
        <v>0</v>
      </c>
      <c r="AO236" s="5">
        <v>1</v>
      </c>
      <c r="AP236" s="8"/>
      <c r="AQ236" s="8"/>
      <c r="AR236" s="8">
        <f t="shared" si="30"/>
        <v>0</v>
      </c>
      <c r="AS236" s="8">
        <f t="shared" si="31"/>
        <v>850000</v>
      </c>
      <c r="AT236" s="8">
        <f t="shared" si="32"/>
        <v>4810000</v>
      </c>
      <c r="AU236" s="8">
        <f t="shared" si="33"/>
        <v>1690000</v>
      </c>
      <c r="AV236" s="4" t="s">
        <v>1122</v>
      </c>
      <c r="AW236" s="7" t="s">
        <v>1124</v>
      </c>
      <c r="AX236" s="5">
        <v>22500000</v>
      </c>
      <c r="AY236">
        <f t="shared" si="34"/>
        <v>695882.3529411765</v>
      </c>
      <c r="AZ236">
        <f t="shared" si="35"/>
        <v>994117.6470588235</v>
      </c>
      <c r="BA236" s="5">
        <v>29000000</v>
      </c>
      <c r="BB236" s="5">
        <v>1250000</v>
      </c>
      <c r="BC236" s="4" t="s">
        <v>49</v>
      </c>
      <c r="BD236" s="4">
        <v>47112</v>
      </c>
      <c r="BE236" t="s">
        <v>54</v>
      </c>
    </row>
    <row r="237" spans="1:57" ht="270.75" thickBot="1" x14ac:dyDescent="0.3">
      <c r="A237" s="4" t="s">
        <v>1125</v>
      </c>
      <c r="B237" s="4">
        <v>1003</v>
      </c>
      <c r="C237" s="5">
        <v>2</v>
      </c>
      <c r="D237" s="4" t="s">
        <v>44</v>
      </c>
      <c r="E237" s="6">
        <v>46276.03015327546</v>
      </c>
      <c r="F237" s="4" t="s">
        <v>1126</v>
      </c>
      <c r="G237" s="4" t="s">
        <v>46</v>
      </c>
      <c r="H237" s="4">
        <v>53</v>
      </c>
      <c r="I237" s="4" t="s">
        <v>47</v>
      </c>
      <c r="J237" s="4">
        <v>5309</v>
      </c>
      <c r="K237" s="4" t="s">
        <v>48</v>
      </c>
      <c r="L237" s="4">
        <v>5309011</v>
      </c>
      <c r="M237" s="4">
        <v>5309011010</v>
      </c>
      <c r="N237" s="4" t="s">
        <v>49</v>
      </c>
      <c r="O237" s="4">
        <v>47112</v>
      </c>
      <c r="P237" s="4" t="s">
        <v>991</v>
      </c>
      <c r="Q237" s="5">
        <v>6</v>
      </c>
      <c r="R237" s="5">
        <v>0</v>
      </c>
      <c r="S237" s="5">
        <v>1275000</v>
      </c>
      <c r="T237" s="5">
        <v>5000000</v>
      </c>
      <c r="U237" s="5">
        <v>500000</v>
      </c>
      <c r="V237" s="5">
        <v>0</v>
      </c>
      <c r="W237" s="5">
        <v>6775000</v>
      </c>
      <c r="X237" s="5">
        <v>7500000</v>
      </c>
      <c r="Y237" s="5">
        <v>0</v>
      </c>
      <c r="Z237" s="5">
        <f t="shared" si="27"/>
        <v>725000</v>
      </c>
      <c r="AA237" s="5">
        <v>29000000</v>
      </c>
      <c r="AB237" s="5">
        <f t="shared" si="28"/>
        <v>2500000</v>
      </c>
      <c r="AC237" s="5" t="s">
        <v>102</v>
      </c>
      <c r="AD237" s="4" t="s">
        <v>51</v>
      </c>
      <c r="AE237" s="5">
        <f t="shared" si="29"/>
        <v>0.28999999999999998</v>
      </c>
      <c r="AF237" s="10">
        <v>4166666667</v>
      </c>
      <c r="AG237" s="5">
        <v>1</v>
      </c>
      <c r="AH237" s="5">
        <v>1</v>
      </c>
      <c r="AI237" s="5">
        <v>1</v>
      </c>
      <c r="AJ237" s="7" t="s">
        <v>1127</v>
      </c>
      <c r="AK237" s="5">
        <v>0</v>
      </c>
      <c r="AL237" s="5">
        <v>0</v>
      </c>
      <c r="AM237" s="4">
        <v>2025</v>
      </c>
      <c r="AN237" s="5">
        <v>0</v>
      </c>
      <c r="AO237" s="5">
        <v>6</v>
      </c>
      <c r="AP237" s="8"/>
      <c r="AQ237" s="8"/>
      <c r="AR237" s="8">
        <f t="shared" si="30"/>
        <v>0</v>
      </c>
      <c r="AS237" s="8">
        <f t="shared" si="31"/>
        <v>1775000</v>
      </c>
      <c r="AT237" s="8">
        <f t="shared" si="32"/>
        <v>725000</v>
      </c>
      <c r="AU237" s="8">
        <f t="shared" si="33"/>
        <v>1775000</v>
      </c>
      <c r="AV237" s="4" t="s">
        <v>991</v>
      </c>
      <c r="AW237" s="7" t="s">
        <v>1127</v>
      </c>
      <c r="AX237" s="5">
        <v>5000000</v>
      </c>
      <c r="AY237">
        <f t="shared" si="34"/>
        <v>1275000</v>
      </c>
      <c r="AZ237">
        <f t="shared" si="35"/>
        <v>500000</v>
      </c>
      <c r="BA237" s="5">
        <v>7500000</v>
      </c>
      <c r="BB237" s="5">
        <v>0</v>
      </c>
      <c r="BC237" s="4" t="s">
        <v>49</v>
      </c>
      <c r="BD237" s="4">
        <v>47112</v>
      </c>
      <c r="BE237" t="s">
        <v>54</v>
      </c>
    </row>
    <row r="238" spans="1:57" ht="255.75" thickBot="1" x14ac:dyDescent="0.3">
      <c r="A238" s="4" t="s">
        <v>1128</v>
      </c>
      <c r="B238" s="4">
        <v>1</v>
      </c>
      <c r="C238" s="5">
        <v>2</v>
      </c>
      <c r="D238" s="4" t="s">
        <v>44</v>
      </c>
      <c r="E238" s="6">
        <v>46218.047535057871</v>
      </c>
      <c r="F238" s="4" t="s">
        <v>1129</v>
      </c>
      <c r="G238" s="4" t="s">
        <v>46</v>
      </c>
      <c r="H238" s="4">
        <v>53</v>
      </c>
      <c r="I238" s="4" t="s">
        <v>47</v>
      </c>
      <c r="J238" s="4">
        <v>5309</v>
      </c>
      <c r="K238" s="4" t="s">
        <v>48</v>
      </c>
      <c r="L238" s="4">
        <v>5309062</v>
      </c>
      <c r="M238" s="4">
        <v>5309062006</v>
      </c>
      <c r="N238" s="4" t="s">
        <v>49</v>
      </c>
      <c r="O238" s="4">
        <v>47112</v>
      </c>
      <c r="P238" s="4" t="s">
        <v>1130</v>
      </c>
      <c r="Q238" s="5">
        <v>2</v>
      </c>
      <c r="R238" s="5">
        <v>0</v>
      </c>
      <c r="S238" s="5">
        <v>0</v>
      </c>
      <c r="T238" s="5">
        <v>100000000</v>
      </c>
      <c r="U238" s="5">
        <v>100000</v>
      </c>
      <c r="V238" s="5">
        <v>0</v>
      </c>
      <c r="W238" s="5">
        <v>100100000</v>
      </c>
      <c r="X238" s="5">
        <v>180000000</v>
      </c>
      <c r="Y238" s="5">
        <v>0</v>
      </c>
      <c r="Z238" s="5">
        <f t="shared" si="27"/>
        <v>79900000</v>
      </c>
      <c r="AA238" s="5">
        <v>3500000</v>
      </c>
      <c r="AB238" s="5">
        <f t="shared" si="28"/>
        <v>80000000</v>
      </c>
      <c r="AC238" s="5" t="s">
        <v>117</v>
      </c>
      <c r="AD238" s="4" t="s">
        <v>51</v>
      </c>
      <c r="AE238" s="5">
        <f t="shared" si="29"/>
        <v>0.99875000000000003</v>
      </c>
      <c r="AF238" s="5">
        <v>40000000</v>
      </c>
      <c r="AG238" s="5">
        <v>1</v>
      </c>
      <c r="AH238" s="5">
        <v>1</v>
      </c>
      <c r="AI238" s="5">
        <v>1</v>
      </c>
      <c r="AJ238" s="7" t="s">
        <v>1131</v>
      </c>
      <c r="AK238" s="5">
        <v>0</v>
      </c>
      <c r="AL238" s="5">
        <v>0</v>
      </c>
      <c r="AM238" s="4">
        <v>2011</v>
      </c>
      <c r="AN238" s="5">
        <v>0</v>
      </c>
      <c r="AO238" s="5">
        <v>2</v>
      </c>
      <c r="AP238" s="8"/>
      <c r="AQ238" s="8"/>
      <c r="AR238" s="8">
        <f t="shared" si="30"/>
        <v>0</v>
      </c>
      <c r="AS238" s="8">
        <f t="shared" si="31"/>
        <v>100000</v>
      </c>
      <c r="AT238" s="8">
        <f t="shared" si="32"/>
        <v>59200000</v>
      </c>
      <c r="AU238" s="8">
        <f t="shared" si="33"/>
        <v>20800000</v>
      </c>
      <c r="AV238" s="4" t="s">
        <v>1130</v>
      </c>
      <c r="AW238" s="7" t="s">
        <v>1131</v>
      </c>
      <c r="AX238" s="5">
        <v>100000000</v>
      </c>
      <c r="AY238">
        <f t="shared" si="34"/>
        <v>0</v>
      </c>
      <c r="AZ238">
        <f t="shared" si="35"/>
        <v>20800000</v>
      </c>
      <c r="BA238" s="5">
        <v>180000000</v>
      </c>
      <c r="BB238" s="5">
        <v>0</v>
      </c>
      <c r="BC238" s="4" t="s">
        <v>49</v>
      </c>
      <c r="BD238" s="4">
        <v>47112</v>
      </c>
      <c r="BE238" t="s">
        <v>54</v>
      </c>
    </row>
    <row r="239" spans="1:57" ht="270.75" thickBot="1" x14ac:dyDescent="0.3">
      <c r="A239" s="4" t="s">
        <v>1132</v>
      </c>
      <c r="B239" s="4">
        <v>1001</v>
      </c>
      <c r="C239" s="5">
        <v>2</v>
      </c>
      <c r="D239" s="4" t="s">
        <v>44</v>
      </c>
      <c r="E239" s="6">
        <v>46238.412794849537</v>
      </c>
      <c r="F239" s="4" t="s">
        <v>1133</v>
      </c>
      <c r="G239" s="4" t="s">
        <v>46</v>
      </c>
      <c r="H239" s="4">
        <v>53</v>
      </c>
      <c r="I239" s="4" t="s">
        <v>47</v>
      </c>
      <c r="J239" s="4">
        <v>5309</v>
      </c>
      <c r="K239" s="4" t="s">
        <v>48</v>
      </c>
      <c r="L239" s="4">
        <v>5309073</v>
      </c>
      <c r="M239" s="4">
        <v>5309073006</v>
      </c>
      <c r="N239" s="4" t="s">
        <v>49</v>
      </c>
      <c r="O239" s="4">
        <v>47112</v>
      </c>
      <c r="P239" s="4" t="s">
        <v>1134</v>
      </c>
      <c r="Q239" s="5">
        <v>1</v>
      </c>
      <c r="R239" s="5">
        <v>0</v>
      </c>
      <c r="S239" s="5">
        <v>250000</v>
      </c>
      <c r="T239" s="5">
        <v>12300000</v>
      </c>
      <c r="U239" s="5">
        <v>360000</v>
      </c>
      <c r="V239" s="5">
        <v>0</v>
      </c>
      <c r="W239" s="5">
        <v>12910000</v>
      </c>
      <c r="X239" s="5">
        <v>15100000</v>
      </c>
      <c r="Y239" s="5">
        <v>0</v>
      </c>
      <c r="Z239" s="5">
        <f t="shared" si="27"/>
        <v>2190000</v>
      </c>
      <c r="AA239" s="5">
        <v>10500000</v>
      </c>
      <c r="AB239" s="5">
        <f t="shared" si="28"/>
        <v>2800000</v>
      </c>
      <c r="AC239" s="5" t="s">
        <v>1135</v>
      </c>
      <c r="AD239" s="4" t="s">
        <v>51</v>
      </c>
      <c r="AE239" s="5">
        <f t="shared" si="29"/>
        <v>0.78214285714285714</v>
      </c>
      <c r="AF239" s="5">
        <v>2800000</v>
      </c>
      <c r="AG239" s="5">
        <v>0</v>
      </c>
      <c r="AH239" s="5">
        <v>1</v>
      </c>
      <c r="AI239" s="5">
        <v>1</v>
      </c>
      <c r="AJ239" s="7" t="s">
        <v>1136</v>
      </c>
      <c r="AK239" s="5">
        <v>0</v>
      </c>
      <c r="AL239" s="5">
        <v>0</v>
      </c>
      <c r="AM239" s="4">
        <v>2012</v>
      </c>
      <c r="AN239" s="5">
        <v>0</v>
      </c>
      <c r="AO239" s="5">
        <v>1</v>
      </c>
      <c r="AP239" s="8"/>
      <c r="AQ239" s="8"/>
      <c r="AR239" s="8">
        <f t="shared" si="30"/>
        <v>0</v>
      </c>
      <c r="AS239" s="8">
        <f t="shared" si="31"/>
        <v>610000</v>
      </c>
      <c r="AT239" s="8">
        <f t="shared" si="32"/>
        <v>2072000</v>
      </c>
      <c r="AU239" s="8">
        <f t="shared" si="33"/>
        <v>728000</v>
      </c>
      <c r="AV239" s="4" t="s">
        <v>1134</v>
      </c>
      <c r="AW239" s="7" t="s">
        <v>1136</v>
      </c>
      <c r="AX239" s="5">
        <v>12300000</v>
      </c>
      <c r="AY239">
        <f t="shared" si="34"/>
        <v>298360.65573770495</v>
      </c>
      <c r="AZ239">
        <f t="shared" si="35"/>
        <v>429639.34426229505</v>
      </c>
      <c r="BA239" s="5">
        <v>15100000</v>
      </c>
      <c r="BB239" s="5">
        <v>0</v>
      </c>
      <c r="BC239" s="4" t="s">
        <v>49</v>
      </c>
      <c r="BD239" s="4">
        <v>47112</v>
      </c>
      <c r="BE239" t="s">
        <v>54</v>
      </c>
    </row>
    <row r="240" spans="1:57" ht="270.75" thickBot="1" x14ac:dyDescent="0.3">
      <c r="A240" s="4" t="s">
        <v>1137</v>
      </c>
      <c r="B240" s="4">
        <v>1002</v>
      </c>
      <c r="C240" s="5">
        <v>2</v>
      </c>
      <c r="D240" s="4" t="s">
        <v>44</v>
      </c>
      <c r="E240" s="6">
        <v>46278.095329988428</v>
      </c>
      <c r="F240" s="4" t="s">
        <v>1138</v>
      </c>
      <c r="G240" s="4" t="s">
        <v>46</v>
      </c>
      <c r="H240" s="4">
        <v>53</v>
      </c>
      <c r="I240" s="4" t="s">
        <v>47</v>
      </c>
      <c r="J240" s="4">
        <v>5309</v>
      </c>
      <c r="K240" s="4" t="s">
        <v>48</v>
      </c>
      <c r="L240" s="4">
        <v>5309070</v>
      </c>
      <c r="M240" s="4">
        <v>5309070006</v>
      </c>
      <c r="N240" s="4" t="s">
        <v>49</v>
      </c>
      <c r="O240" s="4">
        <v>47112</v>
      </c>
      <c r="P240" s="4" t="s">
        <v>1139</v>
      </c>
      <c r="Q240" s="5">
        <v>1</v>
      </c>
      <c r="R240" s="5">
        <v>0</v>
      </c>
      <c r="S240" s="5">
        <v>500000</v>
      </c>
      <c r="T240" s="5">
        <v>15000000</v>
      </c>
      <c r="U240" s="5">
        <v>2500000</v>
      </c>
      <c r="V240" s="5">
        <v>500000</v>
      </c>
      <c r="W240" s="5">
        <v>18500000</v>
      </c>
      <c r="X240" s="5">
        <v>21500000</v>
      </c>
      <c r="Y240" s="5">
        <v>0</v>
      </c>
      <c r="Z240" s="5">
        <f t="shared" si="27"/>
        <v>3500000</v>
      </c>
      <c r="AA240" s="5">
        <v>1500000</v>
      </c>
      <c r="AB240" s="5">
        <f t="shared" si="28"/>
        <v>6500000</v>
      </c>
      <c r="AC240" s="5" t="s">
        <v>1140</v>
      </c>
      <c r="AD240" s="4" t="s">
        <v>51</v>
      </c>
      <c r="AE240" s="5">
        <f t="shared" si="29"/>
        <v>0.53846153846153844</v>
      </c>
      <c r="AF240" s="5">
        <v>6500000</v>
      </c>
      <c r="AG240" s="5">
        <v>1</v>
      </c>
      <c r="AH240" s="5">
        <v>1</v>
      </c>
      <c r="AI240" s="5">
        <v>1</v>
      </c>
      <c r="AJ240" s="7" t="s">
        <v>1142</v>
      </c>
      <c r="AK240" s="5">
        <v>0</v>
      </c>
      <c r="AL240" s="5">
        <v>0</v>
      </c>
      <c r="AM240" s="4">
        <v>2023</v>
      </c>
      <c r="AN240" s="5">
        <v>0</v>
      </c>
      <c r="AO240" s="5">
        <v>1</v>
      </c>
      <c r="AP240" s="8"/>
      <c r="AQ240" s="8"/>
      <c r="AR240" s="8">
        <f t="shared" si="30"/>
        <v>0</v>
      </c>
      <c r="AS240" s="8">
        <f t="shared" si="31"/>
        <v>3000000</v>
      </c>
      <c r="AT240" s="8">
        <f t="shared" si="32"/>
        <v>3500000</v>
      </c>
      <c r="AU240" s="8">
        <f t="shared" si="33"/>
        <v>3000000</v>
      </c>
      <c r="AV240" s="4" t="s">
        <v>1139</v>
      </c>
      <c r="AW240" s="7" t="s">
        <v>1142</v>
      </c>
      <c r="AX240" s="5">
        <v>15000000</v>
      </c>
      <c r="AY240">
        <f t="shared" si="34"/>
        <v>500000</v>
      </c>
      <c r="AZ240">
        <f t="shared" si="35"/>
        <v>2500000</v>
      </c>
      <c r="BA240" s="5">
        <v>21500000</v>
      </c>
      <c r="BB240" s="5">
        <v>0</v>
      </c>
      <c r="BC240" s="4" t="s">
        <v>49</v>
      </c>
      <c r="BD240" s="4">
        <v>47112</v>
      </c>
      <c r="BE240" t="s">
        <v>54</v>
      </c>
    </row>
    <row r="241" spans="1:57" ht="255.75" thickBot="1" x14ac:dyDescent="0.3">
      <c r="A241" s="4" t="s">
        <v>1143</v>
      </c>
      <c r="B241" s="4">
        <v>1002</v>
      </c>
      <c r="C241" s="5">
        <v>2</v>
      </c>
      <c r="D241" s="4" t="s">
        <v>44</v>
      </c>
      <c r="E241" s="6">
        <v>46251.093409814814</v>
      </c>
      <c r="F241" s="4" t="s">
        <v>1144</v>
      </c>
      <c r="G241" s="4" t="s">
        <v>46</v>
      </c>
      <c r="H241" s="4">
        <v>53</v>
      </c>
      <c r="I241" s="4" t="s">
        <v>47</v>
      </c>
      <c r="J241" s="4">
        <v>5309</v>
      </c>
      <c r="K241" s="4" t="s">
        <v>48</v>
      </c>
      <c r="L241" s="4">
        <v>5309073</v>
      </c>
      <c r="M241" s="4">
        <v>5309073009</v>
      </c>
      <c r="N241" s="4" t="s">
        <v>49</v>
      </c>
      <c r="O241" s="4">
        <v>47112</v>
      </c>
      <c r="P241" s="4" t="s">
        <v>1145</v>
      </c>
      <c r="Q241" s="5">
        <v>2</v>
      </c>
      <c r="R241" s="5">
        <v>0</v>
      </c>
      <c r="S241" s="5">
        <v>1200000</v>
      </c>
      <c r="T241" s="5">
        <v>1500000</v>
      </c>
      <c r="U241" s="5">
        <v>150000</v>
      </c>
      <c r="V241" s="5">
        <v>0</v>
      </c>
      <c r="W241" s="5">
        <v>2850000</v>
      </c>
      <c r="X241" s="5">
        <v>3200000</v>
      </c>
      <c r="Y241" s="5">
        <v>0</v>
      </c>
      <c r="Z241" s="5">
        <f t="shared" si="27"/>
        <v>350000</v>
      </c>
      <c r="AA241" s="5">
        <v>1500000</v>
      </c>
      <c r="AB241" s="5">
        <f t="shared" si="28"/>
        <v>1700000</v>
      </c>
      <c r="AC241" s="5" t="s">
        <v>1146</v>
      </c>
      <c r="AD241" s="4" t="s">
        <v>51</v>
      </c>
      <c r="AE241" s="5">
        <f t="shared" si="29"/>
        <v>0.20588235294117646</v>
      </c>
      <c r="AF241" s="5">
        <v>850000</v>
      </c>
      <c r="AG241" s="5">
        <v>1</v>
      </c>
      <c r="AH241" s="5">
        <v>1</v>
      </c>
      <c r="AI241" s="5">
        <v>1</v>
      </c>
      <c r="AJ241" s="7" t="s">
        <v>1147</v>
      </c>
      <c r="AK241" s="5">
        <v>0</v>
      </c>
      <c r="AL241" s="5">
        <v>0</v>
      </c>
      <c r="AM241" s="4">
        <v>2023</v>
      </c>
      <c r="AN241" s="5">
        <v>0</v>
      </c>
      <c r="AO241" s="5">
        <v>2</v>
      </c>
      <c r="AP241" s="8"/>
      <c r="AQ241" s="8"/>
      <c r="AR241" s="8">
        <f t="shared" si="30"/>
        <v>0</v>
      </c>
      <c r="AS241" s="8">
        <f t="shared" si="31"/>
        <v>1350000</v>
      </c>
      <c r="AT241" s="8">
        <f t="shared" si="32"/>
        <v>350000</v>
      </c>
      <c r="AU241" s="8">
        <f t="shared" si="33"/>
        <v>1350000</v>
      </c>
      <c r="AV241" s="4" t="s">
        <v>1145</v>
      </c>
      <c r="AW241" s="7" t="s">
        <v>1147</v>
      </c>
      <c r="AX241" s="5">
        <v>1500000</v>
      </c>
      <c r="AY241">
        <f t="shared" si="34"/>
        <v>1200000</v>
      </c>
      <c r="AZ241">
        <f t="shared" si="35"/>
        <v>150000</v>
      </c>
      <c r="BA241" s="5">
        <v>3200000</v>
      </c>
      <c r="BB241" s="5">
        <v>0</v>
      </c>
      <c r="BC241" s="4" t="s">
        <v>49</v>
      </c>
      <c r="BD241" s="4">
        <v>47112</v>
      </c>
      <c r="BE241" t="s">
        <v>54</v>
      </c>
    </row>
    <row r="242" spans="1:57" ht="270.75" thickBot="1" x14ac:dyDescent="0.3">
      <c r="A242" s="4" t="s">
        <v>1148</v>
      </c>
      <c r="B242" s="4">
        <v>3001</v>
      </c>
      <c r="C242" s="5">
        <v>2</v>
      </c>
      <c r="D242" s="4" t="s">
        <v>44</v>
      </c>
      <c r="E242" s="6">
        <v>46293.07390614583</v>
      </c>
      <c r="F242" s="4" t="s">
        <v>1149</v>
      </c>
      <c r="G242" s="4" t="s">
        <v>46</v>
      </c>
      <c r="H242" s="4">
        <v>53</v>
      </c>
      <c r="I242" s="4" t="s">
        <v>47</v>
      </c>
      <c r="J242" s="4">
        <v>5309</v>
      </c>
      <c r="K242" s="4" t="s">
        <v>48</v>
      </c>
      <c r="L242" s="4">
        <v>5309030</v>
      </c>
      <c r="M242" s="4">
        <v>5309030023</v>
      </c>
      <c r="N242" s="4" t="s">
        <v>49</v>
      </c>
      <c r="O242" s="4">
        <v>47112</v>
      </c>
      <c r="P242" s="4" t="s">
        <v>1150</v>
      </c>
      <c r="Q242" s="5">
        <v>1</v>
      </c>
      <c r="R242" s="5">
        <v>0</v>
      </c>
      <c r="S242" s="5">
        <v>4800000</v>
      </c>
      <c r="T242" s="5">
        <v>0</v>
      </c>
      <c r="U242" s="5">
        <v>250000</v>
      </c>
      <c r="V242" s="5">
        <v>0</v>
      </c>
      <c r="W242" s="5">
        <v>5050000</v>
      </c>
      <c r="X242" s="5">
        <v>9600000</v>
      </c>
      <c r="Y242" s="5">
        <v>0</v>
      </c>
      <c r="Z242" s="5">
        <f t="shared" si="27"/>
        <v>4550000</v>
      </c>
      <c r="AA242" s="5">
        <v>3700000</v>
      </c>
      <c r="AB242" s="5">
        <f t="shared" si="28"/>
        <v>9600000</v>
      </c>
      <c r="AC242" s="5">
        <v>0</v>
      </c>
      <c r="AD242" s="4" t="s">
        <v>51</v>
      </c>
      <c r="AE242" s="5">
        <f t="shared" si="29"/>
        <v>0.47395833333333331</v>
      </c>
      <c r="AF242" s="5">
        <v>9600000</v>
      </c>
      <c r="AG242" s="5">
        <v>1</v>
      </c>
      <c r="AH242" s="5">
        <v>1</v>
      </c>
      <c r="AI242" s="5">
        <v>1</v>
      </c>
      <c r="AJ242" s="7" t="s">
        <v>1151</v>
      </c>
      <c r="AK242" s="5">
        <v>0</v>
      </c>
      <c r="AL242" s="5">
        <v>0</v>
      </c>
      <c r="AM242" s="4">
        <v>2021</v>
      </c>
      <c r="AN242" s="5">
        <v>0</v>
      </c>
      <c r="AO242" s="5">
        <v>1</v>
      </c>
      <c r="AP242" s="8"/>
      <c r="AQ242" s="8"/>
      <c r="AR242" s="8">
        <f t="shared" si="30"/>
        <v>0</v>
      </c>
      <c r="AS242" s="8">
        <f t="shared" si="31"/>
        <v>5050000</v>
      </c>
      <c r="AT242" s="8">
        <f t="shared" si="32"/>
        <v>4550000</v>
      </c>
      <c r="AU242" s="8">
        <f t="shared" si="33"/>
        <v>5050000</v>
      </c>
      <c r="AV242" s="4" t="s">
        <v>1150</v>
      </c>
      <c r="AW242" s="7" t="s">
        <v>1151</v>
      </c>
      <c r="AX242" s="5">
        <v>0</v>
      </c>
      <c r="AY242">
        <f t="shared" si="34"/>
        <v>4800000</v>
      </c>
      <c r="AZ242">
        <f t="shared" si="35"/>
        <v>250000</v>
      </c>
      <c r="BA242" s="5">
        <v>9600000</v>
      </c>
      <c r="BB242" s="5">
        <v>0</v>
      </c>
      <c r="BC242" s="4" t="s">
        <v>49</v>
      </c>
      <c r="BD242" s="4">
        <v>47112</v>
      </c>
      <c r="BE242" t="s">
        <v>54</v>
      </c>
    </row>
    <row r="243" spans="1:57" ht="255.75" thickBot="1" x14ac:dyDescent="0.3">
      <c r="A243" s="4" t="s">
        <v>1152</v>
      </c>
      <c r="B243" s="4">
        <v>1002</v>
      </c>
      <c r="C243" s="5">
        <v>2</v>
      </c>
      <c r="D243" s="4" t="s">
        <v>44</v>
      </c>
      <c r="E243" s="6">
        <v>46207.406207604166</v>
      </c>
      <c r="F243" s="4" t="s">
        <v>1153</v>
      </c>
      <c r="G243" s="4" t="s">
        <v>46</v>
      </c>
      <c r="H243" s="4">
        <v>53</v>
      </c>
      <c r="I243" s="4" t="s">
        <v>47</v>
      </c>
      <c r="J243" s="4">
        <v>5309</v>
      </c>
      <c r="K243" s="4" t="s">
        <v>48</v>
      </c>
      <c r="L243" s="4">
        <v>5309074</v>
      </c>
      <c r="M243" s="4">
        <v>5309074006</v>
      </c>
      <c r="N243" s="4" t="s">
        <v>49</v>
      </c>
      <c r="O243" s="4">
        <v>47112</v>
      </c>
      <c r="P243" s="4" t="s">
        <v>1145</v>
      </c>
      <c r="Q243" s="5">
        <v>1</v>
      </c>
      <c r="R243" s="5">
        <v>0</v>
      </c>
      <c r="S243" s="5">
        <v>0</v>
      </c>
      <c r="T243" s="5">
        <v>5000000</v>
      </c>
      <c r="U243" s="5">
        <v>150000</v>
      </c>
      <c r="V243" s="5">
        <v>0</v>
      </c>
      <c r="W243" s="5">
        <v>5150000</v>
      </c>
      <c r="X243" s="5">
        <v>6250000</v>
      </c>
      <c r="Y243" s="5">
        <v>0</v>
      </c>
      <c r="Z243" s="5">
        <f t="shared" si="27"/>
        <v>1100000</v>
      </c>
      <c r="AA243" s="5">
        <v>3750000</v>
      </c>
      <c r="AB243" s="5">
        <f t="shared" si="28"/>
        <v>1250000</v>
      </c>
      <c r="AC243" s="5" t="s">
        <v>52</v>
      </c>
      <c r="AD243" s="4" t="s">
        <v>51</v>
      </c>
      <c r="AE243" s="5">
        <f t="shared" si="29"/>
        <v>0.88</v>
      </c>
      <c r="AF243" s="5">
        <v>1250000</v>
      </c>
      <c r="AG243" s="5">
        <v>0</v>
      </c>
      <c r="AH243" s="5">
        <v>1</v>
      </c>
      <c r="AI243" s="5">
        <v>1</v>
      </c>
      <c r="AJ243" s="7" t="s">
        <v>1154</v>
      </c>
      <c r="AK243" s="5">
        <v>0</v>
      </c>
      <c r="AL243" s="5">
        <v>0</v>
      </c>
      <c r="AM243" s="4">
        <v>2021</v>
      </c>
      <c r="AN243" s="5">
        <v>0</v>
      </c>
      <c r="AO243" s="5">
        <v>1</v>
      </c>
      <c r="AP243" s="8"/>
      <c r="AQ243" s="8"/>
      <c r="AR243" s="8">
        <f t="shared" si="30"/>
        <v>0</v>
      </c>
      <c r="AS243" s="8">
        <f t="shared" si="31"/>
        <v>150000</v>
      </c>
      <c r="AT243" s="8">
        <f t="shared" si="32"/>
        <v>925000</v>
      </c>
      <c r="AU243" s="8">
        <f t="shared" si="33"/>
        <v>325000</v>
      </c>
      <c r="AV243" s="4" t="s">
        <v>1145</v>
      </c>
      <c r="AW243" s="7" t="s">
        <v>1154</v>
      </c>
      <c r="AX243" s="5">
        <v>5000000</v>
      </c>
      <c r="AY243">
        <f t="shared" si="34"/>
        <v>0</v>
      </c>
      <c r="AZ243">
        <f t="shared" si="35"/>
        <v>325000</v>
      </c>
      <c r="BA243" s="5">
        <v>6250000</v>
      </c>
      <c r="BB243" s="5">
        <v>0</v>
      </c>
      <c r="BC243" s="4" t="s">
        <v>49</v>
      </c>
      <c r="BD243" s="4">
        <v>47112</v>
      </c>
      <c r="BE243" t="s">
        <v>54</v>
      </c>
    </row>
    <row r="244" spans="1:57" ht="270.75" thickBot="1" x14ac:dyDescent="0.3">
      <c r="A244" s="4" t="s">
        <v>1155</v>
      </c>
      <c r="B244" s="4">
        <v>1003</v>
      </c>
      <c r="C244" s="5">
        <v>2</v>
      </c>
      <c r="D244" s="4" t="s">
        <v>44</v>
      </c>
      <c r="E244" s="6">
        <v>46208.874303310185</v>
      </c>
      <c r="F244" s="4" t="s">
        <v>1156</v>
      </c>
      <c r="G244" s="4" t="s">
        <v>46</v>
      </c>
      <c r="H244" s="4">
        <v>53</v>
      </c>
      <c r="I244" s="4" t="s">
        <v>47</v>
      </c>
      <c r="J244" s="4">
        <v>5309</v>
      </c>
      <c r="K244" s="4" t="s">
        <v>48</v>
      </c>
      <c r="L244" s="4">
        <v>5309020</v>
      </c>
      <c r="M244" s="4">
        <v>5309020017</v>
      </c>
      <c r="N244" s="4" t="s">
        <v>49</v>
      </c>
      <c r="O244" s="4">
        <v>47112</v>
      </c>
      <c r="P244" s="4" t="s">
        <v>1157</v>
      </c>
      <c r="Q244" s="5">
        <v>1</v>
      </c>
      <c r="R244" s="5">
        <v>0</v>
      </c>
      <c r="S244" s="5">
        <v>1000000</v>
      </c>
      <c r="T244" s="5">
        <v>5000000</v>
      </c>
      <c r="U244" s="5">
        <v>300000</v>
      </c>
      <c r="V244" s="5">
        <v>0</v>
      </c>
      <c r="W244" s="5">
        <v>6300000</v>
      </c>
      <c r="X244" s="5">
        <v>8000000</v>
      </c>
      <c r="Y244" s="5">
        <v>9000000</v>
      </c>
      <c r="Z244" s="5">
        <f t="shared" si="27"/>
        <v>1700000</v>
      </c>
      <c r="AA244" s="5">
        <v>30000000</v>
      </c>
      <c r="AB244" s="5">
        <f t="shared" si="28"/>
        <v>3000000</v>
      </c>
      <c r="AC244" s="4"/>
      <c r="AD244" s="4" t="s">
        <v>51</v>
      </c>
      <c r="AE244" s="5">
        <f t="shared" si="29"/>
        <v>0.56666666666666665</v>
      </c>
      <c r="AF244" s="5">
        <v>-5000000</v>
      </c>
      <c r="AG244" s="5">
        <v>1</v>
      </c>
      <c r="AH244" s="5">
        <v>1</v>
      </c>
      <c r="AI244" s="5">
        <v>1</v>
      </c>
      <c r="AJ244" s="7" t="s">
        <v>1158</v>
      </c>
      <c r="AK244" s="5">
        <v>0</v>
      </c>
      <c r="AL244" s="5">
        <v>0</v>
      </c>
      <c r="AM244" s="4">
        <v>2024</v>
      </c>
      <c r="AN244" s="5">
        <v>0</v>
      </c>
      <c r="AO244" s="5">
        <v>1</v>
      </c>
      <c r="AP244" s="8"/>
      <c r="AQ244" s="8"/>
      <c r="AR244" s="8">
        <f t="shared" si="30"/>
        <v>0</v>
      </c>
      <c r="AS244" s="8">
        <f t="shared" si="31"/>
        <v>1300000</v>
      </c>
      <c r="AT244" s="8">
        <f t="shared" si="32"/>
        <v>1700000</v>
      </c>
      <c r="AU244" s="8">
        <f t="shared" si="33"/>
        <v>1300000</v>
      </c>
      <c r="AV244" s="4" t="s">
        <v>1157</v>
      </c>
      <c r="AW244" s="7" t="s">
        <v>1158</v>
      </c>
      <c r="AX244" s="5">
        <v>5000000</v>
      </c>
      <c r="AY244">
        <f t="shared" si="34"/>
        <v>1000000</v>
      </c>
      <c r="AZ244">
        <f t="shared" si="35"/>
        <v>300000</v>
      </c>
      <c r="BA244" s="5">
        <v>8000000</v>
      </c>
      <c r="BB244" s="5">
        <v>9000000</v>
      </c>
      <c r="BC244" s="4" t="s">
        <v>49</v>
      </c>
      <c r="BD244" s="4">
        <v>47112</v>
      </c>
      <c r="BE244" t="s">
        <v>54</v>
      </c>
    </row>
    <row r="245" spans="1:57" ht="270.75" thickBot="1" x14ac:dyDescent="0.3">
      <c r="A245" s="4" t="s">
        <v>1159</v>
      </c>
      <c r="B245" s="4">
        <v>1002</v>
      </c>
      <c r="C245" s="5">
        <v>2</v>
      </c>
      <c r="D245" s="4" t="s">
        <v>44</v>
      </c>
      <c r="E245" s="6">
        <v>46271.45028164352</v>
      </c>
      <c r="F245" s="4" t="s">
        <v>1160</v>
      </c>
      <c r="G245" s="4" t="s">
        <v>46</v>
      </c>
      <c r="H245" s="4">
        <v>53</v>
      </c>
      <c r="I245" s="4" t="s">
        <v>47</v>
      </c>
      <c r="J245" s="4">
        <v>5309</v>
      </c>
      <c r="K245" s="4" t="s">
        <v>48</v>
      </c>
      <c r="L245" s="4">
        <v>5309070</v>
      </c>
      <c r="M245" s="4">
        <v>5309070007</v>
      </c>
      <c r="N245" s="4" t="s">
        <v>49</v>
      </c>
      <c r="O245" s="4">
        <v>47112</v>
      </c>
      <c r="P245" s="4" t="s">
        <v>1161</v>
      </c>
      <c r="Q245" s="5">
        <v>2</v>
      </c>
      <c r="R245" s="5">
        <v>0</v>
      </c>
      <c r="S245" s="5">
        <v>600000</v>
      </c>
      <c r="T245" s="5">
        <v>48000000</v>
      </c>
      <c r="U245" s="5">
        <v>960000</v>
      </c>
      <c r="V245" s="5">
        <v>0</v>
      </c>
      <c r="W245" s="5">
        <v>49560000</v>
      </c>
      <c r="X245" s="5">
        <v>180000000</v>
      </c>
      <c r="Y245" s="5">
        <v>0</v>
      </c>
      <c r="Z245" s="5">
        <f t="shared" si="27"/>
        <v>130440000</v>
      </c>
      <c r="AA245" s="5">
        <v>21000000</v>
      </c>
      <c r="AB245" s="5">
        <f t="shared" si="28"/>
        <v>132000000</v>
      </c>
      <c r="AC245" s="5" t="s">
        <v>1162</v>
      </c>
      <c r="AD245" s="4" t="s">
        <v>51</v>
      </c>
      <c r="AE245" s="5">
        <f t="shared" si="29"/>
        <v>0.98818181818181816</v>
      </c>
      <c r="AF245" s="5">
        <v>66000000</v>
      </c>
      <c r="AG245" s="5">
        <v>1</v>
      </c>
      <c r="AH245" s="5">
        <v>1</v>
      </c>
      <c r="AI245" s="5">
        <v>1</v>
      </c>
      <c r="AJ245" s="7" t="s">
        <v>1163</v>
      </c>
      <c r="AK245" s="5">
        <v>0</v>
      </c>
      <c r="AL245" s="5">
        <v>0</v>
      </c>
      <c r="AM245" s="4">
        <v>2021</v>
      </c>
      <c r="AN245" s="5">
        <v>0</v>
      </c>
      <c r="AO245" s="5">
        <v>2</v>
      </c>
      <c r="AP245" s="8"/>
      <c r="AQ245" s="8"/>
      <c r="AR245" s="8">
        <f t="shared" si="30"/>
        <v>0</v>
      </c>
      <c r="AS245" s="8">
        <f t="shared" si="31"/>
        <v>1560000</v>
      </c>
      <c r="AT245" s="8">
        <f t="shared" si="32"/>
        <v>97680000</v>
      </c>
      <c r="AU245" s="8">
        <f t="shared" si="33"/>
        <v>34320000</v>
      </c>
      <c r="AV245" s="4" t="s">
        <v>1161</v>
      </c>
      <c r="AW245" s="7" t="s">
        <v>1163</v>
      </c>
      <c r="AX245" s="5">
        <v>48000000</v>
      </c>
      <c r="AY245">
        <f t="shared" si="34"/>
        <v>13200000</v>
      </c>
      <c r="AZ245">
        <f t="shared" si="35"/>
        <v>21120000</v>
      </c>
      <c r="BA245" s="5">
        <v>180000000</v>
      </c>
      <c r="BB245" s="5">
        <v>0</v>
      </c>
      <c r="BC245" s="4" t="s">
        <v>49</v>
      </c>
      <c r="BD245" s="4">
        <v>47112</v>
      </c>
      <c r="BE245" t="s">
        <v>54</v>
      </c>
    </row>
    <row r="246" spans="1:57" ht="270.75" thickBot="1" x14ac:dyDescent="0.3">
      <c r="A246" s="4" t="s">
        <v>1164</v>
      </c>
      <c r="B246" s="4">
        <v>1</v>
      </c>
      <c r="C246" s="5">
        <v>2</v>
      </c>
      <c r="D246" s="4" t="s">
        <v>60</v>
      </c>
      <c r="E246" s="6">
        <v>46282.30038828704</v>
      </c>
      <c r="F246" s="4" t="s">
        <v>1165</v>
      </c>
      <c r="G246" s="4" t="s">
        <v>46</v>
      </c>
      <c r="H246" s="4">
        <v>53</v>
      </c>
      <c r="I246" s="4" t="s">
        <v>47</v>
      </c>
      <c r="J246" s="4">
        <v>5309</v>
      </c>
      <c r="K246" s="4" t="s">
        <v>48</v>
      </c>
      <c r="L246" s="4">
        <v>5309011</v>
      </c>
      <c r="M246" s="4">
        <v>5309011009</v>
      </c>
      <c r="N246" s="4" t="s">
        <v>49</v>
      </c>
      <c r="O246" s="4">
        <v>47112</v>
      </c>
      <c r="P246" s="4" t="s">
        <v>991</v>
      </c>
      <c r="Q246" s="5">
        <v>2</v>
      </c>
      <c r="R246" s="5">
        <v>0</v>
      </c>
      <c r="S246" s="5">
        <v>500000</v>
      </c>
      <c r="T246" s="5">
        <v>10000000</v>
      </c>
      <c r="U246" s="5">
        <v>300000</v>
      </c>
      <c r="V246" s="5">
        <v>0</v>
      </c>
      <c r="W246" s="5">
        <v>10800000</v>
      </c>
      <c r="X246" s="5">
        <v>12000000</v>
      </c>
      <c r="Y246" s="5">
        <v>0</v>
      </c>
      <c r="Z246" s="5">
        <f t="shared" si="27"/>
        <v>1200000</v>
      </c>
      <c r="AA246" s="5">
        <v>300000</v>
      </c>
      <c r="AB246" s="5">
        <f t="shared" si="28"/>
        <v>2000000</v>
      </c>
      <c r="AC246" s="5" t="s">
        <v>192</v>
      </c>
      <c r="AD246" s="4" t="s">
        <v>51</v>
      </c>
      <c r="AE246" s="5">
        <f t="shared" si="29"/>
        <v>0.6</v>
      </c>
      <c r="AF246" s="5">
        <v>1000000</v>
      </c>
      <c r="AG246" s="5">
        <v>1</v>
      </c>
      <c r="AH246" s="5">
        <v>1</v>
      </c>
      <c r="AI246" s="5">
        <v>1</v>
      </c>
      <c r="AJ246" s="7" t="s">
        <v>1166</v>
      </c>
      <c r="AK246" s="5">
        <v>0</v>
      </c>
      <c r="AL246" s="5">
        <v>0</v>
      </c>
      <c r="AM246" s="4">
        <v>2023</v>
      </c>
      <c r="AN246" s="5">
        <v>0</v>
      </c>
      <c r="AO246" s="5">
        <v>2</v>
      </c>
      <c r="AP246" s="8"/>
      <c r="AQ246" s="8"/>
      <c r="AR246" s="8">
        <f t="shared" si="30"/>
        <v>0</v>
      </c>
      <c r="AS246" s="8">
        <f t="shared" si="31"/>
        <v>800000</v>
      </c>
      <c r="AT246" s="8">
        <f t="shared" si="32"/>
        <v>1200000</v>
      </c>
      <c r="AU246" s="8">
        <f t="shared" si="33"/>
        <v>800000</v>
      </c>
      <c r="AV246" s="4" t="s">
        <v>991</v>
      </c>
      <c r="AW246" s="7" t="s">
        <v>1166</v>
      </c>
      <c r="AX246" s="5">
        <v>10000000</v>
      </c>
      <c r="AY246">
        <f t="shared" si="34"/>
        <v>500000</v>
      </c>
      <c r="AZ246">
        <f t="shared" si="35"/>
        <v>300000</v>
      </c>
      <c r="BA246" s="5">
        <v>12000000</v>
      </c>
      <c r="BB246" s="5">
        <v>0</v>
      </c>
      <c r="BC246" s="4" t="s">
        <v>49</v>
      </c>
      <c r="BD246" s="4">
        <v>47112</v>
      </c>
      <c r="BE246" t="s">
        <v>54</v>
      </c>
    </row>
    <row r="247" spans="1:57" ht="270.75" thickBot="1" x14ac:dyDescent="0.3">
      <c r="A247" s="4" t="s">
        <v>1167</v>
      </c>
      <c r="B247" s="4">
        <v>1</v>
      </c>
      <c r="C247" s="5">
        <v>2</v>
      </c>
      <c r="D247" s="4" t="s">
        <v>44</v>
      </c>
      <c r="E247" s="6">
        <v>46269.079415</v>
      </c>
      <c r="F247" s="4" t="s">
        <v>1168</v>
      </c>
      <c r="G247" s="4" t="s">
        <v>46</v>
      </c>
      <c r="H247" s="4">
        <v>53</v>
      </c>
      <c r="I247" s="4" t="s">
        <v>47</v>
      </c>
      <c r="J247" s="4">
        <v>5309</v>
      </c>
      <c r="K247" s="4" t="s">
        <v>48</v>
      </c>
      <c r="L247" s="4">
        <v>5309071</v>
      </c>
      <c r="M247" s="4">
        <v>5309071013</v>
      </c>
      <c r="N247" s="4" t="s">
        <v>49</v>
      </c>
      <c r="O247" s="4">
        <v>47112</v>
      </c>
      <c r="P247" s="4" t="s">
        <v>1169</v>
      </c>
      <c r="Q247" s="5">
        <v>1</v>
      </c>
      <c r="R247" s="5">
        <v>0</v>
      </c>
      <c r="S247" s="5">
        <v>800000</v>
      </c>
      <c r="T247" s="5">
        <v>12000000</v>
      </c>
      <c r="U247" s="5">
        <v>800000</v>
      </c>
      <c r="V247" s="5">
        <v>0</v>
      </c>
      <c r="W247" s="5">
        <v>13600000</v>
      </c>
      <c r="X247" s="5">
        <v>24000000</v>
      </c>
      <c r="Y247" s="5">
        <v>0</v>
      </c>
      <c r="Z247" s="5">
        <f t="shared" si="27"/>
        <v>10400000</v>
      </c>
      <c r="AA247" s="5">
        <v>65000000</v>
      </c>
      <c r="AB247" s="5">
        <f t="shared" si="28"/>
        <v>12000000</v>
      </c>
      <c r="AC247" s="5" t="s">
        <v>93</v>
      </c>
      <c r="AD247" s="4" t="s">
        <v>51</v>
      </c>
      <c r="AE247" s="5">
        <f t="shared" si="29"/>
        <v>0.8666666666666667</v>
      </c>
      <c r="AF247" s="5">
        <v>12000000</v>
      </c>
      <c r="AG247" s="5">
        <v>1</v>
      </c>
      <c r="AH247" s="5">
        <v>1</v>
      </c>
      <c r="AI247" s="5">
        <v>1</v>
      </c>
      <c r="AJ247" s="7" t="s">
        <v>1170</v>
      </c>
      <c r="AK247" s="5">
        <v>0</v>
      </c>
      <c r="AL247" s="5">
        <v>0</v>
      </c>
      <c r="AM247" s="4">
        <v>2018</v>
      </c>
      <c r="AN247" s="5">
        <v>0</v>
      </c>
      <c r="AO247" s="5">
        <v>1</v>
      </c>
      <c r="AP247" s="8"/>
      <c r="AQ247" s="8"/>
      <c r="AR247" s="8">
        <f t="shared" si="30"/>
        <v>0</v>
      </c>
      <c r="AS247" s="8">
        <f t="shared" si="31"/>
        <v>1600000</v>
      </c>
      <c r="AT247" s="8">
        <f t="shared" si="32"/>
        <v>8880000</v>
      </c>
      <c r="AU247" s="8">
        <f t="shared" si="33"/>
        <v>3120000</v>
      </c>
      <c r="AV247" s="4" t="s">
        <v>1169</v>
      </c>
      <c r="AW247" s="7" t="s">
        <v>1170</v>
      </c>
      <c r="AX247" s="5">
        <v>12000000</v>
      </c>
      <c r="AY247">
        <f t="shared" si="34"/>
        <v>1560000</v>
      </c>
      <c r="AZ247">
        <f t="shared" si="35"/>
        <v>1560000</v>
      </c>
      <c r="BA247" s="5">
        <v>24000000</v>
      </c>
      <c r="BB247" s="5">
        <v>0</v>
      </c>
      <c r="BC247" s="4" t="s">
        <v>49</v>
      </c>
      <c r="BD247" s="4">
        <v>47112</v>
      </c>
      <c r="BE247" t="s">
        <v>54</v>
      </c>
    </row>
    <row r="248" spans="1:57" ht="270.75" thickBot="1" x14ac:dyDescent="0.3">
      <c r="A248" s="4" t="s">
        <v>1171</v>
      </c>
      <c r="B248" s="4">
        <v>1002</v>
      </c>
      <c r="C248" s="5">
        <v>2</v>
      </c>
      <c r="D248" s="4" t="s">
        <v>44</v>
      </c>
      <c r="E248" s="6">
        <v>46226.852504699076</v>
      </c>
      <c r="F248" s="4" t="s">
        <v>1172</v>
      </c>
      <c r="G248" s="4" t="s">
        <v>46</v>
      </c>
      <c r="H248" s="4">
        <v>53</v>
      </c>
      <c r="I248" s="4" t="s">
        <v>47</v>
      </c>
      <c r="J248" s="4">
        <v>5309</v>
      </c>
      <c r="K248" s="4" t="s">
        <v>48</v>
      </c>
      <c r="L248" s="4">
        <v>5309020</v>
      </c>
      <c r="M248" s="4">
        <v>5309020015</v>
      </c>
      <c r="N248" s="4" t="s">
        <v>49</v>
      </c>
      <c r="O248" s="4">
        <v>47112</v>
      </c>
      <c r="P248" s="4" t="s">
        <v>449</v>
      </c>
      <c r="Q248" s="5">
        <v>2</v>
      </c>
      <c r="R248" s="5">
        <v>250000</v>
      </c>
      <c r="S248" s="5">
        <v>4500000</v>
      </c>
      <c r="T248" s="5">
        <v>5500000</v>
      </c>
      <c r="U248" s="5">
        <v>220000</v>
      </c>
      <c r="V248" s="5">
        <v>10000</v>
      </c>
      <c r="W248" s="5">
        <v>10480000</v>
      </c>
      <c r="X248" s="5">
        <v>12850000</v>
      </c>
      <c r="Y248" s="5">
        <v>5200000</v>
      </c>
      <c r="Z248" s="5">
        <f t="shared" si="27"/>
        <v>2630000</v>
      </c>
      <c r="AA248" s="5">
        <v>19500000</v>
      </c>
      <c r="AB248" s="5">
        <f t="shared" si="28"/>
        <v>7350000</v>
      </c>
      <c r="AC248" s="5" t="s">
        <v>1173</v>
      </c>
      <c r="AD248" s="4" t="s">
        <v>51</v>
      </c>
      <c r="AE248" s="5">
        <f t="shared" si="29"/>
        <v>0.35782312925170068</v>
      </c>
      <c r="AF248" s="5">
        <v>3675000</v>
      </c>
      <c r="AG248" s="5">
        <v>0</v>
      </c>
      <c r="AH248" s="5">
        <v>1</v>
      </c>
      <c r="AI248" s="5">
        <v>1</v>
      </c>
      <c r="AJ248" s="7" t="s">
        <v>1174</v>
      </c>
      <c r="AK248" s="5">
        <v>0</v>
      </c>
      <c r="AL248" s="5">
        <v>0</v>
      </c>
      <c r="AM248" s="4">
        <v>2025</v>
      </c>
      <c r="AN248" s="5">
        <v>1</v>
      </c>
      <c r="AO248" s="5">
        <v>1</v>
      </c>
      <c r="AP248" s="8"/>
      <c r="AQ248" s="8"/>
      <c r="AR248" s="8">
        <f t="shared" si="30"/>
        <v>0</v>
      </c>
      <c r="AS248" s="8">
        <f t="shared" si="31"/>
        <v>4720000</v>
      </c>
      <c r="AT248" s="8">
        <f t="shared" si="32"/>
        <v>2630000</v>
      </c>
      <c r="AU248" s="8">
        <f t="shared" si="33"/>
        <v>4720000</v>
      </c>
      <c r="AV248" s="4" t="s">
        <v>449</v>
      </c>
      <c r="AW248" s="7" t="s">
        <v>1174</v>
      </c>
      <c r="AX248" s="5">
        <v>5500000</v>
      </c>
      <c r="AY248">
        <f t="shared" si="34"/>
        <v>4500000</v>
      </c>
      <c r="AZ248">
        <f t="shared" si="35"/>
        <v>220000</v>
      </c>
      <c r="BA248" s="5">
        <v>12850000</v>
      </c>
      <c r="BB248" s="5">
        <v>5200000</v>
      </c>
      <c r="BC248" s="4" t="s">
        <v>49</v>
      </c>
      <c r="BD248" s="4">
        <v>47112</v>
      </c>
      <c r="BE248" t="s">
        <v>54</v>
      </c>
    </row>
    <row r="249" spans="1:57" ht="270.75" thickBot="1" x14ac:dyDescent="0.3">
      <c r="A249" s="4" t="s">
        <v>1175</v>
      </c>
      <c r="B249" s="4">
        <v>2001</v>
      </c>
      <c r="C249" s="5">
        <v>2</v>
      </c>
      <c r="D249" s="4" t="s">
        <v>44</v>
      </c>
      <c r="E249" s="6">
        <v>46236.93218077546</v>
      </c>
      <c r="F249" s="4" t="s">
        <v>1176</v>
      </c>
      <c r="G249" s="4" t="s">
        <v>46</v>
      </c>
      <c r="H249" s="4">
        <v>53</v>
      </c>
      <c r="I249" s="4" t="s">
        <v>47</v>
      </c>
      <c r="J249" s="4">
        <v>5309</v>
      </c>
      <c r="K249" s="4" t="s">
        <v>48</v>
      </c>
      <c r="L249" s="4">
        <v>5309061</v>
      </c>
      <c r="M249" s="4">
        <v>5309061001</v>
      </c>
      <c r="N249" s="4" t="s">
        <v>49</v>
      </c>
      <c r="O249" s="4">
        <v>47112</v>
      </c>
      <c r="P249" s="4" t="s">
        <v>1177</v>
      </c>
      <c r="Q249" s="5">
        <v>2</v>
      </c>
      <c r="R249" s="5">
        <v>0</v>
      </c>
      <c r="S249" s="5">
        <v>0</v>
      </c>
      <c r="T249" s="5">
        <v>36000000</v>
      </c>
      <c r="U249" s="5">
        <v>2400000</v>
      </c>
      <c r="V249" s="5">
        <v>0</v>
      </c>
      <c r="W249" s="5">
        <v>38400000</v>
      </c>
      <c r="X249" s="5">
        <v>63000000</v>
      </c>
      <c r="Y249" s="5">
        <v>0</v>
      </c>
      <c r="Z249" s="5">
        <f t="shared" si="27"/>
        <v>24600000</v>
      </c>
      <c r="AA249" s="5">
        <v>0</v>
      </c>
      <c r="AB249" s="5">
        <f t="shared" si="28"/>
        <v>27000000</v>
      </c>
      <c r="AC249" s="5" t="s">
        <v>144</v>
      </c>
      <c r="AD249" s="4" t="s">
        <v>51</v>
      </c>
      <c r="AE249" s="5">
        <f t="shared" si="29"/>
        <v>0.91111111111111109</v>
      </c>
      <c r="AF249" s="5">
        <v>13500000</v>
      </c>
      <c r="AG249" s="4"/>
      <c r="AH249" s="5">
        <v>1</v>
      </c>
      <c r="AI249" s="5">
        <v>1</v>
      </c>
      <c r="AJ249" s="7" t="s">
        <v>1178</v>
      </c>
      <c r="AK249" s="5">
        <v>0</v>
      </c>
      <c r="AL249" s="5">
        <v>0</v>
      </c>
      <c r="AM249" s="4">
        <v>2026</v>
      </c>
      <c r="AN249" s="5">
        <v>0</v>
      </c>
      <c r="AO249" s="5">
        <v>2</v>
      </c>
      <c r="AP249" s="8"/>
      <c r="AQ249" s="8"/>
      <c r="AR249" s="8">
        <f t="shared" si="30"/>
        <v>0</v>
      </c>
      <c r="AS249" s="8">
        <f t="shared" si="31"/>
        <v>2400000</v>
      </c>
      <c r="AT249" s="8">
        <f t="shared" si="32"/>
        <v>19980000</v>
      </c>
      <c r="AU249" s="8">
        <f t="shared" si="33"/>
        <v>7020000</v>
      </c>
      <c r="AV249" s="4" t="s">
        <v>1177</v>
      </c>
      <c r="AW249" s="7" t="s">
        <v>1178</v>
      </c>
      <c r="AX249" s="5">
        <v>36000000</v>
      </c>
      <c r="AY249">
        <f t="shared" si="34"/>
        <v>0</v>
      </c>
      <c r="AZ249">
        <f t="shared" si="35"/>
        <v>7020000</v>
      </c>
      <c r="BA249" s="5">
        <v>63000000</v>
      </c>
      <c r="BB249" s="5">
        <v>0</v>
      </c>
      <c r="BC249" s="4" t="s">
        <v>49</v>
      </c>
      <c r="BD249" s="4">
        <v>47112</v>
      </c>
      <c r="BE249" t="s">
        <v>54</v>
      </c>
    </row>
    <row r="250" spans="1:57" ht="270.75" thickBot="1" x14ac:dyDescent="0.3">
      <c r="A250" s="4" t="s">
        <v>1179</v>
      </c>
      <c r="B250" s="4">
        <v>1002</v>
      </c>
      <c r="C250" s="5">
        <v>2</v>
      </c>
      <c r="D250" s="4" t="s">
        <v>44</v>
      </c>
      <c r="E250" s="6">
        <v>46233.902684398148</v>
      </c>
      <c r="F250" s="4" t="s">
        <v>1180</v>
      </c>
      <c r="G250" s="4" t="s">
        <v>46</v>
      </c>
      <c r="H250" s="4">
        <v>53</v>
      </c>
      <c r="I250" s="4" t="s">
        <v>47</v>
      </c>
      <c r="J250" s="4">
        <v>5309</v>
      </c>
      <c r="K250" s="4" t="s">
        <v>48</v>
      </c>
      <c r="L250" s="4">
        <v>5309073</v>
      </c>
      <c r="M250" s="4">
        <v>5309073010</v>
      </c>
      <c r="N250" s="4" t="s">
        <v>49</v>
      </c>
      <c r="O250" s="4">
        <v>47112</v>
      </c>
      <c r="P250" s="4" t="s">
        <v>1181</v>
      </c>
      <c r="Q250" s="5">
        <v>1</v>
      </c>
      <c r="R250" s="5">
        <v>0</v>
      </c>
      <c r="S250" s="5">
        <v>0</v>
      </c>
      <c r="T250" s="5">
        <v>12000000</v>
      </c>
      <c r="U250" s="5">
        <v>500000</v>
      </c>
      <c r="V250" s="5">
        <v>0</v>
      </c>
      <c r="W250" s="5">
        <v>12500000</v>
      </c>
      <c r="X250" s="5">
        <v>16000000</v>
      </c>
      <c r="Y250" s="5">
        <v>0</v>
      </c>
      <c r="Z250" s="5">
        <f t="shared" si="27"/>
        <v>3500000</v>
      </c>
      <c r="AA250" s="5">
        <v>3800000</v>
      </c>
      <c r="AB250" s="5">
        <f t="shared" si="28"/>
        <v>4000000</v>
      </c>
      <c r="AC250" s="5" t="s">
        <v>255</v>
      </c>
      <c r="AD250" s="4" t="s">
        <v>51</v>
      </c>
      <c r="AE250" s="5">
        <f t="shared" si="29"/>
        <v>0.875</v>
      </c>
      <c r="AF250" s="5">
        <v>4000000</v>
      </c>
      <c r="AG250" s="5">
        <v>1</v>
      </c>
      <c r="AH250" s="5">
        <v>1</v>
      </c>
      <c r="AI250" s="5">
        <v>1</v>
      </c>
      <c r="AJ250" s="7" t="s">
        <v>1182</v>
      </c>
      <c r="AK250" s="5">
        <v>0</v>
      </c>
      <c r="AL250" s="5">
        <v>0</v>
      </c>
      <c r="AM250" s="4">
        <v>2015</v>
      </c>
      <c r="AN250" s="5">
        <v>0</v>
      </c>
      <c r="AO250" s="5">
        <v>1</v>
      </c>
      <c r="AP250" s="8"/>
      <c r="AQ250" s="8"/>
      <c r="AR250" s="8">
        <f t="shared" si="30"/>
        <v>0</v>
      </c>
      <c r="AS250" s="8">
        <f t="shared" si="31"/>
        <v>500000</v>
      </c>
      <c r="AT250" s="8">
        <f t="shared" si="32"/>
        <v>2960000</v>
      </c>
      <c r="AU250" s="8">
        <f t="shared" si="33"/>
        <v>1040000</v>
      </c>
      <c r="AV250" s="4" t="s">
        <v>1181</v>
      </c>
      <c r="AW250" s="7" t="s">
        <v>1182</v>
      </c>
      <c r="AX250" s="5">
        <v>12000000</v>
      </c>
      <c r="AY250">
        <f t="shared" si="34"/>
        <v>0</v>
      </c>
      <c r="AZ250">
        <f t="shared" si="35"/>
        <v>1040000</v>
      </c>
      <c r="BA250" s="5">
        <v>16000000</v>
      </c>
      <c r="BB250" s="5">
        <v>0</v>
      </c>
      <c r="BC250" s="4" t="s">
        <v>49</v>
      </c>
      <c r="BD250" s="4">
        <v>47112</v>
      </c>
      <c r="BE250" t="s">
        <v>54</v>
      </c>
    </row>
    <row r="251" spans="1:57" ht="270.75" thickBot="1" x14ac:dyDescent="0.3">
      <c r="A251" s="4" t="s">
        <v>1183</v>
      </c>
      <c r="B251" s="4">
        <v>1002</v>
      </c>
      <c r="C251" s="5">
        <v>2</v>
      </c>
      <c r="D251" s="4" t="s">
        <v>44</v>
      </c>
      <c r="E251" s="6">
        <v>46248.699548460645</v>
      </c>
      <c r="F251" s="4" t="s">
        <v>1184</v>
      </c>
      <c r="G251" s="4" t="s">
        <v>46</v>
      </c>
      <c r="H251" s="4">
        <v>53</v>
      </c>
      <c r="I251" s="4" t="s">
        <v>47</v>
      </c>
      <c r="J251" s="4">
        <v>5309</v>
      </c>
      <c r="K251" s="4" t="s">
        <v>48</v>
      </c>
      <c r="L251" s="4">
        <v>5309074</v>
      </c>
      <c r="M251" s="4">
        <v>5309074001</v>
      </c>
      <c r="N251" s="4" t="s">
        <v>49</v>
      </c>
      <c r="O251" s="4">
        <v>47112</v>
      </c>
      <c r="P251" s="4" t="s">
        <v>515</v>
      </c>
      <c r="Q251" s="5">
        <v>2</v>
      </c>
      <c r="R251" s="5">
        <v>0</v>
      </c>
      <c r="S251" s="5">
        <v>85000</v>
      </c>
      <c r="T251" s="5">
        <v>9252000</v>
      </c>
      <c r="U251" s="5">
        <v>1500000</v>
      </c>
      <c r="V251" s="5">
        <v>0</v>
      </c>
      <c r="W251" s="5">
        <v>10837000</v>
      </c>
      <c r="X251" s="5">
        <v>13625000</v>
      </c>
      <c r="Y251" s="5">
        <v>0</v>
      </c>
      <c r="Z251" s="5">
        <f t="shared" si="27"/>
        <v>2788000</v>
      </c>
      <c r="AA251" s="5">
        <v>7850000</v>
      </c>
      <c r="AB251" s="5">
        <f t="shared" si="28"/>
        <v>4373000</v>
      </c>
      <c r="AC251" s="5" t="s">
        <v>1185</v>
      </c>
      <c r="AD251" s="4" t="s">
        <v>51</v>
      </c>
      <c r="AE251" s="5">
        <f t="shared" si="29"/>
        <v>0.63754859364280814</v>
      </c>
      <c r="AF251" s="5">
        <v>2186500</v>
      </c>
      <c r="AG251" s="5">
        <v>1</v>
      </c>
      <c r="AH251" s="5">
        <v>1</v>
      </c>
      <c r="AI251" s="5">
        <v>1</v>
      </c>
      <c r="AJ251" s="7" t="s">
        <v>1186</v>
      </c>
      <c r="AK251" s="5">
        <v>0</v>
      </c>
      <c r="AL251" s="5">
        <v>0</v>
      </c>
      <c r="AM251" s="4">
        <v>2021</v>
      </c>
      <c r="AN251" s="5">
        <v>0</v>
      </c>
      <c r="AO251" s="5">
        <v>2</v>
      </c>
      <c r="AP251" s="8"/>
      <c r="AQ251" s="8"/>
      <c r="AR251" s="8">
        <f t="shared" si="30"/>
        <v>0</v>
      </c>
      <c r="AS251" s="8">
        <f t="shared" si="31"/>
        <v>1585000</v>
      </c>
      <c r="AT251" s="8">
        <f t="shared" si="32"/>
        <v>2788000</v>
      </c>
      <c r="AU251" s="8">
        <f t="shared" si="33"/>
        <v>1585000</v>
      </c>
      <c r="AV251" s="4" t="s">
        <v>515</v>
      </c>
      <c r="AW251" s="7" t="s">
        <v>1186</v>
      </c>
      <c r="AX251" s="5">
        <v>9252000</v>
      </c>
      <c r="AY251">
        <f t="shared" si="34"/>
        <v>85000</v>
      </c>
      <c r="AZ251">
        <f t="shared" si="35"/>
        <v>1500000</v>
      </c>
      <c r="BA251" s="5">
        <v>13625000</v>
      </c>
      <c r="BB251" s="5">
        <v>0</v>
      </c>
      <c r="BC251" s="4" t="s">
        <v>49</v>
      </c>
      <c r="BD251" s="4">
        <v>47112</v>
      </c>
      <c r="BE251" t="s">
        <v>54</v>
      </c>
    </row>
    <row r="252" spans="1:57" ht="270.75" thickBot="1" x14ac:dyDescent="0.3">
      <c r="A252" s="4" t="s">
        <v>1187</v>
      </c>
      <c r="B252" s="4">
        <v>1001</v>
      </c>
      <c r="C252" s="5">
        <v>2</v>
      </c>
      <c r="D252" s="4" t="s">
        <v>60</v>
      </c>
      <c r="E252" s="6">
        <v>46312.176749027778</v>
      </c>
      <c r="F252" s="4" t="s">
        <v>1188</v>
      </c>
      <c r="G252" s="4" t="s">
        <v>46</v>
      </c>
      <c r="H252" s="4">
        <v>53</v>
      </c>
      <c r="I252" s="4" t="s">
        <v>47</v>
      </c>
      <c r="J252" s="4">
        <v>5309</v>
      </c>
      <c r="K252" s="4" t="s">
        <v>48</v>
      </c>
      <c r="L252" s="4">
        <v>5309061</v>
      </c>
      <c r="M252" s="4">
        <v>5309061010</v>
      </c>
      <c r="N252" s="4" t="s">
        <v>49</v>
      </c>
      <c r="O252" s="4">
        <v>47112</v>
      </c>
      <c r="P252" s="4" t="s">
        <v>1189</v>
      </c>
      <c r="Q252" s="5">
        <v>1</v>
      </c>
      <c r="R252" s="5">
        <v>0</v>
      </c>
      <c r="S252" s="5">
        <v>0</v>
      </c>
      <c r="T252" s="5">
        <v>10000000</v>
      </c>
      <c r="U252" s="5">
        <v>200000</v>
      </c>
      <c r="V252" s="5">
        <v>0</v>
      </c>
      <c r="W252" s="5">
        <v>10200000</v>
      </c>
      <c r="X252" s="5">
        <v>15000000</v>
      </c>
      <c r="Y252" s="5">
        <v>0</v>
      </c>
      <c r="Z252" s="5">
        <f t="shared" si="27"/>
        <v>4800000</v>
      </c>
      <c r="AA252" s="5">
        <v>4500000</v>
      </c>
      <c r="AB252" s="5">
        <f t="shared" si="28"/>
        <v>5000000</v>
      </c>
      <c r="AC252" s="5" t="s">
        <v>102</v>
      </c>
      <c r="AD252" s="4" t="s">
        <v>51</v>
      </c>
      <c r="AE252" s="5">
        <f t="shared" si="29"/>
        <v>0.96</v>
      </c>
      <c r="AF252" s="5">
        <v>5000000</v>
      </c>
      <c r="AG252" s="5">
        <v>1</v>
      </c>
      <c r="AH252" s="5">
        <v>1</v>
      </c>
      <c r="AI252" s="5">
        <v>1</v>
      </c>
      <c r="AJ252" s="7" t="s">
        <v>1190</v>
      </c>
      <c r="AK252" s="5">
        <v>0</v>
      </c>
      <c r="AL252" s="5">
        <v>0</v>
      </c>
      <c r="AM252" s="4">
        <v>2023</v>
      </c>
      <c r="AN252" s="5">
        <v>0</v>
      </c>
      <c r="AO252" s="5">
        <v>1</v>
      </c>
      <c r="AP252" s="8"/>
      <c r="AQ252" s="8"/>
      <c r="AR252" s="8">
        <f t="shared" si="30"/>
        <v>0</v>
      </c>
      <c r="AS252" s="8">
        <f t="shared" si="31"/>
        <v>200000</v>
      </c>
      <c r="AT252" s="8">
        <f t="shared" si="32"/>
        <v>3700000</v>
      </c>
      <c r="AU252" s="8">
        <f t="shared" si="33"/>
        <v>1300000</v>
      </c>
      <c r="AV252" s="4" t="s">
        <v>1189</v>
      </c>
      <c r="AW252" s="7" t="s">
        <v>1190</v>
      </c>
      <c r="AX252" s="5">
        <v>10000000</v>
      </c>
      <c r="AY252">
        <f t="shared" si="34"/>
        <v>0</v>
      </c>
      <c r="AZ252">
        <f t="shared" si="35"/>
        <v>1300000</v>
      </c>
      <c r="BA252" s="5">
        <v>15000000</v>
      </c>
      <c r="BB252" s="5">
        <v>0</v>
      </c>
      <c r="BC252" s="4" t="s">
        <v>49</v>
      </c>
      <c r="BD252" s="4">
        <v>47112</v>
      </c>
      <c r="BE252" t="s">
        <v>54</v>
      </c>
    </row>
    <row r="253" spans="1:57" ht="255.75" thickBot="1" x14ac:dyDescent="0.3">
      <c r="A253" s="4" t="s">
        <v>1191</v>
      </c>
      <c r="B253" s="4">
        <v>1002</v>
      </c>
      <c r="C253" s="5">
        <v>2</v>
      </c>
      <c r="D253" s="4" t="s">
        <v>44</v>
      </c>
      <c r="E253" s="6">
        <v>46272.443013298609</v>
      </c>
      <c r="F253" s="4" t="s">
        <v>1192</v>
      </c>
      <c r="G253" s="4" t="s">
        <v>46</v>
      </c>
      <c r="H253" s="4">
        <v>53</v>
      </c>
      <c r="I253" s="4" t="s">
        <v>47</v>
      </c>
      <c r="J253" s="4">
        <v>5309</v>
      </c>
      <c r="K253" s="4" t="s">
        <v>48</v>
      </c>
      <c r="L253" s="4">
        <v>5309073</v>
      </c>
      <c r="M253" s="4">
        <v>5309073008</v>
      </c>
      <c r="N253" s="4" t="s">
        <v>49</v>
      </c>
      <c r="O253" s="4">
        <v>47112</v>
      </c>
      <c r="P253" s="4" t="s">
        <v>1193</v>
      </c>
      <c r="Q253" s="5">
        <v>1</v>
      </c>
      <c r="R253" s="5">
        <v>0</v>
      </c>
      <c r="S253" s="5">
        <v>0</v>
      </c>
      <c r="T253" s="5">
        <v>66000000</v>
      </c>
      <c r="U253" s="5">
        <v>2400000</v>
      </c>
      <c r="V253" s="5">
        <v>0</v>
      </c>
      <c r="W253" s="5">
        <v>68400000</v>
      </c>
      <c r="X253" s="5">
        <v>90000000</v>
      </c>
      <c r="Y253" s="5">
        <v>0</v>
      </c>
      <c r="Z253" s="5">
        <f t="shared" si="27"/>
        <v>21600000</v>
      </c>
      <c r="AA253" s="5">
        <v>15000000</v>
      </c>
      <c r="AB253" s="5">
        <f t="shared" si="28"/>
        <v>24000000</v>
      </c>
      <c r="AC253" s="5" t="s">
        <v>1194</v>
      </c>
      <c r="AD253" s="4" t="s">
        <v>51</v>
      </c>
      <c r="AE253" s="5">
        <f t="shared" si="29"/>
        <v>0.9</v>
      </c>
      <c r="AF253" s="5">
        <v>24000000</v>
      </c>
      <c r="AG253" s="5">
        <v>1</v>
      </c>
      <c r="AH253" s="5">
        <v>1</v>
      </c>
      <c r="AI253" s="5">
        <v>1</v>
      </c>
      <c r="AJ253" s="7" t="s">
        <v>1195</v>
      </c>
      <c r="AK253" s="5">
        <v>0</v>
      </c>
      <c r="AL253" s="5">
        <v>0</v>
      </c>
      <c r="AM253" s="4">
        <v>2008</v>
      </c>
      <c r="AN253" s="5">
        <v>0</v>
      </c>
      <c r="AO253" s="5">
        <v>1</v>
      </c>
      <c r="AP253" s="8"/>
      <c r="AQ253" s="8"/>
      <c r="AR253" s="8">
        <f t="shared" si="30"/>
        <v>0</v>
      </c>
      <c r="AS253" s="8">
        <f t="shared" si="31"/>
        <v>2400000</v>
      </c>
      <c r="AT253" s="8">
        <f t="shared" si="32"/>
        <v>17760000</v>
      </c>
      <c r="AU253" s="8">
        <f t="shared" si="33"/>
        <v>6240000</v>
      </c>
      <c r="AV253" s="4" t="s">
        <v>1193</v>
      </c>
      <c r="AW253" s="7" t="s">
        <v>1195</v>
      </c>
      <c r="AX253" s="5">
        <v>66000000</v>
      </c>
      <c r="AY253">
        <f t="shared" si="34"/>
        <v>0</v>
      </c>
      <c r="AZ253">
        <f t="shared" si="35"/>
        <v>6240000</v>
      </c>
      <c r="BA253" s="5">
        <v>90000000</v>
      </c>
      <c r="BB253" s="5">
        <v>0</v>
      </c>
      <c r="BC253" s="4" t="s">
        <v>49</v>
      </c>
      <c r="BD253" s="4">
        <v>47112</v>
      </c>
      <c r="BE253" t="s">
        <v>54</v>
      </c>
    </row>
    <row r="254" spans="1:57" ht="255.75" thickBot="1" x14ac:dyDescent="0.3">
      <c r="A254" s="4" t="s">
        <v>1196</v>
      </c>
      <c r="B254" s="4">
        <v>1001</v>
      </c>
      <c r="C254" s="5">
        <v>2</v>
      </c>
      <c r="D254" s="4" t="s">
        <v>44</v>
      </c>
      <c r="E254" s="6">
        <v>46255.260372592595</v>
      </c>
      <c r="F254" s="4" t="s">
        <v>1197</v>
      </c>
      <c r="G254" s="4" t="s">
        <v>46</v>
      </c>
      <c r="H254" s="4">
        <v>53</v>
      </c>
      <c r="I254" s="4" t="s">
        <v>47</v>
      </c>
      <c r="J254" s="4">
        <v>5309</v>
      </c>
      <c r="K254" s="4" t="s">
        <v>48</v>
      </c>
      <c r="L254" s="4">
        <v>5309030</v>
      </c>
      <c r="M254" s="4">
        <v>5309030013</v>
      </c>
      <c r="N254" s="4" t="s">
        <v>49</v>
      </c>
      <c r="O254" s="4">
        <v>47112</v>
      </c>
      <c r="P254" s="4" t="s">
        <v>1198</v>
      </c>
      <c r="Q254" s="5">
        <v>1</v>
      </c>
      <c r="R254" s="5">
        <v>0</v>
      </c>
      <c r="S254" s="5">
        <v>0</v>
      </c>
      <c r="T254" s="5">
        <v>1500000</v>
      </c>
      <c r="U254" s="5">
        <v>0</v>
      </c>
      <c r="V254" s="5">
        <v>0</v>
      </c>
      <c r="W254" s="5">
        <v>1500000</v>
      </c>
      <c r="X254" s="5">
        <v>2000000</v>
      </c>
      <c r="Y254" s="5">
        <v>0</v>
      </c>
      <c r="Z254" s="5">
        <f t="shared" si="27"/>
        <v>500000</v>
      </c>
      <c r="AA254" s="5">
        <v>100000000</v>
      </c>
      <c r="AB254" s="5">
        <f t="shared" si="28"/>
        <v>500000</v>
      </c>
      <c r="AC254" s="5" t="s">
        <v>255</v>
      </c>
      <c r="AD254" s="4" t="s">
        <v>51</v>
      </c>
      <c r="AE254" s="5">
        <f t="shared" si="29"/>
        <v>1</v>
      </c>
      <c r="AF254" s="5">
        <v>500000</v>
      </c>
      <c r="AG254" s="5">
        <v>1</v>
      </c>
      <c r="AH254" s="5">
        <v>1</v>
      </c>
      <c r="AI254" s="5">
        <v>1</v>
      </c>
      <c r="AJ254" s="7" t="s">
        <v>1199</v>
      </c>
      <c r="AK254" s="5">
        <v>0</v>
      </c>
      <c r="AL254" s="5">
        <v>0</v>
      </c>
      <c r="AM254" s="4">
        <v>2020</v>
      </c>
      <c r="AN254" s="5">
        <v>0</v>
      </c>
      <c r="AO254" s="5">
        <v>1</v>
      </c>
      <c r="AP254" s="8"/>
      <c r="AQ254" s="8"/>
      <c r="AR254" s="8">
        <f t="shared" si="30"/>
        <v>0</v>
      </c>
      <c r="AS254" s="8">
        <f t="shared" si="31"/>
        <v>0</v>
      </c>
      <c r="AT254" s="8">
        <f t="shared" si="32"/>
        <v>370000</v>
      </c>
      <c r="AU254" s="8">
        <f t="shared" si="33"/>
        <v>130000</v>
      </c>
      <c r="AV254" s="4" t="s">
        <v>1198</v>
      </c>
      <c r="AW254" s="7" t="s">
        <v>1199</v>
      </c>
      <c r="AX254" s="5">
        <v>1500000</v>
      </c>
      <c r="AY254" t="e">
        <f t="shared" si="34"/>
        <v>#DIV/0!</v>
      </c>
      <c r="AZ254" t="e">
        <f t="shared" si="35"/>
        <v>#DIV/0!</v>
      </c>
      <c r="BA254" s="5">
        <v>2000000</v>
      </c>
      <c r="BB254" s="5">
        <v>0</v>
      </c>
      <c r="BC254" s="4" t="s">
        <v>49</v>
      </c>
      <c r="BD254" s="4">
        <v>47112</v>
      </c>
      <c r="BE254" t="s">
        <v>54</v>
      </c>
    </row>
    <row r="255" spans="1:57" ht="270.75" thickBot="1" x14ac:dyDescent="0.3">
      <c r="A255" s="4" t="s">
        <v>1200</v>
      </c>
      <c r="B255" s="4">
        <v>3001</v>
      </c>
      <c r="C255" s="5">
        <v>2</v>
      </c>
      <c r="D255" s="4" t="s">
        <v>44</v>
      </c>
      <c r="E255" s="6">
        <v>46223.314938888892</v>
      </c>
      <c r="F255" s="4" t="s">
        <v>1201</v>
      </c>
      <c r="G255" s="4" t="s">
        <v>46</v>
      </c>
      <c r="H255" s="4">
        <v>53</v>
      </c>
      <c r="I255" s="4" t="s">
        <v>47</v>
      </c>
      <c r="J255" s="4">
        <v>5309</v>
      </c>
      <c r="K255" s="4" t="s">
        <v>48</v>
      </c>
      <c r="L255" s="4">
        <v>5309072</v>
      </c>
      <c r="M255" s="4">
        <v>5309072005</v>
      </c>
      <c r="N255" s="4" t="s">
        <v>49</v>
      </c>
      <c r="O255" s="4">
        <v>47112</v>
      </c>
      <c r="P255" s="4" t="s">
        <v>1202</v>
      </c>
      <c r="Q255" s="5">
        <v>2</v>
      </c>
      <c r="R255" s="5">
        <v>0</v>
      </c>
      <c r="S255" s="5">
        <v>0</v>
      </c>
      <c r="T255" s="5">
        <v>17000000</v>
      </c>
      <c r="U255" s="5">
        <v>1000000</v>
      </c>
      <c r="V255" s="5">
        <v>0</v>
      </c>
      <c r="W255" s="5">
        <v>18000000</v>
      </c>
      <c r="X255" s="5">
        <v>22000000</v>
      </c>
      <c r="Y255" s="5">
        <v>0</v>
      </c>
      <c r="Z255" s="5">
        <f t="shared" si="27"/>
        <v>4000000</v>
      </c>
      <c r="AA255" s="5">
        <v>12000000</v>
      </c>
      <c r="AB255" s="5">
        <f t="shared" si="28"/>
        <v>5000000</v>
      </c>
      <c r="AC255" s="5" t="s">
        <v>1203</v>
      </c>
      <c r="AD255" s="4" t="s">
        <v>51</v>
      </c>
      <c r="AE255" s="5">
        <f t="shared" si="29"/>
        <v>0.8</v>
      </c>
      <c r="AF255" s="5">
        <v>2500000</v>
      </c>
      <c r="AG255" s="5">
        <v>1</v>
      </c>
      <c r="AH255" s="5">
        <v>1</v>
      </c>
      <c r="AI255" s="5">
        <v>1</v>
      </c>
      <c r="AJ255" s="7" t="s">
        <v>1204</v>
      </c>
      <c r="AK255" s="5">
        <v>0</v>
      </c>
      <c r="AL255" s="5">
        <v>0</v>
      </c>
      <c r="AM255" s="4">
        <v>2004</v>
      </c>
      <c r="AN255" s="5">
        <v>0</v>
      </c>
      <c r="AO255" s="5">
        <v>2</v>
      </c>
      <c r="AP255" s="8"/>
      <c r="AQ255" s="8"/>
      <c r="AR255" s="8">
        <f t="shared" si="30"/>
        <v>0</v>
      </c>
      <c r="AS255" s="8">
        <f t="shared" si="31"/>
        <v>1000000</v>
      </c>
      <c r="AT255" s="8">
        <f t="shared" si="32"/>
        <v>3700000</v>
      </c>
      <c r="AU255" s="8">
        <f t="shared" si="33"/>
        <v>1300000</v>
      </c>
      <c r="AV255" s="4" t="s">
        <v>1202</v>
      </c>
      <c r="AW255" s="7" t="s">
        <v>1204</v>
      </c>
      <c r="AX255" s="5">
        <v>17000000</v>
      </c>
      <c r="AY255">
        <f t="shared" si="34"/>
        <v>0</v>
      </c>
      <c r="AZ255">
        <f t="shared" si="35"/>
        <v>1300000</v>
      </c>
      <c r="BA255" s="5">
        <v>22000000</v>
      </c>
      <c r="BB255" s="5">
        <v>0</v>
      </c>
      <c r="BC255" s="4" t="s">
        <v>49</v>
      </c>
      <c r="BD255" s="4">
        <v>47112</v>
      </c>
      <c r="BE255" t="s">
        <v>54</v>
      </c>
    </row>
    <row r="256" spans="1:57" ht="270.75" thickBot="1" x14ac:dyDescent="0.3">
      <c r="A256" s="4" t="s">
        <v>1205</v>
      </c>
      <c r="B256" s="4">
        <v>3001</v>
      </c>
      <c r="C256" s="5">
        <v>2</v>
      </c>
      <c r="D256" s="4" t="s">
        <v>44</v>
      </c>
      <c r="E256" s="6">
        <v>46240.229682708334</v>
      </c>
      <c r="F256" s="4" t="s">
        <v>1206</v>
      </c>
      <c r="G256" s="4" t="s">
        <v>46</v>
      </c>
      <c r="H256" s="4">
        <v>53</v>
      </c>
      <c r="I256" s="4" t="s">
        <v>47</v>
      </c>
      <c r="J256" s="4">
        <v>5309</v>
      </c>
      <c r="K256" s="4" t="s">
        <v>48</v>
      </c>
      <c r="L256" s="4">
        <v>5309072</v>
      </c>
      <c r="M256" s="4">
        <v>5309072010</v>
      </c>
      <c r="N256" s="4" t="s">
        <v>49</v>
      </c>
      <c r="O256" s="4">
        <v>47112</v>
      </c>
      <c r="P256" s="4" t="s">
        <v>1207</v>
      </c>
      <c r="Q256" s="5">
        <v>1</v>
      </c>
      <c r="R256" s="5">
        <v>0</v>
      </c>
      <c r="S256" s="5">
        <v>150000</v>
      </c>
      <c r="T256" s="5">
        <v>6300000</v>
      </c>
      <c r="U256" s="5">
        <v>50000</v>
      </c>
      <c r="V256" s="5">
        <v>0</v>
      </c>
      <c r="W256" s="5">
        <v>6500000</v>
      </c>
      <c r="X256" s="5">
        <v>9700000</v>
      </c>
      <c r="Y256" s="5">
        <v>0</v>
      </c>
      <c r="Z256" s="5">
        <f t="shared" si="27"/>
        <v>3200000</v>
      </c>
      <c r="AA256" s="5">
        <v>8200000</v>
      </c>
      <c r="AB256" s="5">
        <f t="shared" si="28"/>
        <v>3400000</v>
      </c>
      <c r="AC256" s="5" t="s">
        <v>1208</v>
      </c>
      <c r="AD256" s="4" t="s">
        <v>51</v>
      </c>
      <c r="AE256" s="5">
        <f t="shared" si="29"/>
        <v>0.94117647058823528</v>
      </c>
      <c r="AF256" s="5">
        <v>3400000</v>
      </c>
      <c r="AG256" s="5">
        <v>1</v>
      </c>
      <c r="AH256" s="5">
        <v>1</v>
      </c>
      <c r="AI256" s="5">
        <v>1</v>
      </c>
      <c r="AJ256" s="7" t="s">
        <v>1209</v>
      </c>
      <c r="AK256" s="5">
        <v>0</v>
      </c>
      <c r="AL256" s="5">
        <v>0</v>
      </c>
      <c r="AM256" s="4">
        <v>2017</v>
      </c>
      <c r="AN256" s="5">
        <v>0</v>
      </c>
      <c r="AO256" s="5">
        <v>1</v>
      </c>
      <c r="AP256" s="8"/>
      <c r="AQ256" s="8"/>
      <c r="AR256" s="8">
        <f t="shared" si="30"/>
        <v>0</v>
      </c>
      <c r="AS256" s="8">
        <f t="shared" si="31"/>
        <v>200000</v>
      </c>
      <c r="AT256" s="8">
        <f t="shared" si="32"/>
        <v>2516000</v>
      </c>
      <c r="AU256" s="8">
        <f t="shared" si="33"/>
        <v>884000</v>
      </c>
      <c r="AV256" s="4" t="s">
        <v>1207</v>
      </c>
      <c r="AW256" s="7" t="s">
        <v>1209</v>
      </c>
      <c r="AX256" s="5">
        <v>6300000</v>
      </c>
      <c r="AY256">
        <f t="shared" si="34"/>
        <v>663000</v>
      </c>
      <c r="AZ256">
        <f t="shared" si="35"/>
        <v>221000</v>
      </c>
      <c r="BA256" s="5">
        <v>9700000</v>
      </c>
      <c r="BB256" s="5">
        <v>0</v>
      </c>
      <c r="BC256" s="4" t="s">
        <v>49</v>
      </c>
      <c r="BD256" s="4">
        <v>47112</v>
      </c>
      <c r="BE256" t="s">
        <v>54</v>
      </c>
    </row>
    <row r="257" spans="1:57" ht="270.75" thickBot="1" x14ac:dyDescent="0.3">
      <c r="A257" s="4" t="s">
        <v>1210</v>
      </c>
      <c r="B257" s="4">
        <v>2001</v>
      </c>
      <c r="C257" s="5">
        <v>2</v>
      </c>
      <c r="D257" s="4" t="s">
        <v>44</v>
      </c>
      <c r="E257" s="6">
        <v>46270.23809121528</v>
      </c>
      <c r="F257" s="4" t="s">
        <v>1211</v>
      </c>
      <c r="G257" s="4" t="s">
        <v>46</v>
      </c>
      <c r="H257" s="4">
        <v>53</v>
      </c>
      <c r="I257" s="4" t="s">
        <v>47</v>
      </c>
      <c r="J257" s="4">
        <v>5309</v>
      </c>
      <c r="K257" s="4" t="s">
        <v>48</v>
      </c>
      <c r="L257" s="4">
        <v>5309030</v>
      </c>
      <c r="M257" s="4">
        <v>5309030012</v>
      </c>
      <c r="N257" s="4" t="s">
        <v>49</v>
      </c>
      <c r="O257" s="4">
        <v>47112</v>
      </c>
      <c r="P257" s="4" t="s">
        <v>1212</v>
      </c>
      <c r="Q257" s="5">
        <v>1</v>
      </c>
      <c r="R257" s="5">
        <v>0</v>
      </c>
      <c r="S257" s="5">
        <v>5000000</v>
      </c>
      <c r="T257" s="5">
        <v>12000000</v>
      </c>
      <c r="U257" s="5">
        <v>1300000</v>
      </c>
      <c r="V257" s="5">
        <v>0</v>
      </c>
      <c r="W257" s="5">
        <v>18300000</v>
      </c>
      <c r="X257" s="5">
        <v>42000000</v>
      </c>
      <c r="Y257" s="5">
        <v>0</v>
      </c>
      <c r="Z257" s="5">
        <f t="shared" si="27"/>
        <v>23700000</v>
      </c>
      <c r="AA257" s="5">
        <v>17100000</v>
      </c>
      <c r="AB257" s="5">
        <f t="shared" si="28"/>
        <v>30000000</v>
      </c>
      <c r="AC257" s="5" t="s">
        <v>425</v>
      </c>
      <c r="AD257" s="4" t="s">
        <v>51</v>
      </c>
      <c r="AE257" s="5">
        <f t="shared" si="29"/>
        <v>0.79</v>
      </c>
      <c r="AF257" s="5">
        <v>30000000</v>
      </c>
      <c r="AG257" s="5">
        <v>1</v>
      </c>
      <c r="AH257" s="5">
        <v>1</v>
      </c>
      <c r="AI257" s="5">
        <v>1</v>
      </c>
      <c r="AJ257" s="7" t="s">
        <v>1213</v>
      </c>
      <c r="AK257" s="5">
        <v>0</v>
      </c>
      <c r="AL257" s="5">
        <v>0</v>
      </c>
      <c r="AM257" s="4">
        <v>2010</v>
      </c>
      <c r="AN257" s="5">
        <v>0</v>
      </c>
      <c r="AO257" s="5">
        <v>1</v>
      </c>
      <c r="AP257" s="8"/>
      <c r="AQ257" s="8"/>
      <c r="AR257" s="8">
        <f t="shared" si="30"/>
        <v>0</v>
      </c>
      <c r="AS257" s="8">
        <f t="shared" si="31"/>
        <v>6300000</v>
      </c>
      <c r="AT257" s="8">
        <f t="shared" si="32"/>
        <v>22200000</v>
      </c>
      <c r="AU257" s="8">
        <f t="shared" si="33"/>
        <v>7800000</v>
      </c>
      <c r="AV257" s="4" t="s">
        <v>1212</v>
      </c>
      <c r="AW257" s="7" t="s">
        <v>1213</v>
      </c>
      <c r="AX257" s="5">
        <v>12000000</v>
      </c>
      <c r="AY257">
        <f t="shared" si="34"/>
        <v>6190476.1904761903</v>
      </c>
      <c r="AZ257">
        <f t="shared" si="35"/>
        <v>1609523.8095238095</v>
      </c>
      <c r="BA257" s="5">
        <v>42000000</v>
      </c>
      <c r="BB257" s="5">
        <v>0</v>
      </c>
      <c r="BC257" s="4" t="s">
        <v>49</v>
      </c>
      <c r="BD257" s="4">
        <v>47112</v>
      </c>
      <c r="BE257" t="s">
        <v>54</v>
      </c>
    </row>
    <row r="258" spans="1:57" ht="255.75" thickBot="1" x14ac:dyDescent="0.3">
      <c r="A258" s="4" t="s">
        <v>1214</v>
      </c>
      <c r="B258" s="4">
        <v>1002</v>
      </c>
      <c r="C258" s="5">
        <v>2</v>
      </c>
      <c r="D258" s="4" t="s">
        <v>44</v>
      </c>
      <c r="E258" s="6">
        <v>46290.92286244213</v>
      </c>
      <c r="F258" s="4" t="s">
        <v>1215</v>
      </c>
      <c r="G258" s="4" t="s">
        <v>46</v>
      </c>
      <c r="H258" s="4">
        <v>53</v>
      </c>
      <c r="I258" s="4" t="s">
        <v>47</v>
      </c>
      <c r="J258" s="4">
        <v>5309</v>
      </c>
      <c r="K258" s="4" t="s">
        <v>48</v>
      </c>
      <c r="L258" s="4">
        <v>5309030</v>
      </c>
      <c r="M258" s="4">
        <v>5309030024</v>
      </c>
      <c r="N258" s="4" t="s">
        <v>49</v>
      </c>
      <c r="O258" s="4">
        <v>47112</v>
      </c>
      <c r="P258" s="4" t="s">
        <v>1216</v>
      </c>
      <c r="Q258" s="5">
        <v>1</v>
      </c>
      <c r="R258" s="5">
        <v>0</v>
      </c>
      <c r="S258" s="5">
        <v>360000</v>
      </c>
      <c r="T258" s="5">
        <v>6000000</v>
      </c>
      <c r="U258" s="5">
        <v>0</v>
      </c>
      <c r="V258" s="5">
        <v>0</v>
      </c>
      <c r="W258" s="5">
        <v>6360000</v>
      </c>
      <c r="X258" s="5">
        <v>12000000</v>
      </c>
      <c r="Y258" s="5">
        <v>0</v>
      </c>
      <c r="Z258" s="5">
        <f t="shared" si="27"/>
        <v>5640000</v>
      </c>
      <c r="AA258" s="5">
        <v>1000000</v>
      </c>
      <c r="AB258" s="5">
        <f t="shared" si="28"/>
        <v>6000000</v>
      </c>
      <c r="AC258" s="5" t="s">
        <v>93</v>
      </c>
      <c r="AD258" s="4" t="s">
        <v>51</v>
      </c>
      <c r="AE258" s="5">
        <f t="shared" si="29"/>
        <v>0.94</v>
      </c>
      <c r="AF258" s="5">
        <v>6000000</v>
      </c>
      <c r="AG258" s="5">
        <v>1</v>
      </c>
      <c r="AH258" s="5">
        <v>1</v>
      </c>
      <c r="AI258" s="5">
        <v>1</v>
      </c>
      <c r="AJ258" s="7" t="s">
        <v>1217</v>
      </c>
      <c r="AK258" s="5">
        <v>0</v>
      </c>
      <c r="AL258" s="5">
        <v>0</v>
      </c>
      <c r="AM258" s="4">
        <v>2023</v>
      </c>
      <c r="AN258" s="5">
        <v>0</v>
      </c>
      <c r="AO258" s="5">
        <v>1</v>
      </c>
      <c r="AP258" s="8"/>
      <c r="AQ258" s="8"/>
      <c r="AR258" s="8">
        <f t="shared" si="30"/>
        <v>0</v>
      </c>
      <c r="AS258" s="8">
        <f t="shared" si="31"/>
        <v>360000</v>
      </c>
      <c r="AT258" s="8">
        <f t="shared" si="32"/>
        <v>4440000</v>
      </c>
      <c r="AU258" s="8">
        <f t="shared" si="33"/>
        <v>1560000</v>
      </c>
      <c r="AV258" s="4" t="s">
        <v>1216</v>
      </c>
      <c r="AW258" s="7" t="s">
        <v>1217</v>
      </c>
      <c r="AX258" s="5">
        <v>6000000</v>
      </c>
      <c r="AY258">
        <f t="shared" si="34"/>
        <v>1560000</v>
      </c>
      <c r="AZ258">
        <f t="shared" si="35"/>
        <v>0</v>
      </c>
      <c r="BA258" s="5">
        <v>12000000</v>
      </c>
      <c r="BB258" s="5">
        <v>0</v>
      </c>
      <c r="BC258" s="4" t="s">
        <v>49</v>
      </c>
      <c r="BD258" s="4">
        <v>47112</v>
      </c>
      <c r="BE258" t="s">
        <v>54</v>
      </c>
    </row>
    <row r="259" spans="1:57" ht="270.75" thickBot="1" x14ac:dyDescent="0.3">
      <c r="A259" s="4" t="s">
        <v>1218</v>
      </c>
      <c r="B259" s="4">
        <v>2001</v>
      </c>
      <c r="C259" s="5">
        <v>2</v>
      </c>
      <c r="D259" s="4" t="s">
        <v>44</v>
      </c>
      <c r="E259" s="6">
        <v>46290.925861203701</v>
      </c>
      <c r="F259" s="4" t="s">
        <v>1219</v>
      </c>
      <c r="G259" s="4" t="s">
        <v>46</v>
      </c>
      <c r="H259" s="4">
        <v>53</v>
      </c>
      <c r="I259" s="4" t="s">
        <v>47</v>
      </c>
      <c r="J259" s="4">
        <v>5309</v>
      </c>
      <c r="K259" s="4" t="s">
        <v>48</v>
      </c>
      <c r="L259" s="4">
        <v>5309030</v>
      </c>
      <c r="M259" s="4">
        <v>5309030021</v>
      </c>
      <c r="N259" s="4" t="s">
        <v>49</v>
      </c>
      <c r="O259" s="4">
        <v>47112</v>
      </c>
      <c r="P259" s="4" t="s">
        <v>1220</v>
      </c>
      <c r="Q259" s="5">
        <v>1</v>
      </c>
      <c r="R259" s="5">
        <v>0</v>
      </c>
      <c r="S259" s="5">
        <v>288000</v>
      </c>
      <c r="T259" s="5">
        <v>62400000</v>
      </c>
      <c r="U259" s="5">
        <v>3120000</v>
      </c>
      <c r="V259" s="5">
        <v>624000</v>
      </c>
      <c r="W259" s="5">
        <v>66432000</v>
      </c>
      <c r="X259" s="5">
        <v>78000000</v>
      </c>
      <c r="Y259" s="5">
        <v>0</v>
      </c>
      <c r="Z259" s="5">
        <f t="shared" ref="Z259:Z322" si="36">X259-SUM(S259:U259)</f>
        <v>12192000</v>
      </c>
      <c r="AA259" s="5">
        <v>1000000</v>
      </c>
      <c r="AB259" s="5">
        <f t="shared" ref="AB259:AB322" si="37">X259-T259</f>
        <v>15600000</v>
      </c>
      <c r="AC259" s="5" t="s">
        <v>52</v>
      </c>
      <c r="AD259" s="4" t="s">
        <v>51</v>
      </c>
      <c r="AE259" s="5">
        <f t="shared" ref="AE259:AE322" si="38">Z259/AB259</f>
        <v>0.78153846153846152</v>
      </c>
      <c r="AF259" s="5">
        <v>15600000</v>
      </c>
      <c r="AG259" s="5">
        <v>1</v>
      </c>
      <c r="AH259" s="5">
        <v>1</v>
      </c>
      <c r="AI259" s="5">
        <v>1</v>
      </c>
      <c r="AJ259" s="7" t="s">
        <v>1221</v>
      </c>
      <c r="AK259" s="5">
        <v>0</v>
      </c>
      <c r="AL259" s="5">
        <v>0</v>
      </c>
      <c r="AM259" s="4">
        <v>2024</v>
      </c>
      <c r="AN259" s="5">
        <v>0</v>
      </c>
      <c r="AO259" s="5">
        <v>1</v>
      </c>
      <c r="AP259" s="8"/>
      <c r="AQ259" s="8"/>
      <c r="AR259" s="8">
        <f t="shared" ref="AR259:AR322" si="39">IF(Z259&lt;=0,1,0)</f>
        <v>0</v>
      </c>
      <c r="AS259" s="8">
        <f t="shared" ref="AS259:AS322" si="40">AB259-Z259</f>
        <v>3408000</v>
      </c>
      <c r="AT259" s="8">
        <f t="shared" ref="AT259:AT322" si="41">IF(AE259&gt;0.78,(Z259*0.74/AE259),IF(Z259&lt;0.64,(Z259*0.68/AE259),Z259))</f>
        <v>11544000</v>
      </c>
      <c r="AU259" s="8">
        <f t="shared" ref="AU259:AU322" si="42">AB259-AT259</f>
        <v>4056000</v>
      </c>
      <c r="AV259" s="4" t="s">
        <v>1220</v>
      </c>
      <c r="AW259" s="7" t="s">
        <v>1221</v>
      </c>
      <c r="AX259" s="5">
        <v>62400000</v>
      </c>
      <c r="AY259">
        <f t="shared" ref="AY259:AY322" si="43">AU259-AZ259</f>
        <v>342760.56338028191</v>
      </c>
      <c r="AZ259">
        <f t="shared" ref="AZ259:AZ322" si="44">U259*AU259/AS259</f>
        <v>3713239.4366197181</v>
      </c>
      <c r="BA259" s="5">
        <v>78000000</v>
      </c>
      <c r="BB259" s="5">
        <v>0</v>
      </c>
      <c r="BC259" s="4" t="s">
        <v>49</v>
      </c>
      <c r="BD259" s="4">
        <v>47112</v>
      </c>
      <c r="BE259" t="s">
        <v>54</v>
      </c>
    </row>
    <row r="260" spans="1:57" ht="270.75" thickBot="1" x14ac:dyDescent="0.3">
      <c r="A260" s="4" t="s">
        <v>1222</v>
      </c>
      <c r="B260" s="4">
        <v>2001</v>
      </c>
      <c r="C260" s="5">
        <v>2</v>
      </c>
      <c r="D260" s="4" t="s">
        <v>44</v>
      </c>
      <c r="E260" s="6">
        <v>46293.103473888892</v>
      </c>
      <c r="F260" s="4" t="s">
        <v>1223</v>
      </c>
      <c r="G260" s="4" t="s">
        <v>46</v>
      </c>
      <c r="H260" s="4">
        <v>53</v>
      </c>
      <c r="I260" s="4" t="s">
        <v>47</v>
      </c>
      <c r="J260" s="4">
        <v>5309</v>
      </c>
      <c r="K260" s="4" t="s">
        <v>48</v>
      </c>
      <c r="L260" s="4">
        <v>5309040</v>
      </c>
      <c r="M260" s="4">
        <v>5309040005</v>
      </c>
      <c r="N260" s="4" t="s">
        <v>49</v>
      </c>
      <c r="O260" s="4">
        <v>47112</v>
      </c>
      <c r="P260" s="4" t="s">
        <v>1224</v>
      </c>
      <c r="Q260" s="5">
        <v>5</v>
      </c>
      <c r="R260" s="5">
        <v>20000000</v>
      </c>
      <c r="S260" s="5">
        <v>1500000</v>
      </c>
      <c r="T260" s="5">
        <v>50000000</v>
      </c>
      <c r="U260" s="5">
        <v>2400000</v>
      </c>
      <c r="V260" s="5">
        <v>0</v>
      </c>
      <c r="W260" s="5">
        <v>73900000</v>
      </c>
      <c r="X260" s="5">
        <v>100000000</v>
      </c>
      <c r="Y260" s="5">
        <v>0</v>
      </c>
      <c r="Z260" s="5">
        <f t="shared" si="36"/>
        <v>46100000</v>
      </c>
      <c r="AA260" s="5">
        <v>1200000</v>
      </c>
      <c r="AB260" s="5">
        <f t="shared" si="37"/>
        <v>50000000</v>
      </c>
      <c r="AC260" s="5" t="s">
        <v>93</v>
      </c>
      <c r="AD260" s="4" t="s">
        <v>51</v>
      </c>
      <c r="AE260" s="5">
        <f t="shared" si="38"/>
        <v>0.92200000000000004</v>
      </c>
      <c r="AF260" s="5">
        <v>10000000</v>
      </c>
      <c r="AG260" s="5">
        <v>1</v>
      </c>
      <c r="AH260" s="5">
        <v>0</v>
      </c>
      <c r="AI260" s="5">
        <v>1</v>
      </c>
      <c r="AJ260" s="7" t="s">
        <v>1225</v>
      </c>
      <c r="AK260" s="5">
        <v>0</v>
      </c>
      <c r="AL260" s="5">
        <v>0</v>
      </c>
      <c r="AM260" s="4">
        <v>2001</v>
      </c>
      <c r="AN260" s="5">
        <v>5</v>
      </c>
      <c r="AO260" s="5">
        <v>0</v>
      </c>
      <c r="AP260" s="8"/>
      <c r="AQ260" s="8"/>
      <c r="AR260" s="8">
        <f t="shared" si="39"/>
        <v>0</v>
      </c>
      <c r="AS260" s="8">
        <f t="shared" si="40"/>
        <v>3900000</v>
      </c>
      <c r="AT260" s="8">
        <f t="shared" si="41"/>
        <v>37000000</v>
      </c>
      <c r="AU260" s="8">
        <f t="shared" si="42"/>
        <v>13000000</v>
      </c>
      <c r="AV260" s="4" t="s">
        <v>1224</v>
      </c>
      <c r="AW260" s="7" t="s">
        <v>1225</v>
      </c>
      <c r="AX260" s="5">
        <v>50000000</v>
      </c>
      <c r="AY260">
        <f t="shared" si="43"/>
        <v>5000000</v>
      </c>
      <c r="AZ260">
        <f t="shared" si="44"/>
        <v>8000000</v>
      </c>
      <c r="BA260" s="5">
        <v>100000000</v>
      </c>
      <c r="BB260" s="5">
        <v>0</v>
      </c>
      <c r="BC260" s="4" t="s">
        <v>49</v>
      </c>
      <c r="BD260" s="4">
        <v>47112</v>
      </c>
      <c r="BE260" t="s">
        <v>54</v>
      </c>
    </row>
    <row r="261" spans="1:57" ht="255.75" thickBot="1" x14ac:dyDescent="0.3">
      <c r="A261" s="4" t="s">
        <v>1226</v>
      </c>
      <c r="B261" s="4">
        <v>2001</v>
      </c>
      <c r="C261" s="5">
        <v>2</v>
      </c>
      <c r="D261" s="4" t="s">
        <v>44</v>
      </c>
      <c r="E261" s="6">
        <v>46248.926296319441</v>
      </c>
      <c r="F261" s="4" t="s">
        <v>1227</v>
      </c>
      <c r="G261" s="4" t="s">
        <v>46</v>
      </c>
      <c r="H261" s="4">
        <v>53</v>
      </c>
      <c r="I261" s="4" t="s">
        <v>47</v>
      </c>
      <c r="J261" s="4">
        <v>5309</v>
      </c>
      <c r="K261" s="4" t="s">
        <v>48</v>
      </c>
      <c r="L261" s="4">
        <v>5309062</v>
      </c>
      <c r="M261" s="4">
        <v>5309062012</v>
      </c>
      <c r="N261" s="4" t="s">
        <v>49</v>
      </c>
      <c r="O261" s="4">
        <v>47112</v>
      </c>
      <c r="P261" s="4" t="s">
        <v>1228</v>
      </c>
      <c r="Q261" s="5">
        <v>2</v>
      </c>
      <c r="R261" s="5">
        <v>0</v>
      </c>
      <c r="S261" s="5">
        <v>200000</v>
      </c>
      <c r="T261" s="5">
        <v>2000000</v>
      </c>
      <c r="U261" s="5">
        <v>3500000</v>
      </c>
      <c r="V261" s="5">
        <v>0</v>
      </c>
      <c r="W261" s="5">
        <v>5700000</v>
      </c>
      <c r="X261" s="5">
        <v>6000000</v>
      </c>
      <c r="Y261" s="5">
        <v>0</v>
      </c>
      <c r="Z261" s="5">
        <f t="shared" si="36"/>
        <v>300000</v>
      </c>
      <c r="AA261" s="5">
        <v>800000</v>
      </c>
      <c r="AB261" s="5">
        <f t="shared" si="37"/>
        <v>4000000</v>
      </c>
      <c r="AC261" s="5" t="s">
        <v>172</v>
      </c>
      <c r="AD261" s="4" t="s">
        <v>51</v>
      </c>
      <c r="AE261" s="5">
        <f t="shared" si="38"/>
        <v>7.4999999999999997E-2</v>
      </c>
      <c r="AF261" s="5">
        <v>2000000</v>
      </c>
      <c r="AG261" s="5">
        <v>1</v>
      </c>
      <c r="AH261" s="5">
        <v>1</v>
      </c>
      <c r="AI261" s="5">
        <v>1</v>
      </c>
      <c r="AJ261" s="7" t="s">
        <v>1229</v>
      </c>
      <c r="AK261" s="5">
        <v>0</v>
      </c>
      <c r="AL261" s="5">
        <v>0</v>
      </c>
      <c r="AM261" s="4">
        <v>2024</v>
      </c>
      <c r="AN261" s="5">
        <v>0</v>
      </c>
      <c r="AO261" s="5">
        <v>2</v>
      </c>
      <c r="AP261" s="8"/>
      <c r="AQ261" s="8"/>
      <c r="AR261" s="8">
        <f t="shared" si="39"/>
        <v>0</v>
      </c>
      <c r="AS261" s="8">
        <f t="shared" si="40"/>
        <v>3700000</v>
      </c>
      <c r="AT261" s="8">
        <f t="shared" si="41"/>
        <v>300000</v>
      </c>
      <c r="AU261" s="8">
        <f t="shared" si="42"/>
        <v>3700000</v>
      </c>
      <c r="AV261" s="4" t="s">
        <v>1228</v>
      </c>
      <c r="AW261" s="7" t="s">
        <v>1229</v>
      </c>
      <c r="AX261" s="5">
        <v>2000000</v>
      </c>
      <c r="AY261">
        <f t="shared" si="43"/>
        <v>200000</v>
      </c>
      <c r="AZ261">
        <f t="shared" si="44"/>
        <v>3500000</v>
      </c>
      <c r="BA261" s="5">
        <v>6000000</v>
      </c>
      <c r="BB261" s="5">
        <v>0</v>
      </c>
      <c r="BC261" s="4" t="s">
        <v>49</v>
      </c>
      <c r="BD261" s="4">
        <v>47112</v>
      </c>
      <c r="BE261" t="s">
        <v>54</v>
      </c>
    </row>
    <row r="262" spans="1:57" ht="270.75" thickBot="1" x14ac:dyDescent="0.3">
      <c r="A262" s="4" t="s">
        <v>1230</v>
      </c>
      <c r="B262" s="4">
        <v>1002</v>
      </c>
      <c r="C262" s="5">
        <v>2</v>
      </c>
      <c r="D262" s="4" t="s">
        <v>44</v>
      </c>
      <c r="E262" s="6">
        <v>46280.50005761574</v>
      </c>
      <c r="F262" s="4" t="s">
        <v>1231</v>
      </c>
      <c r="G262" s="4" t="s">
        <v>46</v>
      </c>
      <c r="H262" s="4">
        <v>53</v>
      </c>
      <c r="I262" s="4" t="s">
        <v>47</v>
      </c>
      <c r="J262" s="4">
        <v>5309</v>
      </c>
      <c r="K262" s="4" t="s">
        <v>48</v>
      </c>
      <c r="L262" s="4">
        <v>5309070</v>
      </c>
      <c r="M262" s="4">
        <v>5309070006</v>
      </c>
      <c r="N262" s="4" t="s">
        <v>49</v>
      </c>
      <c r="O262" s="4">
        <v>47112</v>
      </c>
      <c r="P262" s="4" t="s">
        <v>1232</v>
      </c>
      <c r="Q262" s="5">
        <v>1</v>
      </c>
      <c r="R262" s="5">
        <v>0</v>
      </c>
      <c r="S262" s="5">
        <v>0</v>
      </c>
      <c r="T262" s="5">
        <v>6000000</v>
      </c>
      <c r="U262" s="5">
        <v>300000</v>
      </c>
      <c r="V262" s="5">
        <v>0</v>
      </c>
      <c r="W262" s="5">
        <v>6300000</v>
      </c>
      <c r="X262" s="5">
        <v>7500000</v>
      </c>
      <c r="Y262" s="5">
        <v>0</v>
      </c>
      <c r="Z262" s="5">
        <f t="shared" si="36"/>
        <v>1200000</v>
      </c>
      <c r="AA262" s="5">
        <v>0</v>
      </c>
      <c r="AB262" s="5">
        <f t="shared" si="37"/>
        <v>1500000</v>
      </c>
      <c r="AC262" s="5" t="s">
        <v>52</v>
      </c>
      <c r="AD262" s="4" t="s">
        <v>51</v>
      </c>
      <c r="AE262" s="5">
        <f t="shared" si="38"/>
        <v>0.8</v>
      </c>
      <c r="AF262" s="5">
        <v>1500000</v>
      </c>
      <c r="AG262" s="4"/>
      <c r="AH262" s="5">
        <v>1</v>
      </c>
      <c r="AI262" s="5">
        <v>1</v>
      </c>
      <c r="AJ262" s="7" t="s">
        <v>1233</v>
      </c>
      <c r="AK262" s="5">
        <v>0</v>
      </c>
      <c r="AL262" s="5">
        <v>0</v>
      </c>
      <c r="AM262" s="4">
        <v>2018</v>
      </c>
      <c r="AN262" s="5">
        <v>0</v>
      </c>
      <c r="AO262" s="5">
        <v>1</v>
      </c>
      <c r="AP262" s="8"/>
      <c r="AQ262" s="8"/>
      <c r="AR262" s="8">
        <f t="shared" si="39"/>
        <v>0</v>
      </c>
      <c r="AS262" s="8">
        <f t="shared" si="40"/>
        <v>300000</v>
      </c>
      <c r="AT262" s="8">
        <f t="shared" si="41"/>
        <v>1110000</v>
      </c>
      <c r="AU262" s="8">
        <f t="shared" si="42"/>
        <v>390000</v>
      </c>
      <c r="AV262" s="4" t="s">
        <v>1232</v>
      </c>
      <c r="AW262" s="7" t="s">
        <v>1233</v>
      </c>
      <c r="AX262" s="5">
        <v>6000000</v>
      </c>
      <c r="AY262">
        <f t="shared" si="43"/>
        <v>0</v>
      </c>
      <c r="AZ262">
        <f t="shared" si="44"/>
        <v>390000</v>
      </c>
      <c r="BA262" s="5">
        <v>7500000</v>
      </c>
      <c r="BB262" s="5">
        <v>0</v>
      </c>
      <c r="BC262" s="4" t="s">
        <v>49</v>
      </c>
      <c r="BD262" s="4">
        <v>47112</v>
      </c>
      <c r="BE262" t="s">
        <v>54</v>
      </c>
    </row>
    <row r="263" spans="1:57" ht="270.75" thickBot="1" x14ac:dyDescent="0.3">
      <c r="A263" s="4" t="s">
        <v>1234</v>
      </c>
      <c r="B263" s="4">
        <v>1002</v>
      </c>
      <c r="C263" s="5">
        <v>2</v>
      </c>
      <c r="D263" s="4" t="s">
        <v>44</v>
      </c>
      <c r="E263" s="6">
        <v>46228.337764479169</v>
      </c>
      <c r="F263" s="4" t="s">
        <v>1235</v>
      </c>
      <c r="G263" s="4" t="s">
        <v>46</v>
      </c>
      <c r="H263" s="4">
        <v>53</v>
      </c>
      <c r="I263" s="4" t="s">
        <v>47</v>
      </c>
      <c r="J263" s="4">
        <v>5309</v>
      </c>
      <c r="K263" s="4" t="s">
        <v>48</v>
      </c>
      <c r="L263" s="4">
        <v>5309070</v>
      </c>
      <c r="M263" s="4">
        <v>5309070007</v>
      </c>
      <c r="N263" s="4" t="s">
        <v>49</v>
      </c>
      <c r="O263" s="4">
        <v>47112</v>
      </c>
      <c r="P263" s="4" t="s">
        <v>1236</v>
      </c>
      <c r="Q263" s="5">
        <v>2</v>
      </c>
      <c r="R263" s="5">
        <v>0</v>
      </c>
      <c r="S263" s="5">
        <v>0</v>
      </c>
      <c r="T263" s="5">
        <v>4000000</v>
      </c>
      <c r="U263" s="5">
        <v>400000</v>
      </c>
      <c r="V263" s="5">
        <v>0</v>
      </c>
      <c r="W263" s="5">
        <v>4400000</v>
      </c>
      <c r="X263" s="5">
        <v>8000000</v>
      </c>
      <c r="Y263" s="5">
        <v>0</v>
      </c>
      <c r="Z263" s="5">
        <f t="shared" si="36"/>
        <v>3600000</v>
      </c>
      <c r="AA263" s="5">
        <v>7000000</v>
      </c>
      <c r="AB263" s="5">
        <f t="shared" si="37"/>
        <v>4000000</v>
      </c>
      <c r="AC263" s="5" t="s">
        <v>93</v>
      </c>
      <c r="AD263" s="4" t="s">
        <v>51</v>
      </c>
      <c r="AE263" s="5">
        <f t="shared" si="38"/>
        <v>0.9</v>
      </c>
      <c r="AF263" s="5">
        <v>2000000</v>
      </c>
      <c r="AG263" s="5">
        <v>1</v>
      </c>
      <c r="AH263" s="5">
        <v>1</v>
      </c>
      <c r="AI263" s="5">
        <v>1</v>
      </c>
      <c r="AJ263" s="7" t="s">
        <v>1237</v>
      </c>
      <c r="AK263" s="5">
        <v>0</v>
      </c>
      <c r="AL263" s="5">
        <v>0</v>
      </c>
      <c r="AM263" s="4">
        <v>2023</v>
      </c>
      <c r="AN263" s="5">
        <v>0</v>
      </c>
      <c r="AO263" s="5">
        <v>2</v>
      </c>
      <c r="AP263" s="8"/>
      <c r="AQ263" s="8"/>
      <c r="AR263" s="8">
        <f t="shared" si="39"/>
        <v>0</v>
      </c>
      <c r="AS263" s="8">
        <f t="shared" si="40"/>
        <v>400000</v>
      </c>
      <c r="AT263" s="8">
        <f t="shared" si="41"/>
        <v>2960000</v>
      </c>
      <c r="AU263" s="8">
        <f t="shared" si="42"/>
        <v>1040000</v>
      </c>
      <c r="AV263" s="4" t="s">
        <v>1236</v>
      </c>
      <c r="AW263" s="7" t="s">
        <v>1237</v>
      </c>
      <c r="AX263" s="5">
        <v>4000000</v>
      </c>
      <c r="AY263">
        <f t="shared" si="43"/>
        <v>0</v>
      </c>
      <c r="AZ263">
        <f t="shared" si="44"/>
        <v>1040000</v>
      </c>
      <c r="BA263" s="5">
        <v>8000000</v>
      </c>
      <c r="BB263" s="5">
        <v>0</v>
      </c>
      <c r="BC263" s="4" t="s">
        <v>49</v>
      </c>
      <c r="BD263" s="4">
        <v>47112</v>
      </c>
      <c r="BE263" t="s">
        <v>54</v>
      </c>
    </row>
    <row r="264" spans="1:57" ht="270.75" thickBot="1" x14ac:dyDescent="0.3">
      <c r="A264" s="4" t="s">
        <v>1238</v>
      </c>
      <c r="B264" s="4">
        <v>1</v>
      </c>
      <c r="C264" s="5">
        <v>2</v>
      </c>
      <c r="D264" s="4" t="s">
        <v>44</v>
      </c>
      <c r="E264" s="6">
        <v>46219.902594328705</v>
      </c>
      <c r="F264" s="4" t="s">
        <v>1239</v>
      </c>
      <c r="G264" s="4" t="s">
        <v>46</v>
      </c>
      <c r="H264" s="4">
        <v>53</v>
      </c>
      <c r="I264" s="4" t="s">
        <v>47</v>
      </c>
      <c r="J264" s="4">
        <v>5309</v>
      </c>
      <c r="K264" s="4" t="s">
        <v>48</v>
      </c>
      <c r="L264" s="4">
        <v>5309062</v>
      </c>
      <c r="M264" s="4">
        <v>5309062001</v>
      </c>
      <c r="N264" s="4" t="s">
        <v>49</v>
      </c>
      <c r="O264" s="4">
        <v>47112</v>
      </c>
      <c r="P264" s="4" t="s">
        <v>449</v>
      </c>
      <c r="Q264" s="5">
        <v>2</v>
      </c>
      <c r="R264" s="5">
        <v>250000</v>
      </c>
      <c r="S264" s="5">
        <v>2000000</v>
      </c>
      <c r="T264" s="5">
        <v>3000000</v>
      </c>
      <c r="U264" s="5">
        <v>300000</v>
      </c>
      <c r="V264" s="5">
        <v>0</v>
      </c>
      <c r="W264" s="5">
        <v>5550000</v>
      </c>
      <c r="X264" s="5">
        <v>7000000</v>
      </c>
      <c r="Y264" s="5">
        <v>1000000</v>
      </c>
      <c r="Z264" s="5">
        <f t="shared" si="36"/>
        <v>1700000</v>
      </c>
      <c r="AA264" s="5">
        <v>7000000</v>
      </c>
      <c r="AB264" s="5">
        <f t="shared" si="37"/>
        <v>4000000</v>
      </c>
      <c r="AC264" s="5" t="s">
        <v>100</v>
      </c>
      <c r="AD264" s="4" t="s">
        <v>51</v>
      </c>
      <c r="AE264" s="5">
        <f t="shared" si="38"/>
        <v>0.42499999999999999</v>
      </c>
      <c r="AF264" s="5">
        <v>1000000</v>
      </c>
      <c r="AG264" s="5">
        <v>0</v>
      </c>
      <c r="AH264" s="5">
        <v>1</v>
      </c>
      <c r="AI264" s="5">
        <v>1</v>
      </c>
      <c r="AJ264" s="7" t="s">
        <v>1240</v>
      </c>
      <c r="AK264" s="5">
        <v>0</v>
      </c>
      <c r="AL264" s="5">
        <v>0</v>
      </c>
      <c r="AM264" s="4">
        <v>2018</v>
      </c>
      <c r="AN264" s="5">
        <v>1</v>
      </c>
      <c r="AO264" s="5">
        <v>1</v>
      </c>
      <c r="AP264" s="8"/>
      <c r="AQ264" s="8"/>
      <c r="AR264" s="8">
        <f t="shared" si="39"/>
        <v>0</v>
      </c>
      <c r="AS264" s="8">
        <f t="shared" si="40"/>
        <v>2300000</v>
      </c>
      <c r="AT264" s="8">
        <f t="shared" si="41"/>
        <v>1700000</v>
      </c>
      <c r="AU264" s="8">
        <f t="shared" si="42"/>
        <v>2300000</v>
      </c>
      <c r="AV264" s="4" t="s">
        <v>449</v>
      </c>
      <c r="AW264" s="7" t="s">
        <v>1240</v>
      </c>
      <c r="AX264" s="5">
        <v>3000000</v>
      </c>
      <c r="AY264">
        <f t="shared" si="43"/>
        <v>2000000</v>
      </c>
      <c r="AZ264">
        <f t="shared" si="44"/>
        <v>300000</v>
      </c>
      <c r="BA264" s="5">
        <v>7000000</v>
      </c>
      <c r="BB264" s="5">
        <v>1000000</v>
      </c>
      <c r="BC264" s="4" t="s">
        <v>49</v>
      </c>
      <c r="BD264" s="4">
        <v>47112</v>
      </c>
      <c r="BE264" t="s">
        <v>54</v>
      </c>
    </row>
    <row r="265" spans="1:57" ht="270.75" thickBot="1" x14ac:dyDescent="0.3">
      <c r="A265" s="4" t="s">
        <v>1241</v>
      </c>
      <c r="B265" s="4">
        <v>1</v>
      </c>
      <c r="C265" s="5">
        <v>2</v>
      </c>
      <c r="D265" s="4" t="s">
        <v>44</v>
      </c>
      <c r="E265" s="6">
        <v>46193.320294293982</v>
      </c>
      <c r="F265" s="4" t="s">
        <v>1242</v>
      </c>
      <c r="G265" s="4" t="s">
        <v>46</v>
      </c>
      <c r="H265" s="4">
        <v>53</v>
      </c>
      <c r="I265" s="4" t="s">
        <v>47</v>
      </c>
      <c r="J265" s="4">
        <v>5309</v>
      </c>
      <c r="K265" s="4" t="s">
        <v>48</v>
      </c>
      <c r="L265" s="4">
        <v>5309032</v>
      </c>
      <c r="M265" s="4">
        <v>5309032005</v>
      </c>
      <c r="N265" s="4" t="s">
        <v>49</v>
      </c>
      <c r="O265" s="4">
        <v>47112</v>
      </c>
      <c r="P265" s="4" t="s">
        <v>1243</v>
      </c>
      <c r="Q265" s="5">
        <v>1</v>
      </c>
      <c r="R265" s="5">
        <v>0</v>
      </c>
      <c r="S265" s="5">
        <v>0</v>
      </c>
      <c r="T265" s="5">
        <v>750000</v>
      </c>
      <c r="U265" s="5">
        <v>3600000</v>
      </c>
      <c r="V265" s="5">
        <v>55000</v>
      </c>
      <c r="W265" s="5">
        <v>4405000</v>
      </c>
      <c r="X265" s="5">
        <v>9500000</v>
      </c>
      <c r="Y265" s="5">
        <v>0</v>
      </c>
      <c r="Z265" s="5">
        <f t="shared" si="36"/>
        <v>5150000</v>
      </c>
      <c r="AA265" s="5">
        <v>50000000</v>
      </c>
      <c r="AB265" s="5">
        <f t="shared" si="37"/>
        <v>8750000</v>
      </c>
      <c r="AC265" s="5" t="s">
        <v>1244</v>
      </c>
      <c r="AD265" s="4" t="s">
        <v>51</v>
      </c>
      <c r="AE265" s="5">
        <f t="shared" si="38"/>
        <v>0.58857142857142852</v>
      </c>
      <c r="AF265" s="5">
        <v>8750000</v>
      </c>
      <c r="AG265" s="5">
        <v>1</v>
      </c>
      <c r="AH265" s="5">
        <v>1</v>
      </c>
      <c r="AI265" s="5">
        <v>1</v>
      </c>
      <c r="AJ265" s="7" t="s">
        <v>1245</v>
      </c>
      <c r="AK265" s="5">
        <v>0</v>
      </c>
      <c r="AL265" s="5">
        <v>0</v>
      </c>
      <c r="AM265" s="4">
        <v>2022</v>
      </c>
      <c r="AN265" s="5">
        <v>0</v>
      </c>
      <c r="AO265" s="5">
        <v>1</v>
      </c>
      <c r="AP265" s="8"/>
      <c r="AQ265" s="8"/>
      <c r="AR265" s="8">
        <f t="shared" si="39"/>
        <v>0</v>
      </c>
      <c r="AS265" s="8">
        <f t="shared" si="40"/>
        <v>3600000</v>
      </c>
      <c r="AT265" s="8">
        <f t="shared" si="41"/>
        <v>5150000</v>
      </c>
      <c r="AU265" s="8">
        <f t="shared" si="42"/>
        <v>3600000</v>
      </c>
      <c r="AV265" s="4" t="s">
        <v>1243</v>
      </c>
      <c r="AW265" s="7" t="s">
        <v>1245</v>
      </c>
      <c r="AX265" s="5">
        <v>750000</v>
      </c>
      <c r="AY265">
        <f t="shared" si="43"/>
        <v>0</v>
      </c>
      <c r="AZ265">
        <f t="shared" si="44"/>
        <v>3600000</v>
      </c>
      <c r="BA265" s="5">
        <v>9500000</v>
      </c>
      <c r="BB265" s="5">
        <v>0</v>
      </c>
      <c r="BC265" s="4" t="s">
        <v>49</v>
      </c>
      <c r="BD265" s="4">
        <v>47112</v>
      </c>
      <c r="BE265" t="s">
        <v>54</v>
      </c>
    </row>
    <row r="266" spans="1:57" ht="270.75" thickBot="1" x14ac:dyDescent="0.3">
      <c r="A266" s="4" t="s">
        <v>1246</v>
      </c>
      <c r="B266" s="4">
        <v>1</v>
      </c>
      <c r="C266" s="5">
        <v>2</v>
      </c>
      <c r="D266" s="4" t="s">
        <v>44</v>
      </c>
      <c r="E266" s="6">
        <v>46247.940819120369</v>
      </c>
      <c r="F266" s="4" t="s">
        <v>1247</v>
      </c>
      <c r="G266" s="4" t="s">
        <v>46</v>
      </c>
      <c r="H266" s="4">
        <v>53</v>
      </c>
      <c r="I266" s="4" t="s">
        <v>47</v>
      </c>
      <c r="J266" s="4">
        <v>5309</v>
      </c>
      <c r="K266" s="4" t="s">
        <v>48</v>
      </c>
      <c r="L266" s="4">
        <v>5309071</v>
      </c>
      <c r="M266" s="4">
        <v>5309071006</v>
      </c>
      <c r="N266" s="4" t="s">
        <v>49</v>
      </c>
      <c r="O266" s="4">
        <v>47112</v>
      </c>
      <c r="P266" s="4" t="s">
        <v>1248</v>
      </c>
      <c r="Q266" s="5">
        <v>1</v>
      </c>
      <c r="R266" s="5">
        <v>0</v>
      </c>
      <c r="S266" s="5">
        <v>0</v>
      </c>
      <c r="T266" s="5">
        <v>15500000</v>
      </c>
      <c r="U266" s="5">
        <v>500000</v>
      </c>
      <c r="V266" s="5">
        <v>0</v>
      </c>
      <c r="W266" s="5">
        <v>16000000</v>
      </c>
      <c r="X266" s="5">
        <v>20000000</v>
      </c>
      <c r="Y266" s="5">
        <v>0</v>
      </c>
      <c r="Z266" s="5">
        <f t="shared" si="36"/>
        <v>4000000</v>
      </c>
      <c r="AA266" s="5">
        <v>36500000</v>
      </c>
      <c r="AB266" s="5">
        <f t="shared" si="37"/>
        <v>4500000</v>
      </c>
      <c r="AC266" s="5" t="s">
        <v>1249</v>
      </c>
      <c r="AD266" s="4" t="s">
        <v>51</v>
      </c>
      <c r="AE266" s="5">
        <f t="shared" si="38"/>
        <v>0.88888888888888884</v>
      </c>
      <c r="AF266" s="5">
        <v>4500000</v>
      </c>
      <c r="AG266" s="5">
        <v>1</v>
      </c>
      <c r="AH266" s="5">
        <v>1</v>
      </c>
      <c r="AI266" s="5">
        <v>1</v>
      </c>
      <c r="AJ266" s="7" t="s">
        <v>1250</v>
      </c>
      <c r="AK266" s="5">
        <v>0</v>
      </c>
      <c r="AL266" s="5">
        <v>0</v>
      </c>
      <c r="AM266" s="4">
        <v>2016</v>
      </c>
      <c r="AN266" s="5">
        <v>0</v>
      </c>
      <c r="AO266" s="5">
        <v>1</v>
      </c>
      <c r="AP266" s="8"/>
      <c r="AQ266" s="8"/>
      <c r="AR266" s="8">
        <f t="shared" si="39"/>
        <v>0</v>
      </c>
      <c r="AS266" s="8">
        <f t="shared" si="40"/>
        <v>500000</v>
      </c>
      <c r="AT266" s="8">
        <f t="shared" si="41"/>
        <v>3330000</v>
      </c>
      <c r="AU266" s="8">
        <f t="shared" si="42"/>
        <v>1170000</v>
      </c>
      <c r="AV266" s="4" t="s">
        <v>1248</v>
      </c>
      <c r="AW266" s="7" t="s">
        <v>1250</v>
      </c>
      <c r="AX266" s="5">
        <v>15500000</v>
      </c>
      <c r="AY266">
        <f t="shared" si="43"/>
        <v>0</v>
      </c>
      <c r="AZ266">
        <f t="shared" si="44"/>
        <v>1170000</v>
      </c>
      <c r="BA266" s="5">
        <v>20000000</v>
      </c>
      <c r="BB266" s="5">
        <v>0</v>
      </c>
      <c r="BC266" s="4" t="s">
        <v>49</v>
      </c>
      <c r="BD266" s="4">
        <v>47112</v>
      </c>
      <c r="BE266" t="s">
        <v>54</v>
      </c>
    </row>
    <row r="267" spans="1:57" ht="270.75" thickBot="1" x14ac:dyDescent="0.3">
      <c r="A267" s="4" t="s">
        <v>1251</v>
      </c>
      <c r="B267" s="4">
        <v>1</v>
      </c>
      <c r="C267" s="5">
        <v>2</v>
      </c>
      <c r="D267" s="4" t="s">
        <v>44</v>
      </c>
      <c r="E267" s="6">
        <v>46254.567029560189</v>
      </c>
      <c r="F267" s="4" t="s">
        <v>1252</v>
      </c>
      <c r="G267" s="4" t="s">
        <v>46</v>
      </c>
      <c r="H267" s="4">
        <v>53</v>
      </c>
      <c r="I267" s="4" t="s">
        <v>47</v>
      </c>
      <c r="J267" s="4">
        <v>5309</v>
      </c>
      <c r="K267" s="4" t="s">
        <v>48</v>
      </c>
      <c r="L267" s="4">
        <v>5309010</v>
      </c>
      <c r="M267" s="4">
        <v>5309010011</v>
      </c>
      <c r="N267" s="4" t="s">
        <v>49</v>
      </c>
      <c r="O267" s="4">
        <v>47112</v>
      </c>
      <c r="P267" s="4" t="s">
        <v>1253</v>
      </c>
      <c r="Q267" s="5">
        <v>2</v>
      </c>
      <c r="R267" s="5">
        <v>0</v>
      </c>
      <c r="S267" s="5">
        <v>1000000</v>
      </c>
      <c r="T267" s="5">
        <v>60000000</v>
      </c>
      <c r="U267" s="5">
        <v>5000000</v>
      </c>
      <c r="V267" s="5">
        <v>150000</v>
      </c>
      <c r="W267" s="5">
        <v>66150000</v>
      </c>
      <c r="X267" s="5">
        <v>120000000</v>
      </c>
      <c r="Y267" s="5">
        <v>0</v>
      </c>
      <c r="Z267" s="5">
        <f t="shared" si="36"/>
        <v>54000000</v>
      </c>
      <c r="AA267" s="5">
        <v>195000000</v>
      </c>
      <c r="AB267" s="5">
        <f t="shared" si="37"/>
        <v>60000000</v>
      </c>
      <c r="AC267" s="5" t="s">
        <v>93</v>
      </c>
      <c r="AD267" s="4" t="s">
        <v>51</v>
      </c>
      <c r="AE267" s="5">
        <f t="shared" si="38"/>
        <v>0.9</v>
      </c>
      <c r="AF267" s="5">
        <v>30000000</v>
      </c>
      <c r="AG267" s="5">
        <v>0</v>
      </c>
      <c r="AH267" s="5">
        <v>1</v>
      </c>
      <c r="AI267" s="5">
        <v>1</v>
      </c>
      <c r="AJ267" s="7" t="s">
        <v>1254</v>
      </c>
      <c r="AK267" s="5">
        <v>0</v>
      </c>
      <c r="AL267" s="5">
        <v>0</v>
      </c>
      <c r="AM267" s="4">
        <v>2003</v>
      </c>
      <c r="AN267" s="5">
        <v>0</v>
      </c>
      <c r="AO267" s="5">
        <v>2</v>
      </c>
      <c r="AP267" s="8"/>
      <c r="AQ267" s="8"/>
      <c r="AR267" s="8">
        <f t="shared" si="39"/>
        <v>0</v>
      </c>
      <c r="AS267" s="8">
        <f t="shared" si="40"/>
        <v>6000000</v>
      </c>
      <c r="AT267" s="8">
        <f t="shared" si="41"/>
        <v>44400000</v>
      </c>
      <c r="AU267" s="8">
        <f t="shared" si="42"/>
        <v>15600000</v>
      </c>
      <c r="AV267" s="4" t="s">
        <v>1253</v>
      </c>
      <c r="AW267" s="7" t="s">
        <v>1254</v>
      </c>
      <c r="AX267" s="5">
        <v>60000000</v>
      </c>
      <c r="AY267">
        <f t="shared" si="43"/>
        <v>2600000</v>
      </c>
      <c r="AZ267">
        <f t="shared" si="44"/>
        <v>13000000</v>
      </c>
      <c r="BA267" s="5">
        <v>120000000</v>
      </c>
      <c r="BB267" s="5">
        <v>0</v>
      </c>
      <c r="BC267" s="4" t="s">
        <v>49</v>
      </c>
      <c r="BD267" s="4">
        <v>47112</v>
      </c>
      <c r="BE267" t="s">
        <v>54</v>
      </c>
    </row>
    <row r="268" spans="1:57" ht="270.75" thickBot="1" x14ac:dyDescent="0.3">
      <c r="A268" s="4" t="s">
        <v>1255</v>
      </c>
      <c r="B268" s="4">
        <v>3002</v>
      </c>
      <c r="C268" s="5">
        <v>2</v>
      </c>
      <c r="D268" s="4" t="s">
        <v>44</v>
      </c>
      <c r="E268" s="6">
        <v>46259.104484791664</v>
      </c>
      <c r="F268" s="4" t="s">
        <v>1256</v>
      </c>
      <c r="G268" s="4" t="s">
        <v>46</v>
      </c>
      <c r="H268" s="4">
        <v>53</v>
      </c>
      <c r="I268" s="4" t="s">
        <v>47</v>
      </c>
      <c r="J268" s="4">
        <v>5309</v>
      </c>
      <c r="K268" s="4" t="s">
        <v>48</v>
      </c>
      <c r="L268" s="4">
        <v>5309012</v>
      </c>
      <c r="M268" s="4">
        <v>5309012004</v>
      </c>
      <c r="N268" s="4" t="s">
        <v>49</v>
      </c>
      <c r="O268" s="4">
        <v>47112</v>
      </c>
      <c r="P268" s="4" t="s">
        <v>1257</v>
      </c>
      <c r="Q268" s="5">
        <v>2</v>
      </c>
      <c r="R268" s="5">
        <v>0</v>
      </c>
      <c r="S268" s="5">
        <v>0</v>
      </c>
      <c r="T268" s="5">
        <v>24000000</v>
      </c>
      <c r="U268" s="5">
        <v>1000000</v>
      </c>
      <c r="V268" s="5">
        <v>0</v>
      </c>
      <c r="W268" s="5">
        <v>25000000</v>
      </c>
      <c r="X268" s="5">
        <v>32000000</v>
      </c>
      <c r="Y268" s="5">
        <v>0</v>
      </c>
      <c r="Z268" s="5">
        <f t="shared" si="36"/>
        <v>7000000</v>
      </c>
      <c r="AA268" s="5">
        <v>27000000</v>
      </c>
      <c r="AB268" s="5">
        <f t="shared" si="37"/>
        <v>8000000</v>
      </c>
      <c r="AC268" s="5" t="s">
        <v>255</v>
      </c>
      <c r="AD268" s="4" t="s">
        <v>51</v>
      </c>
      <c r="AE268" s="5">
        <f t="shared" si="38"/>
        <v>0.875</v>
      </c>
      <c r="AF268" s="5">
        <v>4000000</v>
      </c>
      <c r="AG268" s="5">
        <v>0</v>
      </c>
      <c r="AH268" s="5">
        <v>1</v>
      </c>
      <c r="AI268" s="5">
        <v>1</v>
      </c>
      <c r="AJ268" s="7" t="s">
        <v>1258</v>
      </c>
      <c r="AK268" s="5">
        <v>0</v>
      </c>
      <c r="AL268" s="5">
        <v>0</v>
      </c>
      <c r="AM268" s="4">
        <v>2018</v>
      </c>
      <c r="AN268" s="5">
        <v>0</v>
      </c>
      <c r="AO268" s="5">
        <v>2</v>
      </c>
      <c r="AP268" s="8"/>
      <c r="AQ268" s="8"/>
      <c r="AR268" s="8">
        <f t="shared" si="39"/>
        <v>0</v>
      </c>
      <c r="AS268" s="8">
        <f t="shared" si="40"/>
        <v>1000000</v>
      </c>
      <c r="AT268" s="8">
        <f t="shared" si="41"/>
        <v>5920000</v>
      </c>
      <c r="AU268" s="8">
        <f t="shared" si="42"/>
        <v>2080000</v>
      </c>
      <c r="AV268" s="4" t="s">
        <v>1257</v>
      </c>
      <c r="AW268" s="7" t="s">
        <v>1258</v>
      </c>
      <c r="AX268" s="5">
        <v>24000000</v>
      </c>
      <c r="AY268">
        <f t="shared" si="43"/>
        <v>0</v>
      </c>
      <c r="AZ268">
        <f t="shared" si="44"/>
        <v>2080000</v>
      </c>
      <c r="BA268" s="5">
        <v>32000000</v>
      </c>
      <c r="BB268" s="5">
        <v>0</v>
      </c>
      <c r="BC268" s="4" t="s">
        <v>49</v>
      </c>
      <c r="BD268" s="4">
        <v>47112</v>
      </c>
      <c r="BE268" t="s">
        <v>54</v>
      </c>
    </row>
    <row r="269" spans="1:57" ht="255.75" thickBot="1" x14ac:dyDescent="0.3">
      <c r="A269" s="4" t="s">
        <v>1259</v>
      </c>
      <c r="B269" s="4">
        <v>1002</v>
      </c>
      <c r="C269" s="5">
        <v>2</v>
      </c>
      <c r="D269" s="4" t="s">
        <v>44</v>
      </c>
      <c r="E269" s="6">
        <v>46278.958809965276</v>
      </c>
      <c r="F269" s="4" t="s">
        <v>1260</v>
      </c>
      <c r="G269" s="4" t="s">
        <v>46</v>
      </c>
      <c r="H269" s="4">
        <v>53</v>
      </c>
      <c r="I269" s="4" t="s">
        <v>47</v>
      </c>
      <c r="J269" s="4">
        <v>5309</v>
      </c>
      <c r="K269" s="4" t="s">
        <v>48</v>
      </c>
      <c r="L269" s="4">
        <v>5309070</v>
      </c>
      <c r="M269" s="4">
        <v>5309070058</v>
      </c>
      <c r="N269" s="4" t="s">
        <v>49</v>
      </c>
      <c r="O269" s="4">
        <v>47112</v>
      </c>
      <c r="P269" s="4" t="s">
        <v>1236</v>
      </c>
      <c r="Q269" s="5">
        <v>3</v>
      </c>
      <c r="R269" s="5">
        <v>0</v>
      </c>
      <c r="S269" s="5">
        <v>0</v>
      </c>
      <c r="T269" s="5">
        <v>40000000</v>
      </c>
      <c r="U269" s="5">
        <v>1800000</v>
      </c>
      <c r="V269" s="5">
        <v>0</v>
      </c>
      <c r="W269" s="5">
        <v>41800000</v>
      </c>
      <c r="X269" s="5">
        <v>60000000</v>
      </c>
      <c r="Y269" s="5">
        <v>0</v>
      </c>
      <c r="Z269" s="5">
        <f t="shared" si="36"/>
        <v>18200000</v>
      </c>
      <c r="AA269" s="5">
        <v>10000000</v>
      </c>
      <c r="AB269" s="5">
        <f t="shared" si="37"/>
        <v>20000000</v>
      </c>
      <c r="AC269" s="5" t="s">
        <v>102</v>
      </c>
      <c r="AD269" s="4" t="s">
        <v>51</v>
      </c>
      <c r="AE269" s="5">
        <f t="shared" si="38"/>
        <v>0.91</v>
      </c>
      <c r="AF269" s="10">
        <v>6666666667</v>
      </c>
      <c r="AG269" s="5">
        <v>1</v>
      </c>
      <c r="AH269" s="5">
        <v>1</v>
      </c>
      <c r="AI269" s="5">
        <v>1</v>
      </c>
      <c r="AJ269" s="7" t="s">
        <v>1261</v>
      </c>
      <c r="AK269" s="5">
        <v>0</v>
      </c>
      <c r="AL269" s="5">
        <v>0</v>
      </c>
      <c r="AM269" s="4">
        <v>2019</v>
      </c>
      <c r="AN269" s="5">
        <v>0</v>
      </c>
      <c r="AO269" s="5">
        <v>3</v>
      </c>
      <c r="AP269" s="8"/>
      <c r="AQ269" s="8"/>
      <c r="AR269" s="8">
        <f t="shared" si="39"/>
        <v>0</v>
      </c>
      <c r="AS269" s="8">
        <f t="shared" si="40"/>
        <v>1800000</v>
      </c>
      <c r="AT269" s="8">
        <f t="shared" si="41"/>
        <v>14800000</v>
      </c>
      <c r="AU269" s="8">
        <f t="shared" si="42"/>
        <v>5200000</v>
      </c>
      <c r="AV269" s="4" t="s">
        <v>1236</v>
      </c>
      <c r="AW269" s="7" t="s">
        <v>1261</v>
      </c>
      <c r="AX269" s="5">
        <v>40000000</v>
      </c>
      <c r="AY269">
        <f t="shared" si="43"/>
        <v>0</v>
      </c>
      <c r="AZ269">
        <f t="shared" si="44"/>
        <v>5200000</v>
      </c>
      <c r="BA269" s="5">
        <v>60000000</v>
      </c>
      <c r="BB269" s="5">
        <v>0</v>
      </c>
      <c r="BC269" s="4" t="s">
        <v>49</v>
      </c>
      <c r="BD269" s="4">
        <v>47112</v>
      </c>
      <c r="BE269" t="s">
        <v>54</v>
      </c>
    </row>
    <row r="270" spans="1:57" ht="270.75" thickBot="1" x14ac:dyDescent="0.3">
      <c r="A270" s="4" t="s">
        <v>1262</v>
      </c>
      <c r="B270" s="4">
        <v>1002</v>
      </c>
      <c r="C270" s="5">
        <v>2</v>
      </c>
      <c r="D270" s="4" t="s">
        <v>44</v>
      </c>
      <c r="E270" s="6">
        <v>46290.922859803242</v>
      </c>
      <c r="F270" s="4" t="s">
        <v>1263</v>
      </c>
      <c r="G270" s="4" t="s">
        <v>46</v>
      </c>
      <c r="H270" s="4">
        <v>53</v>
      </c>
      <c r="I270" s="4" t="s">
        <v>47</v>
      </c>
      <c r="J270" s="4">
        <v>5309</v>
      </c>
      <c r="K270" s="4" t="s">
        <v>48</v>
      </c>
      <c r="L270" s="4">
        <v>5309030</v>
      </c>
      <c r="M270" s="4">
        <v>5309030022</v>
      </c>
      <c r="N270" s="4" t="s">
        <v>49</v>
      </c>
      <c r="O270" s="4">
        <v>47112</v>
      </c>
      <c r="P270" s="4" t="s">
        <v>1264</v>
      </c>
      <c r="Q270" s="5">
        <v>1</v>
      </c>
      <c r="R270" s="5">
        <v>0</v>
      </c>
      <c r="S270" s="5">
        <v>3600000</v>
      </c>
      <c r="T270" s="5">
        <v>0</v>
      </c>
      <c r="U270" s="5">
        <v>150000</v>
      </c>
      <c r="V270" s="5">
        <v>0</v>
      </c>
      <c r="W270" s="5">
        <v>3750000</v>
      </c>
      <c r="X270" s="5">
        <v>5400000</v>
      </c>
      <c r="Y270" s="5">
        <v>8</v>
      </c>
      <c r="Z270" s="5">
        <f t="shared" si="36"/>
        <v>1650000</v>
      </c>
      <c r="AA270" s="5">
        <v>7500000</v>
      </c>
      <c r="AB270" s="5">
        <f t="shared" si="37"/>
        <v>5400000</v>
      </c>
      <c r="AC270" s="5">
        <v>0</v>
      </c>
      <c r="AD270" s="4" t="s">
        <v>51</v>
      </c>
      <c r="AE270" s="5">
        <f t="shared" si="38"/>
        <v>0.30555555555555558</v>
      </c>
      <c r="AF270" s="5">
        <v>5400000</v>
      </c>
      <c r="AG270" s="5">
        <v>1</v>
      </c>
      <c r="AH270" s="5">
        <v>1</v>
      </c>
      <c r="AI270" s="5">
        <v>1</v>
      </c>
      <c r="AJ270" s="7" t="s">
        <v>1265</v>
      </c>
      <c r="AK270" s="5">
        <v>0</v>
      </c>
      <c r="AL270" s="5">
        <v>0</v>
      </c>
      <c r="AM270" s="4">
        <v>2023</v>
      </c>
      <c r="AN270" s="5">
        <v>0</v>
      </c>
      <c r="AO270" s="5">
        <v>1</v>
      </c>
      <c r="AP270" s="8"/>
      <c r="AQ270" s="8"/>
      <c r="AR270" s="8">
        <f t="shared" si="39"/>
        <v>0</v>
      </c>
      <c r="AS270" s="8">
        <f t="shared" si="40"/>
        <v>3750000</v>
      </c>
      <c r="AT270" s="8">
        <f t="shared" si="41"/>
        <v>1650000</v>
      </c>
      <c r="AU270" s="8">
        <f t="shared" si="42"/>
        <v>3750000</v>
      </c>
      <c r="AV270" s="4" t="s">
        <v>1264</v>
      </c>
      <c r="AW270" s="7" t="s">
        <v>1265</v>
      </c>
      <c r="AX270" s="5">
        <v>0</v>
      </c>
      <c r="AY270">
        <f t="shared" si="43"/>
        <v>3600000</v>
      </c>
      <c r="AZ270">
        <f t="shared" si="44"/>
        <v>150000</v>
      </c>
      <c r="BA270" s="5">
        <v>5400000</v>
      </c>
      <c r="BB270" s="5">
        <v>8</v>
      </c>
      <c r="BC270" s="4" t="s">
        <v>49</v>
      </c>
      <c r="BD270" s="4">
        <v>47112</v>
      </c>
      <c r="BE270" t="s">
        <v>54</v>
      </c>
    </row>
    <row r="271" spans="1:57" ht="270.75" thickBot="1" x14ac:dyDescent="0.3">
      <c r="A271" s="4" t="s">
        <v>1266</v>
      </c>
      <c r="B271" s="4">
        <v>1002</v>
      </c>
      <c r="C271" s="5">
        <v>2</v>
      </c>
      <c r="D271" s="4" t="s">
        <v>44</v>
      </c>
      <c r="E271" s="6">
        <v>46290.925833703703</v>
      </c>
      <c r="F271" s="4" t="s">
        <v>1267</v>
      </c>
      <c r="G271" s="4" t="s">
        <v>46</v>
      </c>
      <c r="H271" s="4">
        <v>53</v>
      </c>
      <c r="I271" s="4" t="s">
        <v>47</v>
      </c>
      <c r="J271" s="4">
        <v>5309</v>
      </c>
      <c r="K271" s="4" t="s">
        <v>48</v>
      </c>
      <c r="L271" s="4">
        <v>5309030</v>
      </c>
      <c r="M271" s="4">
        <v>5309030021</v>
      </c>
      <c r="N271" s="4" t="s">
        <v>49</v>
      </c>
      <c r="O271" s="4">
        <v>47112</v>
      </c>
      <c r="P271" s="4" t="s">
        <v>1268</v>
      </c>
      <c r="Q271" s="5">
        <v>1</v>
      </c>
      <c r="R271" s="5">
        <v>0</v>
      </c>
      <c r="S271" s="5">
        <v>6000000</v>
      </c>
      <c r="T271" s="5">
        <v>240000000</v>
      </c>
      <c r="U271" s="5">
        <v>0</v>
      </c>
      <c r="V271" s="5">
        <v>0</v>
      </c>
      <c r="W271" s="5">
        <v>246000000</v>
      </c>
      <c r="X271" s="5">
        <v>300000000</v>
      </c>
      <c r="Y271" s="5">
        <v>0</v>
      </c>
      <c r="Z271" s="5">
        <f t="shared" si="36"/>
        <v>54000000</v>
      </c>
      <c r="AA271" s="5">
        <v>0</v>
      </c>
      <c r="AB271" s="5">
        <f t="shared" si="37"/>
        <v>60000000</v>
      </c>
      <c r="AC271" s="5" t="s">
        <v>52</v>
      </c>
      <c r="AD271" s="4" t="s">
        <v>51</v>
      </c>
      <c r="AE271" s="5">
        <f t="shared" si="38"/>
        <v>0.9</v>
      </c>
      <c r="AF271" s="5">
        <v>60000000</v>
      </c>
      <c r="AG271" s="4"/>
      <c r="AH271" s="5">
        <v>1</v>
      </c>
      <c r="AI271" s="5">
        <v>1</v>
      </c>
      <c r="AJ271" s="7" t="s">
        <v>1269</v>
      </c>
      <c r="AK271" s="5">
        <v>0</v>
      </c>
      <c r="AL271" s="5">
        <v>0</v>
      </c>
      <c r="AM271" s="4">
        <v>2026</v>
      </c>
      <c r="AN271" s="5">
        <v>0</v>
      </c>
      <c r="AO271" s="5">
        <v>1</v>
      </c>
      <c r="AP271" s="8"/>
      <c r="AQ271" s="8"/>
      <c r="AR271" s="8">
        <f t="shared" si="39"/>
        <v>0</v>
      </c>
      <c r="AS271" s="8">
        <f t="shared" si="40"/>
        <v>6000000</v>
      </c>
      <c r="AT271" s="8">
        <f t="shared" si="41"/>
        <v>44400000</v>
      </c>
      <c r="AU271" s="8">
        <f t="shared" si="42"/>
        <v>15600000</v>
      </c>
      <c r="AV271" s="4" t="s">
        <v>1268</v>
      </c>
      <c r="AW271" s="7" t="s">
        <v>1269</v>
      </c>
      <c r="AX271" s="5">
        <v>240000000</v>
      </c>
      <c r="AY271">
        <f t="shared" si="43"/>
        <v>15600000</v>
      </c>
      <c r="AZ271">
        <f t="shared" si="44"/>
        <v>0</v>
      </c>
      <c r="BA271" s="5">
        <v>300000000</v>
      </c>
      <c r="BB271" s="5">
        <v>0</v>
      </c>
      <c r="BC271" s="4" t="s">
        <v>49</v>
      </c>
      <c r="BD271" s="4">
        <v>47112</v>
      </c>
      <c r="BE271" t="s">
        <v>54</v>
      </c>
    </row>
    <row r="272" spans="1:57" ht="270.75" thickBot="1" x14ac:dyDescent="0.3">
      <c r="A272" s="4" t="s">
        <v>1270</v>
      </c>
      <c r="B272" s="4">
        <v>1002</v>
      </c>
      <c r="C272" s="5">
        <v>2</v>
      </c>
      <c r="D272" s="4" t="s">
        <v>60</v>
      </c>
      <c r="E272" s="6">
        <v>46314.491315995372</v>
      </c>
      <c r="F272" s="4" t="s">
        <v>1271</v>
      </c>
      <c r="G272" s="4" t="s">
        <v>46</v>
      </c>
      <c r="H272" s="4">
        <v>53</v>
      </c>
      <c r="I272" s="4" t="s">
        <v>47</v>
      </c>
      <c r="J272" s="4">
        <v>5309</v>
      </c>
      <c r="K272" s="4" t="s">
        <v>48</v>
      </c>
      <c r="L272" s="4">
        <v>5309072</v>
      </c>
      <c r="M272" s="4">
        <v>5309072010</v>
      </c>
      <c r="N272" s="4" t="s">
        <v>49</v>
      </c>
      <c r="O272" s="4">
        <v>47112</v>
      </c>
      <c r="P272" s="4" t="s">
        <v>1272</v>
      </c>
      <c r="Q272" s="5">
        <v>3</v>
      </c>
      <c r="R272" s="5">
        <v>0</v>
      </c>
      <c r="S272" s="5">
        <v>50000</v>
      </c>
      <c r="T272" s="5">
        <v>4800000</v>
      </c>
      <c r="U272" s="5">
        <v>100000</v>
      </c>
      <c r="V272" s="5">
        <v>0</v>
      </c>
      <c r="W272" s="5">
        <v>4950000</v>
      </c>
      <c r="X272" s="5">
        <v>9600000</v>
      </c>
      <c r="Y272" s="5">
        <v>0</v>
      </c>
      <c r="Z272" s="5">
        <f t="shared" si="36"/>
        <v>4650000</v>
      </c>
      <c r="AA272" s="5">
        <v>3000000</v>
      </c>
      <c r="AB272" s="5">
        <f t="shared" si="37"/>
        <v>4800000</v>
      </c>
      <c r="AC272" s="5" t="s">
        <v>93</v>
      </c>
      <c r="AD272" s="4" t="s">
        <v>51</v>
      </c>
      <c r="AE272" s="5">
        <f t="shared" si="38"/>
        <v>0.96875</v>
      </c>
      <c r="AF272" s="5">
        <v>1600000</v>
      </c>
      <c r="AG272" s="5">
        <v>1</v>
      </c>
      <c r="AH272" s="5">
        <v>1</v>
      </c>
      <c r="AI272" s="5">
        <v>1</v>
      </c>
      <c r="AJ272" s="7" t="s">
        <v>1273</v>
      </c>
      <c r="AK272" s="5">
        <v>0</v>
      </c>
      <c r="AL272" s="5">
        <v>0</v>
      </c>
      <c r="AM272" s="4">
        <v>2021</v>
      </c>
      <c r="AN272" s="5">
        <v>0</v>
      </c>
      <c r="AO272" s="5">
        <v>3</v>
      </c>
      <c r="AP272" s="8"/>
      <c r="AQ272" s="8"/>
      <c r="AR272" s="8">
        <f t="shared" si="39"/>
        <v>0</v>
      </c>
      <c r="AS272" s="8">
        <f t="shared" si="40"/>
        <v>150000</v>
      </c>
      <c r="AT272" s="8">
        <f t="shared" si="41"/>
        <v>3552000</v>
      </c>
      <c r="AU272" s="8">
        <f t="shared" si="42"/>
        <v>1248000</v>
      </c>
      <c r="AV272" s="4" t="s">
        <v>1272</v>
      </c>
      <c r="AW272" s="7" t="s">
        <v>1273</v>
      </c>
      <c r="AX272" s="5">
        <v>4800000</v>
      </c>
      <c r="AY272">
        <f t="shared" si="43"/>
        <v>416000</v>
      </c>
      <c r="AZ272">
        <f t="shared" si="44"/>
        <v>832000</v>
      </c>
      <c r="BA272" s="5">
        <v>9600000</v>
      </c>
      <c r="BB272" s="5">
        <v>0</v>
      </c>
      <c r="BC272" s="4" t="s">
        <v>49</v>
      </c>
      <c r="BD272" s="4">
        <v>47112</v>
      </c>
      <c r="BE272" t="s">
        <v>54</v>
      </c>
    </row>
    <row r="273" spans="1:57" ht="270.75" thickBot="1" x14ac:dyDescent="0.3">
      <c r="A273" s="4" t="s">
        <v>1274</v>
      </c>
      <c r="B273" s="4">
        <v>1001</v>
      </c>
      <c r="C273" s="5">
        <v>2</v>
      </c>
      <c r="D273" s="4" t="s">
        <v>56</v>
      </c>
      <c r="E273" s="6">
        <v>46314.053985104169</v>
      </c>
      <c r="F273" s="4" t="s">
        <v>1275</v>
      </c>
      <c r="G273" s="4" t="s">
        <v>46</v>
      </c>
      <c r="H273" s="4">
        <v>53</v>
      </c>
      <c r="I273" s="4" t="s">
        <v>47</v>
      </c>
      <c r="J273" s="4">
        <v>5309</v>
      </c>
      <c r="K273" s="4" t="s">
        <v>48</v>
      </c>
      <c r="L273" s="4">
        <v>5309060</v>
      </c>
      <c r="M273" s="4">
        <v>5309060010</v>
      </c>
      <c r="N273" s="4" t="s">
        <v>49</v>
      </c>
      <c r="O273" s="4">
        <v>47112</v>
      </c>
      <c r="P273" s="4" t="s">
        <v>1276</v>
      </c>
      <c r="Q273" s="5">
        <v>2</v>
      </c>
      <c r="R273" s="5">
        <v>0</v>
      </c>
      <c r="S273" s="5">
        <v>0</v>
      </c>
      <c r="T273" s="5">
        <v>5000000</v>
      </c>
      <c r="U273" s="5">
        <v>300000</v>
      </c>
      <c r="V273" s="5">
        <v>10000</v>
      </c>
      <c r="W273" s="5">
        <v>5310000</v>
      </c>
      <c r="X273" s="5">
        <v>7000000</v>
      </c>
      <c r="Y273" s="5">
        <v>0</v>
      </c>
      <c r="Z273" s="5">
        <f t="shared" si="36"/>
        <v>1700000</v>
      </c>
      <c r="AA273" s="5">
        <v>1800000</v>
      </c>
      <c r="AB273" s="5">
        <f t="shared" si="37"/>
        <v>2000000</v>
      </c>
      <c r="AC273" s="5" t="s">
        <v>454</v>
      </c>
      <c r="AD273" s="4" t="s">
        <v>51</v>
      </c>
      <c r="AE273" s="5">
        <f t="shared" si="38"/>
        <v>0.85</v>
      </c>
      <c r="AF273" s="5">
        <v>1000000</v>
      </c>
      <c r="AG273" s="5">
        <v>1</v>
      </c>
      <c r="AH273" s="5">
        <v>1</v>
      </c>
      <c r="AI273" s="5">
        <v>1</v>
      </c>
      <c r="AJ273" s="7" t="s">
        <v>1277</v>
      </c>
      <c r="AK273" s="5">
        <v>0</v>
      </c>
      <c r="AL273" s="5">
        <v>0</v>
      </c>
      <c r="AM273" s="4">
        <v>2024</v>
      </c>
      <c r="AN273" s="5">
        <v>0</v>
      </c>
      <c r="AO273" s="5">
        <v>2</v>
      </c>
      <c r="AP273" s="8"/>
      <c r="AQ273" s="8"/>
      <c r="AR273" s="8">
        <f t="shared" si="39"/>
        <v>0</v>
      </c>
      <c r="AS273" s="8">
        <f t="shared" si="40"/>
        <v>300000</v>
      </c>
      <c r="AT273" s="8">
        <f t="shared" si="41"/>
        <v>1480000</v>
      </c>
      <c r="AU273" s="8">
        <f t="shared" si="42"/>
        <v>520000</v>
      </c>
      <c r="AV273" s="4" t="s">
        <v>1276</v>
      </c>
      <c r="AW273" s="7" t="s">
        <v>1277</v>
      </c>
      <c r="AX273" s="5">
        <v>5000000</v>
      </c>
      <c r="AY273">
        <f t="shared" si="43"/>
        <v>0</v>
      </c>
      <c r="AZ273">
        <f t="shared" si="44"/>
        <v>520000</v>
      </c>
      <c r="BA273" s="5">
        <v>7000000</v>
      </c>
      <c r="BB273" s="5">
        <v>0</v>
      </c>
      <c r="BC273" s="4" t="s">
        <v>49</v>
      </c>
      <c r="BD273" s="4">
        <v>47112</v>
      </c>
      <c r="BE273" t="s">
        <v>54</v>
      </c>
    </row>
    <row r="274" spans="1:57" ht="270.75" thickBot="1" x14ac:dyDescent="0.3">
      <c r="A274" s="4" t="s">
        <v>1278</v>
      </c>
      <c r="B274" s="4">
        <v>1001</v>
      </c>
      <c r="C274" s="5">
        <v>2</v>
      </c>
      <c r="D274" s="4" t="s">
        <v>44</v>
      </c>
      <c r="E274" s="6">
        <v>46243.329907523148</v>
      </c>
      <c r="F274" s="4" t="s">
        <v>1279</v>
      </c>
      <c r="G274" s="4" t="s">
        <v>46</v>
      </c>
      <c r="H274" s="4">
        <v>53</v>
      </c>
      <c r="I274" s="4" t="s">
        <v>47</v>
      </c>
      <c r="J274" s="4">
        <v>5309</v>
      </c>
      <c r="K274" s="4" t="s">
        <v>48</v>
      </c>
      <c r="L274" s="4">
        <v>5309062</v>
      </c>
      <c r="M274" s="4">
        <v>5309062002</v>
      </c>
      <c r="N274" s="4" t="s">
        <v>49</v>
      </c>
      <c r="O274" s="4">
        <v>47112</v>
      </c>
      <c r="P274" s="4" t="s">
        <v>991</v>
      </c>
      <c r="Q274" s="5">
        <v>2</v>
      </c>
      <c r="R274" s="5">
        <v>0</v>
      </c>
      <c r="S274" s="5">
        <v>100000</v>
      </c>
      <c r="T274" s="5">
        <v>500000</v>
      </c>
      <c r="U274" s="5">
        <v>500000</v>
      </c>
      <c r="V274" s="5">
        <v>0</v>
      </c>
      <c r="W274" s="5">
        <v>1100000</v>
      </c>
      <c r="X274" s="5">
        <v>4000000</v>
      </c>
      <c r="Y274" s="5">
        <v>0</v>
      </c>
      <c r="Z274" s="5">
        <f t="shared" si="36"/>
        <v>2900000</v>
      </c>
      <c r="AA274" s="5">
        <v>2600000</v>
      </c>
      <c r="AB274" s="5">
        <f t="shared" si="37"/>
        <v>3500000</v>
      </c>
      <c r="AC274" s="5" t="s">
        <v>1280</v>
      </c>
      <c r="AD274" s="4" t="s">
        <v>51</v>
      </c>
      <c r="AE274" s="5">
        <f t="shared" si="38"/>
        <v>0.82857142857142863</v>
      </c>
      <c r="AF274" s="5">
        <v>1750000</v>
      </c>
      <c r="AG274" s="5">
        <v>1</v>
      </c>
      <c r="AH274" s="5">
        <v>1</v>
      </c>
      <c r="AI274" s="5">
        <v>1</v>
      </c>
      <c r="AJ274" s="7" t="s">
        <v>1281</v>
      </c>
      <c r="AK274" s="5">
        <v>0</v>
      </c>
      <c r="AL274" s="5">
        <v>0</v>
      </c>
      <c r="AM274" s="4">
        <v>2006</v>
      </c>
      <c r="AN274" s="5">
        <v>0</v>
      </c>
      <c r="AO274" s="5">
        <v>2</v>
      </c>
      <c r="AP274" s="8"/>
      <c r="AQ274" s="8"/>
      <c r="AR274" s="8">
        <f t="shared" si="39"/>
        <v>0</v>
      </c>
      <c r="AS274" s="8">
        <f t="shared" si="40"/>
        <v>600000</v>
      </c>
      <c r="AT274" s="8">
        <f t="shared" si="41"/>
        <v>2590000</v>
      </c>
      <c r="AU274" s="8">
        <f t="shared" si="42"/>
        <v>910000</v>
      </c>
      <c r="AV274" s="4" t="s">
        <v>991</v>
      </c>
      <c r="AW274" s="7" t="s">
        <v>1281</v>
      </c>
      <c r="AX274" s="5">
        <v>500000</v>
      </c>
      <c r="AY274">
        <f t="shared" si="43"/>
        <v>151666.66666666663</v>
      </c>
      <c r="AZ274">
        <f t="shared" si="44"/>
        <v>758333.33333333337</v>
      </c>
      <c r="BA274" s="5">
        <v>4000000</v>
      </c>
      <c r="BB274" s="5">
        <v>0</v>
      </c>
      <c r="BC274" s="4" t="s">
        <v>49</v>
      </c>
      <c r="BD274" s="4">
        <v>47112</v>
      </c>
      <c r="BE274" t="s">
        <v>54</v>
      </c>
    </row>
    <row r="275" spans="1:57" ht="270.75" thickBot="1" x14ac:dyDescent="0.3">
      <c r="A275" s="4" t="s">
        <v>1282</v>
      </c>
      <c r="B275" s="4">
        <v>3001</v>
      </c>
      <c r="C275" s="5">
        <v>2</v>
      </c>
      <c r="D275" s="4" t="s">
        <v>44</v>
      </c>
      <c r="E275" s="6">
        <v>46240.701769143518</v>
      </c>
      <c r="F275" s="4" t="s">
        <v>1283</v>
      </c>
      <c r="G275" s="4" t="s">
        <v>46</v>
      </c>
      <c r="H275" s="4">
        <v>53</v>
      </c>
      <c r="I275" s="4" t="s">
        <v>47</v>
      </c>
      <c r="J275" s="4">
        <v>5309</v>
      </c>
      <c r="K275" s="4" t="s">
        <v>48</v>
      </c>
      <c r="L275" s="4">
        <v>5309020</v>
      </c>
      <c r="M275" s="4">
        <v>5309020021</v>
      </c>
      <c r="N275" s="4" t="s">
        <v>49</v>
      </c>
      <c r="O275" s="4">
        <v>47112</v>
      </c>
      <c r="P275" s="4" t="s">
        <v>1284</v>
      </c>
      <c r="Q275" s="5">
        <v>2</v>
      </c>
      <c r="R275" s="5">
        <v>0</v>
      </c>
      <c r="S275" s="5">
        <v>2500000</v>
      </c>
      <c r="T275" s="5">
        <v>2200000</v>
      </c>
      <c r="U275" s="5">
        <v>500000</v>
      </c>
      <c r="V275" s="5">
        <v>500000</v>
      </c>
      <c r="W275" s="5">
        <v>5700000</v>
      </c>
      <c r="X275" s="5">
        <v>6500000</v>
      </c>
      <c r="Y275" s="5">
        <v>0</v>
      </c>
      <c r="Z275" s="5">
        <f t="shared" si="36"/>
        <v>1300000</v>
      </c>
      <c r="AA275" s="5">
        <v>12450000</v>
      </c>
      <c r="AB275" s="5">
        <f t="shared" si="37"/>
        <v>4300000</v>
      </c>
      <c r="AC275" s="5" t="s">
        <v>1285</v>
      </c>
      <c r="AD275" s="4" t="s">
        <v>51</v>
      </c>
      <c r="AE275" s="5">
        <f t="shared" si="38"/>
        <v>0.30232558139534882</v>
      </c>
      <c r="AF275" s="5">
        <v>2150000</v>
      </c>
      <c r="AG275" s="5">
        <v>0</v>
      </c>
      <c r="AH275" s="5">
        <v>1</v>
      </c>
      <c r="AI275" s="5">
        <v>1</v>
      </c>
      <c r="AJ275" s="7" t="s">
        <v>1286</v>
      </c>
      <c r="AK275" s="5">
        <v>0</v>
      </c>
      <c r="AL275" s="5">
        <v>0</v>
      </c>
      <c r="AM275" s="4">
        <v>2019</v>
      </c>
      <c r="AN275" s="5">
        <v>0</v>
      </c>
      <c r="AO275" s="5">
        <v>2</v>
      </c>
      <c r="AP275" s="8"/>
      <c r="AQ275" s="8"/>
      <c r="AR275" s="8">
        <f t="shared" si="39"/>
        <v>0</v>
      </c>
      <c r="AS275" s="8">
        <f t="shared" si="40"/>
        <v>3000000</v>
      </c>
      <c r="AT275" s="8">
        <f t="shared" si="41"/>
        <v>1300000</v>
      </c>
      <c r="AU275" s="8">
        <f t="shared" si="42"/>
        <v>3000000</v>
      </c>
      <c r="AV275" s="4" t="s">
        <v>1284</v>
      </c>
      <c r="AW275" s="7" t="s">
        <v>1286</v>
      </c>
      <c r="AX275" s="5">
        <v>2200000</v>
      </c>
      <c r="AY275">
        <f t="shared" si="43"/>
        <v>2500000</v>
      </c>
      <c r="AZ275">
        <f t="shared" si="44"/>
        <v>500000</v>
      </c>
      <c r="BA275" s="5">
        <v>6500000</v>
      </c>
      <c r="BB275" s="5">
        <v>0</v>
      </c>
      <c r="BC275" s="4" t="s">
        <v>49</v>
      </c>
      <c r="BD275" s="4">
        <v>47112</v>
      </c>
      <c r="BE275" t="s">
        <v>54</v>
      </c>
    </row>
    <row r="276" spans="1:57" ht="270.75" thickBot="1" x14ac:dyDescent="0.3">
      <c r="A276" s="4" t="s">
        <v>1287</v>
      </c>
      <c r="B276" s="4">
        <v>1001</v>
      </c>
      <c r="C276" s="5">
        <v>2</v>
      </c>
      <c r="D276" s="4" t="s">
        <v>44</v>
      </c>
      <c r="E276" s="6">
        <v>46267.98740244213</v>
      </c>
      <c r="F276" s="4" t="s">
        <v>1288</v>
      </c>
      <c r="G276" s="4" t="s">
        <v>46</v>
      </c>
      <c r="H276" s="4">
        <v>53</v>
      </c>
      <c r="I276" s="4" t="s">
        <v>47</v>
      </c>
      <c r="J276" s="4">
        <v>5309</v>
      </c>
      <c r="K276" s="4" t="s">
        <v>48</v>
      </c>
      <c r="L276" s="4">
        <v>5309072</v>
      </c>
      <c r="M276" s="4">
        <v>5309072001</v>
      </c>
      <c r="N276" s="4" t="s">
        <v>49</v>
      </c>
      <c r="O276" s="4">
        <v>47112</v>
      </c>
      <c r="P276" s="4" t="s">
        <v>1289</v>
      </c>
      <c r="Q276" s="5">
        <v>1</v>
      </c>
      <c r="R276" s="5">
        <v>0</v>
      </c>
      <c r="S276" s="5">
        <v>170000</v>
      </c>
      <c r="T276" s="5">
        <v>2000000</v>
      </c>
      <c r="U276" s="5">
        <v>200000</v>
      </c>
      <c r="V276" s="5">
        <v>0</v>
      </c>
      <c r="W276" s="5">
        <v>2370000</v>
      </c>
      <c r="X276" s="5">
        <v>4500000</v>
      </c>
      <c r="Y276" s="5">
        <v>0</v>
      </c>
      <c r="Z276" s="5">
        <f t="shared" si="36"/>
        <v>2130000</v>
      </c>
      <c r="AA276" s="5">
        <v>13000000</v>
      </c>
      <c r="AB276" s="5">
        <f t="shared" si="37"/>
        <v>2500000</v>
      </c>
      <c r="AC276" s="5" t="s">
        <v>497</v>
      </c>
      <c r="AD276" s="4" t="s">
        <v>51</v>
      </c>
      <c r="AE276" s="5">
        <f t="shared" si="38"/>
        <v>0.85199999999999998</v>
      </c>
      <c r="AF276" s="5">
        <v>2500000</v>
      </c>
      <c r="AG276" s="5">
        <v>1</v>
      </c>
      <c r="AH276" s="5">
        <v>1</v>
      </c>
      <c r="AI276" s="5">
        <v>1</v>
      </c>
      <c r="AJ276" s="7" t="s">
        <v>1290</v>
      </c>
      <c r="AK276" s="5">
        <v>0</v>
      </c>
      <c r="AL276" s="5">
        <v>0</v>
      </c>
      <c r="AM276" s="4">
        <v>2016</v>
      </c>
      <c r="AN276" s="5">
        <v>0</v>
      </c>
      <c r="AO276" s="5">
        <v>1</v>
      </c>
      <c r="AP276" s="8"/>
      <c r="AQ276" s="8"/>
      <c r="AR276" s="8">
        <f t="shared" si="39"/>
        <v>0</v>
      </c>
      <c r="AS276" s="8">
        <f t="shared" si="40"/>
        <v>370000</v>
      </c>
      <c r="AT276" s="8">
        <f t="shared" si="41"/>
        <v>1850000</v>
      </c>
      <c r="AU276" s="8">
        <f t="shared" si="42"/>
        <v>650000</v>
      </c>
      <c r="AV276" s="4" t="s">
        <v>1289</v>
      </c>
      <c r="AW276" s="7" t="s">
        <v>1290</v>
      </c>
      <c r="AX276" s="5">
        <v>2000000</v>
      </c>
      <c r="AY276">
        <f t="shared" si="43"/>
        <v>298648.64864864864</v>
      </c>
      <c r="AZ276">
        <f t="shared" si="44"/>
        <v>351351.35135135136</v>
      </c>
      <c r="BA276" s="5">
        <v>4500000</v>
      </c>
      <c r="BB276" s="5">
        <v>0</v>
      </c>
      <c r="BC276" s="4" t="s">
        <v>49</v>
      </c>
      <c r="BD276" s="4">
        <v>47112</v>
      </c>
      <c r="BE276" t="s">
        <v>54</v>
      </c>
    </row>
    <row r="277" spans="1:57" ht="270.75" thickBot="1" x14ac:dyDescent="0.3">
      <c r="A277" s="4" t="s">
        <v>1291</v>
      </c>
      <c r="B277" s="4">
        <v>1</v>
      </c>
      <c r="C277" s="5">
        <v>2</v>
      </c>
      <c r="D277" s="4" t="s">
        <v>44</v>
      </c>
      <c r="E277" s="6">
        <v>46254.298662499998</v>
      </c>
      <c r="F277" s="4" t="s">
        <v>1292</v>
      </c>
      <c r="G277" s="4" t="s">
        <v>46</v>
      </c>
      <c r="H277" s="4">
        <v>53</v>
      </c>
      <c r="I277" s="4" t="s">
        <v>47</v>
      </c>
      <c r="J277" s="4">
        <v>5309</v>
      </c>
      <c r="K277" s="4" t="s">
        <v>48</v>
      </c>
      <c r="L277" s="4">
        <v>5309030</v>
      </c>
      <c r="M277" s="4">
        <v>5309030018</v>
      </c>
      <c r="N277" s="4" t="s">
        <v>49</v>
      </c>
      <c r="O277" s="4">
        <v>47112</v>
      </c>
      <c r="P277" s="4" t="s">
        <v>1293</v>
      </c>
      <c r="Q277" s="5">
        <v>2</v>
      </c>
      <c r="R277" s="5">
        <v>0</v>
      </c>
      <c r="S277" s="5">
        <v>0</v>
      </c>
      <c r="T277" s="5">
        <v>85000000</v>
      </c>
      <c r="U277" s="5">
        <v>660000</v>
      </c>
      <c r="V277" s="5">
        <v>0</v>
      </c>
      <c r="W277" s="5">
        <v>85660000</v>
      </c>
      <c r="X277" s="5">
        <v>128000000</v>
      </c>
      <c r="Y277" s="5">
        <v>0</v>
      </c>
      <c r="Z277" s="5">
        <f t="shared" si="36"/>
        <v>42340000</v>
      </c>
      <c r="AA277" s="5">
        <v>360000000</v>
      </c>
      <c r="AB277" s="5">
        <f t="shared" si="37"/>
        <v>43000000</v>
      </c>
      <c r="AC277" s="5" t="s">
        <v>1294</v>
      </c>
      <c r="AD277" s="4" t="s">
        <v>51</v>
      </c>
      <c r="AE277" s="5">
        <f t="shared" si="38"/>
        <v>0.98465116279069764</v>
      </c>
      <c r="AF277" s="5">
        <v>21500000</v>
      </c>
      <c r="AG277" s="5">
        <v>1</v>
      </c>
      <c r="AH277" s="5">
        <v>1</v>
      </c>
      <c r="AI277" s="5">
        <v>1</v>
      </c>
      <c r="AJ277" s="7" t="s">
        <v>1295</v>
      </c>
      <c r="AK277" s="5">
        <v>0</v>
      </c>
      <c r="AL277" s="5">
        <v>0</v>
      </c>
      <c r="AM277" s="4">
        <v>1997</v>
      </c>
      <c r="AN277" s="5">
        <v>0</v>
      </c>
      <c r="AO277" s="5">
        <v>2</v>
      </c>
      <c r="AP277" s="8"/>
      <c r="AQ277" s="8"/>
      <c r="AR277" s="8">
        <f t="shared" si="39"/>
        <v>0</v>
      </c>
      <c r="AS277" s="8">
        <f t="shared" si="40"/>
        <v>660000</v>
      </c>
      <c r="AT277" s="8">
        <f t="shared" si="41"/>
        <v>31820000</v>
      </c>
      <c r="AU277" s="8">
        <f t="shared" si="42"/>
        <v>11180000</v>
      </c>
      <c r="AV277" s="4" t="s">
        <v>1293</v>
      </c>
      <c r="AW277" s="7" t="s">
        <v>1295</v>
      </c>
      <c r="AX277" s="5">
        <v>85000000</v>
      </c>
      <c r="AY277">
        <f t="shared" si="43"/>
        <v>0</v>
      </c>
      <c r="AZ277">
        <f t="shared" si="44"/>
        <v>11180000</v>
      </c>
      <c r="BA277" s="5">
        <v>128000000</v>
      </c>
      <c r="BB277" s="5">
        <v>0</v>
      </c>
      <c r="BC277" s="4" t="s">
        <v>49</v>
      </c>
      <c r="BD277" s="4">
        <v>47112</v>
      </c>
      <c r="BE277" t="s">
        <v>54</v>
      </c>
    </row>
    <row r="278" spans="1:57" ht="270.75" thickBot="1" x14ac:dyDescent="0.3">
      <c r="A278" s="11" t="s">
        <v>1296</v>
      </c>
      <c r="B278" s="4">
        <v>2001</v>
      </c>
      <c r="C278" s="5">
        <v>2</v>
      </c>
      <c r="D278" s="4" t="s">
        <v>44</v>
      </c>
      <c r="E278" s="6">
        <v>46265.037987025462</v>
      </c>
      <c r="F278" s="11" t="s">
        <v>1297</v>
      </c>
      <c r="G278" s="4" t="s">
        <v>46</v>
      </c>
      <c r="H278" s="4">
        <v>53</v>
      </c>
      <c r="I278" s="4" t="s">
        <v>47</v>
      </c>
      <c r="J278" s="4">
        <v>5309</v>
      </c>
      <c r="K278" s="4" t="s">
        <v>48</v>
      </c>
      <c r="L278" s="4">
        <v>5309070</v>
      </c>
      <c r="M278" s="4">
        <v>5309070007</v>
      </c>
      <c r="N278" s="4" t="s">
        <v>49</v>
      </c>
      <c r="O278" s="4">
        <v>47112</v>
      </c>
      <c r="P278" s="4" t="s">
        <v>1298</v>
      </c>
      <c r="Q278" s="5">
        <v>2</v>
      </c>
      <c r="R278" s="5">
        <v>0</v>
      </c>
      <c r="S278" s="5">
        <v>3000000</v>
      </c>
      <c r="T278" s="5">
        <v>25000000</v>
      </c>
      <c r="U278" s="5">
        <v>500000</v>
      </c>
      <c r="V278" s="5">
        <v>0</v>
      </c>
      <c r="W278" s="5">
        <v>28500000</v>
      </c>
      <c r="X278" s="5">
        <v>42000000</v>
      </c>
      <c r="Y278" s="5">
        <v>0</v>
      </c>
      <c r="Z278" s="5">
        <f t="shared" si="36"/>
        <v>13500000</v>
      </c>
      <c r="AA278" s="5">
        <v>25000000</v>
      </c>
      <c r="AB278" s="5">
        <f t="shared" si="37"/>
        <v>17000000</v>
      </c>
      <c r="AC278" s="5" t="s">
        <v>1299</v>
      </c>
      <c r="AD278" s="4" t="s">
        <v>51</v>
      </c>
      <c r="AE278" s="5">
        <f t="shared" si="38"/>
        <v>0.79411764705882348</v>
      </c>
      <c r="AF278" s="5">
        <v>8500000</v>
      </c>
      <c r="AG278" s="5">
        <v>1</v>
      </c>
      <c r="AH278" s="5">
        <v>1</v>
      </c>
      <c r="AI278" s="5">
        <v>1</v>
      </c>
      <c r="AJ278" s="7" t="s">
        <v>1300</v>
      </c>
      <c r="AK278" s="5">
        <v>0</v>
      </c>
      <c r="AL278" s="5">
        <v>0</v>
      </c>
      <c r="AM278" s="4">
        <v>2024</v>
      </c>
      <c r="AN278" s="5">
        <v>0</v>
      </c>
      <c r="AO278" s="5">
        <v>2</v>
      </c>
      <c r="AP278" s="8"/>
      <c r="AQ278" s="8"/>
      <c r="AR278" s="8">
        <f t="shared" si="39"/>
        <v>0</v>
      </c>
      <c r="AS278" s="8">
        <f t="shared" si="40"/>
        <v>3500000</v>
      </c>
      <c r="AT278" s="8">
        <f t="shared" si="41"/>
        <v>12580000</v>
      </c>
      <c r="AU278" s="8">
        <f t="shared" si="42"/>
        <v>4420000</v>
      </c>
      <c r="AV278" s="4" t="s">
        <v>1298</v>
      </c>
      <c r="AW278" s="7" t="s">
        <v>1300</v>
      </c>
      <c r="AX278" s="5">
        <v>25000000</v>
      </c>
      <c r="AY278">
        <f t="shared" si="43"/>
        <v>3788571.4285714286</v>
      </c>
      <c r="AZ278">
        <f t="shared" si="44"/>
        <v>631428.57142857148</v>
      </c>
      <c r="BA278" s="5">
        <v>42000000</v>
      </c>
      <c r="BB278" s="5">
        <v>0</v>
      </c>
      <c r="BC278" s="4" t="s">
        <v>49</v>
      </c>
      <c r="BD278" s="4">
        <v>47112</v>
      </c>
      <c r="BE278" t="s">
        <v>54</v>
      </c>
    </row>
    <row r="279" spans="1:57" ht="270.75" thickBot="1" x14ac:dyDescent="0.3">
      <c r="A279" s="11" t="s">
        <v>1301</v>
      </c>
      <c r="B279" s="4">
        <v>1001</v>
      </c>
      <c r="C279" s="5">
        <v>2</v>
      </c>
      <c r="D279" s="4" t="s">
        <v>44</v>
      </c>
      <c r="E279" s="6">
        <v>46224.625245740739</v>
      </c>
      <c r="F279" s="11" t="s">
        <v>1302</v>
      </c>
      <c r="G279" s="4" t="s">
        <v>46</v>
      </c>
      <c r="H279" s="4">
        <v>53</v>
      </c>
      <c r="I279" s="4" t="s">
        <v>47</v>
      </c>
      <c r="J279" s="4">
        <v>5309</v>
      </c>
      <c r="K279" s="4" t="s">
        <v>48</v>
      </c>
      <c r="L279" s="4">
        <v>5309031</v>
      </c>
      <c r="M279" s="4">
        <v>5309031002</v>
      </c>
      <c r="N279" s="4" t="s">
        <v>49</v>
      </c>
      <c r="O279" s="4">
        <v>47112</v>
      </c>
      <c r="P279" s="4" t="s">
        <v>1303</v>
      </c>
      <c r="Q279" s="5">
        <v>5</v>
      </c>
      <c r="R279" s="5">
        <v>0</v>
      </c>
      <c r="S279" s="5">
        <v>500000</v>
      </c>
      <c r="T279" s="5">
        <v>30000000</v>
      </c>
      <c r="U279" s="5">
        <v>250000</v>
      </c>
      <c r="V279" s="5">
        <v>0</v>
      </c>
      <c r="W279" s="5">
        <v>30750000</v>
      </c>
      <c r="X279" s="5">
        <v>54000000</v>
      </c>
      <c r="Y279" s="5">
        <v>0</v>
      </c>
      <c r="Z279" s="5">
        <f t="shared" si="36"/>
        <v>23250000</v>
      </c>
      <c r="AA279" s="5">
        <v>52000000</v>
      </c>
      <c r="AB279" s="5">
        <f t="shared" si="37"/>
        <v>24000000</v>
      </c>
      <c r="AC279" s="5" t="s">
        <v>117</v>
      </c>
      <c r="AD279" s="4" t="s">
        <v>51</v>
      </c>
      <c r="AE279" s="5">
        <f t="shared" si="38"/>
        <v>0.96875</v>
      </c>
      <c r="AF279" s="5">
        <v>4800000</v>
      </c>
      <c r="AG279" s="5">
        <v>1</v>
      </c>
      <c r="AH279" s="5">
        <v>1</v>
      </c>
      <c r="AI279" s="5">
        <v>1</v>
      </c>
      <c r="AJ279" s="7" t="s">
        <v>1304</v>
      </c>
      <c r="AK279" s="5">
        <v>0</v>
      </c>
      <c r="AL279" s="5">
        <v>0</v>
      </c>
      <c r="AM279" s="4">
        <v>2003</v>
      </c>
      <c r="AN279" s="5">
        <v>0</v>
      </c>
      <c r="AO279" s="5">
        <v>5</v>
      </c>
      <c r="AP279" s="8"/>
      <c r="AQ279" s="8"/>
      <c r="AR279" s="8">
        <f t="shared" si="39"/>
        <v>0</v>
      </c>
      <c r="AS279" s="8">
        <f t="shared" si="40"/>
        <v>750000</v>
      </c>
      <c r="AT279" s="8">
        <f t="shared" si="41"/>
        <v>17760000</v>
      </c>
      <c r="AU279" s="8">
        <f t="shared" si="42"/>
        <v>6240000</v>
      </c>
      <c r="AV279" s="4" t="s">
        <v>1303</v>
      </c>
      <c r="AW279" s="7" t="s">
        <v>1304</v>
      </c>
      <c r="AX279" s="5">
        <v>30000000</v>
      </c>
      <c r="AY279">
        <f t="shared" si="43"/>
        <v>4160000</v>
      </c>
      <c r="AZ279">
        <f t="shared" si="44"/>
        <v>2080000</v>
      </c>
      <c r="BA279" s="5">
        <v>54000000</v>
      </c>
      <c r="BB279" s="5">
        <v>0</v>
      </c>
      <c r="BC279" s="4" t="s">
        <v>49</v>
      </c>
      <c r="BD279" s="4">
        <v>47112</v>
      </c>
      <c r="BE279" t="s">
        <v>54</v>
      </c>
    </row>
    <row r="280" spans="1:57" ht="270.75" thickBot="1" x14ac:dyDescent="0.3">
      <c r="A280" s="4" t="s">
        <v>1305</v>
      </c>
      <c r="B280" s="4">
        <v>1</v>
      </c>
      <c r="C280" s="5">
        <v>2</v>
      </c>
      <c r="D280" s="4" t="s">
        <v>44</v>
      </c>
      <c r="E280" s="6">
        <v>46266.375302800923</v>
      </c>
      <c r="F280" s="4" t="s">
        <v>1306</v>
      </c>
      <c r="G280" s="4" t="s">
        <v>46</v>
      </c>
      <c r="H280" s="4">
        <v>53</v>
      </c>
      <c r="I280" s="4" t="s">
        <v>47</v>
      </c>
      <c r="J280" s="4">
        <v>5309</v>
      </c>
      <c r="K280" s="4" t="s">
        <v>48</v>
      </c>
      <c r="L280" s="4">
        <v>5309071</v>
      </c>
      <c r="M280" s="4">
        <v>5309071016</v>
      </c>
      <c r="N280" s="4" t="s">
        <v>49</v>
      </c>
      <c r="O280" s="4">
        <v>47112</v>
      </c>
      <c r="P280" s="4" t="s">
        <v>1307</v>
      </c>
      <c r="Q280" s="5">
        <v>2</v>
      </c>
      <c r="R280" s="5">
        <v>0</v>
      </c>
      <c r="S280" s="5">
        <v>365000</v>
      </c>
      <c r="T280" s="5">
        <v>3500000</v>
      </c>
      <c r="U280" s="5">
        <v>500000</v>
      </c>
      <c r="V280" s="5">
        <v>15000</v>
      </c>
      <c r="W280" s="5">
        <v>4380000</v>
      </c>
      <c r="X280" s="5">
        <v>5500000</v>
      </c>
      <c r="Y280" s="5">
        <v>0</v>
      </c>
      <c r="Z280" s="5">
        <f t="shared" si="36"/>
        <v>1135000</v>
      </c>
      <c r="AA280" s="5">
        <v>52500000</v>
      </c>
      <c r="AB280" s="5">
        <f t="shared" si="37"/>
        <v>2000000</v>
      </c>
      <c r="AC280" s="5" t="s">
        <v>1308</v>
      </c>
      <c r="AD280" s="4" t="s">
        <v>51</v>
      </c>
      <c r="AE280" s="5">
        <f t="shared" si="38"/>
        <v>0.5675</v>
      </c>
      <c r="AF280" s="5">
        <v>1000000</v>
      </c>
      <c r="AG280" s="5">
        <v>1</v>
      </c>
      <c r="AH280" s="5">
        <v>1</v>
      </c>
      <c r="AI280" s="5">
        <v>1</v>
      </c>
      <c r="AJ280" s="7" t="s">
        <v>1309</v>
      </c>
      <c r="AK280" s="5">
        <v>0</v>
      </c>
      <c r="AL280" s="5">
        <v>0</v>
      </c>
      <c r="AM280" s="4">
        <v>2018</v>
      </c>
      <c r="AN280" s="5">
        <v>0</v>
      </c>
      <c r="AO280" s="5">
        <v>2</v>
      </c>
      <c r="AP280" s="8"/>
      <c r="AQ280" s="8"/>
      <c r="AR280" s="8">
        <f t="shared" si="39"/>
        <v>0</v>
      </c>
      <c r="AS280" s="8">
        <f t="shared" si="40"/>
        <v>865000</v>
      </c>
      <c r="AT280" s="8">
        <f t="shared" si="41"/>
        <v>1135000</v>
      </c>
      <c r="AU280" s="8">
        <f t="shared" si="42"/>
        <v>865000</v>
      </c>
      <c r="AV280" s="4" t="s">
        <v>1307</v>
      </c>
      <c r="AW280" s="7" t="s">
        <v>1309</v>
      </c>
      <c r="AX280" s="5">
        <v>3500000</v>
      </c>
      <c r="AY280">
        <f t="shared" si="43"/>
        <v>365000</v>
      </c>
      <c r="AZ280">
        <f t="shared" si="44"/>
        <v>500000</v>
      </c>
      <c r="BA280" s="5">
        <v>5500000</v>
      </c>
      <c r="BB280" s="5">
        <v>0</v>
      </c>
      <c r="BC280" s="4" t="s">
        <v>49</v>
      </c>
      <c r="BD280" s="4">
        <v>47112</v>
      </c>
      <c r="BE280" t="s">
        <v>54</v>
      </c>
    </row>
    <row r="281" spans="1:57" ht="270.75" thickBot="1" x14ac:dyDescent="0.3">
      <c r="A281" s="4" t="s">
        <v>1310</v>
      </c>
      <c r="B281" s="4">
        <v>2001</v>
      </c>
      <c r="C281" s="5">
        <v>2</v>
      </c>
      <c r="D281" s="4" t="s">
        <v>44</v>
      </c>
      <c r="E281" s="6">
        <v>46271.526896388888</v>
      </c>
      <c r="F281" s="4" t="s">
        <v>1311</v>
      </c>
      <c r="G281" s="4" t="s">
        <v>46</v>
      </c>
      <c r="H281" s="4">
        <v>53</v>
      </c>
      <c r="I281" s="4" t="s">
        <v>47</v>
      </c>
      <c r="J281" s="4">
        <v>5309</v>
      </c>
      <c r="K281" s="4" t="s">
        <v>48</v>
      </c>
      <c r="L281" s="4">
        <v>5309030</v>
      </c>
      <c r="M281" s="4">
        <v>5309030012</v>
      </c>
      <c r="N281" s="4" t="s">
        <v>49</v>
      </c>
      <c r="O281" s="4">
        <v>47112</v>
      </c>
      <c r="P281" s="4" t="s">
        <v>1312</v>
      </c>
      <c r="Q281" s="5">
        <v>1</v>
      </c>
      <c r="R281" s="5">
        <v>0</v>
      </c>
      <c r="S281" s="5">
        <v>6000000</v>
      </c>
      <c r="T281" s="5">
        <v>18000000</v>
      </c>
      <c r="U281" s="5">
        <v>600000</v>
      </c>
      <c r="V281" s="5">
        <v>500000</v>
      </c>
      <c r="W281" s="5">
        <v>25100000</v>
      </c>
      <c r="X281" s="5">
        <v>54000000</v>
      </c>
      <c r="Y281" s="5">
        <v>0</v>
      </c>
      <c r="Z281" s="5">
        <f t="shared" si="36"/>
        <v>29400000</v>
      </c>
      <c r="AA281" s="5">
        <v>8800000</v>
      </c>
      <c r="AB281" s="5">
        <f t="shared" si="37"/>
        <v>36000000</v>
      </c>
      <c r="AC281" s="5" t="s">
        <v>172</v>
      </c>
      <c r="AD281" s="4" t="s">
        <v>51</v>
      </c>
      <c r="AE281" s="5">
        <f t="shared" si="38"/>
        <v>0.81666666666666665</v>
      </c>
      <c r="AF281" s="5">
        <v>36000000</v>
      </c>
      <c r="AG281" s="5">
        <v>1</v>
      </c>
      <c r="AH281" s="5">
        <v>1</v>
      </c>
      <c r="AI281" s="5">
        <v>1</v>
      </c>
      <c r="AJ281" s="7" t="s">
        <v>1313</v>
      </c>
      <c r="AK281" s="5">
        <v>0</v>
      </c>
      <c r="AL281" s="5">
        <v>0</v>
      </c>
      <c r="AM281" s="4">
        <v>2001</v>
      </c>
      <c r="AN281" s="5">
        <v>0</v>
      </c>
      <c r="AO281" s="5">
        <v>1</v>
      </c>
      <c r="AP281" s="8"/>
      <c r="AQ281" s="8"/>
      <c r="AR281" s="8">
        <f t="shared" si="39"/>
        <v>0</v>
      </c>
      <c r="AS281" s="8">
        <f t="shared" si="40"/>
        <v>6600000</v>
      </c>
      <c r="AT281" s="8">
        <f t="shared" si="41"/>
        <v>26640000</v>
      </c>
      <c r="AU281" s="8">
        <f t="shared" si="42"/>
        <v>9360000</v>
      </c>
      <c r="AV281" s="4" t="s">
        <v>1312</v>
      </c>
      <c r="AW281" s="7" t="s">
        <v>1313</v>
      </c>
      <c r="AX281" s="5">
        <v>18000000</v>
      </c>
      <c r="AY281">
        <f t="shared" si="43"/>
        <v>8509090.9090909082</v>
      </c>
      <c r="AZ281">
        <f t="shared" si="44"/>
        <v>850909.09090909094</v>
      </c>
      <c r="BA281" s="5">
        <v>54000000</v>
      </c>
      <c r="BB281" s="5">
        <v>0</v>
      </c>
      <c r="BC281" s="4" t="s">
        <v>49</v>
      </c>
      <c r="BD281" s="4">
        <v>47112</v>
      </c>
      <c r="BE281" t="s">
        <v>54</v>
      </c>
    </row>
    <row r="282" spans="1:57" ht="270.75" thickBot="1" x14ac:dyDescent="0.3">
      <c r="A282" s="4" t="s">
        <v>1314</v>
      </c>
      <c r="B282" s="4">
        <v>2001</v>
      </c>
      <c r="C282" s="5">
        <v>2</v>
      </c>
      <c r="D282" s="4" t="s">
        <v>44</v>
      </c>
      <c r="E282" s="6">
        <v>46242.435147152777</v>
      </c>
      <c r="F282" s="4" t="s">
        <v>1315</v>
      </c>
      <c r="G282" s="4" t="s">
        <v>46</v>
      </c>
      <c r="H282" s="4">
        <v>53</v>
      </c>
      <c r="I282" s="4" t="s">
        <v>47</v>
      </c>
      <c r="J282" s="4">
        <v>5309</v>
      </c>
      <c r="K282" s="4" t="s">
        <v>48</v>
      </c>
      <c r="L282" s="4">
        <v>5309020</v>
      </c>
      <c r="M282" s="4">
        <v>5309020015</v>
      </c>
      <c r="N282" s="4" t="s">
        <v>49</v>
      </c>
      <c r="O282" s="4">
        <v>47112</v>
      </c>
      <c r="P282" s="4" t="s">
        <v>1316</v>
      </c>
      <c r="Q282" s="5">
        <v>4</v>
      </c>
      <c r="R282" s="5">
        <v>500000</v>
      </c>
      <c r="S282" s="5">
        <v>5000000</v>
      </c>
      <c r="T282" s="5">
        <v>5000000</v>
      </c>
      <c r="U282" s="5">
        <v>1000000</v>
      </c>
      <c r="V282" s="5">
        <v>10000</v>
      </c>
      <c r="W282" s="5">
        <v>11510000</v>
      </c>
      <c r="X282" s="5">
        <v>15000000</v>
      </c>
      <c r="Y282" s="5">
        <v>0</v>
      </c>
      <c r="Z282" s="5">
        <f t="shared" si="36"/>
        <v>4000000</v>
      </c>
      <c r="AA282" s="5">
        <v>60000000</v>
      </c>
      <c r="AB282" s="5">
        <f t="shared" si="37"/>
        <v>10000000</v>
      </c>
      <c r="AC282" s="5" t="s">
        <v>172</v>
      </c>
      <c r="AD282" s="4" t="s">
        <v>51</v>
      </c>
      <c r="AE282" s="5">
        <f t="shared" si="38"/>
        <v>0.4</v>
      </c>
      <c r="AF282" s="5">
        <v>2500000</v>
      </c>
      <c r="AG282" s="5">
        <v>1</v>
      </c>
      <c r="AH282" s="5">
        <v>1</v>
      </c>
      <c r="AI282" s="5">
        <v>1</v>
      </c>
      <c r="AJ282" s="7" t="s">
        <v>1317</v>
      </c>
      <c r="AK282" s="5">
        <v>0</v>
      </c>
      <c r="AL282" s="5">
        <v>0</v>
      </c>
      <c r="AM282" s="4">
        <v>2017</v>
      </c>
      <c r="AN282" s="5">
        <v>1</v>
      </c>
      <c r="AO282" s="5">
        <v>3</v>
      </c>
      <c r="AP282" s="8"/>
      <c r="AQ282" s="8"/>
      <c r="AR282" s="8">
        <f t="shared" si="39"/>
        <v>0</v>
      </c>
      <c r="AS282" s="8">
        <f t="shared" si="40"/>
        <v>6000000</v>
      </c>
      <c r="AT282" s="8">
        <f t="shared" si="41"/>
        <v>4000000</v>
      </c>
      <c r="AU282" s="8">
        <f t="shared" si="42"/>
        <v>6000000</v>
      </c>
      <c r="AV282" s="4" t="s">
        <v>1316</v>
      </c>
      <c r="AW282" s="7" t="s">
        <v>1317</v>
      </c>
      <c r="AX282" s="5">
        <v>5000000</v>
      </c>
      <c r="AY282">
        <f t="shared" si="43"/>
        <v>5000000</v>
      </c>
      <c r="AZ282">
        <f t="shared" si="44"/>
        <v>1000000</v>
      </c>
      <c r="BA282" s="5">
        <v>15000000</v>
      </c>
      <c r="BB282" s="5">
        <v>0</v>
      </c>
      <c r="BC282" s="4" t="s">
        <v>49</v>
      </c>
      <c r="BD282" s="4">
        <v>47112</v>
      </c>
      <c r="BE282" t="s">
        <v>54</v>
      </c>
    </row>
    <row r="283" spans="1:57" ht="270.75" thickBot="1" x14ac:dyDescent="0.3">
      <c r="A283" s="11" t="s">
        <v>1318</v>
      </c>
      <c r="B283" s="4">
        <v>1</v>
      </c>
      <c r="C283" s="5">
        <v>2</v>
      </c>
      <c r="D283" s="4" t="s">
        <v>44</v>
      </c>
      <c r="E283" s="6">
        <v>46264.281168946756</v>
      </c>
      <c r="F283" s="11" t="s">
        <v>1319</v>
      </c>
      <c r="G283" s="4" t="s">
        <v>46</v>
      </c>
      <c r="H283" s="4">
        <v>53</v>
      </c>
      <c r="I283" s="4" t="s">
        <v>47</v>
      </c>
      <c r="J283" s="4">
        <v>5309</v>
      </c>
      <c r="K283" s="4" t="s">
        <v>48</v>
      </c>
      <c r="L283" s="4">
        <v>5309030</v>
      </c>
      <c r="M283" s="4">
        <v>5309030018</v>
      </c>
      <c r="N283" s="4" t="s">
        <v>49</v>
      </c>
      <c r="O283" s="4">
        <v>47112</v>
      </c>
      <c r="P283" s="4" t="s">
        <v>1320</v>
      </c>
      <c r="Q283" s="5">
        <v>1</v>
      </c>
      <c r="R283" s="5">
        <v>0</v>
      </c>
      <c r="S283" s="5">
        <v>0</v>
      </c>
      <c r="T283" s="5">
        <v>8650000</v>
      </c>
      <c r="U283" s="5">
        <v>0</v>
      </c>
      <c r="V283" s="5">
        <v>0</v>
      </c>
      <c r="W283" s="5">
        <v>8650000</v>
      </c>
      <c r="X283" s="5">
        <v>12365000</v>
      </c>
      <c r="Y283" s="5">
        <v>0</v>
      </c>
      <c r="Z283" s="5">
        <f t="shared" si="36"/>
        <v>3715000</v>
      </c>
      <c r="AA283" s="5">
        <v>155000000</v>
      </c>
      <c r="AB283" s="5">
        <f t="shared" si="37"/>
        <v>3715000</v>
      </c>
      <c r="AC283" s="5" t="s">
        <v>1321</v>
      </c>
      <c r="AD283" s="4" t="s">
        <v>51</v>
      </c>
      <c r="AE283" s="5">
        <f t="shared" si="38"/>
        <v>1</v>
      </c>
      <c r="AF283" s="5">
        <v>3715000</v>
      </c>
      <c r="AG283" s="5">
        <v>1</v>
      </c>
      <c r="AH283" s="5">
        <v>1</v>
      </c>
      <c r="AI283" s="5">
        <v>1</v>
      </c>
      <c r="AJ283" s="7" t="s">
        <v>1322</v>
      </c>
      <c r="AK283" s="5">
        <v>0</v>
      </c>
      <c r="AL283" s="5">
        <v>0</v>
      </c>
      <c r="AM283" s="4">
        <v>2019</v>
      </c>
      <c r="AN283" s="5">
        <v>0</v>
      </c>
      <c r="AO283" s="5">
        <v>1</v>
      </c>
      <c r="AP283" s="8"/>
      <c r="AQ283" s="8"/>
      <c r="AR283" s="8">
        <f t="shared" si="39"/>
        <v>0</v>
      </c>
      <c r="AS283" s="8">
        <f t="shared" si="40"/>
        <v>0</v>
      </c>
      <c r="AT283" s="8">
        <f t="shared" si="41"/>
        <v>2749100</v>
      </c>
      <c r="AU283" s="8">
        <f t="shared" si="42"/>
        <v>965900</v>
      </c>
      <c r="AV283" s="4" t="s">
        <v>1320</v>
      </c>
      <c r="AW283" s="7" t="s">
        <v>1322</v>
      </c>
      <c r="AX283" s="5">
        <v>8650000</v>
      </c>
      <c r="AY283" t="e">
        <f t="shared" si="43"/>
        <v>#DIV/0!</v>
      </c>
      <c r="AZ283" t="e">
        <f t="shared" si="44"/>
        <v>#DIV/0!</v>
      </c>
      <c r="BA283" s="5">
        <v>12365000</v>
      </c>
      <c r="BB283" s="5">
        <v>0</v>
      </c>
      <c r="BC283" s="4" t="s">
        <v>49</v>
      </c>
      <c r="BD283" s="4">
        <v>47112</v>
      </c>
      <c r="BE283" t="s">
        <v>54</v>
      </c>
    </row>
    <row r="284" spans="1:57" ht="270.75" thickBot="1" x14ac:dyDescent="0.3">
      <c r="A284" s="11" t="s">
        <v>1323</v>
      </c>
      <c r="B284" s="4">
        <v>1101</v>
      </c>
      <c r="C284" s="5">
        <v>2</v>
      </c>
      <c r="D284" s="4" t="s">
        <v>44</v>
      </c>
      <c r="E284" s="6">
        <v>46238.269561412038</v>
      </c>
      <c r="F284" s="11" t="s">
        <v>1324</v>
      </c>
      <c r="G284" s="4" t="s">
        <v>46</v>
      </c>
      <c r="H284" s="4">
        <v>53</v>
      </c>
      <c r="I284" s="4" t="s">
        <v>47</v>
      </c>
      <c r="J284" s="4">
        <v>5309</v>
      </c>
      <c r="K284" s="4" t="s">
        <v>48</v>
      </c>
      <c r="L284" s="4">
        <v>5309050</v>
      </c>
      <c r="M284" s="4">
        <v>5309050010</v>
      </c>
      <c r="N284" s="4" t="s">
        <v>49</v>
      </c>
      <c r="O284" s="4">
        <v>47112</v>
      </c>
      <c r="P284" s="4" t="s">
        <v>1325</v>
      </c>
      <c r="Q284" s="5">
        <v>2</v>
      </c>
      <c r="R284" s="5">
        <v>0</v>
      </c>
      <c r="S284" s="5">
        <v>0</v>
      </c>
      <c r="T284" s="5">
        <v>30000000</v>
      </c>
      <c r="U284" s="5">
        <v>2500000</v>
      </c>
      <c r="V284" s="5">
        <v>0</v>
      </c>
      <c r="W284" s="5">
        <v>32500000</v>
      </c>
      <c r="X284" s="5">
        <v>36500000</v>
      </c>
      <c r="Y284" s="5">
        <v>0</v>
      </c>
      <c r="Z284" s="5">
        <f t="shared" si="36"/>
        <v>4000000</v>
      </c>
      <c r="AA284" s="5">
        <v>500000</v>
      </c>
      <c r="AB284" s="5">
        <f t="shared" si="37"/>
        <v>6500000</v>
      </c>
      <c r="AC284" s="5" t="s">
        <v>1326</v>
      </c>
      <c r="AD284" s="4" t="s">
        <v>51</v>
      </c>
      <c r="AE284" s="5">
        <f t="shared" si="38"/>
        <v>0.61538461538461542</v>
      </c>
      <c r="AF284" s="5">
        <v>3250000</v>
      </c>
      <c r="AG284" s="5">
        <v>1</v>
      </c>
      <c r="AH284" s="5">
        <v>1</v>
      </c>
      <c r="AI284" s="5">
        <v>1</v>
      </c>
      <c r="AJ284" s="7" t="s">
        <v>1327</v>
      </c>
      <c r="AK284" s="5">
        <v>0</v>
      </c>
      <c r="AL284" s="5">
        <v>0</v>
      </c>
      <c r="AM284" s="4">
        <v>2024</v>
      </c>
      <c r="AN284" s="5">
        <v>0</v>
      </c>
      <c r="AO284" s="5">
        <v>2</v>
      </c>
      <c r="AP284" s="8"/>
      <c r="AQ284" s="8"/>
      <c r="AR284" s="8">
        <f t="shared" si="39"/>
        <v>0</v>
      </c>
      <c r="AS284" s="8">
        <f t="shared" si="40"/>
        <v>2500000</v>
      </c>
      <c r="AT284" s="8">
        <f t="shared" si="41"/>
        <v>4000000</v>
      </c>
      <c r="AU284" s="8">
        <f t="shared" si="42"/>
        <v>2500000</v>
      </c>
      <c r="AV284" s="4" t="s">
        <v>1325</v>
      </c>
      <c r="AW284" s="7" t="s">
        <v>1327</v>
      </c>
      <c r="AX284" s="5">
        <v>30000000</v>
      </c>
      <c r="AY284">
        <f t="shared" si="43"/>
        <v>0</v>
      </c>
      <c r="AZ284">
        <f t="shared" si="44"/>
        <v>2500000</v>
      </c>
      <c r="BA284" s="5">
        <v>36500000</v>
      </c>
      <c r="BB284" s="5">
        <v>0</v>
      </c>
      <c r="BC284" s="4" t="s">
        <v>49</v>
      </c>
      <c r="BD284" s="4">
        <v>47112</v>
      </c>
      <c r="BE284" t="s">
        <v>54</v>
      </c>
    </row>
    <row r="285" spans="1:57" ht="270.75" thickBot="1" x14ac:dyDescent="0.3">
      <c r="A285" s="4" t="s">
        <v>1328</v>
      </c>
      <c r="B285" s="4">
        <v>3002</v>
      </c>
      <c r="C285" s="5">
        <v>2</v>
      </c>
      <c r="D285" s="4" t="s">
        <v>44</v>
      </c>
      <c r="E285" s="6">
        <v>46230.926567546296</v>
      </c>
      <c r="F285" s="4" t="s">
        <v>1329</v>
      </c>
      <c r="G285" s="4" t="s">
        <v>46</v>
      </c>
      <c r="H285" s="4">
        <v>53</v>
      </c>
      <c r="I285" s="4" t="s">
        <v>47</v>
      </c>
      <c r="J285" s="4">
        <v>5309</v>
      </c>
      <c r="K285" s="4" t="s">
        <v>48</v>
      </c>
      <c r="L285" s="4">
        <v>5309062</v>
      </c>
      <c r="M285" s="4">
        <v>5309062004</v>
      </c>
      <c r="N285" s="4" t="s">
        <v>49</v>
      </c>
      <c r="O285" s="4">
        <v>47112</v>
      </c>
      <c r="P285" s="4" t="s">
        <v>1330</v>
      </c>
      <c r="Q285" s="5">
        <v>2</v>
      </c>
      <c r="R285" s="5">
        <v>0</v>
      </c>
      <c r="S285" s="5">
        <v>0</v>
      </c>
      <c r="T285" s="5">
        <v>40000000</v>
      </c>
      <c r="U285" s="5">
        <v>800000</v>
      </c>
      <c r="V285" s="5">
        <v>0</v>
      </c>
      <c r="W285" s="5">
        <v>40800000</v>
      </c>
      <c r="X285" s="5">
        <v>60000000</v>
      </c>
      <c r="Y285" s="5">
        <v>10000000</v>
      </c>
      <c r="Z285" s="5">
        <f t="shared" si="36"/>
        <v>19200000</v>
      </c>
      <c r="AA285" s="5">
        <v>7200000</v>
      </c>
      <c r="AB285" s="5">
        <f t="shared" si="37"/>
        <v>20000000</v>
      </c>
      <c r="AC285" s="5" t="s">
        <v>102</v>
      </c>
      <c r="AD285" s="4" t="s">
        <v>51</v>
      </c>
      <c r="AE285" s="5">
        <f t="shared" si="38"/>
        <v>0.96</v>
      </c>
      <c r="AF285" s="5">
        <v>10000000</v>
      </c>
      <c r="AG285" s="5">
        <v>1</v>
      </c>
      <c r="AH285" s="5">
        <v>1</v>
      </c>
      <c r="AI285" s="5">
        <v>1</v>
      </c>
      <c r="AJ285" s="7" t="s">
        <v>1331</v>
      </c>
      <c r="AK285" s="5">
        <v>0</v>
      </c>
      <c r="AL285" s="5">
        <v>0</v>
      </c>
      <c r="AM285" s="4">
        <v>2007</v>
      </c>
      <c r="AN285" s="5">
        <v>0</v>
      </c>
      <c r="AO285" s="5">
        <v>2</v>
      </c>
      <c r="AP285" s="8"/>
      <c r="AQ285" s="8"/>
      <c r="AR285" s="8">
        <f t="shared" si="39"/>
        <v>0</v>
      </c>
      <c r="AS285" s="8">
        <f t="shared" si="40"/>
        <v>800000</v>
      </c>
      <c r="AT285" s="8">
        <f t="shared" si="41"/>
        <v>14800000</v>
      </c>
      <c r="AU285" s="8">
        <f t="shared" si="42"/>
        <v>5200000</v>
      </c>
      <c r="AV285" s="4" t="s">
        <v>1330</v>
      </c>
      <c r="AW285" s="7" t="s">
        <v>1331</v>
      </c>
      <c r="AX285" s="5">
        <v>40000000</v>
      </c>
      <c r="AY285">
        <f t="shared" si="43"/>
        <v>0</v>
      </c>
      <c r="AZ285">
        <f t="shared" si="44"/>
        <v>5200000</v>
      </c>
      <c r="BA285" s="5">
        <v>60000000</v>
      </c>
      <c r="BB285" s="5">
        <v>10000000</v>
      </c>
      <c r="BC285" s="4" t="s">
        <v>49</v>
      </c>
      <c r="BD285" s="4">
        <v>47112</v>
      </c>
      <c r="BE285" t="s">
        <v>54</v>
      </c>
    </row>
    <row r="286" spans="1:57" ht="270.75" thickBot="1" x14ac:dyDescent="0.3">
      <c r="A286" s="4" t="s">
        <v>1332</v>
      </c>
      <c r="B286" s="4">
        <v>1001</v>
      </c>
      <c r="C286" s="5">
        <v>2</v>
      </c>
      <c r="D286" s="4" t="s">
        <v>44</v>
      </c>
      <c r="E286" s="6">
        <v>46290.922867835645</v>
      </c>
      <c r="F286" s="4" t="s">
        <v>1333</v>
      </c>
      <c r="G286" s="4" t="s">
        <v>46</v>
      </c>
      <c r="H286" s="4">
        <v>53</v>
      </c>
      <c r="I286" s="4" t="s">
        <v>47</v>
      </c>
      <c r="J286" s="4">
        <v>5309</v>
      </c>
      <c r="K286" s="4" t="s">
        <v>48</v>
      </c>
      <c r="L286" s="4">
        <v>5309030</v>
      </c>
      <c r="M286" s="4">
        <v>5309030025</v>
      </c>
      <c r="N286" s="4" t="s">
        <v>49</v>
      </c>
      <c r="O286" s="4">
        <v>47112</v>
      </c>
      <c r="P286" s="4" t="s">
        <v>1334</v>
      </c>
      <c r="Q286" s="5">
        <v>3</v>
      </c>
      <c r="R286" s="5">
        <v>900000</v>
      </c>
      <c r="S286" s="5">
        <v>4500000</v>
      </c>
      <c r="T286" s="5">
        <v>196000000</v>
      </c>
      <c r="U286" s="5">
        <v>4800000</v>
      </c>
      <c r="V286" s="5">
        <v>5000000</v>
      </c>
      <c r="W286" s="5">
        <v>211200000</v>
      </c>
      <c r="X286" s="5">
        <v>252000000</v>
      </c>
      <c r="Y286" s="5">
        <v>0</v>
      </c>
      <c r="Z286" s="5">
        <f t="shared" si="36"/>
        <v>46700000</v>
      </c>
      <c r="AA286" s="5">
        <v>118000000</v>
      </c>
      <c r="AB286" s="5">
        <f t="shared" si="37"/>
        <v>56000000</v>
      </c>
      <c r="AC286" s="5" t="s">
        <v>94</v>
      </c>
      <c r="AD286" s="4" t="s">
        <v>51</v>
      </c>
      <c r="AE286" s="5">
        <f t="shared" si="38"/>
        <v>0.83392857142857146</v>
      </c>
      <c r="AF286" s="5" t="s">
        <v>1335</v>
      </c>
      <c r="AG286" s="5">
        <v>1</v>
      </c>
      <c r="AH286" s="5">
        <v>1</v>
      </c>
      <c r="AI286" s="5">
        <v>1</v>
      </c>
      <c r="AJ286" s="7" t="s">
        <v>1336</v>
      </c>
      <c r="AK286" s="5">
        <v>0</v>
      </c>
      <c r="AL286" s="5">
        <v>0</v>
      </c>
      <c r="AM286" s="4">
        <v>2012</v>
      </c>
      <c r="AN286" s="5">
        <v>2</v>
      </c>
      <c r="AO286" s="5">
        <v>1</v>
      </c>
      <c r="AP286" s="8"/>
      <c r="AQ286" s="8"/>
      <c r="AR286" s="8">
        <f t="shared" si="39"/>
        <v>0</v>
      </c>
      <c r="AS286" s="8">
        <f t="shared" si="40"/>
        <v>9300000</v>
      </c>
      <c r="AT286" s="8">
        <f t="shared" si="41"/>
        <v>41440000</v>
      </c>
      <c r="AU286" s="8">
        <f t="shared" si="42"/>
        <v>14560000</v>
      </c>
      <c r="AV286" s="4" t="s">
        <v>1334</v>
      </c>
      <c r="AW286" s="7" t="s">
        <v>1336</v>
      </c>
      <c r="AX286" s="5">
        <v>196000000</v>
      </c>
      <c r="AY286">
        <f t="shared" si="43"/>
        <v>7045161.2903225804</v>
      </c>
      <c r="AZ286">
        <f t="shared" si="44"/>
        <v>7514838.7096774196</v>
      </c>
      <c r="BA286" s="5">
        <v>252000000</v>
      </c>
      <c r="BB286" s="5">
        <v>0</v>
      </c>
      <c r="BC286" s="4" t="s">
        <v>49</v>
      </c>
      <c r="BD286" s="4">
        <v>47112</v>
      </c>
      <c r="BE286" t="s">
        <v>54</v>
      </c>
    </row>
    <row r="287" spans="1:57" ht="270.75" thickBot="1" x14ac:dyDescent="0.3">
      <c r="A287" s="4" t="s">
        <v>1337</v>
      </c>
      <c r="B287" s="4">
        <v>2001</v>
      </c>
      <c r="C287" s="5">
        <v>2</v>
      </c>
      <c r="D287" s="4" t="s">
        <v>44</v>
      </c>
      <c r="E287" s="6">
        <v>46290.922848182869</v>
      </c>
      <c r="F287" s="4" t="s">
        <v>1338</v>
      </c>
      <c r="G287" s="4" t="s">
        <v>46</v>
      </c>
      <c r="H287" s="4">
        <v>53</v>
      </c>
      <c r="I287" s="4" t="s">
        <v>47</v>
      </c>
      <c r="J287" s="4">
        <v>5309</v>
      </c>
      <c r="K287" s="4" t="s">
        <v>48</v>
      </c>
      <c r="L287" s="4">
        <v>5309030</v>
      </c>
      <c r="M287" s="4">
        <v>5309030022</v>
      </c>
      <c r="N287" s="4" t="s">
        <v>49</v>
      </c>
      <c r="O287" s="4">
        <v>47112</v>
      </c>
      <c r="P287" s="4" t="s">
        <v>1339</v>
      </c>
      <c r="Q287" s="5">
        <v>1</v>
      </c>
      <c r="R287" s="5">
        <v>0</v>
      </c>
      <c r="S287" s="5">
        <v>600000</v>
      </c>
      <c r="T287" s="5">
        <v>28800000</v>
      </c>
      <c r="U287" s="5">
        <v>600000</v>
      </c>
      <c r="V287" s="5">
        <v>0</v>
      </c>
      <c r="W287" s="5">
        <v>30000000</v>
      </c>
      <c r="X287" s="5">
        <v>42000000</v>
      </c>
      <c r="Y287" s="5">
        <v>0</v>
      </c>
      <c r="Z287" s="5">
        <f t="shared" si="36"/>
        <v>12000000</v>
      </c>
      <c r="AA287" s="5">
        <v>0</v>
      </c>
      <c r="AB287" s="5">
        <f t="shared" si="37"/>
        <v>13200000</v>
      </c>
      <c r="AC287" s="5" t="s">
        <v>1340</v>
      </c>
      <c r="AD287" s="4" t="s">
        <v>51</v>
      </c>
      <c r="AE287" s="5">
        <f t="shared" si="38"/>
        <v>0.90909090909090906</v>
      </c>
      <c r="AF287" s="5">
        <v>13200000</v>
      </c>
      <c r="AG287" s="4"/>
      <c r="AH287" s="5">
        <v>1</v>
      </c>
      <c r="AI287" s="5">
        <v>1</v>
      </c>
      <c r="AJ287" s="7" t="s">
        <v>1341</v>
      </c>
      <c r="AK287" s="5">
        <v>0</v>
      </c>
      <c r="AL287" s="5">
        <v>0</v>
      </c>
      <c r="AM287" s="4">
        <v>2026</v>
      </c>
      <c r="AN287" s="5">
        <v>0</v>
      </c>
      <c r="AO287" s="5">
        <v>1</v>
      </c>
      <c r="AP287" s="8"/>
      <c r="AQ287" s="8"/>
      <c r="AR287" s="8">
        <f t="shared" si="39"/>
        <v>0</v>
      </c>
      <c r="AS287" s="8">
        <f t="shared" si="40"/>
        <v>1200000</v>
      </c>
      <c r="AT287" s="8">
        <f t="shared" si="41"/>
        <v>9768000</v>
      </c>
      <c r="AU287" s="8">
        <f t="shared" si="42"/>
        <v>3432000</v>
      </c>
      <c r="AV287" s="4" t="s">
        <v>1339</v>
      </c>
      <c r="AW287" s="7" t="s">
        <v>1341</v>
      </c>
      <c r="AX287" s="5">
        <v>28800000</v>
      </c>
      <c r="AY287">
        <f t="shared" si="43"/>
        <v>1716000</v>
      </c>
      <c r="AZ287">
        <f t="shared" si="44"/>
        <v>1716000</v>
      </c>
      <c r="BA287" s="5">
        <v>42000000</v>
      </c>
      <c r="BB287" s="5">
        <v>0</v>
      </c>
      <c r="BC287" s="4" t="s">
        <v>49</v>
      </c>
      <c r="BD287" s="4">
        <v>47112</v>
      </c>
      <c r="BE287" t="s">
        <v>54</v>
      </c>
    </row>
    <row r="288" spans="1:57" ht="270.75" thickBot="1" x14ac:dyDescent="0.3">
      <c r="A288" s="4" t="s">
        <v>1342</v>
      </c>
      <c r="B288" s="4">
        <v>1002</v>
      </c>
      <c r="C288" s="5">
        <v>2</v>
      </c>
      <c r="D288" s="4" t="s">
        <v>56</v>
      </c>
      <c r="E288" s="6">
        <v>46315.313713796299</v>
      </c>
      <c r="F288" s="4" t="s">
        <v>1343</v>
      </c>
      <c r="G288" s="4" t="s">
        <v>46</v>
      </c>
      <c r="H288" s="4">
        <v>53</v>
      </c>
      <c r="I288" s="4" t="s">
        <v>47</v>
      </c>
      <c r="J288" s="4">
        <v>5309</v>
      </c>
      <c r="K288" s="4" t="s">
        <v>48</v>
      </c>
      <c r="L288" s="4">
        <v>5309074</v>
      </c>
      <c r="M288" s="4">
        <v>5309074002</v>
      </c>
      <c r="N288" s="4" t="s">
        <v>49</v>
      </c>
      <c r="O288" s="4">
        <v>47112</v>
      </c>
      <c r="P288" s="4" t="s">
        <v>1344</v>
      </c>
      <c r="Q288" s="5">
        <v>3</v>
      </c>
      <c r="R288" s="5">
        <v>0</v>
      </c>
      <c r="S288" s="5">
        <v>1000000</v>
      </c>
      <c r="T288" s="5">
        <v>100000000</v>
      </c>
      <c r="U288" s="5">
        <v>1000000</v>
      </c>
      <c r="V288" s="5">
        <v>0</v>
      </c>
      <c r="W288" s="5">
        <v>102000000</v>
      </c>
      <c r="X288" s="5">
        <v>200000000</v>
      </c>
      <c r="Y288" s="5">
        <v>0</v>
      </c>
      <c r="Z288" s="5">
        <f t="shared" si="36"/>
        <v>98000000</v>
      </c>
      <c r="AA288" s="5">
        <v>80000000</v>
      </c>
      <c r="AB288" s="5">
        <f t="shared" si="37"/>
        <v>100000000</v>
      </c>
      <c r="AC288" s="5" t="s">
        <v>93</v>
      </c>
      <c r="AD288" s="4" t="s">
        <v>51</v>
      </c>
      <c r="AE288" s="5">
        <f t="shared" si="38"/>
        <v>0.98</v>
      </c>
      <c r="AF288" s="5" t="s">
        <v>1345</v>
      </c>
      <c r="AG288" s="5">
        <v>1</v>
      </c>
      <c r="AH288" s="5">
        <v>1</v>
      </c>
      <c r="AI288" s="5">
        <v>1</v>
      </c>
      <c r="AJ288" s="7" t="s">
        <v>1346</v>
      </c>
      <c r="AK288" s="5">
        <v>0</v>
      </c>
      <c r="AL288" s="5">
        <v>0</v>
      </c>
      <c r="AM288" s="4">
        <v>2010</v>
      </c>
      <c r="AN288" s="5">
        <v>0</v>
      </c>
      <c r="AO288" s="5">
        <v>3</v>
      </c>
      <c r="AP288" s="8"/>
      <c r="AQ288" s="8"/>
      <c r="AR288" s="8">
        <f t="shared" si="39"/>
        <v>0</v>
      </c>
      <c r="AS288" s="8">
        <f t="shared" si="40"/>
        <v>2000000</v>
      </c>
      <c r="AT288" s="8">
        <f t="shared" si="41"/>
        <v>74000000</v>
      </c>
      <c r="AU288" s="8">
        <f t="shared" si="42"/>
        <v>26000000</v>
      </c>
      <c r="AV288" s="4" t="s">
        <v>1344</v>
      </c>
      <c r="AW288" s="7" t="s">
        <v>1346</v>
      </c>
      <c r="AX288" s="5">
        <v>100000000</v>
      </c>
      <c r="AY288">
        <f t="shared" si="43"/>
        <v>13000000</v>
      </c>
      <c r="AZ288">
        <f t="shared" si="44"/>
        <v>13000000</v>
      </c>
      <c r="BA288" s="5">
        <v>200000000</v>
      </c>
      <c r="BB288" s="5">
        <v>0</v>
      </c>
      <c r="BC288" s="4" t="s">
        <v>49</v>
      </c>
      <c r="BD288" s="4">
        <v>47112</v>
      </c>
      <c r="BE288" t="s">
        <v>54</v>
      </c>
    </row>
    <row r="289" spans="1:57" ht="270.75" thickBot="1" x14ac:dyDescent="0.3">
      <c r="A289" s="4" t="s">
        <v>1347</v>
      </c>
      <c r="B289" s="4">
        <v>1002</v>
      </c>
      <c r="C289" s="5">
        <v>2</v>
      </c>
      <c r="D289" s="4" t="s">
        <v>44</v>
      </c>
      <c r="E289" s="6">
        <v>46263.174188437501</v>
      </c>
      <c r="F289" s="4" t="s">
        <v>1348</v>
      </c>
      <c r="G289" s="4" t="s">
        <v>46</v>
      </c>
      <c r="H289" s="4">
        <v>53</v>
      </c>
      <c r="I289" s="4" t="s">
        <v>47</v>
      </c>
      <c r="J289" s="4">
        <v>5309</v>
      </c>
      <c r="K289" s="4" t="s">
        <v>48</v>
      </c>
      <c r="L289" s="4">
        <v>5309070</v>
      </c>
      <c r="M289" s="4">
        <v>5309070011</v>
      </c>
      <c r="N289" s="4" t="s">
        <v>49</v>
      </c>
      <c r="O289" s="4">
        <v>47112</v>
      </c>
      <c r="P289" s="4" t="s">
        <v>1349</v>
      </c>
      <c r="Q289" s="5">
        <v>4</v>
      </c>
      <c r="R289" s="5">
        <v>0</v>
      </c>
      <c r="S289" s="5">
        <v>20000</v>
      </c>
      <c r="T289" s="5">
        <v>12000000</v>
      </c>
      <c r="U289" s="5">
        <v>500000</v>
      </c>
      <c r="V289" s="5">
        <v>0</v>
      </c>
      <c r="W289" s="5">
        <v>12520000</v>
      </c>
      <c r="X289" s="5">
        <v>13200000</v>
      </c>
      <c r="Y289" s="5">
        <v>0</v>
      </c>
      <c r="Z289" s="5">
        <f t="shared" si="36"/>
        <v>680000</v>
      </c>
      <c r="AA289" s="5">
        <v>4500000</v>
      </c>
      <c r="AB289" s="5">
        <f t="shared" si="37"/>
        <v>1200000</v>
      </c>
      <c r="AC289" s="5" t="s">
        <v>91</v>
      </c>
      <c r="AD289" s="4" t="s">
        <v>51</v>
      </c>
      <c r="AE289" s="5">
        <f t="shared" si="38"/>
        <v>0.56666666666666665</v>
      </c>
      <c r="AF289" s="5">
        <v>300000</v>
      </c>
      <c r="AG289" s="5">
        <v>0</v>
      </c>
      <c r="AH289" s="5">
        <v>1</v>
      </c>
      <c r="AI289" s="5">
        <v>1</v>
      </c>
      <c r="AJ289" s="7" t="s">
        <v>1350</v>
      </c>
      <c r="AK289" s="5">
        <v>0</v>
      </c>
      <c r="AL289" s="5">
        <v>0</v>
      </c>
      <c r="AM289" s="4">
        <v>2021</v>
      </c>
      <c r="AN289" s="5">
        <v>0</v>
      </c>
      <c r="AO289" s="5">
        <v>4</v>
      </c>
      <c r="AP289" s="8"/>
      <c r="AQ289" s="8"/>
      <c r="AR289" s="8">
        <f t="shared" si="39"/>
        <v>0</v>
      </c>
      <c r="AS289" s="8">
        <f t="shared" si="40"/>
        <v>520000</v>
      </c>
      <c r="AT289" s="8">
        <f t="shared" si="41"/>
        <v>680000</v>
      </c>
      <c r="AU289" s="8">
        <f t="shared" si="42"/>
        <v>520000</v>
      </c>
      <c r="AV289" s="4" t="s">
        <v>1349</v>
      </c>
      <c r="AW289" s="7" t="s">
        <v>1350</v>
      </c>
      <c r="AX289" s="5">
        <v>12000000</v>
      </c>
      <c r="AY289">
        <f t="shared" si="43"/>
        <v>20000</v>
      </c>
      <c r="AZ289">
        <f t="shared" si="44"/>
        <v>500000</v>
      </c>
      <c r="BA289" s="5">
        <v>13200000</v>
      </c>
      <c r="BB289" s="5">
        <v>0</v>
      </c>
      <c r="BC289" s="4" t="s">
        <v>49</v>
      </c>
      <c r="BD289" s="4">
        <v>47112</v>
      </c>
      <c r="BE289" t="s">
        <v>54</v>
      </c>
    </row>
    <row r="290" spans="1:57" ht="270.75" thickBot="1" x14ac:dyDescent="0.3">
      <c r="A290" s="4" t="s">
        <v>1351</v>
      </c>
      <c r="B290" s="4">
        <v>1002</v>
      </c>
      <c r="C290" s="5">
        <v>2</v>
      </c>
      <c r="D290" s="4" t="s">
        <v>44</v>
      </c>
      <c r="E290" s="6">
        <v>46213.899131574071</v>
      </c>
      <c r="F290" s="4" t="s">
        <v>1352</v>
      </c>
      <c r="G290" s="4" t="s">
        <v>46</v>
      </c>
      <c r="H290" s="4">
        <v>53</v>
      </c>
      <c r="I290" s="4" t="s">
        <v>47</v>
      </c>
      <c r="J290" s="4">
        <v>5309</v>
      </c>
      <c r="K290" s="4" t="s">
        <v>48</v>
      </c>
      <c r="L290" s="4">
        <v>5309020</v>
      </c>
      <c r="M290" s="4">
        <v>5309020008</v>
      </c>
      <c r="N290" s="4" t="s">
        <v>49</v>
      </c>
      <c r="O290" s="4">
        <v>47112</v>
      </c>
      <c r="P290" s="4" t="s">
        <v>1353</v>
      </c>
      <c r="Q290" s="5">
        <v>1</v>
      </c>
      <c r="R290" s="5">
        <v>0</v>
      </c>
      <c r="S290" s="5">
        <v>5500000</v>
      </c>
      <c r="T290" s="5">
        <v>0</v>
      </c>
      <c r="U290" s="5">
        <v>250000</v>
      </c>
      <c r="V290" s="5">
        <v>15000</v>
      </c>
      <c r="W290" s="5">
        <v>5765000</v>
      </c>
      <c r="X290" s="5">
        <v>13450000</v>
      </c>
      <c r="Y290" s="5">
        <v>0</v>
      </c>
      <c r="Z290" s="5">
        <f t="shared" si="36"/>
        <v>7700000</v>
      </c>
      <c r="AA290" s="5">
        <v>23000000</v>
      </c>
      <c r="AB290" s="5">
        <f t="shared" si="37"/>
        <v>13450000</v>
      </c>
      <c r="AC290" s="5">
        <v>0</v>
      </c>
      <c r="AD290" s="4" t="s">
        <v>51</v>
      </c>
      <c r="AE290" s="5">
        <f t="shared" si="38"/>
        <v>0.57249070631970256</v>
      </c>
      <c r="AF290" s="5">
        <v>13450000</v>
      </c>
      <c r="AG290" s="5">
        <v>1</v>
      </c>
      <c r="AH290" s="5">
        <v>1</v>
      </c>
      <c r="AI290" s="5">
        <v>1</v>
      </c>
      <c r="AJ290" s="7" t="s">
        <v>1354</v>
      </c>
      <c r="AK290" s="5">
        <v>0</v>
      </c>
      <c r="AL290" s="5">
        <v>0</v>
      </c>
      <c r="AM290" s="4">
        <v>2015</v>
      </c>
      <c r="AN290" s="5">
        <v>0</v>
      </c>
      <c r="AO290" s="5">
        <v>1</v>
      </c>
      <c r="AP290" s="8"/>
      <c r="AQ290" s="8"/>
      <c r="AR290" s="8">
        <f t="shared" si="39"/>
        <v>0</v>
      </c>
      <c r="AS290" s="8">
        <f t="shared" si="40"/>
        <v>5750000</v>
      </c>
      <c r="AT290" s="8">
        <f t="shared" si="41"/>
        <v>7700000</v>
      </c>
      <c r="AU290" s="8">
        <f t="shared" si="42"/>
        <v>5750000</v>
      </c>
      <c r="AV290" s="4" t="s">
        <v>1353</v>
      </c>
      <c r="AW290" s="7" t="s">
        <v>1354</v>
      </c>
      <c r="AX290" s="5">
        <v>0</v>
      </c>
      <c r="AY290">
        <f t="shared" si="43"/>
        <v>5500000</v>
      </c>
      <c r="AZ290">
        <f t="shared" si="44"/>
        <v>250000</v>
      </c>
      <c r="BA290" s="5">
        <v>13450000</v>
      </c>
      <c r="BB290" s="5">
        <v>0</v>
      </c>
      <c r="BC290" s="4" t="s">
        <v>49</v>
      </c>
      <c r="BD290" s="4">
        <v>47112</v>
      </c>
      <c r="BE290" t="s">
        <v>54</v>
      </c>
    </row>
    <row r="291" spans="1:57" ht="270.75" thickBot="1" x14ac:dyDescent="0.3">
      <c r="A291" s="4" t="s">
        <v>1355</v>
      </c>
      <c r="B291" s="4">
        <v>3002</v>
      </c>
      <c r="C291" s="5">
        <v>2</v>
      </c>
      <c r="D291" s="4" t="s">
        <v>44</v>
      </c>
      <c r="E291" s="6">
        <v>46217.552710127318</v>
      </c>
      <c r="F291" s="4" t="s">
        <v>1356</v>
      </c>
      <c r="G291" s="4" t="s">
        <v>46</v>
      </c>
      <c r="H291" s="4">
        <v>53</v>
      </c>
      <c r="I291" s="4" t="s">
        <v>47</v>
      </c>
      <c r="J291" s="4">
        <v>5309</v>
      </c>
      <c r="K291" s="4" t="s">
        <v>48</v>
      </c>
      <c r="L291" s="4">
        <v>5309040</v>
      </c>
      <c r="M291" s="4">
        <v>5309040010</v>
      </c>
      <c r="N291" s="4" t="s">
        <v>49</v>
      </c>
      <c r="O291" s="4">
        <v>47112</v>
      </c>
      <c r="P291" s="4" t="s">
        <v>1357</v>
      </c>
      <c r="Q291" s="5">
        <v>1</v>
      </c>
      <c r="R291" s="5">
        <v>0</v>
      </c>
      <c r="S291" s="5">
        <v>0</v>
      </c>
      <c r="T291" s="5">
        <v>18000000</v>
      </c>
      <c r="U291" s="5">
        <v>680000</v>
      </c>
      <c r="V291" s="5">
        <v>0</v>
      </c>
      <c r="W291" s="5">
        <v>18680000</v>
      </c>
      <c r="X291" s="5">
        <v>21400000</v>
      </c>
      <c r="Y291" s="5">
        <v>0</v>
      </c>
      <c r="Z291" s="5">
        <f t="shared" si="36"/>
        <v>2720000</v>
      </c>
      <c r="AA291" s="5">
        <v>46000000</v>
      </c>
      <c r="AB291" s="5">
        <f t="shared" si="37"/>
        <v>3400000</v>
      </c>
      <c r="AC291" s="5" t="s">
        <v>1358</v>
      </c>
      <c r="AD291" s="4" t="s">
        <v>51</v>
      </c>
      <c r="AE291" s="5">
        <f t="shared" si="38"/>
        <v>0.8</v>
      </c>
      <c r="AF291" s="5">
        <v>3400000</v>
      </c>
      <c r="AG291" s="5">
        <v>1</v>
      </c>
      <c r="AH291" s="5">
        <v>1</v>
      </c>
      <c r="AI291" s="5">
        <v>1</v>
      </c>
      <c r="AJ291" s="7" t="s">
        <v>1359</v>
      </c>
      <c r="AK291" s="5">
        <v>0</v>
      </c>
      <c r="AL291" s="5">
        <v>0</v>
      </c>
      <c r="AM291" s="4">
        <v>2021</v>
      </c>
      <c r="AN291" s="5">
        <v>0</v>
      </c>
      <c r="AO291" s="5">
        <v>1</v>
      </c>
      <c r="AP291" s="8"/>
      <c r="AQ291" s="8"/>
      <c r="AR291" s="8">
        <f t="shared" si="39"/>
        <v>0</v>
      </c>
      <c r="AS291" s="8">
        <f t="shared" si="40"/>
        <v>680000</v>
      </c>
      <c r="AT291" s="8">
        <f t="shared" si="41"/>
        <v>2516000</v>
      </c>
      <c r="AU291" s="8">
        <f t="shared" si="42"/>
        <v>884000</v>
      </c>
      <c r="AV291" s="4" t="s">
        <v>1357</v>
      </c>
      <c r="AW291" s="7" t="s">
        <v>1359</v>
      </c>
      <c r="AX291" s="5">
        <v>18000000</v>
      </c>
      <c r="AY291">
        <f t="shared" si="43"/>
        <v>0</v>
      </c>
      <c r="AZ291">
        <f t="shared" si="44"/>
        <v>884000</v>
      </c>
      <c r="BA291" s="5">
        <v>21400000</v>
      </c>
      <c r="BB291" s="5">
        <v>0</v>
      </c>
      <c r="BC291" s="4" t="s">
        <v>49</v>
      </c>
      <c r="BD291" s="4">
        <v>47112</v>
      </c>
      <c r="BE291" t="s">
        <v>54</v>
      </c>
    </row>
    <row r="292" spans="1:57" ht="270.75" thickBot="1" x14ac:dyDescent="0.3">
      <c r="A292" s="4" t="s">
        <v>1360</v>
      </c>
      <c r="B292" s="4">
        <v>1001</v>
      </c>
      <c r="C292" s="5">
        <v>2</v>
      </c>
      <c r="D292" s="4" t="s">
        <v>44</v>
      </c>
      <c r="E292" s="6">
        <v>46271.984484629633</v>
      </c>
      <c r="F292" s="4" t="s">
        <v>1361</v>
      </c>
      <c r="G292" s="4" t="s">
        <v>46</v>
      </c>
      <c r="H292" s="4">
        <v>53</v>
      </c>
      <c r="I292" s="4" t="s">
        <v>47</v>
      </c>
      <c r="J292" s="4">
        <v>5309</v>
      </c>
      <c r="K292" s="4" t="s">
        <v>48</v>
      </c>
      <c r="L292" s="4">
        <v>5309070</v>
      </c>
      <c r="M292" s="4">
        <v>5309070056</v>
      </c>
      <c r="N292" s="4" t="s">
        <v>49</v>
      </c>
      <c r="O292" s="4">
        <v>47112</v>
      </c>
      <c r="P292" s="4" t="s">
        <v>1362</v>
      </c>
      <c r="Q292" s="5">
        <v>3</v>
      </c>
      <c r="R292" s="5">
        <v>0</v>
      </c>
      <c r="S292" s="5">
        <v>70000</v>
      </c>
      <c r="T292" s="5">
        <v>48000000</v>
      </c>
      <c r="U292" s="5">
        <v>120000</v>
      </c>
      <c r="V292" s="5">
        <v>0</v>
      </c>
      <c r="W292" s="5">
        <v>48190000</v>
      </c>
      <c r="X292" s="5">
        <v>52800000</v>
      </c>
      <c r="Y292" s="5">
        <v>0</v>
      </c>
      <c r="Z292" s="5">
        <f t="shared" si="36"/>
        <v>4610000</v>
      </c>
      <c r="AA292" s="5">
        <v>2100000</v>
      </c>
      <c r="AB292" s="5">
        <f t="shared" si="37"/>
        <v>4800000</v>
      </c>
      <c r="AC292" s="5" t="s">
        <v>91</v>
      </c>
      <c r="AD292" s="4" t="s">
        <v>51</v>
      </c>
      <c r="AE292" s="5">
        <f t="shared" si="38"/>
        <v>0.9604166666666667</v>
      </c>
      <c r="AF292" s="5">
        <v>1600000</v>
      </c>
      <c r="AG292" s="5">
        <v>1</v>
      </c>
      <c r="AH292" s="5">
        <v>1</v>
      </c>
      <c r="AI292" s="5">
        <v>1</v>
      </c>
      <c r="AJ292" s="7" t="s">
        <v>1363</v>
      </c>
      <c r="AK292" s="5">
        <v>0</v>
      </c>
      <c r="AL292" s="5">
        <v>0</v>
      </c>
      <c r="AM292" s="4">
        <v>2025</v>
      </c>
      <c r="AN292" s="5">
        <v>0</v>
      </c>
      <c r="AO292" s="5">
        <v>3</v>
      </c>
      <c r="AP292" s="8"/>
      <c r="AQ292" s="8"/>
      <c r="AR292" s="8">
        <f t="shared" si="39"/>
        <v>0</v>
      </c>
      <c r="AS292" s="8">
        <f t="shared" si="40"/>
        <v>190000</v>
      </c>
      <c r="AT292" s="8">
        <f t="shared" si="41"/>
        <v>3552000</v>
      </c>
      <c r="AU292" s="8">
        <f t="shared" si="42"/>
        <v>1248000</v>
      </c>
      <c r="AV292" s="4" t="s">
        <v>1362</v>
      </c>
      <c r="AW292" s="7" t="s">
        <v>1363</v>
      </c>
      <c r="AX292" s="5">
        <v>48000000</v>
      </c>
      <c r="AY292">
        <f t="shared" si="43"/>
        <v>459789.47368421056</v>
      </c>
      <c r="AZ292">
        <f t="shared" si="44"/>
        <v>788210.52631578944</v>
      </c>
      <c r="BA292" s="5">
        <v>52800000</v>
      </c>
      <c r="BB292" s="5">
        <v>0</v>
      </c>
      <c r="BC292" s="4" t="s">
        <v>49</v>
      </c>
      <c r="BD292" s="4">
        <v>47112</v>
      </c>
      <c r="BE292" t="s">
        <v>54</v>
      </c>
    </row>
    <row r="293" spans="1:57" ht="270.75" thickBot="1" x14ac:dyDescent="0.3">
      <c r="A293" s="4" t="s">
        <v>1364</v>
      </c>
      <c r="B293" s="4">
        <v>1</v>
      </c>
      <c r="C293" s="5">
        <v>2</v>
      </c>
      <c r="D293" s="4" t="s">
        <v>44</v>
      </c>
      <c r="E293" s="6">
        <v>46280.491112870368</v>
      </c>
      <c r="F293" s="4" t="s">
        <v>1365</v>
      </c>
      <c r="G293" s="4" t="s">
        <v>46</v>
      </c>
      <c r="H293" s="4">
        <v>53</v>
      </c>
      <c r="I293" s="4" t="s">
        <v>47</v>
      </c>
      <c r="J293" s="4">
        <v>5309</v>
      </c>
      <c r="K293" s="4" t="s">
        <v>48</v>
      </c>
      <c r="L293" s="4">
        <v>5309070</v>
      </c>
      <c r="M293" s="4">
        <v>5309070012</v>
      </c>
      <c r="N293" s="4" t="s">
        <v>49</v>
      </c>
      <c r="O293" s="4">
        <v>47112</v>
      </c>
      <c r="P293" s="4" t="s">
        <v>1366</v>
      </c>
      <c r="Q293" s="5">
        <v>1</v>
      </c>
      <c r="R293" s="5">
        <v>0</v>
      </c>
      <c r="S293" s="5">
        <v>0</v>
      </c>
      <c r="T293" s="5">
        <v>15000000</v>
      </c>
      <c r="U293" s="5">
        <v>150000</v>
      </c>
      <c r="V293" s="5">
        <v>0</v>
      </c>
      <c r="W293" s="5">
        <v>15150000</v>
      </c>
      <c r="X293" s="5">
        <v>40000000</v>
      </c>
      <c r="Y293" s="5">
        <v>0</v>
      </c>
      <c r="Z293" s="5">
        <f t="shared" si="36"/>
        <v>24850000</v>
      </c>
      <c r="AA293" s="5">
        <v>30000000</v>
      </c>
      <c r="AB293" s="5">
        <f t="shared" si="37"/>
        <v>25000000</v>
      </c>
      <c r="AC293" s="5" t="s">
        <v>736</v>
      </c>
      <c r="AD293" s="4" t="s">
        <v>51</v>
      </c>
      <c r="AE293" s="5">
        <f t="shared" si="38"/>
        <v>0.99399999999999999</v>
      </c>
      <c r="AF293" s="5">
        <v>25000000</v>
      </c>
      <c r="AG293" s="5">
        <v>1</v>
      </c>
      <c r="AH293" s="5">
        <v>1</v>
      </c>
      <c r="AI293" s="5">
        <v>1</v>
      </c>
      <c r="AJ293" s="7" t="s">
        <v>1367</v>
      </c>
      <c r="AK293" s="5">
        <v>0</v>
      </c>
      <c r="AL293" s="5">
        <v>0</v>
      </c>
      <c r="AM293" s="4">
        <v>2025</v>
      </c>
      <c r="AN293" s="5">
        <v>0</v>
      </c>
      <c r="AO293" s="5">
        <v>1</v>
      </c>
      <c r="AP293" s="8"/>
      <c r="AQ293" s="8"/>
      <c r="AR293" s="8">
        <f t="shared" si="39"/>
        <v>0</v>
      </c>
      <c r="AS293" s="8">
        <f t="shared" si="40"/>
        <v>150000</v>
      </c>
      <c r="AT293" s="8">
        <f t="shared" si="41"/>
        <v>18500000</v>
      </c>
      <c r="AU293" s="8">
        <f t="shared" si="42"/>
        <v>6500000</v>
      </c>
      <c r="AV293" s="4" t="s">
        <v>1366</v>
      </c>
      <c r="AW293" s="7" t="s">
        <v>1367</v>
      </c>
      <c r="AX293" s="5">
        <v>15000000</v>
      </c>
      <c r="AY293">
        <f t="shared" si="43"/>
        <v>0</v>
      </c>
      <c r="AZ293">
        <f t="shared" si="44"/>
        <v>6500000</v>
      </c>
      <c r="BA293" s="5">
        <v>40000000</v>
      </c>
      <c r="BB293" s="5">
        <v>0</v>
      </c>
      <c r="BC293" s="4" t="s">
        <v>49</v>
      </c>
      <c r="BD293" s="4">
        <v>47112</v>
      </c>
      <c r="BE293" t="s">
        <v>54</v>
      </c>
    </row>
    <row r="294" spans="1:57" ht="270.75" thickBot="1" x14ac:dyDescent="0.3">
      <c r="A294" s="4" t="s">
        <v>1368</v>
      </c>
      <c r="B294" s="4">
        <v>2001</v>
      </c>
      <c r="C294" s="5">
        <v>2</v>
      </c>
      <c r="D294" s="4" t="s">
        <v>44</v>
      </c>
      <c r="E294" s="6">
        <v>46275.440757442128</v>
      </c>
      <c r="F294" s="4" t="s">
        <v>1369</v>
      </c>
      <c r="G294" s="4" t="s">
        <v>46</v>
      </c>
      <c r="H294" s="4">
        <v>53</v>
      </c>
      <c r="I294" s="4" t="s">
        <v>47</v>
      </c>
      <c r="J294" s="4">
        <v>5309</v>
      </c>
      <c r="K294" s="4" t="s">
        <v>48</v>
      </c>
      <c r="L294" s="4">
        <v>5309071</v>
      </c>
      <c r="M294" s="4">
        <v>5309071005</v>
      </c>
      <c r="N294" s="4" t="s">
        <v>49</v>
      </c>
      <c r="O294" s="4">
        <v>47112</v>
      </c>
      <c r="P294" s="4" t="s">
        <v>1370</v>
      </c>
      <c r="Q294" s="5">
        <v>1</v>
      </c>
      <c r="R294" s="5">
        <v>0</v>
      </c>
      <c r="S294" s="5">
        <v>15000000</v>
      </c>
      <c r="T294" s="5">
        <v>20000000</v>
      </c>
      <c r="U294" s="5">
        <v>4000000</v>
      </c>
      <c r="V294" s="5">
        <v>0</v>
      </c>
      <c r="W294" s="5">
        <v>39000000</v>
      </c>
      <c r="X294" s="5">
        <v>60000000</v>
      </c>
      <c r="Y294" s="5">
        <v>0</v>
      </c>
      <c r="Z294" s="5">
        <f t="shared" si="36"/>
        <v>21000000</v>
      </c>
      <c r="AA294" s="5">
        <v>35000000</v>
      </c>
      <c r="AB294" s="5">
        <f t="shared" si="37"/>
        <v>40000000</v>
      </c>
      <c r="AC294" s="5" t="s">
        <v>172</v>
      </c>
      <c r="AD294" s="4" t="s">
        <v>51</v>
      </c>
      <c r="AE294" s="5">
        <f t="shared" si="38"/>
        <v>0.52500000000000002</v>
      </c>
      <c r="AF294" s="5">
        <v>40000000</v>
      </c>
      <c r="AG294" s="5">
        <v>1</v>
      </c>
      <c r="AH294" s="5">
        <v>1</v>
      </c>
      <c r="AI294" s="5">
        <v>1</v>
      </c>
      <c r="AJ294" s="7" t="s">
        <v>1371</v>
      </c>
      <c r="AK294" s="5">
        <v>0</v>
      </c>
      <c r="AL294" s="5">
        <v>0</v>
      </c>
      <c r="AM294" s="4">
        <v>2020</v>
      </c>
      <c r="AN294" s="5">
        <v>0</v>
      </c>
      <c r="AO294" s="5">
        <v>1</v>
      </c>
      <c r="AP294" s="8"/>
      <c r="AQ294" s="8"/>
      <c r="AR294" s="8">
        <f t="shared" si="39"/>
        <v>0</v>
      </c>
      <c r="AS294" s="8">
        <f t="shared" si="40"/>
        <v>19000000</v>
      </c>
      <c r="AT294" s="8">
        <f t="shared" si="41"/>
        <v>21000000</v>
      </c>
      <c r="AU294" s="8">
        <f t="shared" si="42"/>
        <v>19000000</v>
      </c>
      <c r="AV294" s="4" t="s">
        <v>1370</v>
      </c>
      <c r="AW294" s="7" t="s">
        <v>1371</v>
      </c>
      <c r="AX294" s="5">
        <v>20000000</v>
      </c>
      <c r="AY294">
        <f t="shared" si="43"/>
        <v>15000000</v>
      </c>
      <c r="AZ294">
        <f t="shared" si="44"/>
        <v>4000000</v>
      </c>
      <c r="BA294" s="5">
        <v>60000000</v>
      </c>
      <c r="BB294" s="5">
        <v>0</v>
      </c>
      <c r="BC294" s="4" t="s">
        <v>49</v>
      </c>
      <c r="BD294" s="4">
        <v>47112</v>
      </c>
      <c r="BE294" t="s">
        <v>54</v>
      </c>
    </row>
    <row r="295" spans="1:57" ht="270.75" thickBot="1" x14ac:dyDescent="0.3">
      <c r="A295" s="4" t="s">
        <v>1372</v>
      </c>
      <c r="B295" s="4">
        <v>1002</v>
      </c>
      <c r="C295" s="5">
        <v>2</v>
      </c>
      <c r="D295" s="4" t="s">
        <v>44</v>
      </c>
      <c r="E295" s="6">
        <v>46264.951755138885</v>
      </c>
      <c r="F295" s="4" t="s">
        <v>1373</v>
      </c>
      <c r="G295" s="4" t="s">
        <v>46</v>
      </c>
      <c r="H295" s="4">
        <v>53</v>
      </c>
      <c r="I295" s="4" t="s">
        <v>47</v>
      </c>
      <c r="J295" s="4">
        <v>5309</v>
      </c>
      <c r="K295" s="4" t="s">
        <v>48</v>
      </c>
      <c r="L295" s="4">
        <v>5309070</v>
      </c>
      <c r="M295" s="4">
        <v>5309070004</v>
      </c>
      <c r="N295" s="4" t="s">
        <v>49</v>
      </c>
      <c r="O295" s="4">
        <v>47112</v>
      </c>
      <c r="P295" s="4" t="s">
        <v>1374</v>
      </c>
      <c r="Q295" s="5">
        <v>2</v>
      </c>
      <c r="R295" s="5">
        <v>0</v>
      </c>
      <c r="S295" s="5">
        <v>13000000</v>
      </c>
      <c r="T295" s="5">
        <v>0</v>
      </c>
      <c r="U295" s="5">
        <v>100000</v>
      </c>
      <c r="V295" s="5">
        <v>0</v>
      </c>
      <c r="W295" s="5">
        <v>13100000</v>
      </c>
      <c r="X295" s="5">
        <v>17000000</v>
      </c>
      <c r="Y295" s="5">
        <v>0</v>
      </c>
      <c r="Z295" s="5">
        <f t="shared" si="36"/>
        <v>3900000</v>
      </c>
      <c r="AA295" s="5">
        <v>12000000</v>
      </c>
      <c r="AB295" s="5">
        <f t="shared" si="37"/>
        <v>17000000</v>
      </c>
      <c r="AC295" s="5">
        <v>0</v>
      </c>
      <c r="AD295" s="4" t="s">
        <v>51</v>
      </c>
      <c r="AE295" s="5">
        <f t="shared" si="38"/>
        <v>0.22941176470588234</v>
      </c>
      <c r="AF295" s="5">
        <v>8500000</v>
      </c>
      <c r="AG295" s="5">
        <v>1</v>
      </c>
      <c r="AH295" s="5">
        <v>1</v>
      </c>
      <c r="AI295" s="5">
        <v>1</v>
      </c>
      <c r="AJ295" s="7" t="s">
        <v>1375</v>
      </c>
      <c r="AK295" s="5">
        <v>0</v>
      </c>
      <c r="AL295" s="5">
        <v>0</v>
      </c>
      <c r="AM295" s="4">
        <v>2023</v>
      </c>
      <c r="AN295" s="5">
        <v>0</v>
      </c>
      <c r="AO295" s="5">
        <v>2</v>
      </c>
      <c r="AP295" s="8"/>
      <c r="AQ295" s="8"/>
      <c r="AR295" s="8">
        <f t="shared" si="39"/>
        <v>0</v>
      </c>
      <c r="AS295" s="8">
        <f t="shared" si="40"/>
        <v>13100000</v>
      </c>
      <c r="AT295" s="8">
        <f t="shared" si="41"/>
        <v>3900000</v>
      </c>
      <c r="AU295" s="8">
        <f t="shared" si="42"/>
        <v>13100000</v>
      </c>
      <c r="AV295" s="4" t="s">
        <v>1374</v>
      </c>
      <c r="AW295" s="7" t="s">
        <v>1375</v>
      </c>
      <c r="AX295" s="5">
        <v>0</v>
      </c>
      <c r="AY295">
        <f t="shared" si="43"/>
        <v>13000000</v>
      </c>
      <c r="AZ295">
        <f t="shared" si="44"/>
        <v>100000</v>
      </c>
      <c r="BA295" s="5">
        <v>17000000</v>
      </c>
      <c r="BB295" s="5">
        <v>0</v>
      </c>
      <c r="BC295" s="4" t="s">
        <v>49</v>
      </c>
      <c r="BD295" s="4">
        <v>47112</v>
      </c>
      <c r="BE295" t="s">
        <v>54</v>
      </c>
    </row>
    <row r="296" spans="1:57" ht="270.75" thickBot="1" x14ac:dyDescent="0.3">
      <c r="A296" s="11" t="s">
        <v>1376</v>
      </c>
      <c r="B296" s="4">
        <v>1001</v>
      </c>
      <c r="C296" s="5">
        <v>2</v>
      </c>
      <c r="D296" s="4" t="s">
        <v>44</v>
      </c>
      <c r="E296" s="6">
        <v>46216.124984965281</v>
      </c>
      <c r="F296" s="11" t="s">
        <v>1377</v>
      </c>
      <c r="G296" s="4" t="s">
        <v>46</v>
      </c>
      <c r="H296" s="4">
        <v>53</v>
      </c>
      <c r="I296" s="4" t="s">
        <v>47</v>
      </c>
      <c r="J296" s="4">
        <v>5309</v>
      </c>
      <c r="K296" s="4" t="s">
        <v>48</v>
      </c>
      <c r="L296" s="4">
        <v>5309030</v>
      </c>
      <c r="M296" s="4">
        <v>5309030020</v>
      </c>
      <c r="N296" s="4" t="s">
        <v>49</v>
      </c>
      <c r="O296" s="4">
        <v>47112</v>
      </c>
      <c r="P296" s="4" t="s">
        <v>1378</v>
      </c>
      <c r="Q296" s="5">
        <v>2</v>
      </c>
      <c r="R296" s="5">
        <v>0</v>
      </c>
      <c r="S296" s="5">
        <v>15000000</v>
      </c>
      <c r="T296" s="5">
        <v>3000000</v>
      </c>
      <c r="U296" s="5">
        <v>1000000</v>
      </c>
      <c r="V296" s="5">
        <v>0</v>
      </c>
      <c r="W296" s="5">
        <v>19000000</v>
      </c>
      <c r="X296" s="5">
        <v>25000000</v>
      </c>
      <c r="Y296" s="5">
        <v>3000000</v>
      </c>
      <c r="Z296" s="5">
        <f t="shared" si="36"/>
        <v>6000000</v>
      </c>
      <c r="AA296" s="5">
        <v>30000000</v>
      </c>
      <c r="AB296" s="5">
        <f t="shared" si="37"/>
        <v>22000000</v>
      </c>
      <c r="AC296" s="5" t="s">
        <v>1379</v>
      </c>
      <c r="AD296" s="4" t="s">
        <v>51</v>
      </c>
      <c r="AE296" s="5">
        <f t="shared" si="38"/>
        <v>0.27272727272727271</v>
      </c>
      <c r="AF296" s="5">
        <v>11000000</v>
      </c>
      <c r="AG296" s="5">
        <v>1</v>
      </c>
      <c r="AH296" s="5">
        <v>1</v>
      </c>
      <c r="AI296" s="5">
        <v>1</v>
      </c>
      <c r="AJ296" s="7" t="s">
        <v>1380</v>
      </c>
      <c r="AK296" s="5">
        <v>0</v>
      </c>
      <c r="AL296" s="5">
        <v>0</v>
      </c>
      <c r="AM296" s="4">
        <v>2022</v>
      </c>
      <c r="AN296" s="5">
        <v>0</v>
      </c>
      <c r="AO296" s="5">
        <v>2</v>
      </c>
      <c r="AP296" s="8"/>
      <c r="AQ296" s="8"/>
      <c r="AR296" s="8">
        <f t="shared" si="39"/>
        <v>0</v>
      </c>
      <c r="AS296" s="8">
        <f t="shared" si="40"/>
        <v>16000000</v>
      </c>
      <c r="AT296" s="8">
        <f t="shared" si="41"/>
        <v>6000000</v>
      </c>
      <c r="AU296" s="8">
        <f t="shared" si="42"/>
        <v>16000000</v>
      </c>
      <c r="AV296" s="4" t="s">
        <v>1378</v>
      </c>
      <c r="AW296" s="7" t="s">
        <v>1380</v>
      </c>
      <c r="AX296" s="5">
        <v>3000000</v>
      </c>
      <c r="AY296">
        <f t="shared" si="43"/>
        <v>15000000</v>
      </c>
      <c r="AZ296">
        <f t="shared" si="44"/>
        <v>1000000</v>
      </c>
      <c r="BA296" s="5">
        <v>25000000</v>
      </c>
      <c r="BB296" s="5">
        <v>3000000</v>
      </c>
      <c r="BC296" s="4" t="s">
        <v>49</v>
      </c>
      <c r="BD296" s="4">
        <v>47112</v>
      </c>
      <c r="BE296" t="s">
        <v>54</v>
      </c>
    </row>
    <row r="297" spans="1:57" ht="270.75" thickBot="1" x14ac:dyDescent="0.3">
      <c r="A297" s="4" t="s">
        <v>1381</v>
      </c>
      <c r="B297" s="4">
        <v>1002</v>
      </c>
      <c r="C297" s="5">
        <v>2</v>
      </c>
      <c r="D297" s="4" t="s">
        <v>44</v>
      </c>
      <c r="E297" s="6">
        <v>46290.922803344911</v>
      </c>
      <c r="F297" s="4" t="s">
        <v>1382</v>
      </c>
      <c r="G297" s="4" t="s">
        <v>46</v>
      </c>
      <c r="H297" s="4">
        <v>53</v>
      </c>
      <c r="I297" s="4" t="s">
        <v>47</v>
      </c>
      <c r="J297" s="4">
        <v>5309</v>
      </c>
      <c r="K297" s="4" t="s">
        <v>48</v>
      </c>
      <c r="L297" s="4">
        <v>5309030</v>
      </c>
      <c r="M297" s="4">
        <v>5309030014</v>
      </c>
      <c r="N297" s="4" t="s">
        <v>49</v>
      </c>
      <c r="O297" s="4">
        <v>47112</v>
      </c>
      <c r="P297" s="4" t="s">
        <v>1383</v>
      </c>
      <c r="Q297" s="5">
        <v>3</v>
      </c>
      <c r="R297" s="5">
        <v>0</v>
      </c>
      <c r="S297" s="5">
        <v>0</v>
      </c>
      <c r="T297" s="5">
        <v>2000000</v>
      </c>
      <c r="U297" s="5">
        <v>50000</v>
      </c>
      <c r="V297" s="5">
        <v>0</v>
      </c>
      <c r="W297" s="5">
        <v>2050000</v>
      </c>
      <c r="X297" s="5">
        <v>3800000</v>
      </c>
      <c r="Y297" s="5">
        <v>0</v>
      </c>
      <c r="Z297" s="5">
        <f t="shared" si="36"/>
        <v>1750000</v>
      </c>
      <c r="AA297" s="5">
        <v>0</v>
      </c>
      <c r="AB297" s="5">
        <f t="shared" si="37"/>
        <v>1800000</v>
      </c>
      <c r="AC297" s="5" t="s">
        <v>1384</v>
      </c>
      <c r="AD297" s="4" t="s">
        <v>51</v>
      </c>
      <c r="AE297" s="5">
        <f t="shared" si="38"/>
        <v>0.97222222222222221</v>
      </c>
      <c r="AF297" s="5">
        <v>600000</v>
      </c>
      <c r="AG297" s="4"/>
      <c r="AH297" s="5">
        <v>1</v>
      </c>
      <c r="AI297" s="5">
        <v>1</v>
      </c>
      <c r="AJ297" s="7" t="s">
        <v>1385</v>
      </c>
      <c r="AK297" s="5">
        <v>0</v>
      </c>
      <c r="AL297" s="5">
        <v>0</v>
      </c>
      <c r="AM297" s="4">
        <v>2018</v>
      </c>
      <c r="AN297" s="5">
        <v>0</v>
      </c>
      <c r="AO297" s="5">
        <v>3</v>
      </c>
      <c r="AP297" s="8"/>
      <c r="AQ297" s="8"/>
      <c r="AR297" s="8">
        <f t="shared" si="39"/>
        <v>0</v>
      </c>
      <c r="AS297" s="8">
        <f t="shared" si="40"/>
        <v>50000</v>
      </c>
      <c r="AT297" s="8">
        <f t="shared" si="41"/>
        <v>1332000</v>
      </c>
      <c r="AU297" s="8">
        <f t="shared" si="42"/>
        <v>468000</v>
      </c>
      <c r="AV297" s="4" t="s">
        <v>1383</v>
      </c>
      <c r="AW297" s="7" t="s">
        <v>1385</v>
      </c>
      <c r="AX297" s="5">
        <v>2000000</v>
      </c>
      <c r="AY297">
        <f t="shared" si="43"/>
        <v>0</v>
      </c>
      <c r="AZ297">
        <f t="shared" si="44"/>
        <v>468000</v>
      </c>
      <c r="BA297" s="5">
        <v>3800000</v>
      </c>
      <c r="BB297" s="5">
        <v>0</v>
      </c>
      <c r="BC297" s="4" t="s">
        <v>49</v>
      </c>
      <c r="BD297" s="4">
        <v>47112</v>
      </c>
      <c r="BE297" t="s">
        <v>54</v>
      </c>
    </row>
    <row r="298" spans="1:57" ht="270.75" thickBot="1" x14ac:dyDescent="0.3">
      <c r="A298" s="4" t="s">
        <v>1386</v>
      </c>
      <c r="B298" s="4">
        <v>1</v>
      </c>
      <c r="C298" s="5">
        <v>2</v>
      </c>
      <c r="D298" s="4" t="s">
        <v>44</v>
      </c>
      <c r="E298" s="6">
        <v>46243.580862037037</v>
      </c>
      <c r="F298" s="4" t="s">
        <v>1387</v>
      </c>
      <c r="G298" s="4" t="s">
        <v>46</v>
      </c>
      <c r="H298" s="4">
        <v>53</v>
      </c>
      <c r="I298" s="4" t="s">
        <v>47</v>
      </c>
      <c r="J298" s="4">
        <v>5309</v>
      </c>
      <c r="K298" s="4" t="s">
        <v>48</v>
      </c>
      <c r="L298" s="4">
        <v>5309030</v>
      </c>
      <c r="M298" s="4">
        <v>5309030018</v>
      </c>
      <c r="N298" s="4" t="s">
        <v>49</v>
      </c>
      <c r="O298" s="4">
        <v>47112</v>
      </c>
      <c r="P298" s="4" t="s">
        <v>1388</v>
      </c>
      <c r="Q298" s="5">
        <v>2</v>
      </c>
      <c r="R298" s="5">
        <v>0</v>
      </c>
      <c r="S298" s="5">
        <v>3500000</v>
      </c>
      <c r="T298" s="5">
        <v>1500000</v>
      </c>
      <c r="U298" s="5">
        <v>0</v>
      </c>
      <c r="V298" s="5">
        <v>0</v>
      </c>
      <c r="W298" s="5">
        <v>5000000</v>
      </c>
      <c r="X298" s="5">
        <v>9865000</v>
      </c>
      <c r="Y298" s="5">
        <v>0</v>
      </c>
      <c r="Z298" s="5">
        <f t="shared" si="36"/>
        <v>4865000</v>
      </c>
      <c r="AA298" s="5">
        <v>101000000</v>
      </c>
      <c r="AB298" s="5">
        <f t="shared" si="37"/>
        <v>8365000</v>
      </c>
      <c r="AC298" s="5" t="s">
        <v>1389</v>
      </c>
      <c r="AD298" s="4" t="s">
        <v>51</v>
      </c>
      <c r="AE298" s="5">
        <f t="shared" si="38"/>
        <v>0.58158995815899583</v>
      </c>
      <c r="AF298" s="5">
        <v>4182500</v>
      </c>
      <c r="AG298" s="5">
        <v>1</v>
      </c>
      <c r="AH298" s="5">
        <v>1</v>
      </c>
      <c r="AI298" s="5">
        <v>1</v>
      </c>
      <c r="AJ298" s="7" t="s">
        <v>1390</v>
      </c>
      <c r="AK298" s="5">
        <v>0</v>
      </c>
      <c r="AL298" s="5">
        <v>0</v>
      </c>
      <c r="AM298" s="4">
        <v>2016</v>
      </c>
      <c r="AN298" s="5">
        <v>0</v>
      </c>
      <c r="AO298" s="5">
        <v>2</v>
      </c>
      <c r="AP298" s="8"/>
      <c r="AQ298" s="8"/>
      <c r="AR298" s="8">
        <f t="shared" si="39"/>
        <v>0</v>
      </c>
      <c r="AS298" s="8">
        <f t="shared" si="40"/>
        <v>3500000</v>
      </c>
      <c r="AT298" s="8">
        <f t="shared" si="41"/>
        <v>4865000</v>
      </c>
      <c r="AU298" s="8">
        <f t="shared" si="42"/>
        <v>3500000</v>
      </c>
      <c r="AV298" s="4" t="s">
        <v>1388</v>
      </c>
      <c r="AW298" s="7" t="s">
        <v>1390</v>
      </c>
      <c r="AX298" s="5">
        <v>1500000</v>
      </c>
      <c r="AY298">
        <f t="shared" si="43"/>
        <v>3500000</v>
      </c>
      <c r="AZ298">
        <f t="shared" si="44"/>
        <v>0</v>
      </c>
      <c r="BA298" s="5">
        <v>9865000</v>
      </c>
      <c r="BB298" s="5">
        <v>0</v>
      </c>
      <c r="BC298" s="4" t="s">
        <v>49</v>
      </c>
      <c r="BD298" s="4">
        <v>47112</v>
      </c>
      <c r="BE298" t="s">
        <v>54</v>
      </c>
    </row>
    <row r="299" spans="1:57" ht="270.75" thickBot="1" x14ac:dyDescent="0.3">
      <c r="A299" s="4" t="s">
        <v>1391</v>
      </c>
      <c r="B299" s="4">
        <v>1</v>
      </c>
      <c r="C299" s="5">
        <v>2</v>
      </c>
      <c r="D299" s="4" t="s">
        <v>44</v>
      </c>
      <c r="E299" s="6">
        <v>46254.079825185188</v>
      </c>
      <c r="F299" s="4" t="s">
        <v>1392</v>
      </c>
      <c r="G299" s="4" t="s">
        <v>46</v>
      </c>
      <c r="H299" s="4">
        <v>53</v>
      </c>
      <c r="I299" s="4" t="s">
        <v>47</v>
      </c>
      <c r="J299" s="4">
        <v>5309</v>
      </c>
      <c r="K299" s="4" t="s">
        <v>48</v>
      </c>
      <c r="L299" s="4">
        <v>5309060</v>
      </c>
      <c r="M299" s="4">
        <v>5309060020</v>
      </c>
      <c r="N299" s="4" t="s">
        <v>49</v>
      </c>
      <c r="O299" s="4">
        <v>47112</v>
      </c>
      <c r="P299" s="4" t="s">
        <v>1393</v>
      </c>
      <c r="Q299" s="5">
        <v>1</v>
      </c>
      <c r="R299" s="5">
        <v>0</v>
      </c>
      <c r="S299" s="5">
        <v>0</v>
      </c>
      <c r="T299" s="5">
        <v>65000000</v>
      </c>
      <c r="U299" s="5">
        <v>2500000</v>
      </c>
      <c r="V299" s="5">
        <v>96000</v>
      </c>
      <c r="W299" s="5">
        <v>67596000</v>
      </c>
      <c r="X299" s="5">
        <v>78000000</v>
      </c>
      <c r="Y299" s="5">
        <v>0</v>
      </c>
      <c r="Z299" s="5">
        <f t="shared" si="36"/>
        <v>10500000</v>
      </c>
      <c r="AA299" s="5">
        <v>1050000</v>
      </c>
      <c r="AB299" s="5">
        <f t="shared" si="37"/>
        <v>13000000</v>
      </c>
      <c r="AC299" s="5" t="s">
        <v>192</v>
      </c>
      <c r="AD299" s="4" t="s">
        <v>51</v>
      </c>
      <c r="AE299" s="5">
        <f t="shared" si="38"/>
        <v>0.80769230769230771</v>
      </c>
      <c r="AF299" s="5">
        <v>13000000</v>
      </c>
      <c r="AG299" s="5">
        <v>1</v>
      </c>
      <c r="AH299" s="5">
        <v>1</v>
      </c>
      <c r="AI299" s="5">
        <v>1</v>
      </c>
      <c r="AJ299" s="7" t="s">
        <v>1394</v>
      </c>
      <c r="AK299" s="5">
        <v>0</v>
      </c>
      <c r="AL299" s="5">
        <v>0</v>
      </c>
      <c r="AM299" s="4">
        <v>2017</v>
      </c>
      <c r="AN299" s="5">
        <v>0</v>
      </c>
      <c r="AO299" s="5">
        <v>1</v>
      </c>
      <c r="AP299" s="8"/>
      <c r="AQ299" s="8"/>
      <c r="AR299" s="8">
        <f t="shared" si="39"/>
        <v>0</v>
      </c>
      <c r="AS299" s="8">
        <f t="shared" si="40"/>
        <v>2500000</v>
      </c>
      <c r="AT299" s="8">
        <f t="shared" si="41"/>
        <v>9620000</v>
      </c>
      <c r="AU299" s="8">
        <f t="shared" si="42"/>
        <v>3380000</v>
      </c>
      <c r="AV299" s="4" t="s">
        <v>1393</v>
      </c>
      <c r="AW299" s="7" t="s">
        <v>1394</v>
      </c>
      <c r="AX299" s="5">
        <v>65000000</v>
      </c>
      <c r="AY299">
        <f t="shared" si="43"/>
        <v>0</v>
      </c>
      <c r="AZ299">
        <f t="shared" si="44"/>
        <v>3380000</v>
      </c>
      <c r="BA299" s="5">
        <v>78000000</v>
      </c>
      <c r="BB299" s="5">
        <v>0</v>
      </c>
      <c r="BC299" s="4" t="s">
        <v>49</v>
      </c>
      <c r="BD299" s="4">
        <v>47112</v>
      </c>
      <c r="BE299" t="s">
        <v>54</v>
      </c>
    </row>
    <row r="300" spans="1:57" ht="270.75" thickBot="1" x14ac:dyDescent="0.3">
      <c r="A300" s="4" t="s">
        <v>1395</v>
      </c>
      <c r="B300" s="4">
        <v>3001</v>
      </c>
      <c r="C300" s="5">
        <v>2</v>
      </c>
      <c r="D300" s="4" t="s">
        <v>44</v>
      </c>
      <c r="E300" s="6">
        <v>46275.966396631942</v>
      </c>
      <c r="F300" s="4" t="s">
        <v>1396</v>
      </c>
      <c r="G300" s="4" t="s">
        <v>46</v>
      </c>
      <c r="H300" s="4">
        <v>53</v>
      </c>
      <c r="I300" s="4" t="s">
        <v>47</v>
      </c>
      <c r="J300" s="4">
        <v>5309</v>
      </c>
      <c r="K300" s="4" t="s">
        <v>48</v>
      </c>
      <c r="L300" s="4">
        <v>5309050</v>
      </c>
      <c r="M300" s="4">
        <v>5309050014</v>
      </c>
      <c r="N300" s="4" t="s">
        <v>49</v>
      </c>
      <c r="O300" s="4">
        <v>47112</v>
      </c>
      <c r="P300" s="4" t="s">
        <v>1397</v>
      </c>
      <c r="Q300" s="5">
        <v>2</v>
      </c>
      <c r="R300" s="5">
        <v>0</v>
      </c>
      <c r="S300" s="5">
        <v>0</v>
      </c>
      <c r="T300" s="5">
        <v>24000000</v>
      </c>
      <c r="U300" s="5">
        <v>600000</v>
      </c>
      <c r="V300" s="5">
        <v>0</v>
      </c>
      <c r="W300" s="5">
        <v>24600000</v>
      </c>
      <c r="X300" s="5">
        <v>34200000</v>
      </c>
      <c r="Y300" s="5">
        <v>0</v>
      </c>
      <c r="Z300" s="5">
        <f t="shared" si="36"/>
        <v>9600000</v>
      </c>
      <c r="AA300" s="5">
        <v>6600000</v>
      </c>
      <c r="AB300" s="5">
        <f t="shared" si="37"/>
        <v>10200000</v>
      </c>
      <c r="AC300" s="5" t="s">
        <v>1398</v>
      </c>
      <c r="AD300" s="4" t="s">
        <v>51</v>
      </c>
      <c r="AE300" s="5">
        <f t="shared" si="38"/>
        <v>0.94117647058823528</v>
      </c>
      <c r="AF300" s="5">
        <v>5100000</v>
      </c>
      <c r="AG300" s="5">
        <v>1</v>
      </c>
      <c r="AH300" s="5">
        <v>1</v>
      </c>
      <c r="AI300" s="5">
        <v>1</v>
      </c>
      <c r="AJ300" s="7" t="s">
        <v>1399</v>
      </c>
      <c r="AK300" s="5">
        <v>0</v>
      </c>
      <c r="AL300" s="5">
        <v>0</v>
      </c>
      <c r="AM300" s="4">
        <v>2025</v>
      </c>
      <c r="AN300" s="5">
        <v>0</v>
      </c>
      <c r="AO300" s="5">
        <v>2</v>
      </c>
      <c r="AP300" s="8"/>
      <c r="AQ300" s="8"/>
      <c r="AR300" s="8">
        <f t="shared" si="39"/>
        <v>0</v>
      </c>
      <c r="AS300" s="8">
        <f t="shared" si="40"/>
        <v>600000</v>
      </c>
      <c r="AT300" s="8">
        <f t="shared" si="41"/>
        <v>7548000</v>
      </c>
      <c r="AU300" s="8">
        <f t="shared" si="42"/>
        <v>2652000</v>
      </c>
      <c r="AV300" s="4" t="s">
        <v>1397</v>
      </c>
      <c r="AW300" s="7" t="s">
        <v>1399</v>
      </c>
      <c r="AX300" s="5">
        <v>24000000</v>
      </c>
      <c r="AY300">
        <f t="shared" si="43"/>
        <v>0</v>
      </c>
      <c r="AZ300">
        <f t="shared" si="44"/>
        <v>2652000</v>
      </c>
      <c r="BA300" s="5">
        <v>34200000</v>
      </c>
      <c r="BB300" s="5">
        <v>0</v>
      </c>
      <c r="BC300" s="4" t="s">
        <v>49</v>
      </c>
      <c r="BD300" s="4">
        <v>47112</v>
      </c>
      <c r="BE300" t="s">
        <v>54</v>
      </c>
    </row>
    <row r="301" spans="1:57" ht="270.75" thickBot="1" x14ac:dyDescent="0.3">
      <c r="A301" s="4" t="s">
        <v>1400</v>
      </c>
      <c r="B301" s="4">
        <v>2001</v>
      </c>
      <c r="C301" s="5">
        <v>2</v>
      </c>
      <c r="D301" s="4" t="s">
        <v>44</v>
      </c>
      <c r="E301" s="6">
        <v>46255.212987627317</v>
      </c>
      <c r="F301" s="4" t="s">
        <v>1401</v>
      </c>
      <c r="G301" s="4" t="s">
        <v>46</v>
      </c>
      <c r="H301" s="4">
        <v>53</v>
      </c>
      <c r="I301" s="4" t="s">
        <v>47</v>
      </c>
      <c r="J301" s="4">
        <v>5309</v>
      </c>
      <c r="K301" s="4" t="s">
        <v>48</v>
      </c>
      <c r="L301" s="4">
        <v>5309071</v>
      </c>
      <c r="M301" s="4">
        <v>5309071015</v>
      </c>
      <c r="N301" s="4" t="s">
        <v>49</v>
      </c>
      <c r="O301" s="4">
        <v>47112</v>
      </c>
      <c r="P301" s="4" t="s">
        <v>1402</v>
      </c>
      <c r="Q301" s="5">
        <v>2</v>
      </c>
      <c r="R301" s="5">
        <v>0</v>
      </c>
      <c r="S301" s="5">
        <v>0</v>
      </c>
      <c r="T301" s="5">
        <v>30000000</v>
      </c>
      <c r="U301" s="5">
        <v>500000</v>
      </c>
      <c r="V301" s="5">
        <v>15120000</v>
      </c>
      <c r="W301" s="5">
        <v>45620000</v>
      </c>
      <c r="X301" s="5">
        <v>180000000</v>
      </c>
      <c r="Y301" s="5">
        <v>25000000</v>
      </c>
      <c r="Z301" s="5">
        <f t="shared" si="36"/>
        <v>149500000</v>
      </c>
      <c r="AA301" s="5">
        <v>200000000</v>
      </c>
      <c r="AB301" s="5">
        <f t="shared" si="37"/>
        <v>150000000</v>
      </c>
      <c r="AC301" s="5" t="s">
        <v>286</v>
      </c>
      <c r="AD301" s="4" t="s">
        <v>51</v>
      </c>
      <c r="AE301" s="5">
        <f t="shared" si="38"/>
        <v>0.9966666666666667</v>
      </c>
      <c r="AF301" s="5">
        <v>75000000</v>
      </c>
      <c r="AG301" s="5">
        <v>1</v>
      </c>
      <c r="AH301" s="5">
        <v>1</v>
      </c>
      <c r="AI301" s="5">
        <v>1</v>
      </c>
      <c r="AJ301" s="7" t="s">
        <v>1403</v>
      </c>
      <c r="AK301" s="5">
        <v>0</v>
      </c>
      <c r="AL301" s="5">
        <v>0</v>
      </c>
      <c r="AM301" s="4">
        <v>2017</v>
      </c>
      <c r="AN301" s="5">
        <v>0</v>
      </c>
      <c r="AO301" s="5">
        <v>2</v>
      </c>
      <c r="AP301" s="8"/>
      <c r="AQ301" s="8"/>
      <c r="AR301" s="8">
        <f t="shared" si="39"/>
        <v>0</v>
      </c>
      <c r="AS301" s="8">
        <f t="shared" si="40"/>
        <v>500000</v>
      </c>
      <c r="AT301" s="8">
        <f t="shared" si="41"/>
        <v>111000000</v>
      </c>
      <c r="AU301" s="8">
        <f t="shared" si="42"/>
        <v>39000000</v>
      </c>
      <c r="AV301" s="4" t="s">
        <v>1402</v>
      </c>
      <c r="AW301" s="7" t="s">
        <v>1403</v>
      </c>
      <c r="AX301" s="5">
        <v>30000000</v>
      </c>
      <c r="AY301">
        <f t="shared" si="43"/>
        <v>0</v>
      </c>
      <c r="AZ301">
        <f t="shared" si="44"/>
        <v>39000000</v>
      </c>
      <c r="BA301" s="5">
        <v>180000000</v>
      </c>
      <c r="BB301" s="5">
        <v>25000000</v>
      </c>
      <c r="BC301" s="4" t="s">
        <v>49</v>
      </c>
      <c r="BD301" s="4">
        <v>47112</v>
      </c>
      <c r="BE301" t="s">
        <v>54</v>
      </c>
    </row>
    <row r="302" spans="1:57" ht="270.75" thickBot="1" x14ac:dyDescent="0.3">
      <c r="A302" s="4" t="s">
        <v>1404</v>
      </c>
      <c r="B302" s="4">
        <v>1002</v>
      </c>
      <c r="C302" s="5">
        <v>2</v>
      </c>
      <c r="D302" s="4" t="s">
        <v>44</v>
      </c>
      <c r="E302" s="6">
        <v>46225.20279260417</v>
      </c>
      <c r="F302" s="4" t="s">
        <v>1405</v>
      </c>
      <c r="G302" s="4" t="s">
        <v>46</v>
      </c>
      <c r="H302" s="4">
        <v>53</v>
      </c>
      <c r="I302" s="4" t="s">
        <v>47</v>
      </c>
      <c r="J302" s="4">
        <v>5309</v>
      </c>
      <c r="K302" s="4" t="s">
        <v>48</v>
      </c>
      <c r="L302" s="4">
        <v>5309074</v>
      </c>
      <c r="M302" s="4">
        <v>5309074004</v>
      </c>
      <c r="N302" s="4" t="s">
        <v>49</v>
      </c>
      <c r="O302" s="4">
        <v>47112</v>
      </c>
      <c r="P302" s="4" t="s">
        <v>1406</v>
      </c>
      <c r="Q302" s="5">
        <v>2</v>
      </c>
      <c r="R302" s="5">
        <v>0</v>
      </c>
      <c r="S302" s="5">
        <v>2000000</v>
      </c>
      <c r="T302" s="5">
        <v>10000000</v>
      </c>
      <c r="U302" s="5">
        <v>1200000</v>
      </c>
      <c r="V302" s="5">
        <v>0</v>
      </c>
      <c r="W302" s="5">
        <v>13200000</v>
      </c>
      <c r="X302" s="5">
        <v>18000000</v>
      </c>
      <c r="Y302" s="5">
        <v>0</v>
      </c>
      <c r="Z302" s="5">
        <f t="shared" si="36"/>
        <v>4800000</v>
      </c>
      <c r="AA302" s="5">
        <v>5300000</v>
      </c>
      <c r="AB302" s="5">
        <f t="shared" si="37"/>
        <v>8000000</v>
      </c>
      <c r="AC302" s="5" t="s">
        <v>117</v>
      </c>
      <c r="AD302" s="4" t="s">
        <v>51</v>
      </c>
      <c r="AE302" s="5">
        <f t="shared" si="38"/>
        <v>0.6</v>
      </c>
      <c r="AF302" s="5">
        <v>4000000</v>
      </c>
      <c r="AG302" s="5">
        <v>1</v>
      </c>
      <c r="AH302" s="5">
        <v>1</v>
      </c>
      <c r="AI302" s="5">
        <v>1</v>
      </c>
      <c r="AJ302" s="7" t="s">
        <v>1407</v>
      </c>
      <c r="AK302" s="5">
        <v>0</v>
      </c>
      <c r="AL302" s="5">
        <v>0</v>
      </c>
      <c r="AM302" s="4">
        <v>2013</v>
      </c>
      <c r="AN302" s="5">
        <v>0</v>
      </c>
      <c r="AO302" s="5">
        <v>2</v>
      </c>
      <c r="AP302" s="8"/>
      <c r="AQ302" s="8"/>
      <c r="AR302" s="8">
        <f t="shared" si="39"/>
        <v>0</v>
      </c>
      <c r="AS302" s="8">
        <f t="shared" si="40"/>
        <v>3200000</v>
      </c>
      <c r="AT302" s="8">
        <f t="shared" si="41"/>
        <v>4800000</v>
      </c>
      <c r="AU302" s="8">
        <f t="shared" si="42"/>
        <v>3200000</v>
      </c>
      <c r="AV302" s="4" t="s">
        <v>1406</v>
      </c>
      <c r="AW302" s="7" t="s">
        <v>1407</v>
      </c>
      <c r="AX302" s="5">
        <v>10000000</v>
      </c>
      <c r="AY302">
        <f t="shared" si="43"/>
        <v>2000000</v>
      </c>
      <c r="AZ302">
        <f t="shared" si="44"/>
        <v>1200000</v>
      </c>
      <c r="BA302" s="5">
        <v>18000000</v>
      </c>
      <c r="BB302" s="5">
        <v>0</v>
      </c>
      <c r="BC302" s="4" t="s">
        <v>49</v>
      </c>
      <c r="BD302" s="4">
        <v>47112</v>
      </c>
      <c r="BE302" t="s">
        <v>54</v>
      </c>
    </row>
    <row r="303" spans="1:57" ht="270.75" thickBot="1" x14ac:dyDescent="0.3">
      <c r="A303" s="4" t="s">
        <v>1408</v>
      </c>
      <c r="B303" s="4">
        <v>1003</v>
      </c>
      <c r="C303" s="5">
        <v>2</v>
      </c>
      <c r="D303" s="4" t="s">
        <v>56</v>
      </c>
      <c r="E303" s="6">
        <v>46316.975398877315</v>
      </c>
      <c r="F303" s="4" t="s">
        <v>1409</v>
      </c>
      <c r="G303" s="4" t="s">
        <v>46</v>
      </c>
      <c r="H303" s="4">
        <v>53</v>
      </c>
      <c r="I303" s="4" t="s">
        <v>47</v>
      </c>
      <c r="J303" s="4">
        <v>5309</v>
      </c>
      <c r="K303" s="4" t="s">
        <v>48</v>
      </c>
      <c r="L303" s="4">
        <v>5309074</v>
      </c>
      <c r="M303" s="4">
        <v>5309074002</v>
      </c>
      <c r="N303" s="4" t="s">
        <v>49</v>
      </c>
      <c r="O303" s="4">
        <v>47112</v>
      </c>
      <c r="P303" s="4" t="s">
        <v>1410</v>
      </c>
      <c r="Q303" s="5">
        <v>1</v>
      </c>
      <c r="R303" s="5">
        <v>0</v>
      </c>
      <c r="S303" s="5">
        <v>500000</v>
      </c>
      <c r="T303" s="5">
        <v>120000000</v>
      </c>
      <c r="U303" s="5">
        <v>1000000</v>
      </c>
      <c r="V303" s="5">
        <v>0</v>
      </c>
      <c r="W303" s="5">
        <v>121500000</v>
      </c>
      <c r="X303" s="5">
        <v>144000000</v>
      </c>
      <c r="Y303" s="5">
        <v>0</v>
      </c>
      <c r="Z303" s="5">
        <f t="shared" si="36"/>
        <v>22500000</v>
      </c>
      <c r="AA303" s="5">
        <v>1000000</v>
      </c>
      <c r="AB303" s="5">
        <f t="shared" si="37"/>
        <v>24000000</v>
      </c>
      <c r="AC303" s="5" t="s">
        <v>192</v>
      </c>
      <c r="AD303" s="4" t="s">
        <v>51</v>
      </c>
      <c r="AE303" s="5">
        <f t="shared" si="38"/>
        <v>0.9375</v>
      </c>
      <c r="AF303" s="5">
        <v>24000000</v>
      </c>
      <c r="AG303" s="5">
        <v>1</v>
      </c>
      <c r="AH303" s="5">
        <v>1</v>
      </c>
      <c r="AI303" s="5">
        <v>1</v>
      </c>
      <c r="AJ303" s="7" t="s">
        <v>1411</v>
      </c>
      <c r="AK303" s="5">
        <v>0</v>
      </c>
      <c r="AL303" s="5">
        <v>0</v>
      </c>
      <c r="AM303" s="4">
        <v>2024</v>
      </c>
      <c r="AN303" s="5">
        <v>0</v>
      </c>
      <c r="AO303" s="5">
        <v>1</v>
      </c>
      <c r="AP303" s="8"/>
      <c r="AQ303" s="8"/>
      <c r="AR303" s="8">
        <f t="shared" si="39"/>
        <v>0</v>
      </c>
      <c r="AS303" s="8">
        <f t="shared" si="40"/>
        <v>1500000</v>
      </c>
      <c r="AT303" s="8">
        <f t="shared" si="41"/>
        <v>17760000</v>
      </c>
      <c r="AU303" s="8">
        <f t="shared" si="42"/>
        <v>6240000</v>
      </c>
      <c r="AV303" s="4" t="s">
        <v>1410</v>
      </c>
      <c r="AW303" s="7" t="s">
        <v>1411</v>
      </c>
      <c r="AX303" s="5">
        <v>120000000</v>
      </c>
      <c r="AY303">
        <f t="shared" si="43"/>
        <v>2080000</v>
      </c>
      <c r="AZ303">
        <f t="shared" si="44"/>
        <v>4160000</v>
      </c>
      <c r="BA303" s="5">
        <v>144000000</v>
      </c>
      <c r="BB303" s="5">
        <v>0</v>
      </c>
      <c r="BC303" s="4" t="s">
        <v>49</v>
      </c>
      <c r="BD303" s="4">
        <v>47112</v>
      </c>
      <c r="BE303" t="s">
        <v>54</v>
      </c>
    </row>
    <row r="304" spans="1:57" ht="270.75" thickBot="1" x14ac:dyDescent="0.3">
      <c r="A304" s="4" t="s">
        <v>1412</v>
      </c>
      <c r="B304" s="4">
        <v>3001</v>
      </c>
      <c r="C304" s="5">
        <v>2</v>
      </c>
      <c r="D304" s="4" t="s">
        <v>44</v>
      </c>
      <c r="E304" s="6">
        <v>46249.444987175928</v>
      </c>
      <c r="F304" s="4" t="s">
        <v>1413</v>
      </c>
      <c r="G304" s="4" t="s">
        <v>46</v>
      </c>
      <c r="H304" s="4">
        <v>53</v>
      </c>
      <c r="I304" s="4" t="s">
        <v>47</v>
      </c>
      <c r="J304" s="4">
        <v>5309</v>
      </c>
      <c r="K304" s="4" t="s">
        <v>48</v>
      </c>
      <c r="L304" s="4">
        <v>5309060</v>
      </c>
      <c r="M304" s="4">
        <v>5309060028</v>
      </c>
      <c r="N304" s="4" t="s">
        <v>49</v>
      </c>
      <c r="O304" s="4">
        <v>47112</v>
      </c>
      <c r="P304" s="4" t="s">
        <v>1414</v>
      </c>
      <c r="Q304" s="5">
        <v>2</v>
      </c>
      <c r="R304" s="5">
        <v>0</v>
      </c>
      <c r="S304" s="5">
        <v>0</v>
      </c>
      <c r="T304" s="5">
        <v>30000000</v>
      </c>
      <c r="U304" s="5">
        <v>2000000</v>
      </c>
      <c r="V304" s="5">
        <v>0</v>
      </c>
      <c r="W304" s="5">
        <v>32000000</v>
      </c>
      <c r="X304" s="5">
        <v>42300000</v>
      </c>
      <c r="Y304" s="5">
        <v>0</v>
      </c>
      <c r="Z304" s="5">
        <f t="shared" si="36"/>
        <v>10300000</v>
      </c>
      <c r="AA304" s="5">
        <v>3500000</v>
      </c>
      <c r="AB304" s="5">
        <f t="shared" si="37"/>
        <v>12300000</v>
      </c>
      <c r="AC304" s="5" t="s">
        <v>1415</v>
      </c>
      <c r="AD304" s="4" t="s">
        <v>51</v>
      </c>
      <c r="AE304" s="5">
        <f t="shared" si="38"/>
        <v>0.83739837398373984</v>
      </c>
      <c r="AF304" s="5">
        <v>6150000</v>
      </c>
      <c r="AG304" s="5">
        <v>1</v>
      </c>
      <c r="AH304" s="5">
        <v>1</v>
      </c>
      <c r="AI304" s="5">
        <v>1</v>
      </c>
      <c r="AJ304" s="7" t="s">
        <v>1416</v>
      </c>
      <c r="AK304" s="5">
        <v>0</v>
      </c>
      <c r="AL304" s="5">
        <v>0</v>
      </c>
      <c r="AM304" s="4">
        <v>2014</v>
      </c>
      <c r="AN304" s="5">
        <v>0</v>
      </c>
      <c r="AO304" s="5">
        <v>2</v>
      </c>
      <c r="AP304" s="8"/>
      <c r="AQ304" s="8"/>
      <c r="AR304" s="8">
        <f t="shared" si="39"/>
        <v>0</v>
      </c>
      <c r="AS304" s="8">
        <f t="shared" si="40"/>
        <v>2000000</v>
      </c>
      <c r="AT304" s="8">
        <f t="shared" si="41"/>
        <v>9102000</v>
      </c>
      <c r="AU304" s="8">
        <f t="shared" si="42"/>
        <v>3198000</v>
      </c>
      <c r="AV304" s="4" t="s">
        <v>1414</v>
      </c>
      <c r="AW304" s="7" t="s">
        <v>1416</v>
      </c>
      <c r="AX304" s="5">
        <v>30000000</v>
      </c>
      <c r="AY304">
        <f t="shared" si="43"/>
        <v>0</v>
      </c>
      <c r="AZ304">
        <f t="shared" si="44"/>
        <v>3198000</v>
      </c>
      <c r="BA304" s="5">
        <v>42300000</v>
      </c>
      <c r="BB304" s="5">
        <v>0</v>
      </c>
      <c r="BC304" s="4" t="s">
        <v>49</v>
      </c>
      <c r="BD304" s="4">
        <v>47112</v>
      </c>
      <c r="BE304" t="s">
        <v>54</v>
      </c>
    </row>
    <row r="305" spans="1:57" ht="270.75" thickBot="1" x14ac:dyDescent="0.3">
      <c r="A305" s="4" t="s">
        <v>1417</v>
      </c>
      <c r="B305" s="4">
        <v>3004</v>
      </c>
      <c r="C305" s="5">
        <v>2</v>
      </c>
      <c r="D305" s="4" t="s">
        <v>44</v>
      </c>
      <c r="E305" s="6">
        <v>46216.228380057873</v>
      </c>
      <c r="F305" s="4" t="s">
        <v>1418</v>
      </c>
      <c r="G305" s="4" t="s">
        <v>46</v>
      </c>
      <c r="H305" s="4">
        <v>53</v>
      </c>
      <c r="I305" s="4" t="s">
        <v>47</v>
      </c>
      <c r="J305" s="4">
        <v>5309</v>
      </c>
      <c r="K305" s="4" t="s">
        <v>48</v>
      </c>
      <c r="L305" s="4">
        <v>5309062</v>
      </c>
      <c r="M305" s="4">
        <v>5309062010</v>
      </c>
      <c r="N305" s="4" t="s">
        <v>49</v>
      </c>
      <c r="O305" s="4">
        <v>47112</v>
      </c>
      <c r="P305" s="4" t="s">
        <v>1419</v>
      </c>
      <c r="Q305" s="5">
        <v>2</v>
      </c>
      <c r="R305" s="5">
        <v>0</v>
      </c>
      <c r="S305" s="5">
        <v>500000</v>
      </c>
      <c r="T305" s="5">
        <v>5000000</v>
      </c>
      <c r="U305" s="5">
        <v>100000</v>
      </c>
      <c r="V305" s="5">
        <v>0</v>
      </c>
      <c r="W305" s="5">
        <v>5600000</v>
      </c>
      <c r="X305" s="5">
        <v>15000000</v>
      </c>
      <c r="Y305" s="5">
        <v>0</v>
      </c>
      <c r="Z305" s="5">
        <f t="shared" si="36"/>
        <v>9400000</v>
      </c>
      <c r="AA305" s="5">
        <v>1600000</v>
      </c>
      <c r="AB305" s="5">
        <f t="shared" si="37"/>
        <v>10000000</v>
      </c>
      <c r="AC305" s="5" t="s">
        <v>172</v>
      </c>
      <c r="AD305" s="4" t="s">
        <v>51</v>
      </c>
      <c r="AE305" s="5">
        <f t="shared" si="38"/>
        <v>0.94</v>
      </c>
      <c r="AF305" s="5">
        <v>5000000</v>
      </c>
      <c r="AG305" s="5">
        <v>1</v>
      </c>
      <c r="AH305" s="5">
        <v>1</v>
      </c>
      <c r="AI305" s="5">
        <v>1</v>
      </c>
      <c r="AJ305" s="7" t="s">
        <v>1420</v>
      </c>
      <c r="AK305" s="5">
        <v>0</v>
      </c>
      <c r="AL305" s="5">
        <v>0</v>
      </c>
      <c r="AM305" s="4">
        <v>2022</v>
      </c>
      <c r="AN305" s="5">
        <v>0</v>
      </c>
      <c r="AO305" s="5">
        <v>2</v>
      </c>
      <c r="AP305" s="8"/>
      <c r="AQ305" s="8"/>
      <c r="AR305" s="8">
        <f t="shared" si="39"/>
        <v>0</v>
      </c>
      <c r="AS305" s="8">
        <f t="shared" si="40"/>
        <v>600000</v>
      </c>
      <c r="AT305" s="8">
        <f t="shared" si="41"/>
        <v>7400000</v>
      </c>
      <c r="AU305" s="8">
        <f t="shared" si="42"/>
        <v>2600000</v>
      </c>
      <c r="AV305" s="4" t="s">
        <v>1419</v>
      </c>
      <c r="AW305" s="7" t="s">
        <v>1420</v>
      </c>
      <c r="AX305" s="5">
        <v>5000000</v>
      </c>
      <c r="AY305">
        <f t="shared" si="43"/>
        <v>2166666.6666666665</v>
      </c>
      <c r="AZ305">
        <f t="shared" si="44"/>
        <v>433333.33333333331</v>
      </c>
      <c r="BA305" s="5">
        <v>15000000</v>
      </c>
      <c r="BB305" s="5">
        <v>0</v>
      </c>
      <c r="BC305" s="4" t="s">
        <v>49</v>
      </c>
      <c r="BD305" s="4">
        <v>47112</v>
      </c>
      <c r="BE305" t="s">
        <v>54</v>
      </c>
    </row>
    <row r="306" spans="1:57" ht="270.75" thickBot="1" x14ac:dyDescent="0.3">
      <c r="A306" s="4" t="s">
        <v>1421</v>
      </c>
      <c r="B306" s="4">
        <v>3002</v>
      </c>
      <c r="C306" s="5">
        <v>2</v>
      </c>
      <c r="D306" s="4" t="s">
        <v>44</v>
      </c>
      <c r="E306" s="6">
        <v>46273.322291886572</v>
      </c>
      <c r="F306" s="4" t="s">
        <v>1422</v>
      </c>
      <c r="G306" s="4" t="s">
        <v>46</v>
      </c>
      <c r="H306" s="4">
        <v>53</v>
      </c>
      <c r="I306" s="4" t="s">
        <v>47</v>
      </c>
      <c r="J306" s="4">
        <v>5309</v>
      </c>
      <c r="K306" s="4" t="s">
        <v>48</v>
      </c>
      <c r="L306" s="4">
        <v>5309021</v>
      </c>
      <c r="M306" s="4">
        <v>5309021002</v>
      </c>
      <c r="N306" s="4" t="s">
        <v>49</v>
      </c>
      <c r="O306" s="4">
        <v>47112</v>
      </c>
      <c r="P306" s="4" t="s">
        <v>1423</v>
      </c>
      <c r="Q306" s="5">
        <v>2</v>
      </c>
      <c r="R306" s="5">
        <v>0</v>
      </c>
      <c r="S306" s="5">
        <v>0</v>
      </c>
      <c r="T306" s="5">
        <v>1000000</v>
      </c>
      <c r="U306" s="5">
        <v>100000</v>
      </c>
      <c r="V306" s="5">
        <v>0</v>
      </c>
      <c r="W306" s="5">
        <v>1100000</v>
      </c>
      <c r="X306" s="5">
        <v>2000000</v>
      </c>
      <c r="Y306" s="5">
        <v>0</v>
      </c>
      <c r="Z306" s="5">
        <f t="shared" si="36"/>
        <v>900000</v>
      </c>
      <c r="AA306" s="5">
        <v>32000000</v>
      </c>
      <c r="AB306" s="5">
        <f t="shared" si="37"/>
        <v>1000000</v>
      </c>
      <c r="AC306" s="5" t="s">
        <v>93</v>
      </c>
      <c r="AD306" s="4" t="s">
        <v>51</v>
      </c>
      <c r="AE306" s="5">
        <f t="shared" si="38"/>
        <v>0.9</v>
      </c>
      <c r="AF306" s="5">
        <v>500000</v>
      </c>
      <c r="AG306" s="5">
        <v>1</v>
      </c>
      <c r="AH306" s="5">
        <v>1</v>
      </c>
      <c r="AI306" s="5">
        <v>1</v>
      </c>
      <c r="AJ306" s="7" t="s">
        <v>1424</v>
      </c>
      <c r="AK306" s="5">
        <v>0</v>
      </c>
      <c r="AL306" s="5">
        <v>0</v>
      </c>
      <c r="AM306" s="4">
        <v>2018</v>
      </c>
      <c r="AN306" s="5">
        <v>0</v>
      </c>
      <c r="AO306" s="5">
        <v>2</v>
      </c>
      <c r="AP306" s="8"/>
      <c r="AQ306" s="8"/>
      <c r="AR306" s="8">
        <f t="shared" si="39"/>
        <v>0</v>
      </c>
      <c r="AS306" s="8">
        <f t="shared" si="40"/>
        <v>100000</v>
      </c>
      <c r="AT306" s="8">
        <f t="shared" si="41"/>
        <v>740000</v>
      </c>
      <c r="AU306" s="8">
        <f t="shared" si="42"/>
        <v>260000</v>
      </c>
      <c r="AV306" s="4" t="s">
        <v>1423</v>
      </c>
      <c r="AW306" s="7" t="s">
        <v>1424</v>
      </c>
      <c r="AX306" s="5">
        <v>1000000</v>
      </c>
      <c r="AY306">
        <f t="shared" si="43"/>
        <v>0</v>
      </c>
      <c r="AZ306">
        <f t="shared" si="44"/>
        <v>260000</v>
      </c>
      <c r="BA306" s="5">
        <v>2000000</v>
      </c>
      <c r="BB306" s="5">
        <v>0</v>
      </c>
      <c r="BC306" s="4" t="s">
        <v>49</v>
      </c>
      <c r="BD306" s="4">
        <v>47112</v>
      </c>
      <c r="BE306" t="s">
        <v>54</v>
      </c>
    </row>
    <row r="307" spans="1:57" ht="270.75" thickBot="1" x14ac:dyDescent="0.3">
      <c r="A307" s="4" t="s">
        <v>1425</v>
      </c>
      <c r="B307" s="4">
        <v>1001</v>
      </c>
      <c r="C307" s="5">
        <v>2</v>
      </c>
      <c r="D307" s="4" t="s">
        <v>44</v>
      </c>
      <c r="E307" s="6">
        <v>46265.619038368059</v>
      </c>
      <c r="F307" s="4" t="s">
        <v>1426</v>
      </c>
      <c r="G307" s="4" t="s">
        <v>46</v>
      </c>
      <c r="H307" s="4">
        <v>53</v>
      </c>
      <c r="I307" s="4" t="s">
        <v>47</v>
      </c>
      <c r="J307" s="4">
        <v>5309</v>
      </c>
      <c r="K307" s="4" t="s">
        <v>48</v>
      </c>
      <c r="L307" s="4">
        <v>5309070</v>
      </c>
      <c r="M307" s="4">
        <v>5309070010</v>
      </c>
      <c r="N307" s="4" t="s">
        <v>49</v>
      </c>
      <c r="O307" s="4">
        <v>47112</v>
      </c>
      <c r="P307" s="4" t="s">
        <v>1427</v>
      </c>
      <c r="Q307" s="5">
        <v>2</v>
      </c>
      <c r="R307" s="5">
        <v>0</v>
      </c>
      <c r="S307" s="5">
        <v>450000</v>
      </c>
      <c r="T307" s="5">
        <v>48000000</v>
      </c>
      <c r="U307" s="5">
        <v>480000</v>
      </c>
      <c r="V307" s="5">
        <v>0</v>
      </c>
      <c r="W307" s="5">
        <v>48930000</v>
      </c>
      <c r="X307" s="5">
        <v>55200000</v>
      </c>
      <c r="Y307" s="5">
        <v>0</v>
      </c>
      <c r="Z307" s="5">
        <f t="shared" si="36"/>
        <v>6270000</v>
      </c>
      <c r="AA307" s="5">
        <v>2300000</v>
      </c>
      <c r="AB307" s="5">
        <f t="shared" si="37"/>
        <v>7200000</v>
      </c>
      <c r="AC307" s="5" t="s">
        <v>1428</v>
      </c>
      <c r="AD307" s="4" t="s">
        <v>51</v>
      </c>
      <c r="AE307" s="5">
        <f t="shared" si="38"/>
        <v>0.87083333333333335</v>
      </c>
      <c r="AF307" s="5">
        <v>3600000</v>
      </c>
      <c r="AG307" s="5">
        <v>1</v>
      </c>
      <c r="AH307" s="5">
        <v>1</v>
      </c>
      <c r="AI307" s="5">
        <v>1</v>
      </c>
      <c r="AJ307" s="7" t="s">
        <v>1429</v>
      </c>
      <c r="AK307" s="5">
        <v>0</v>
      </c>
      <c r="AL307" s="5">
        <v>0</v>
      </c>
      <c r="AM307" s="4">
        <v>2025</v>
      </c>
      <c r="AN307" s="5">
        <v>0</v>
      </c>
      <c r="AO307" s="5">
        <v>2</v>
      </c>
      <c r="AP307" s="8"/>
      <c r="AQ307" s="8"/>
      <c r="AR307" s="8">
        <f t="shared" si="39"/>
        <v>0</v>
      </c>
      <c r="AS307" s="8">
        <f t="shared" si="40"/>
        <v>930000</v>
      </c>
      <c r="AT307" s="8">
        <f t="shared" si="41"/>
        <v>5328000</v>
      </c>
      <c r="AU307" s="8">
        <f t="shared" si="42"/>
        <v>1872000</v>
      </c>
      <c r="AV307" s="4" t="s">
        <v>1427</v>
      </c>
      <c r="AW307" s="7" t="s">
        <v>1429</v>
      </c>
      <c r="AX307" s="5">
        <v>48000000</v>
      </c>
      <c r="AY307">
        <f t="shared" si="43"/>
        <v>905806.45161290327</v>
      </c>
      <c r="AZ307">
        <f t="shared" si="44"/>
        <v>966193.54838709673</v>
      </c>
      <c r="BA307" s="5">
        <v>55200000</v>
      </c>
      <c r="BB307" s="5">
        <v>0</v>
      </c>
      <c r="BC307" s="4" t="s">
        <v>49</v>
      </c>
      <c r="BD307" s="4">
        <v>47112</v>
      </c>
      <c r="BE307" t="s">
        <v>54</v>
      </c>
    </row>
    <row r="308" spans="1:57" ht="270.75" thickBot="1" x14ac:dyDescent="0.3">
      <c r="A308" s="4" t="s">
        <v>1430</v>
      </c>
      <c r="B308" s="4">
        <v>1001</v>
      </c>
      <c r="C308" s="5">
        <v>2</v>
      </c>
      <c r="D308" s="4" t="s">
        <v>44</v>
      </c>
      <c r="E308" s="6">
        <v>46206.859818726851</v>
      </c>
      <c r="F308" s="4" t="s">
        <v>1431</v>
      </c>
      <c r="G308" s="4" t="s">
        <v>46</v>
      </c>
      <c r="H308" s="4">
        <v>53</v>
      </c>
      <c r="I308" s="4" t="s">
        <v>47</v>
      </c>
      <c r="J308" s="4">
        <v>5309</v>
      </c>
      <c r="K308" s="4" t="s">
        <v>48</v>
      </c>
      <c r="L308" s="4">
        <v>5309020</v>
      </c>
      <c r="M308" s="4">
        <v>5309020016</v>
      </c>
      <c r="N308" s="4" t="s">
        <v>49</v>
      </c>
      <c r="O308" s="4">
        <v>47112</v>
      </c>
      <c r="P308" s="4" t="s">
        <v>1432</v>
      </c>
      <c r="Q308" s="5">
        <v>1</v>
      </c>
      <c r="R308" s="5">
        <v>0</v>
      </c>
      <c r="S308" s="5">
        <v>2000000</v>
      </c>
      <c r="T308" s="5">
        <v>7000000</v>
      </c>
      <c r="U308" s="5">
        <v>700000</v>
      </c>
      <c r="V308" s="5">
        <v>0</v>
      </c>
      <c r="W308" s="5">
        <v>9700000</v>
      </c>
      <c r="X308" s="5">
        <v>10000000</v>
      </c>
      <c r="Y308" s="5">
        <v>10000000</v>
      </c>
      <c r="Z308" s="5">
        <f t="shared" si="36"/>
        <v>300000</v>
      </c>
      <c r="AA308" s="5">
        <v>2000000</v>
      </c>
      <c r="AB308" s="5">
        <f t="shared" si="37"/>
        <v>3000000</v>
      </c>
      <c r="AC308" s="5" t="s">
        <v>926</v>
      </c>
      <c r="AD308" s="4" t="s">
        <v>51</v>
      </c>
      <c r="AE308" s="5">
        <f t="shared" si="38"/>
        <v>0.1</v>
      </c>
      <c r="AF308" s="5">
        <v>1500000</v>
      </c>
      <c r="AG308" s="5">
        <v>1</v>
      </c>
      <c r="AH308" s="5">
        <v>1</v>
      </c>
      <c r="AI308" s="5">
        <v>1</v>
      </c>
      <c r="AJ308" s="7" t="s">
        <v>1433</v>
      </c>
      <c r="AK308" s="5">
        <v>0</v>
      </c>
      <c r="AL308" s="5">
        <v>0</v>
      </c>
      <c r="AM308" s="4">
        <v>2021</v>
      </c>
      <c r="AN308" s="5">
        <v>0</v>
      </c>
      <c r="AO308" s="5">
        <v>1</v>
      </c>
      <c r="AP308" s="8"/>
      <c r="AQ308" s="8"/>
      <c r="AR308" s="8">
        <f t="shared" si="39"/>
        <v>0</v>
      </c>
      <c r="AS308" s="8">
        <f t="shared" si="40"/>
        <v>2700000</v>
      </c>
      <c r="AT308" s="8">
        <f t="shared" si="41"/>
        <v>300000</v>
      </c>
      <c r="AU308" s="8">
        <f t="shared" si="42"/>
        <v>2700000</v>
      </c>
      <c r="AV308" s="4" t="s">
        <v>1432</v>
      </c>
      <c r="AW308" s="7" t="s">
        <v>1433</v>
      </c>
      <c r="AX308" s="5">
        <v>7000000</v>
      </c>
      <c r="AY308">
        <f t="shared" si="43"/>
        <v>2000000</v>
      </c>
      <c r="AZ308">
        <f t="shared" si="44"/>
        <v>700000</v>
      </c>
      <c r="BA308" s="5">
        <v>10000000</v>
      </c>
      <c r="BB308" s="5">
        <v>10000000</v>
      </c>
      <c r="BC308" s="4" t="s">
        <v>49</v>
      </c>
      <c r="BD308" s="4">
        <v>47112</v>
      </c>
      <c r="BE308" t="s">
        <v>54</v>
      </c>
    </row>
    <row r="309" spans="1:57" ht="270.75" thickBot="1" x14ac:dyDescent="0.3">
      <c r="A309" s="4" t="s">
        <v>1434</v>
      </c>
      <c r="B309" s="4">
        <v>1001</v>
      </c>
      <c r="C309" s="5">
        <v>2</v>
      </c>
      <c r="D309" s="4" t="s">
        <v>60</v>
      </c>
      <c r="E309" s="6">
        <v>46307.523243854164</v>
      </c>
      <c r="F309" s="4" t="s">
        <v>1435</v>
      </c>
      <c r="G309" s="4" t="s">
        <v>46</v>
      </c>
      <c r="H309" s="4">
        <v>53</v>
      </c>
      <c r="I309" s="4" t="s">
        <v>47</v>
      </c>
      <c r="J309" s="4">
        <v>5309</v>
      </c>
      <c r="K309" s="4" t="s">
        <v>48</v>
      </c>
      <c r="L309" s="4">
        <v>5309030</v>
      </c>
      <c r="M309" s="4">
        <v>5309030023</v>
      </c>
      <c r="N309" s="4" t="s">
        <v>49</v>
      </c>
      <c r="O309" s="4">
        <v>47112</v>
      </c>
      <c r="P309" s="4" t="s">
        <v>1436</v>
      </c>
      <c r="Q309" s="5">
        <v>2</v>
      </c>
      <c r="R309" s="5">
        <v>7200000</v>
      </c>
      <c r="S309" s="5">
        <v>0</v>
      </c>
      <c r="T309" s="5">
        <v>300000000</v>
      </c>
      <c r="U309" s="5">
        <v>26900000</v>
      </c>
      <c r="V309" s="5">
        <v>0</v>
      </c>
      <c r="W309" s="5">
        <v>334100000</v>
      </c>
      <c r="X309" s="5">
        <v>625000000</v>
      </c>
      <c r="Y309" s="5">
        <v>0</v>
      </c>
      <c r="Z309" s="5">
        <f t="shared" si="36"/>
        <v>298100000</v>
      </c>
      <c r="AA309" s="5">
        <v>380000000</v>
      </c>
      <c r="AB309" s="5">
        <f t="shared" si="37"/>
        <v>325000000</v>
      </c>
      <c r="AC309" s="5" t="s">
        <v>395</v>
      </c>
      <c r="AD309" s="4" t="s">
        <v>51</v>
      </c>
      <c r="AE309" s="5">
        <f t="shared" si="38"/>
        <v>0.91723076923076918</v>
      </c>
      <c r="AF309" s="5">
        <v>162500000</v>
      </c>
      <c r="AG309" s="5">
        <v>1</v>
      </c>
      <c r="AH309" s="5">
        <v>1</v>
      </c>
      <c r="AI309" s="5">
        <v>1</v>
      </c>
      <c r="AJ309" s="7" t="s">
        <v>1437</v>
      </c>
      <c r="AK309" s="5">
        <v>0</v>
      </c>
      <c r="AL309" s="5">
        <v>0</v>
      </c>
      <c r="AM309" s="4">
        <v>2024</v>
      </c>
      <c r="AN309" s="5">
        <v>1</v>
      </c>
      <c r="AO309" s="5">
        <v>1</v>
      </c>
      <c r="AP309" s="8"/>
      <c r="AQ309" s="8"/>
      <c r="AR309" s="8">
        <f t="shared" si="39"/>
        <v>0</v>
      </c>
      <c r="AS309" s="8">
        <f t="shared" si="40"/>
        <v>26900000</v>
      </c>
      <c r="AT309" s="8">
        <f t="shared" si="41"/>
        <v>240500000</v>
      </c>
      <c r="AU309" s="8">
        <f t="shared" si="42"/>
        <v>84500000</v>
      </c>
      <c r="AV309" s="4" t="s">
        <v>1436</v>
      </c>
      <c r="AW309" s="7" t="s">
        <v>1437</v>
      </c>
      <c r="AX309" s="5">
        <v>300000000</v>
      </c>
      <c r="AY309">
        <f t="shared" si="43"/>
        <v>0</v>
      </c>
      <c r="AZ309">
        <f t="shared" si="44"/>
        <v>84500000</v>
      </c>
      <c r="BA309" s="5">
        <v>625000000</v>
      </c>
      <c r="BB309" s="5">
        <v>0</v>
      </c>
      <c r="BC309" s="4" t="s">
        <v>49</v>
      </c>
      <c r="BD309" s="4">
        <v>47112</v>
      </c>
      <c r="BE309" t="s">
        <v>54</v>
      </c>
    </row>
    <row r="310" spans="1:57" ht="255.75" thickBot="1" x14ac:dyDescent="0.3">
      <c r="A310" s="4" t="s">
        <v>1438</v>
      </c>
      <c r="B310" s="4">
        <v>1001</v>
      </c>
      <c r="C310" s="5">
        <v>2</v>
      </c>
      <c r="D310" s="4" t="s">
        <v>44</v>
      </c>
      <c r="E310" s="6">
        <v>46227.992050289351</v>
      </c>
      <c r="F310" s="4" t="s">
        <v>1439</v>
      </c>
      <c r="G310" s="4" t="s">
        <v>46</v>
      </c>
      <c r="H310" s="4">
        <v>53</v>
      </c>
      <c r="I310" s="4" t="s">
        <v>47</v>
      </c>
      <c r="J310" s="4">
        <v>5309</v>
      </c>
      <c r="K310" s="4" t="s">
        <v>48</v>
      </c>
      <c r="L310" s="4">
        <v>5309030</v>
      </c>
      <c r="M310" s="4">
        <v>5309030011</v>
      </c>
      <c r="N310" s="4" t="s">
        <v>49</v>
      </c>
      <c r="O310" s="4">
        <v>47112</v>
      </c>
      <c r="P310" s="4" t="s">
        <v>1440</v>
      </c>
      <c r="Q310" s="5">
        <v>1</v>
      </c>
      <c r="R310" s="5">
        <v>0</v>
      </c>
      <c r="S310" s="5">
        <v>9600000</v>
      </c>
      <c r="T310" s="5">
        <v>6600000</v>
      </c>
      <c r="U310" s="5">
        <v>600000</v>
      </c>
      <c r="V310" s="5">
        <v>0</v>
      </c>
      <c r="W310" s="5">
        <v>16800000</v>
      </c>
      <c r="X310" s="5">
        <v>22800000</v>
      </c>
      <c r="Y310" s="5">
        <v>0</v>
      </c>
      <c r="Z310" s="5">
        <f t="shared" si="36"/>
        <v>6000000</v>
      </c>
      <c r="AA310" s="5">
        <v>0</v>
      </c>
      <c r="AB310" s="5">
        <f t="shared" si="37"/>
        <v>16200000</v>
      </c>
      <c r="AC310" s="5" t="s">
        <v>1441</v>
      </c>
      <c r="AD310" s="4" t="s">
        <v>51</v>
      </c>
      <c r="AE310" s="5">
        <f t="shared" si="38"/>
        <v>0.37037037037037035</v>
      </c>
      <c r="AF310" s="5">
        <v>16200000</v>
      </c>
      <c r="AG310" s="4"/>
      <c r="AH310" s="5">
        <v>1</v>
      </c>
      <c r="AI310" s="5">
        <v>1</v>
      </c>
      <c r="AJ310" s="7" t="s">
        <v>1442</v>
      </c>
      <c r="AK310" s="5">
        <v>0</v>
      </c>
      <c r="AL310" s="5">
        <v>0</v>
      </c>
      <c r="AM310" s="4">
        <v>2026</v>
      </c>
      <c r="AN310" s="5">
        <v>0</v>
      </c>
      <c r="AO310" s="5">
        <v>1</v>
      </c>
      <c r="AP310" s="8"/>
      <c r="AQ310" s="8"/>
      <c r="AR310" s="8">
        <f t="shared" si="39"/>
        <v>0</v>
      </c>
      <c r="AS310" s="8">
        <f t="shared" si="40"/>
        <v>10200000</v>
      </c>
      <c r="AT310" s="8">
        <f t="shared" si="41"/>
        <v>6000000</v>
      </c>
      <c r="AU310" s="8">
        <f t="shared" si="42"/>
        <v>10200000</v>
      </c>
      <c r="AV310" s="4" t="s">
        <v>1440</v>
      </c>
      <c r="AW310" s="7" t="s">
        <v>1442</v>
      </c>
      <c r="AX310" s="5">
        <v>6600000</v>
      </c>
      <c r="AY310">
        <f t="shared" si="43"/>
        <v>9600000</v>
      </c>
      <c r="AZ310">
        <f t="shared" si="44"/>
        <v>600000</v>
      </c>
      <c r="BA310" s="5">
        <v>22800000</v>
      </c>
      <c r="BB310" s="5">
        <v>0</v>
      </c>
      <c r="BC310" s="4" t="s">
        <v>49</v>
      </c>
      <c r="BD310" s="4">
        <v>47112</v>
      </c>
      <c r="BE310" t="s">
        <v>54</v>
      </c>
    </row>
    <row r="311" spans="1:57" ht="270.75" thickBot="1" x14ac:dyDescent="0.3">
      <c r="A311" s="4" t="s">
        <v>1443</v>
      </c>
      <c r="B311" s="4">
        <v>1002</v>
      </c>
      <c r="C311" s="5">
        <v>2</v>
      </c>
      <c r="D311" s="4" t="s">
        <v>44</v>
      </c>
      <c r="E311" s="6">
        <v>46290.922844259258</v>
      </c>
      <c r="F311" s="4" t="s">
        <v>1444</v>
      </c>
      <c r="G311" s="4" t="s">
        <v>46</v>
      </c>
      <c r="H311" s="4">
        <v>53</v>
      </c>
      <c r="I311" s="4" t="s">
        <v>47</v>
      </c>
      <c r="J311" s="4">
        <v>5309</v>
      </c>
      <c r="K311" s="4" t="s">
        <v>48</v>
      </c>
      <c r="L311" s="4">
        <v>5309030</v>
      </c>
      <c r="M311" s="4">
        <v>5309030022</v>
      </c>
      <c r="N311" s="4" t="s">
        <v>49</v>
      </c>
      <c r="O311" s="4">
        <v>47112</v>
      </c>
      <c r="P311" s="4" t="s">
        <v>1445</v>
      </c>
      <c r="Q311" s="5">
        <v>3</v>
      </c>
      <c r="R311" s="5">
        <v>0</v>
      </c>
      <c r="S311" s="5">
        <v>100000</v>
      </c>
      <c r="T311" s="5">
        <v>72000000</v>
      </c>
      <c r="U311" s="5">
        <v>1500000</v>
      </c>
      <c r="V311" s="5">
        <v>0</v>
      </c>
      <c r="W311" s="5">
        <v>73600000</v>
      </c>
      <c r="X311" s="5">
        <v>126000000</v>
      </c>
      <c r="Y311" s="5">
        <v>0</v>
      </c>
      <c r="Z311" s="5">
        <f t="shared" si="36"/>
        <v>52400000</v>
      </c>
      <c r="AA311" s="5">
        <v>6000000</v>
      </c>
      <c r="AB311" s="5">
        <f t="shared" si="37"/>
        <v>54000000</v>
      </c>
      <c r="AC311" s="5" t="s">
        <v>144</v>
      </c>
      <c r="AD311" s="4" t="s">
        <v>51</v>
      </c>
      <c r="AE311" s="5">
        <f t="shared" si="38"/>
        <v>0.97037037037037033</v>
      </c>
      <c r="AF311" s="5">
        <v>18000000</v>
      </c>
      <c r="AG311" s="5">
        <v>1</v>
      </c>
      <c r="AH311" s="5">
        <v>1</v>
      </c>
      <c r="AI311" s="5">
        <v>1</v>
      </c>
      <c r="AJ311" s="7" t="s">
        <v>1446</v>
      </c>
      <c r="AK311" s="5">
        <v>0</v>
      </c>
      <c r="AL311" s="5">
        <v>0</v>
      </c>
      <c r="AM311" s="4">
        <v>2025</v>
      </c>
      <c r="AN311" s="5">
        <v>0</v>
      </c>
      <c r="AO311" s="5">
        <v>3</v>
      </c>
      <c r="AP311" s="8"/>
      <c r="AQ311" s="8"/>
      <c r="AR311" s="8">
        <f t="shared" si="39"/>
        <v>0</v>
      </c>
      <c r="AS311" s="8">
        <f t="shared" si="40"/>
        <v>1600000</v>
      </c>
      <c r="AT311" s="8">
        <f t="shared" si="41"/>
        <v>39960000</v>
      </c>
      <c r="AU311" s="8">
        <f t="shared" si="42"/>
        <v>14040000</v>
      </c>
      <c r="AV311" s="4" t="s">
        <v>1445</v>
      </c>
      <c r="AW311" s="7" t="s">
        <v>1446</v>
      </c>
      <c r="AX311" s="5">
        <v>72000000</v>
      </c>
      <c r="AY311">
        <f t="shared" si="43"/>
        <v>877500</v>
      </c>
      <c r="AZ311">
        <f t="shared" si="44"/>
        <v>13162500</v>
      </c>
      <c r="BA311" s="5">
        <v>126000000</v>
      </c>
      <c r="BB311" s="5">
        <v>0</v>
      </c>
      <c r="BC311" s="4" t="s">
        <v>49</v>
      </c>
      <c r="BD311" s="4">
        <v>47112</v>
      </c>
      <c r="BE311" t="s">
        <v>54</v>
      </c>
    </row>
    <row r="312" spans="1:57" ht="270.75" thickBot="1" x14ac:dyDescent="0.3">
      <c r="A312" s="4" t="s">
        <v>1447</v>
      </c>
      <c r="B312" s="4">
        <v>3003</v>
      </c>
      <c r="C312" s="5">
        <v>2</v>
      </c>
      <c r="D312" s="4" t="s">
        <v>44</v>
      </c>
      <c r="E312" s="6">
        <v>46269.081855729164</v>
      </c>
      <c r="F312" s="4" t="s">
        <v>1448</v>
      </c>
      <c r="G312" s="4" t="s">
        <v>46</v>
      </c>
      <c r="H312" s="4">
        <v>53</v>
      </c>
      <c r="I312" s="4" t="s">
        <v>47</v>
      </c>
      <c r="J312" s="4">
        <v>5309</v>
      </c>
      <c r="K312" s="4" t="s">
        <v>48</v>
      </c>
      <c r="L312" s="4">
        <v>5309072</v>
      </c>
      <c r="M312" s="4">
        <v>5309072011</v>
      </c>
      <c r="N312" s="4" t="s">
        <v>49</v>
      </c>
      <c r="O312" s="4">
        <v>47112</v>
      </c>
      <c r="P312" s="4" t="s">
        <v>1449</v>
      </c>
      <c r="Q312" s="5">
        <v>2</v>
      </c>
      <c r="R312" s="5">
        <v>0</v>
      </c>
      <c r="S312" s="5">
        <v>0</v>
      </c>
      <c r="T312" s="5">
        <v>3600000</v>
      </c>
      <c r="U312" s="5">
        <v>200000</v>
      </c>
      <c r="V312" s="5">
        <v>0</v>
      </c>
      <c r="W312" s="5">
        <v>3800000</v>
      </c>
      <c r="X312" s="5">
        <v>6500000</v>
      </c>
      <c r="Y312" s="5">
        <v>0</v>
      </c>
      <c r="Z312" s="5">
        <f t="shared" si="36"/>
        <v>2700000</v>
      </c>
      <c r="AA312" s="5">
        <v>12000000</v>
      </c>
      <c r="AB312" s="5">
        <f t="shared" si="37"/>
        <v>2900000</v>
      </c>
      <c r="AC312" s="5" t="s">
        <v>1450</v>
      </c>
      <c r="AD312" s="4" t="s">
        <v>51</v>
      </c>
      <c r="AE312" s="5">
        <f t="shared" si="38"/>
        <v>0.93103448275862066</v>
      </c>
      <c r="AF312" s="5">
        <v>1450000</v>
      </c>
      <c r="AG312" s="5">
        <v>0</v>
      </c>
      <c r="AH312" s="5">
        <v>1</v>
      </c>
      <c r="AI312" s="5">
        <v>1</v>
      </c>
      <c r="AJ312" s="7" t="s">
        <v>1451</v>
      </c>
      <c r="AK312" s="5">
        <v>0</v>
      </c>
      <c r="AL312" s="5">
        <v>0</v>
      </c>
      <c r="AM312" s="4">
        <v>2020</v>
      </c>
      <c r="AN312" s="5">
        <v>0</v>
      </c>
      <c r="AO312" s="5">
        <v>2</v>
      </c>
      <c r="AP312" s="8"/>
      <c r="AQ312" s="8"/>
      <c r="AR312" s="8">
        <f t="shared" si="39"/>
        <v>0</v>
      </c>
      <c r="AS312" s="8">
        <f t="shared" si="40"/>
        <v>200000</v>
      </c>
      <c r="AT312" s="8">
        <f t="shared" si="41"/>
        <v>2146000</v>
      </c>
      <c r="AU312" s="8">
        <f t="shared" si="42"/>
        <v>754000</v>
      </c>
      <c r="AV312" s="4" t="s">
        <v>1449</v>
      </c>
      <c r="AW312" s="7" t="s">
        <v>1451</v>
      </c>
      <c r="AX312" s="5">
        <v>3600000</v>
      </c>
      <c r="AY312">
        <f t="shared" si="43"/>
        <v>0</v>
      </c>
      <c r="AZ312">
        <f t="shared" si="44"/>
        <v>754000</v>
      </c>
      <c r="BA312" s="5">
        <v>6500000</v>
      </c>
      <c r="BB312" s="5">
        <v>0</v>
      </c>
      <c r="BC312" s="4" t="s">
        <v>49</v>
      </c>
      <c r="BD312" s="4">
        <v>47112</v>
      </c>
      <c r="BE312" t="s">
        <v>54</v>
      </c>
    </row>
    <row r="313" spans="1:57" ht="255.75" thickBot="1" x14ac:dyDescent="0.3">
      <c r="A313" s="4" t="s">
        <v>1452</v>
      </c>
      <c r="B313" s="4">
        <v>1002</v>
      </c>
      <c r="C313" s="5">
        <v>2</v>
      </c>
      <c r="D313" s="4" t="s">
        <v>44</v>
      </c>
      <c r="E313" s="6">
        <v>46233.880615520837</v>
      </c>
      <c r="F313" s="4" t="s">
        <v>1453</v>
      </c>
      <c r="G313" s="4" t="s">
        <v>46</v>
      </c>
      <c r="H313" s="4">
        <v>53</v>
      </c>
      <c r="I313" s="4" t="s">
        <v>47</v>
      </c>
      <c r="J313" s="4">
        <v>5309</v>
      </c>
      <c r="K313" s="4" t="s">
        <v>48</v>
      </c>
      <c r="L313" s="4">
        <v>5309040</v>
      </c>
      <c r="M313" s="4">
        <v>5309040011</v>
      </c>
      <c r="N313" s="4" t="s">
        <v>49</v>
      </c>
      <c r="O313" s="4">
        <v>47112</v>
      </c>
      <c r="P313" s="4" t="s">
        <v>1454</v>
      </c>
      <c r="Q313" s="5">
        <v>2</v>
      </c>
      <c r="R313" s="5">
        <v>0</v>
      </c>
      <c r="S313" s="5">
        <v>0</v>
      </c>
      <c r="T313" s="5">
        <v>1000000</v>
      </c>
      <c r="U313" s="5">
        <v>150000</v>
      </c>
      <c r="V313" s="5">
        <v>0</v>
      </c>
      <c r="W313" s="5">
        <v>1150000</v>
      </c>
      <c r="X313" s="5">
        <v>6000000</v>
      </c>
      <c r="Y313" s="5">
        <v>0</v>
      </c>
      <c r="Z313" s="5">
        <f t="shared" si="36"/>
        <v>4850000</v>
      </c>
      <c r="AA313" s="5">
        <v>0</v>
      </c>
      <c r="AB313" s="5">
        <f t="shared" si="37"/>
        <v>5000000</v>
      </c>
      <c r="AC313" s="5" t="s">
        <v>286</v>
      </c>
      <c r="AD313" s="4" t="s">
        <v>51</v>
      </c>
      <c r="AE313" s="5">
        <f t="shared" si="38"/>
        <v>0.97</v>
      </c>
      <c r="AF313" s="5">
        <v>2500000</v>
      </c>
      <c r="AG313" s="4"/>
      <c r="AH313" s="5">
        <v>1</v>
      </c>
      <c r="AI313" s="5">
        <v>1</v>
      </c>
      <c r="AJ313" s="7" t="s">
        <v>1455</v>
      </c>
      <c r="AK313" s="5">
        <v>0</v>
      </c>
      <c r="AL313" s="5">
        <v>0</v>
      </c>
      <c r="AM313" s="4">
        <v>2025</v>
      </c>
      <c r="AN313" s="5">
        <v>0</v>
      </c>
      <c r="AO313" s="5">
        <v>2</v>
      </c>
      <c r="AP313" s="8"/>
      <c r="AQ313" s="8"/>
      <c r="AR313" s="8">
        <f t="shared" si="39"/>
        <v>0</v>
      </c>
      <c r="AS313" s="8">
        <f t="shared" si="40"/>
        <v>150000</v>
      </c>
      <c r="AT313" s="8">
        <f t="shared" si="41"/>
        <v>3700000</v>
      </c>
      <c r="AU313" s="8">
        <f t="shared" si="42"/>
        <v>1300000</v>
      </c>
      <c r="AV313" s="4" t="s">
        <v>1454</v>
      </c>
      <c r="AW313" s="7" t="s">
        <v>1455</v>
      </c>
      <c r="AX313" s="5">
        <v>1000000</v>
      </c>
      <c r="AY313">
        <f t="shared" si="43"/>
        <v>0</v>
      </c>
      <c r="AZ313">
        <f t="shared" si="44"/>
        <v>1300000</v>
      </c>
      <c r="BA313" s="5">
        <v>6000000</v>
      </c>
      <c r="BB313" s="5">
        <v>0</v>
      </c>
      <c r="BC313" s="4" t="s">
        <v>49</v>
      </c>
      <c r="BD313" s="4">
        <v>47112</v>
      </c>
      <c r="BE313" t="s">
        <v>54</v>
      </c>
    </row>
    <row r="314" spans="1:57" ht="270.75" thickBot="1" x14ac:dyDescent="0.3">
      <c r="A314" s="4" t="s">
        <v>1456</v>
      </c>
      <c r="B314" s="4">
        <v>1</v>
      </c>
      <c r="C314" s="5">
        <v>2</v>
      </c>
      <c r="D314" s="4" t="s">
        <v>44</v>
      </c>
      <c r="E314" s="6">
        <v>46293.073850011577</v>
      </c>
      <c r="F314" s="4" t="s">
        <v>1457</v>
      </c>
      <c r="G314" s="4" t="s">
        <v>46</v>
      </c>
      <c r="H314" s="4">
        <v>53</v>
      </c>
      <c r="I314" s="4" t="s">
        <v>47</v>
      </c>
      <c r="J314" s="4">
        <v>5309</v>
      </c>
      <c r="K314" s="4" t="s">
        <v>48</v>
      </c>
      <c r="L314" s="4">
        <v>5309030</v>
      </c>
      <c r="M314" s="4">
        <v>5309030025</v>
      </c>
      <c r="N314" s="4" t="s">
        <v>49</v>
      </c>
      <c r="O314" s="4">
        <v>47112</v>
      </c>
      <c r="P314" s="4" t="s">
        <v>1458</v>
      </c>
      <c r="Q314" s="5">
        <v>1</v>
      </c>
      <c r="R314" s="5">
        <v>0</v>
      </c>
      <c r="S314" s="5">
        <v>500000</v>
      </c>
      <c r="T314" s="5">
        <v>4000000</v>
      </c>
      <c r="U314" s="5">
        <v>1000000</v>
      </c>
      <c r="V314" s="5">
        <v>0</v>
      </c>
      <c r="W314" s="5">
        <v>5500000</v>
      </c>
      <c r="X314" s="5">
        <v>15600000</v>
      </c>
      <c r="Y314" s="5">
        <v>0</v>
      </c>
      <c r="Z314" s="5">
        <f t="shared" si="36"/>
        <v>10100000</v>
      </c>
      <c r="AA314" s="5">
        <v>25000000</v>
      </c>
      <c r="AB314" s="5">
        <f t="shared" si="37"/>
        <v>11600000</v>
      </c>
      <c r="AC314" s="5" t="s">
        <v>1459</v>
      </c>
      <c r="AD314" s="4" t="s">
        <v>51</v>
      </c>
      <c r="AE314" s="5">
        <f t="shared" si="38"/>
        <v>0.87068965517241381</v>
      </c>
      <c r="AF314" s="5">
        <v>11600000</v>
      </c>
      <c r="AG314" s="5">
        <v>1</v>
      </c>
      <c r="AH314" s="5">
        <v>1</v>
      </c>
      <c r="AI314" s="5">
        <v>1</v>
      </c>
      <c r="AJ314" s="7" t="s">
        <v>1460</v>
      </c>
      <c r="AK314" s="5">
        <v>0</v>
      </c>
      <c r="AL314" s="5">
        <v>0</v>
      </c>
      <c r="AM314" s="4">
        <v>2015</v>
      </c>
      <c r="AN314" s="5">
        <v>0</v>
      </c>
      <c r="AO314" s="5">
        <v>1</v>
      </c>
      <c r="AP314" s="8"/>
      <c r="AQ314" s="8"/>
      <c r="AR314" s="8">
        <f t="shared" si="39"/>
        <v>0</v>
      </c>
      <c r="AS314" s="8">
        <f t="shared" si="40"/>
        <v>1500000</v>
      </c>
      <c r="AT314" s="8">
        <f t="shared" si="41"/>
        <v>8584000</v>
      </c>
      <c r="AU314" s="8">
        <f t="shared" si="42"/>
        <v>3016000</v>
      </c>
      <c r="AV314" s="4" t="s">
        <v>1458</v>
      </c>
      <c r="AW314" s="7" t="s">
        <v>1460</v>
      </c>
      <c r="AX314" s="5">
        <v>4000000</v>
      </c>
      <c r="AY314">
        <f t="shared" si="43"/>
        <v>1005333.3333333333</v>
      </c>
      <c r="AZ314">
        <f t="shared" si="44"/>
        <v>2010666.6666666667</v>
      </c>
      <c r="BA314" s="5">
        <v>15600000</v>
      </c>
      <c r="BB314" s="5">
        <v>0</v>
      </c>
      <c r="BC314" s="4" t="s">
        <v>49</v>
      </c>
      <c r="BD314" s="4">
        <v>47112</v>
      </c>
      <c r="BE314" t="s">
        <v>54</v>
      </c>
    </row>
    <row r="315" spans="1:57" ht="270.75" thickBot="1" x14ac:dyDescent="0.3">
      <c r="A315" s="4" t="s">
        <v>1461</v>
      </c>
      <c r="B315" s="4">
        <v>2001</v>
      </c>
      <c r="C315" s="5">
        <v>2</v>
      </c>
      <c r="D315" s="4" t="s">
        <v>44</v>
      </c>
      <c r="E315" s="6">
        <v>46265.005954398148</v>
      </c>
      <c r="F315" s="4" t="s">
        <v>1462</v>
      </c>
      <c r="G315" s="4" t="s">
        <v>46</v>
      </c>
      <c r="H315" s="4">
        <v>53</v>
      </c>
      <c r="I315" s="4" t="s">
        <v>47</v>
      </c>
      <c r="J315" s="4">
        <v>5309</v>
      </c>
      <c r="K315" s="4" t="s">
        <v>48</v>
      </c>
      <c r="L315" s="4">
        <v>5309012</v>
      </c>
      <c r="M315" s="4">
        <v>5309012005</v>
      </c>
      <c r="N315" s="4" t="s">
        <v>49</v>
      </c>
      <c r="O315" s="4">
        <v>47112</v>
      </c>
      <c r="P315" s="4" t="s">
        <v>1463</v>
      </c>
      <c r="Q315" s="5">
        <v>1</v>
      </c>
      <c r="R315" s="5">
        <v>0</v>
      </c>
      <c r="S315" s="5">
        <v>1800000</v>
      </c>
      <c r="T315" s="5">
        <v>216000000</v>
      </c>
      <c r="U315" s="5">
        <v>300000</v>
      </c>
      <c r="V315" s="5">
        <v>0</v>
      </c>
      <c r="W315" s="5">
        <v>218100000</v>
      </c>
      <c r="X315" s="5">
        <v>228000000</v>
      </c>
      <c r="Y315" s="5">
        <v>0</v>
      </c>
      <c r="Z315" s="5">
        <f t="shared" si="36"/>
        <v>9900000</v>
      </c>
      <c r="AA315" s="5">
        <v>0</v>
      </c>
      <c r="AB315" s="5">
        <f t="shared" si="37"/>
        <v>12000000</v>
      </c>
      <c r="AC315" s="5" t="s">
        <v>1464</v>
      </c>
      <c r="AD315" s="4" t="s">
        <v>51</v>
      </c>
      <c r="AE315" s="5">
        <f t="shared" si="38"/>
        <v>0.82499999999999996</v>
      </c>
      <c r="AF315" s="5">
        <v>12000000</v>
      </c>
      <c r="AG315" s="4"/>
      <c r="AH315" s="5">
        <v>1</v>
      </c>
      <c r="AI315" s="5">
        <v>1</v>
      </c>
      <c r="AJ315" s="7" t="s">
        <v>1465</v>
      </c>
      <c r="AK315" s="5">
        <v>0</v>
      </c>
      <c r="AL315" s="5">
        <v>0</v>
      </c>
      <c r="AM315" s="4">
        <v>2026</v>
      </c>
      <c r="AN315" s="5">
        <v>0</v>
      </c>
      <c r="AO315" s="5">
        <v>1</v>
      </c>
      <c r="AP315" s="8"/>
      <c r="AQ315" s="8"/>
      <c r="AR315" s="8">
        <f t="shared" si="39"/>
        <v>0</v>
      </c>
      <c r="AS315" s="8">
        <f t="shared" si="40"/>
        <v>2100000</v>
      </c>
      <c r="AT315" s="8">
        <f t="shared" si="41"/>
        <v>8880000</v>
      </c>
      <c r="AU315" s="8">
        <f t="shared" si="42"/>
        <v>3120000</v>
      </c>
      <c r="AV315" s="4" t="s">
        <v>1463</v>
      </c>
      <c r="AW315" s="7" t="s">
        <v>1465</v>
      </c>
      <c r="AX315" s="5">
        <v>216000000</v>
      </c>
      <c r="AY315">
        <f t="shared" si="43"/>
        <v>2674285.7142857141</v>
      </c>
      <c r="AZ315">
        <f t="shared" si="44"/>
        <v>445714.28571428574</v>
      </c>
      <c r="BA315" s="5">
        <v>228000000</v>
      </c>
      <c r="BB315" s="5">
        <v>0</v>
      </c>
      <c r="BC315" s="4" t="s">
        <v>49</v>
      </c>
      <c r="BD315" s="4">
        <v>47112</v>
      </c>
      <c r="BE315" t="s">
        <v>54</v>
      </c>
    </row>
    <row r="316" spans="1:57" ht="255.75" thickBot="1" x14ac:dyDescent="0.3">
      <c r="A316" s="4" t="s">
        <v>1466</v>
      </c>
      <c r="B316" s="4">
        <v>1</v>
      </c>
      <c r="C316" s="5">
        <v>2</v>
      </c>
      <c r="D316" s="4" t="s">
        <v>44</v>
      </c>
      <c r="E316" s="6">
        <v>46280.581722881943</v>
      </c>
      <c r="F316" s="4" t="s">
        <v>1467</v>
      </c>
      <c r="G316" s="4" t="s">
        <v>46</v>
      </c>
      <c r="H316" s="4">
        <v>53</v>
      </c>
      <c r="I316" s="4" t="s">
        <v>47</v>
      </c>
      <c r="J316" s="4">
        <v>5309</v>
      </c>
      <c r="K316" s="4" t="s">
        <v>48</v>
      </c>
      <c r="L316" s="4">
        <v>5309070</v>
      </c>
      <c r="M316" s="4">
        <v>5309070013</v>
      </c>
      <c r="N316" s="4" t="s">
        <v>49</v>
      </c>
      <c r="O316" s="4">
        <v>47112</v>
      </c>
      <c r="P316" s="4" t="s">
        <v>1468</v>
      </c>
      <c r="Q316" s="5">
        <v>1</v>
      </c>
      <c r="R316" s="5">
        <v>0</v>
      </c>
      <c r="S316" s="5">
        <v>200000</v>
      </c>
      <c r="T316" s="5">
        <v>2000000</v>
      </c>
      <c r="U316" s="5">
        <v>100000</v>
      </c>
      <c r="V316" s="5">
        <v>0</v>
      </c>
      <c r="W316" s="5">
        <v>2300000</v>
      </c>
      <c r="X316" s="5">
        <v>12000000</v>
      </c>
      <c r="Y316" s="5">
        <v>0</v>
      </c>
      <c r="Z316" s="5">
        <f t="shared" si="36"/>
        <v>9700000</v>
      </c>
      <c r="AA316" s="5">
        <v>2000000</v>
      </c>
      <c r="AB316" s="5">
        <f t="shared" si="37"/>
        <v>10000000</v>
      </c>
      <c r="AC316" s="5" t="s">
        <v>286</v>
      </c>
      <c r="AD316" s="4" t="s">
        <v>51</v>
      </c>
      <c r="AE316" s="5">
        <f t="shared" si="38"/>
        <v>0.97</v>
      </c>
      <c r="AF316" s="5">
        <v>10000000</v>
      </c>
      <c r="AG316" s="5">
        <v>1</v>
      </c>
      <c r="AH316" s="5">
        <v>1</v>
      </c>
      <c r="AI316" s="5">
        <v>1</v>
      </c>
      <c r="AJ316" s="7" t="s">
        <v>1469</v>
      </c>
      <c r="AK316" s="5">
        <v>0</v>
      </c>
      <c r="AL316" s="5">
        <v>0</v>
      </c>
      <c r="AM316" s="4">
        <v>2006</v>
      </c>
      <c r="AN316" s="5">
        <v>0</v>
      </c>
      <c r="AO316" s="5">
        <v>1</v>
      </c>
      <c r="AP316" s="8"/>
      <c r="AQ316" s="8"/>
      <c r="AR316" s="8">
        <f t="shared" si="39"/>
        <v>0</v>
      </c>
      <c r="AS316" s="8">
        <f t="shared" si="40"/>
        <v>300000</v>
      </c>
      <c r="AT316" s="8">
        <f t="shared" si="41"/>
        <v>7400000</v>
      </c>
      <c r="AU316" s="8">
        <f t="shared" si="42"/>
        <v>2600000</v>
      </c>
      <c r="AV316" s="4" t="s">
        <v>1468</v>
      </c>
      <c r="AW316" s="7" t="s">
        <v>1469</v>
      </c>
      <c r="AX316" s="5">
        <v>2000000</v>
      </c>
      <c r="AY316">
        <f t="shared" si="43"/>
        <v>1733333.3333333335</v>
      </c>
      <c r="AZ316">
        <f t="shared" si="44"/>
        <v>866666.66666666663</v>
      </c>
      <c r="BA316" s="5">
        <v>12000000</v>
      </c>
      <c r="BB316" s="5">
        <v>0</v>
      </c>
      <c r="BC316" s="4" t="s">
        <v>49</v>
      </c>
      <c r="BD316" s="4">
        <v>47112</v>
      </c>
      <c r="BE316" t="s">
        <v>54</v>
      </c>
    </row>
    <row r="317" spans="1:57" ht="270.75" thickBot="1" x14ac:dyDescent="0.3">
      <c r="A317" s="4" t="s">
        <v>1470</v>
      </c>
      <c r="B317" s="4">
        <v>1002</v>
      </c>
      <c r="C317" s="5">
        <v>2</v>
      </c>
      <c r="D317" s="4" t="s">
        <v>44</v>
      </c>
      <c r="E317" s="6">
        <v>46293.103495567128</v>
      </c>
      <c r="F317" s="4" t="s">
        <v>1471</v>
      </c>
      <c r="G317" s="4" t="s">
        <v>46</v>
      </c>
      <c r="H317" s="4">
        <v>53</v>
      </c>
      <c r="I317" s="4" t="s">
        <v>47</v>
      </c>
      <c r="J317" s="4">
        <v>5309</v>
      </c>
      <c r="K317" s="4" t="s">
        <v>48</v>
      </c>
      <c r="L317" s="4">
        <v>5309060</v>
      </c>
      <c r="M317" s="4">
        <v>5309060020</v>
      </c>
      <c r="N317" s="4" t="s">
        <v>49</v>
      </c>
      <c r="O317" s="4">
        <v>47112</v>
      </c>
      <c r="P317" s="4" t="s">
        <v>1472</v>
      </c>
      <c r="Q317" s="5">
        <v>1</v>
      </c>
      <c r="R317" s="5">
        <v>0</v>
      </c>
      <c r="S317" s="5">
        <v>0</v>
      </c>
      <c r="T317" s="5">
        <v>8000000</v>
      </c>
      <c r="U317" s="5">
        <v>400000</v>
      </c>
      <c r="V317" s="5">
        <v>0</v>
      </c>
      <c r="W317" s="5">
        <v>8400000</v>
      </c>
      <c r="X317" s="5">
        <v>18600000</v>
      </c>
      <c r="Y317" s="5">
        <v>0</v>
      </c>
      <c r="Z317" s="5">
        <f t="shared" si="36"/>
        <v>10200000</v>
      </c>
      <c r="AA317" s="5">
        <v>2500000</v>
      </c>
      <c r="AB317" s="5">
        <f t="shared" si="37"/>
        <v>10600000</v>
      </c>
      <c r="AC317" s="5" t="s">
        <v>1473</v>
      </c>
      <c r="AD317" s="4" t="s">
        <v>51</v>
      </c>
      <c r="AE317" s="5">
        <f t="shared" si="38"/>
        <v>0.96226415094339623</v>
      </c>
      <c r="AF317" s="5">
        <v>10600000</v>
      </c>
      <c r="AG317" s="5">
        <v>1</v>
      </c>
      <c r="AH317" s="5">
        <v>1</v>
      </c>
      <c r="AI317" s="5">
        <v>1</v>
      </c>
      <c r="AJ317" s="7" t="s">
        <v>1474</v>
      </c>
      <c r="AK317" s="5">
        <v>0</v>
      </c>
      <c r="AL317" s="5">
        <v>0</v>
      </c>
      <c r="AM317" s="4">
        <v>2022</v>
      </c>
      <c r="AN317" s="5">
        <v>0</v>
      </c>
      <c r="AO317" s="5">
        <v>1</v>
      </c>
      <c r="AP317" s="8"/>
      <c r="AQ317" s="8"/>
      <c r="AR317" s="8">
        <f t="shared" si="39"/>
        <v>0</v>
      </c>
      <c r="AS317" s="8">
        <f t="shared" si="40"/>
        <v>400000</v>
      </c>
      <c r="AT317" s="8">
        <f t="shared" si="41"/>
        <v>7844000</v>
      </c>
      <c r="AU317" s="8">
        <f t="shared" si="42"/>
        <v>2756000</v>
      </c>
      <c r="AV317" s="4" t="s">
        <v>1472</v>
      </c>
      <c r="AW317" s="7" t="s">
        <v>1474</v>
      </c>
      <c r="AX317" s="5">
        <v>8000000</v>
      </c>
      <c r="AY317">
        <f t="shared" si="43"/>
        <v>0</v>
      </c>
      <c r="AZ317">
        <f t="shared" si="44"/>
        <v>2756000</v>
      </c>
      <c r="BA317" s="5">
        <v>18600000</v>
      </c>
      <c r="BB317" s="5">
        <v>0</v>
      </c>
      <c r="BC317" s="4" t="s">
        <v>49</v>
      </c>
      <c r="BD317" s="4">
        <v>47112</v>
      </c>
      <c r="BE317" t="s">
        <v>54</v>
      </c>
    </row>
    <row r="318" spans="1:57" ht="270.75" thickBot="1" x14ac:dyDescent="0.3">
      <c r="A318" s="4" t="s">
        <v>1475</v>
      </c>
      <c r="B318" s="4">
        <v>1002</v>
      </c>
      <c r="C318" s="5">
        <v>2</v>
      </c>
      <c r="D318" s="4" t="s">
        <v>44</v>
      </c>
      <c r="E318" s="6">
        <v>46275.050322696756</v>
      </c>
      <c r="F318" s="4" t="s">
        <v>1476</v>
      </c>
      <c r="G318" s="4" t="s">
        <v>46</v>
      </c>
      <c r="H318" s="4">
        <v>53</v>
      </c>
      <c r="I318" s="4" t="s">
        <v>47</v>
      </c>
      <c r="J318" s="4">
        <v>5309</v>
      </c>
      <c r="K318" s="4" t="s">
        <v>48</v>
      </c>
      <c r="L318" s="4">
        <v>5309070</v>
      </c>
      <c r="M318" s="4">
        <v>5309070007</v>
      </c>
      <c r="N318" s="4" t="s">
        <v>49</v>
      </c>
      <c r="O318" s="4">
        <v>47112</v>
      </c>
      <c r="P318" s="4" t="s">
        <v>1477</v>
      </c>
      <c r="Q318" s="5">
        <v>2</v>
      </c>
      <c r="R318" s="5">
        <v>0</v>
      </c>
      <c r="S318" s="5">
        <v>100</v>
      </c>
      <c r="T318" s="5">
        <v>7200000</v>
      </c>
      <c r="U318" s="5">
        <v>100000</v>
      </c>
      <c r="V318" s="5">
        <v>0</v>
      </c>
      <c r="W318" s="5">
        <v>7300100</v>
      </c>
      <c r="X318" s="5">
        <v>14400000</v>
      </c>
      <c r="Y318" s="5">
        <v>0</v>
      </c>
      <c r="Z318" s="5">
        <f t="shared" si="36"/>
        <v>7099900</v>
      </c>
      <c r="AA318" s="5">
        <v>4000000</v>
      </c>
      <c r="AB318" s="5">
        <f t="shared" si="37"/>
        <v>7200000</v>
      </c>
      <c r="AC318" s="5" t="s">
        <v>93</v>
      </c>
      <c r="AD318" s="4" t="s">
        <v>51</v>
      </c>
      <c r="AE318" s="5">
        <f t="shared" si="38"/>
        <v>0.98609722222222218</v>
      </c>
      <c r="AF318" s="5">
        <v>3600000</v>
      </c>
      <c r="AG318" s="5">
        <v>1</v>
      </c>
      <c r="AH318" s="5">
        <v>1</v>
      </c>
      <c r="AI318" s="5">
        <v>1</v>
      </c>
      <c r="AJ318" s="7" t="s">
        <v>1478</v>
      </c>
      <c r="AK318" s="5">
        <v>0</v>
      </c>
      <c r="AL318" s="5">
        <v>0</v>
      </c>
      <c r="AM318" s="4">
        <v>2000</v>
      </c>
      <c r="AN318" s="5">
        <v>0</v>
      </c>
      <c r="AO318" s="5">
        <v>2</v>
      </c>
      <c r="AP318" s="8"/>
      <c r="AQ318" s="8"/>
      <c r="AR318" s="8">
        <f t="shared" si="39"/>
        <v>0</v>
      </c>
      <c r="AS318" s="8">
        <f t="shared" si="40"/>
        <v>100100</v>
      </c>
      <c r="AT318" s="8">
        <f t="shared" si="41"/>
        <v>5328000</v>
      </c>
      <c r="AU318" s="8">
        <f t="shared" si="42"/>
        <v>1872000</v>
      </c>
      <c r="AV318" s="4" t="s">
        <v>1477</v>
      </c>
      <c r="AW318" s="7" t="s">
        <v>1478</v>
      </c>
      <c r="AX318" s="5">
        <v>7200000</v>
      </c>
      <c r="AY318">
        <f t="shared" si="43"/>
        <v>1870.129870129982</v>
      </c>
      <c r="AZ318">
        <f t="shared" si="44"/>
        <v>1870129.87012987</v>
      </c>
      <c r="BA318" s="5">
        <v>14400000</v>
      </c>
      <c r="BB318" s="5">
        <v>0</v>
      </c>
      <c r="BC318" s="4" t="s">
        <v>49</v>
      </c>
      <c r="BD318" s="4">
        <v>47112</v>
      </c>
      <c r="BE318" t="s">
        <v>54</v>
      </c>
    </row>
    <row r="319" spans="1:57" ht="270.75" thickBot="1" x14ac:dyDescent="0.3">
      <c r="A319" s="4" t="s">
        <v>1479</v>
      </c>
      <c r="B319" s="4">
        <v>1001</v>
      </c>
      <c r="C319" s="5">
        <v>2</v>
      </c>
      <c r="D319" s="4" t="s">
        <v>44</v>
      </c>
      <c r="E319" s="6">
        <v>46249.591681562502</v>
      </c>
      <c r="F319" s="4" t="s">
        <v>1480</v>
      </c>
      <c r="G319" s="4" t="s">
        <v>46</v>
      </c>
      <c r="H319" s="4">
        <v>53</v>
      </c>
      <c r="I319" s="4" t="s">
        <v>47</v>
      </c>
      <c r="J319" s="4">
        <v>5309</v>
      </c>
      <c r="K319" s="4" t="s">
        <v>48</v>
      </c>
      <c r="L319" s="4">
        <v>5309050</v>
      </c>
      <c r="M319" s="4">
        <v>5309050017</v>
      </c>
      <c r="N319" s="4" t="s">
        <v>49</v>
      </c>
      <c r="O319" s="4">
        <v>47112</v>
      </c>
      <c r="P319" s="4" t="s">
        <v>1481</v>
      </c>
      <c r="Q319" s="5">
        <v>1</v>
      </c>
      <c r="R319" s="5">
        <v>0</v>
      </c>
      <c r="S319" s="5">
        <v>1000000</v>
      </c>
      <c r="T319" s="5">
        <v>2000000</v>
      </c>
      <c r="U319" s="5">
        <v>100000</v>
      </c>
      <c r="V319" s="5">
        <v>0</v>
      </c>
      <c r="W319" s="5">
        <v>3100000</v>
      </c>
      <c r="X319" s="5">
        <v>5000000</v>
      </c>
      <c r="Y319" s="5">
        <v>0</v>
      </c>
      <c r="Z319" s="5">
        <f t="shared" si="36"/>
        <v>1900000</v>
      </c>
      <c r="AA319" s="5">
        <v>2000000</v>
      </c>
      <c r="AB319" s="5">
        <f t="shared" si="37"/>
        <v>3000000</v>
      </c>
      <c r="AC319" s="5" t="s">
        <v>167</v>
      </c>
      <c r="AD319" s="4" t="s">
        <v>51</v>
      </c>
      <c r="AE319" s="5">
        <f t="shared" si="38"/>
        <v>0.6333333333333333</v>
      </c>
      <c r="AF319" s="5">
        <v>3000000</v>
      </c>
      <c r="AG319" s="5">
        <v>1</v>
      </c>
      <c r="AH319" s="5">
        <v>1</v>
      </c>
      <c r="AI319" s="5">
        <v>1</v>
      </c>
      <c r="AJ319" s="7" t="s">
        <v>1482</v>
      </c>
      <c r="AK319" s="5">
        <v>0</v>
      </c>
      <c r="AL319" s="5">
        <v>0</v>
      </c>
      <c r="AM319" s="4">
        <v>2025</v>
      </c>
      <c r="AN319" s="5">
        <v>0</v>
      </c>
      <c r="AO319" s="5">
        <v>1</v>
      </c>
      <c r="AP319" s="8"/>
      <c r="AQ319" s="8"/>
      <c r="AR319" s="8">
        <f t="shared" si="39"/>
        <v>0</v>
      </c>
      <c r="AS319" s="8">
        <f t="shared" si="40"/>
        <v>1100000</v>
      </c>
      <c r="AT319" s="8">
        <f t="shared" si="41"/>
        <v>1900000</v>
      </c>
      <c r="AU319" s="8">
        <f t="shared" si="42"/>
        <v>1100000</v>
      </c>
      <c r="AV319" s="4" t="s">
        <v>1481</v>
      </c>
      <c r="AW319" s="7" t="s">
        <v>1482</v>
      </c>
      <c r="AX319" s="5">
        <v>2000000</v>
      </c>
      <c r="AY319">
        <f t="shared" si="43"/>
        <v>1000000</v>
      </c>
      <c r="AZ319">
        <f t="shared" si="44"/>
        <v>100000</v>
      </c>
      <c r="BA319" s="5">
        <v>5000000</v>
      </c>
      <c r="BB319" s="5">
        <v>0</v>
      </c>
      <c r="BC319" s="4" t="s">
        <v>49</v>
      </c>
      <c r="BD319" s="4">
        <v>47112</v>
      </c>
      <c r="BE319" t="s">
        <v>54</v>
      </c>
    </row>
    <row r="320" spans="1:57" ht="270.75" thickBot="1" x14ac:dyDescent="0.3">
      <c r="A320" s="4" t="s">
        <v>1483</v>
      </c>
      <c r="B320" s="4">
        <v>3001</v>
      </c>
      <c r="C320" s="5">
        <v>2</v>
      </c>
      <c r="D320" s="4" t="s">
        <v>44</v>
      </c>
      <c r="E320" s="6">
        <v>46278.030652326386</v>
      </c>
      <c r="F320" s="4" t="s">
        <v>1484</v>
      </c>
      <c r="G320" s="4" t="s">
        <v>46</v>
      </c>
      <c r="H320" s="4">
        <v>53</v>
      </c>
      <c r="I320" s="4" t="s">
        <v>47</v>
      </c>
      <c r="J320" s="4">
        <v>5309</v>
      </c>
      <c r="K320" s="4" t="s">
        <v>48</v>
      </c>
      <c r="L320" s="4">
        <v>5309050</v>
      </c>
      <c r="M320" s="4">
        <v>5309050004</v>
      </c>
      <c r="N320" s="4" t="s">
        <v>49</v>
      </c>
      <c r="O320" s="4">
        <v>47112</v>
      </c>
      <c r="P320" s="4" t="s">
        <v>1485</v>
      </c>
      <c r="Q320" s="5">
        <v>1</v>
      </c>
      <c r="R320" s="5">
        <v>0</v>
      </c>
      <c r="S320" s="5">
        <v>0</v>
      </c>
      <c r="T320" s="5">
        <v>2500000</v>
      </c>
      <c r="U320" s="5">
        <v>150000</v>
      </c>
      <c r="V320" s="5">
        <v>0</v>
      </c>
      <c r="W320" s="5">
        <v>2650000</v>
      </c>
      <c r="X320" s="5">
        <v>5000000</v>
      </c>
      <c r="Y320" s="5">
        <v>0</v>
      </c>
      <c r="Z320" s="5">
        <f t="shared" si="36"/>
        <v>2350000</v>
      </c>
      <c r="AA320" s="5">
        <v>1300000</v>
      </c>
      <c r="AB320" s="5">
        <f t="shared" si="37"/>
        <v>2500000</v>
      </c>
      <c r="AC320" s="5" t="s">
        <v>93</v>
      </c>
      <c r="AD320" s="4" t="s">
        <v>51</v>
      </c>
      <c r="AE320" s="5">
        <f t="shared" si="38"/>
        <v>0.94</v>
      </c>
      <c r="AF320" s="5">
        <v>2500000</v>
      </c>
      <c r="AG320" s="5">
        <v>1</v>
      </c>
      <c r="AH320" s="5">
        <v>1</v>
      </c>
      <c r="AI320" s="5">
        <v>1</v>
      </c>
      <c r="AJ320" s="7" t="s">
        <v>1486</v>
      </c>
      <c r="AK320" s="5">
        <v>0</v>
      </c>
      <c r="AL320" s="5">
        <v>0</v>
      </c>
      <c r="AM320" s="4">
        <v>2024</v>
      </c>
      <c r="AN320" s="5">
        <v>0</v>
      </c>
      <c r="AO320" s="5">
        <v>1</v>
      </c>
      <c r="AP320" s="8"/>
      <c r="AQ320" s="8"/>
      <c r="AR320" s="8">
        <f t="shared" si="39"/>
        <v>0</v>
      </c>
      <c r="AS320" s="8">
        <f t="shared" si="40"/>
        <v>150000</v>
      </c>
      <c r="AT320" s="8">
        <f t="shared" si="41"/>
        <v>1850000</v>
      </c>
      <c r="AU320" s="8">
        <f t="shared" si="42"/>
        <v>650000</v>
      </c>
      <c r="AV320" s="4" t="s">
        <v>1485</v>
      </c>
      <c r="AW320" s="7" t="s">
        <v>1486</v>
      </c>
      <c r="AX320" s="5">
        <v>2500000</v>
      </c>
      <c r="AY320">
        <f t="shared" si="43"/>
        <v>0</v>
      </c>
      <c r="AZ320">
        <f t="shared" si="44"/>
        <v>650000</v>
      </c>
      <c r="BA320" s="5">
        <v>5000000</v>
      </c>
      <c r="BB320" s="5">
        <v>0</v>
      </c>
      <c r="BC320" s="4" t="s">
        <v>49</v>
      </c>
      <c r="BD320" s="4">
        <v>47112</v>
      </c>
      <c r="BE320" t="s">
        <v>54</v>
      </c>
    </row>
    <row r="321" spans="1:57" ht="270.75" thickBot="1" x14ac:dyDescent="0.3">
      <c r="A321" s="4" t="s">
        <v>1487</v>
      </c>
      <c r="B321" s="4">
        <v>1002</v>
      </c>
      <c r="C321" s="5">
        <v>2</v>
      </c>
      <c r="D321" s="4" t="s">
        <v>44</v>
      </c>
      <c r="E321" s="6">
        <v>46290.925872754633</v>
      </c>
      <c r="F321" s="4" t="s">
        <v>1488</v>
      </c>
      <c r="G321" s="4" t="s">
        <v>46</v>
      </c>
      <c r="H321" s="4">
        <v>53</v>
      </c>
      <c r="I321" s="4" t="s">
        <v>47</v>
      </c>
      <c r="J321" s="4">
        <v>5309</v>
      </c>
      <c r="K321" s="4" t="s">
        <v>48</v>
      </c>
      <c r="L321" s="4">
        <v>5309030</v>
      </c>
      <c r="M321" s="4">
        <v>5309030021</v>
      </c>
      <c r="N321" s="4" t="s">
        <v>49</v>
      </c>
      <c r="O321" s="4">
        <v>47112</v>
      </c>
      <c r="P321" s="4" t="s">
        <v>1489</v>
      </c>
      <c r="Q321" s="5">
        <v>1</v>
      </c>
      <c r="R321" s="5">
        <v>0</v>
      </c>
      <c r="S321" s="5">
        <v>300000</v>
      </c>
      <c r="T321" s="5">
        <v>10000000</v>
      </c>
      <c r="U321" s="5">
        <v>1200000</v>
      </c>
      <c r="V321" s="5">
        <v>0</v>
      </c>
      <c r="W321" s="5">
        <v>11500000</v>
      </c>
      <c r="X321" s="5">
        <v>30000000</v>
      </c>
      <c r="Y321" s="5">
        <v>0</v>
      </c>
      <c r="Z321" s="5">
        <f t="shared" si="36"/>
        <v>18500000</v>
      </c>
      <c r="AA321" s="5">
        <v>160000000</v>
      </c>
      <c r="AB321" s="5">
        <f t="shared" si="37"/>
        <v>20000000</v>
      </c>
      <c r="AC321" s="5" t="s">
        <v>172</v>
      </c>
      <c r="AD321" s="4" t="s">
        <v>51</v>
      </c>
      <c r="AE321" s="5">
        <f t="shared" si="38"/>
        <v>0.92500000000000004</v>
      </c>
      <c r="AF321" s="5">
        <v>20000000</v>
      </c>
      <c r="AG321" s="5">
        <v>1</v>
      </c>
      <c r="AH321" s="5">
        <v>1</v>
      </c>
      <c r="AI321" s="5">
        <v>1</v>
      </c>
      <c r="AJ321" s="7" t="s">
        <v>1490</v>
      </c>
      <c r="AK321" s="5">
        <v>0</v>
      </c>
      <c r="AL321" s="5">
        <v>0</v>
      </c>
      <c r="AM321" s="4">
        <v>2020</v>
      </c>
      <c r="AN321" s="5">
        <v>0</v>
      </c>
      <c r="AO321" s="5">
        <v>1</v>
      </c>
      <c r="AP321" s="8"/>
      <c r="AQ321" s="8"/>
      <c r="AR321" s="8">
        <f t="shared" si="39"/>
        <v>0</v>
      </c>
      <c r="AS321" s="8">
        <f t="shared" si="40"/>
        <v>1500000</v>
      </c>
      <c r="AT321" s="8">
        <f t="shared" si="41"/>
        <v>14800000</v>
      </c>
      <c r="AU321" s="8">
        <f t="shared" si="42"/>
        <v>5200000</v>
      </c>
      <c r="AV321" s="4" t="s">
        <v>1489</v>
      </c>
      <c r="AW321" s="7" t="s">
        <v>1490</v>
      </c>
      <c r="AX321" s="5">
        <v>10000000</v>
      </c>
      <c r="AY321">
        <f t="shared" si="43"/>
        <v>1040000</v>
      </c>
      <c r="AZ321">
        <f t="shared" si="44"/>
        <v>4160000</v>
      </c>
      <c r="BA321" s="5">
        <v>30000000</v>
      </c>
      <c r="BB321" s="5">
        <v>0</v>
      </c>
      <c r="BC321" s="4" t="s">
        <v>49</v>
      </c>
      <c r="BD321" s="4">
        <v>47112</v>
      </c>
      <c r="BE321" t="s">
        <v>54</v>
      </c>
    </row>
    <row r="322" spans="1:57" ht="270.75" thickBot="1" x14ac:dyDescent="0.3">
      <c r="A322" s="4" t="s">
        <v>1491</v>
      </c>
      <c r="B322" s="4">
        <v>1</v>
      </c>
      <c r="C322" s="5">
        <v>2</v>
      </c>
      <c r="D322" s="4" t="s">
        <v>60</v>
      </c>
      <c r="E322" s="6">
        <v>46280.521677199074</v>
      </c>
      <c r="F322" s="4" t="s">
        <v>1492</v>
      </c>
      <c r="G322" s="4" t="s">
        <v>46</v>
      </c>
      <c r="H322" s="4">
        <v>53</v>
      </c>
      <c r="I322" s="4" t="s">
        <v>47</v>
      </c>
      <c r="J322" s="4">
        <v>5309</v>
      </c>
      <c r="K322" s="4" t="s">
        <v>48</v>
      </c>
      <c r="L322" s="4">
        <v>5309072</v>
      </c>
      <c r="M322" s="4">
        <v>5309072005</v>
      </c>
      <c r="N322" s="4" t="s">
        <v>49</v>
      </c>
      <c r="O322" s="4">
        <v>47112</v>
      </c>
      <c r="P322" s="4" t="s">
        <v>1493</v>
      </c>
      <c r="Q322" s="5">
        <v>3</v>
      </c>
      <c r="R322" s="5">
        <v>0</v>
      </c>
      <c r="S322" s="5">
        <v>0</v>
      </c>
      <c r="T322" s="5">
        <v>156000000</v>
      </c>
      <c r="U322" s="5">
        <v>105000</v>
      </c>
      <c r="V322" s="5">
        <v>0</v>
      </c>
      <c r="W322" s="5">
        <v>156105000</v>
      </c>
      <c r="X322" s="5">
        <v>162000000</v>
      </c>
      <c r="Y322" s="5">
        <v>2640000</v>
      </c>
      <c r="Z322" s="5">
        <f t="shared" si="36"/>
        <v>5895000</v>
      </c>
      <c r="AA322" s="5">
        <v>1</v>
      </c>
      <c r="AB322" s="5">
        <f t="shared" si="37"/>
        <v>6000000</v>
      </c>
      <c r="AC322" s="5" t="s">
        <v>1494</v>
      </c>
      <c r="AD322" s="4" t="s">
        <v>51</v>
      </c>
      <c r="AE322" s="5">
        <f t="shared" si="38"/>
        <v>0.98250000000000004</v>
      </c>
      <c r="AF322" s="5">
        <v>2000000</v>
      </c>
      <c r="AG322" s="5">
        <v>1</v>
      </c>
      <c r="AH322" s="5">
        <v>1</v>
      </c>
      <c r="AI322" s="5">
        <v>1</v>
      </c>
      <c r="AJ322" s="7" t="s">
        <v>1495</v>
      </c>
      <c r="AK322" s="5">
        <v>0</v>
      </c>
      <c r="AL322" s="5">
        <v>0</v>
      </c>
      <c r="AM322" s="4">
        <v>2010</v>
      </c>
      <c r="AN322" s="5">
        <v>0</v>
      </c>
      <c r="AO322" s="5">
        <v>3</v>
      </c>
      <c r="AP322" s="8"/>
      <c r="AQ322" s="8"/>
      <c r="AR322" s="8">
        <f t="shared" si="39"/>
        <v>0</v>
      </c>
      <c r="AS322" s="8">
        <f t="shared" si="40"/>
        <v>105000</v>
      </c>
      <c r="AT322" s="8">
        <f t="shared" si="41"/>
        <v>4440000</v>
      </c>
      <c r="AU322" s="8">
        <f t="shared" si="42"/>
        <v>1560000</v>
      </c>
      <c r="AV322" s="4" t="s">
        <v>1493</v>
      </c>
      <c r="AW322" s="7" t="s">
        <v>1495</v>
      </c>
      <c r="AX322" s="5">
        <v>156000000</v>
      </c>
      <c r="AY322">
        <f t="shared" si="43"/>
        <v>0</v>
      </c>
      <c r="AZ322">
        <f t="shared" si="44"/>
        <v>1560000</v>
      </c>
      <c r="BA322" s="5">
        <v>162000000</v>
      </c>
      <c r="BB322" s="5">
        <v>2640000</v>
      </c>
      <c r="BC322" s="4" t="s">
        <v>49</v>
      </c>
      <c r="BD322" s="4">
        <v>47112</v>
      </c>
      <c r="BE322" t="s">
        <v>54</v>
      </c>
    </row>
    <row r="323" spans="1:57" ht="270.75" thickBot="1" x14ac:dyDescent="0.3">
      <c r="A323" s="11" t="s">
        <v>1496</v>
      </c>
      <c r="B323" s="4">
        <v>2001</v>
      </c>
      <c r="C323" s="5">
        <v>2</v>
      </c>
      <c r="D323" s="4" t="s">
        <v>44</v>
      </c>
      <c r="E323" s="6">
        <v>46268.892680034725</v>
      </c>
      <c r="F323" s="11" t="s">
        <v>1497</v>
      </c>
      <c r="G323" s="4" t="s">
        <v>46</v>
      </c>
      <c r="H323" s="4">
        <v>53</v>
      </c>
      <c r="I323" s="4" t="s">
        <v>47</v>
      </c>
      <c r="J323" s="4">
        <v>5309</v>
      </c>
      <c r="K323" s="4" t="s">
        <v>48</v>
      </c>
      <c r="L323" s="4">
        <v>5309070</v>
      </c>
      <c r="M323" s="4">
        <v>5309070006</v>
      </c>
      <c r="N323" s="4" t="s">
        <v>49</v>
      </c>
      <c r="O323" s="4">
        <v>47112</v>
      </c>
      <c r="P323" s="4" t="s">
        <v>1498</v>
      </c>
      <c r="Q323" s="5">
        <v>1</v>
      </c>
      <c r="R323" s="5">
        <v>0</v>
      </c>
      <c r="S323" s="5">
        <v>900000</v>
      </c>
      <c r="T323" s="5">
        <v>72000000</v>
      </c>
      <c r="U323" s="5">
        <v>0</v>
      </c>
      <c r="V323" s="5">
        <v>0</v>
      </c>
      <c r="W323" s="5">
        <v>72900000</v>
      </c>
      <c r="X323" s="5">
        <v>90000000</v>
      </c>
      <c r="Y323" s="5">
        <v>0</v>
      </c>
      <c r="Z323" s="5">
        <f t="shared" ref="Z323:Z386" si="45">X323-SUM(S323:U323)</f>
        <v>17100000</v>
      </c>
      <c r="AA323" s="5">
        <v>9000000</v>
      </c>
      <c r="AB323" s="5">
        <f t="shared" ref="AB323:AB386" si="46">X323-T323</f>
        <v>18000000</v>
      </c>
      <c r="AC323" s="5" t="s">
        <v>52</v>
      </c>
      <c r="AD323" s="4" t="s">
        <v>51</v>
      </c>
      <c r="AE323" s="5">
        <f t="shared" ref="AE323:AE386" si="47">Z323/AB323</f>
        <v>0.95</v>
      </c>
      <c r="AF323" s="5">
        <v>18000000</v>
      </c>
      <c r="AG323" s="5">
        <v>1</v>
      </c>
      <c r="AH323" s="5">
        <v>1</v>
      </c>
      <c r="AI323" s="5">
        <v>1</v>
      </c>
      <c r="AJ323" s="7" t="s">
        <v>1499</v>
      </c>
      <c r="AK323" s="5">
        <v>0</v>
      </c>
      <c r="AL323" s="5">
        <v>0</v>
      </c>
      <c r="AM323" s="4">
        <v>2024</v>
      </c>
      <c r="AN323" s="5">
        <v>0</v>
      </c>
      <c r="AO323" s="5">
        <v>1</v>
      </c>
      <c r="AP323" s="8"/>
      <c r="AQ323" s="8"/>
      <c r="AR323" s="8">
        <f t="shared" ref="AR323:AR386" si="48">IF(Z323&lt;=0,1,0)</f>
        <v>0</v>
      </c>
      <c r="AS323" s="8">
        <f t="shared" ref="AS323:AS386" si="49">AB323-Z323</f>
        <v>900000</v>
      </c>
      <c r="AT323" s="8">
        <f t="shared" ref="AT323:AT386" si="50">IF(AE323&gt;0.78,(Z323*0.74/AE323),IF(Z323&lt;0.64,(Z323*0.68/AE323),Z323))</f>
        <v>13320000</v>
      </c>
      <c r="AU323" s="8">
        <f t="shared" ref="AU323:AU386" si="51">AB323-AT323</f>
        <v>4680000</v>
      </c>
      <c r="AV323" s="4" t="s">
        <v>1498</v>
      </c>
      <c r="AW323" s="7" t="s">
        <v>1499</v>
      </c>
      <c r="AX323" s="5">
        <v>72000000</v>
      </c>
      <c r="AY323">
        <f t="shared" ref="AY323:AY386" si="52">AU323-AZ323</f>
        <v>4680000</v>
      </c>
      <c r="AZ323">
        <f t="shared" ref="AZ323:AZ386" si="53">U323*AU323/AS323</f>
        <v>0</v>
      </c>
      <c r="BA323" s="5">
        <v>90000000</v>
      </c>
      <c r="BB323" s="5">
        <v>0</v>
      </c>
      <c r="BC323" s="4" t="s">
        <v>49</v>
      </c>
      <c r="BD323" s="4">
        <v>47112</v>
      </c>
      <c r="BE323" t="s">
        <v>54</v>
      </c>
    </row>
    <row r="324" spans="1:57" ht="270.75" thickBot="1" x14ac:dyDescent="0.3">
      <c r="A324" s="4" t="s">
        <v>1500</v>
      </c>
      <c r="B324" s="4">
        <v>3001</v>
      </c>
      <c r="C324" s="5">
        <v>2</v>
      </c>
      <c r="D324" s="4" t="s">
        <v>44</v>
      </c>
      <c r="E324" s="6">
        <v>46230.458534282407</v>
      </c>
      <c r="F324" s="4" t="s">
        <v>1501</v>
      </c>
      <c r="G324" s="4" t="s">
        <v>46</v>
      </c>
      <c r="H324" s="4">
        <v>53</v>
      </c>
      <c r="I324" s="4" t="s">
        <v>47</v>
      </c>
      <c r="J324" s="4">
        <v>5309</v>
      </c>
      <c r="K324" s="4" t="s">
        <v>48</v>
      </c>
      <c r="L324" s="4">
        <v>5309071</v>
      </c>
      <c r="M324" s="4">
        <v>5309071002</v>
      </c>
      <c r="N324" s="4" t="s">
        <v>49</v>
      </c>
      <c r="O324" s="4">
        <v>47112</v>
      </c>
      <c r="P324" s="4" t="s">
        <v>1502</v>
      </c>
      <c r="Q324" s="5">
        <v>1</v>
      </c>
      <c r="R324" s="5">
        <v>0</v>
      </c>
      <c r="S324" s="5">
        <v>0</v>
      </c>
      <c r="T324" s="5">
        <v>25000000</v>
      </c>
      <c r="U324" s="5">
        <v>1500000</v>
      </c>
      <c r="V324" s="5">
        <v>800000</v>
      </c>
      <c r="W324" s="5">
        <v>27300000</v>
      </c>
      <c r="X324" s="5">
        <v>38000000</v>
      </c>
      <c r="Y324" s="5">
        <v>0</v>
      </c>
      <c r="Z324" s="5">
        <f t="shared" si="45"/>
        <v>11500000</v>
      </c>
      <c r="AA324" s="5">
        <v>410000000</v>
      </c>
      <c r="AB324" s="5">
        <f t="shared" si="46"/>
        <v>13000000</v>
      </c>
      <c r="AC324" s="5" t="s">
        <v>1503</v>
      </c>
      <c r="AD324" s="4" t="s">
        <v>51</v>
      </c>
      <c r="AE324" s="5">
        <f t="shared" si="47"/>
        <v>0.88461538461538458</v>
      </c>
      <c r="AF324" s="5">
        <v>13000000</v>
      </c>
      <c r="AG324" s="5">
        <v>1</v>
      </c>
      <c r="AH324" s="5">
        <v>1</v>
      </c>
      <c r="AI324" s="5">
        <v>1</v>
      </c>
      <c r="AJ324" s="7" t="s">
        <v>1504</v>
      </c>
      <c r="AK324" s="5">
        <v>0</v>
      </c>
      <c r="AL324" s="5">
        <v>0</v>
      </c>
      <c r="AM324" s="4">
        <v>2010</v>
      </c>
      <c r="AN324" s="5">
        <v>0</v>
      </c>
      <c r="AO324" s="5">
        <v>1</v>
      </c>
      <c r="AP324" s="8"/>
      <c r="AQ324" s="8"/>
      <c r="AR324" s="8">
        <f t="shared" si="48"/>
        <v>0</v>
      </c>
      <c r="AS324" s="8">
        <f t="shared" si="49"/>
        <v>1500000</v>
      </c>
      <c r="AT324" s="8">
        <f t="shared" si="50"/>
        <v>9620000</v>
      </c>
      <c r="AU324" s="8">
        <f t="shared" si="51"/>
        <v>3380000</v>
      </c>
      <c r="AV324" s="4" t="s">
        <v>1502</v>
      </c>
      <c r="AW324" s="7" t="s">
        <v>1504</v>
      </c>
      <c r="AX324" s="5">
        <v>25000000</v>
      </c>
      <c r="AY324">
        <f t="shared" si="52"/>
        <v>0</v>
      </c>
      <c r="AZ324">
        <f t="shared" si="53"/>
        <v>3380000</v>
      </c>
      <c r="BA324" s="5">
        <v>38000000</v>
      </c>
      <c r="BB324" s="5">
        <v>0</v>
      </c>
      <c r="BC324" s="4" t="s">
        <v>49</v>
      </c>
      <c r="BD324" s="4">
        <v>47112</v>
      </c>
      <c r="BE324" t="s">
        <v>54</v>
      </c>
    </row>
    <row r="325" spans="1:57" ht="270.75" thickBot="1" x14ac:dyDescent="0.3">
      <c r="A325" s="4" t="s">
        <v>1505</v>
      </c>
      <c r="B325" s="4">
        <v>1002</v>
      </c>
      <c r="C325" s="5">
        <v>2</v>
      </c>
      <c r="D325" s="4" t="s">
        <v>60</v>
      </c>
      <c r="E325" s="6">
        <v>46314.329864108797</v>
      </c>
      <c r="F325" s="4" t="s">
        <v>1506</v>
      </c>
      <c r="G325" s="4" t="s">
        <v>46</v>
      </c>
      <c r="H325" s="4">
        <v>53</v>
      </c>
      <c r="I325" s="4" t="s">
        <v>47</v>
      </c>
      <c r="J325" s="4">
        <v>5309</v>
      </c>
      <c r="K325" s="4" t="s">
        <v>48</v>
      </c>
      <c r="L325" s="4">
        <v>5309011</v>
      </c>
      <c r="M325" s="4">
        <v>5309011007</v>
      </c>
      <c r="N325" s="4" t="s">
        <v>49</v>
      </c>
      <c r="O325" s="4">
        <v>47112</v>
      </c>
      <c r="P325" s="4" t="s">
        <v>1507</v>
      </c>
      <c r="Q325" s="5">
        <v>2</v>
      </c>
      <c r="R325" s="5">
        <v>0</v>
      </c>
      <c r="S325" s="5">
        <v>3000000</v>
      </c>
      <c r="T325" s="5">
        <v>24000000</v>
      </c>
      <c r="U325" s="5">
        <v>1000000</v>
      </c>
      <c r="V325" s="5">
        <v>0</v>
      </c>
      <c r="W325" s="5">
        <v>28000000</v>
      </c>
      <c r="X325" s="5">
        <v>42000000</v>
      </c>
      <c r="Y325" s="5">
        <v>0</v>
      </c>
      <c r="Z325" s="5">
        <f t="shared" si="45"/>
        <v>14000000</v>
      </c>
      <c r="AA325" s="5">
        <v>1000000</v>
      </c>
      <c r="AB325" s="5">
        <f t="shared" si="46"/>
        <v>18000000</v>
      </c>
      <c r="AC325" s="5" t="s">
        <v>144</v>
      </c>
      <c r="AD325" s="4" t="s">
        <v>51</v>
      </c>
      <c r="AE325" s="5">
        <f t="shared" si="47"/>
        <v>0.77777777777777779</v>
      </c>
      <c r="AF325" s="5">
        <v>9000000</v>
      </c>
      <c r="AG325" s="5">
        <v>1</v>
      </c>
      <c r="AH325" s="5">
        <v>1</v>
      </c>
      <c r="AI325" s="5">
        <v>1</v>
      </c>
      <c r="AJ325" s="7" t="s">
        <v>1508</v>
      </c>
      <c r="AK325" s="5">
        <v>0</v>
      </c>
      <c r="AL325" s="5">
        <v>0</v>
      </c>
      <c r="AM325" s="4">
        <v>2023</v>
      </c>
      <c r="AN325" s="5">
        <v>0</v>
      </c>
      <c r="AO325" s="5">
        <v>2</v>
      </c>
      <c r="AP325" s="8"/>
      <c r="AQ325" s="8"/>
      <c r="AR325" s="8">
        <f t="shared" si="48"/>
        <v>0</v>
      </c>
      <c r="AS325" s="8">
        <f t="shared" si="49"/>
        <v>4000000</v>
      </c>
      <c r="AT325" s="8">
        <f t="shared" si="50"/>
        <v>14000000</v>
      </c>
      <c r="AU325" s="8">
        <f t="shared" si="51"/>
        <v>4000000</v>
      </c>
      <c r="AV325" s="4" t="s">
        <v>1507</v>
      </c>
      <c r="AW325" s="7" t="s">
        <v>1508</v>
      </c>
      <c r="AX325" s="5">
        <v>24000000</v>
      </c>
      <c r="AY325">
        <f t="shared" si="52"/>
        <v>3000000</v>
      </c>
      <c r="AZ325">
        <f t="shared" si="53"/>
        <v>1000000</v>
      </c>
      <c r="BA325" s="5">
        <v>42000000</v>
      </c>
      <c r="BB325" s="5">
        <v>0</v>
      </c>
      <c r="BC325" s="4" t="s">
        <v>49</v>
      </c>
      <c r="BD325" s="4">
        <v>47112</v>
      </c>
      <c r="BE325" t="s">
        <v>54</v>
      </c>
    </row>
    <row r="326" spans="1:57" ht="270.75" thickBot="1" x14ac:dyDescent="0.3">
      <c r="A326" s="4" t="s">
        <v>1509</v>
      </c>
      <c r="B326" s="4">
        <v>3001</v>
      </c>
      <c r="C326" s="5">
        <v>2</v>
      </c>
      <c r="D326" s="4" t="s">
        <v>44</v>
      </c>
      <c r="E326" s="6">
        <v>46262.974680717591</v>
      </c>
      <c r="F326" s="4" t="s">
        <v>1510</v>
      </c>
      <c r="G326" s="4" t="s">
        <v>46</v>
      </c>
      <c r="H326" s="4">
        <v>53</v>
      </c>
      <c r="I326" s="4" t="s">
        <v>47</v>
      </c>
      <c r="J326" s="4">
        <v>5309</v>
      </c>
      <c r="K326" s="4" t="s">
        <v>48</v>
      </c>
      <c r="L326" s="4">
        <v>5309074</v>
      </c>
      <c r="M326" s="4">
        <v>5309074002</v>
      </c>
      <c r="N326" s="4" t="s">
        <v>49</v>
      </c>
      <c r="O326" s="4">
        <v>47112</v>
      </c>
      <c r="P326" s="4" t="s">
        <v>1511</v>
      </c>
      <c r="Q326" s="5">
        <v>1</v>
      </c>
      <c r="R326" s="5">
        <v>0</v>
      </c>
      <c r="S326" s="5">
        <v>0</v>
      </c>
      <c r="T326" s="5">
        <v>12000000</v>
      </c>
      <c r="U326" s="5">
        <v>200000</v>
      </c>
      <c r="V326" s="5">
        <v>0</v>
      </c>
      <c r="W326" s="5">
        <v>12200000</v>
      </c>
      <c r="X326" s="5">
        <v>13000000</v>
      </c>
      <c r="Y326" s="5">
        <v>0</v>
      </c>
      <c r="Z326" s="5">
        <f t="shared" si="45"/>
        <v>800000</v>
      </c>
      <c r="AA326" s="5">
        <v>200000</v>
      </c>
      <c r="AB326" s="5">
        <f t="shared" si="46"/>
        <v>1000000</v>
      </c>
      <c r="AC326" s="5" t="s">
        <v>1512</v>
      </c>
      <c r="AD326" s="4" t="s">
        <v>51</v>
      </c>
      <c r="AE326" s="5">
        <f t="shared" si="47"/>
        <v>0.8</v>
      </c>
      <c r="AF326" s="5">
        <v>-7200000</v>
      </c>
      <c r="AG326" s="5">
        <v>1</v>
      </c>
      <c r="AH326" s="5">
        <v>1</v>
      </c>
      <c r="AI326" s="5">
        <v>1</v>
      </c>
      <c r="AJ326" s="7" t="s">
        <v>1513</v>
      </c>
      <c r="AK326" s="5">
        <v>0</v>
      </c>
      <c r="AL326" s="5">
        <v>0</v>
      </c>
      <c r="AM326" s="4">
        <v>2020</v>
      </c>
      <c r="AN326" s="5">
        <v>0</v>
      </c>
      <c r="AO326" s="5">
        <v>1</v>
      </c>
      <c r="AP326" s="8"/>
      <c r="AQ326" s="8"/>
      <c r="AR326" s="8">
        <f t="shared" si="48"/>
        <v>0</v>
      </c>
      <c r="AS326" s="8">
        <f t="shared" si="49"/>
        <v>200000</v>
      </c>
      <c r="AT326" s="8">
        <f t="shared" si="50"/>
        <v>740000</v>
      </c>
      <c r="AU326" s="8">
        <f t="shared" si="51"/>
        <v>260000</v>
      </c>
      <c r="AV326" s="4" t="s">
        <v>1511</v>
      </c>
      <c r="AW326" s="7" t="s">
        <v>1513</v>
      </c>
      <c r="AX326" s="5">
        <v>12000000</v>
      </c>
      <c r="AY326">
        <f t="shared" si="52"/>
        <v>0</v>
      </c>
      <c r="AZ326">
        <f t="shared" si="53"/>
        <v>260000</v>
      </c>
      <c r="BA326" s="5">
        <v>13000000</v>
      </c>
      <c r="BB326" s="5">
        <v>0</v>
      </c>
      <c r="BC326" s="4" t="s">
        <v>49</v>
      </c>
      <c r="BD326" s="4">
        <v>47112</v>
      </c>
      <c r="BE326" t="s">
        <v>54</v>
      </c>
    </row>
    <row r="327" spans="1:57" ht="270.75" thickBot="1" x14ac:dyDescent="0.3">
      <c r="A327" s="4" t="s">
        <v>1514</v>
      </c>
      <c r="B327" s="4">
        <v>1002</v>
      </c>
      <c r="C327" s="5">
        <v>2</v>
      </c>
      <c r="D327" s="4" t="s">
        <v>44</v>
      </c>
      <c r="E327" s="6">
        <v>46229.012002256946</v>
      </c>
      <c r="F327" s="4" t="s">
        <v>1515</v>
      </c>
      <c r="G327" s="4" t="s">
        <v>46</v>
      </c>
      <c r="H327" s="4">
        <v>53</v>
      </c>
      <c r="I327" s="4" t="s">
        <v>47</v>
      </c>
      <c r="J327" s="4">
        <v>5309</v>
      </c>
      <c r="K327" s="4" t="s">
        <v>48</v>
      </c>
      <c r="L327" s="4">
        <v>5309062</v>
      </c>
      <c r="M327" s="4">
        <v>5309062006</v>
      </c>
      <c r="N327" s="4" t="s">
        <v>49</v>
      </c>
      <c r="O327" s="4">
        <v>47112</v>
      </c>
      <c r="P327" s="4" t="s">
        <v>1516</v>
      </c>
      <c r="Q327" s="5">
        <v>2</v>
      </c>
      <c r="R327" s="5">
        <v>0</v>
      </c>
      <c r="S327" s="5">
        <v>0</v>
      </c>
      <c r="T327" s="5">
        <v>33600000</v>
      </c>
      <c r="U327" s="5">
        <v>2400000</v>
      </c>
      <c r="V327" s="5">
        <v>0</v>
      </c>
      <c r="W327" s="5">
        <v>36000000</v>
      </c>
      <c r="X327" s="5">
        <v>53760000</v>
      </c>
      <c r="Y327" s="5">
        <v>0</v>
      </c>
      <c r="Z327" s="5">
        <f t="shared" si="45"/>
        <v>17760000</v>
      </c>
      <c r="AA327" s="5">
        <v>1200000</v>
      </c>
      <c r="AB327" s="5">
        <f t="shared" si="46"/>
        <v>20160000</v>
      </c>
      <c r="AC327" s="5" t="s">
        <v>90</v>
      </c>
      <c r="AD327" s="4" t="s">
        <v>51</v>
      </c>
      <c r="AE327" s="5">
        <f t="shared" si="47"/>
        <v>0.88095238095238093</v>
      </c>
      <c r="AF327" s="5">
        <v>10080000</v>
      </c>
      <c r="AG327" s="5">
        <v>1</v>
      </c>
      <c r="AH327" s="5">
        <v>1</v>
      </c>
      <c r="AI327" s="5">
        <v>1</v>
      </c>
      <c r="AJ327" s="7" t="s">
        <v>1517</v>
      </c>
      <c r="AK327" s="5">
        <v>0</v>
      </c>
      <c r="AL327" s="5">
        <v>0</v>
      </c>
      <c r="AM327" s="4">
        <v>2020</v>
      </c>
      <c r="AN327" s="5">
        <v>0</v>
      </c>
      <c r="AO327" s="5">
        <v>2</v>
      </c>
      <c r="AP327" s="8"/>
      <c r="AQ327" s="8"/>
      <c r="AR327" s="8">
        <f t="shared" si="48"/>
        <v>0</v>
      </c>
      <c r="AS327" s="8">
        <f t="shared" si="49"/>
        <v>2400000</v>
      </c>
      <c r="AT327" s="8">
        <f t="shared" si="50"/>
        <v>14918400</v>
      </c>
      <c r="AU327" s="8">
        <f t="shared" si="51"/>
        <v>5241600</v>
      </c>
      <c r="AV327" s="4" t="s">
        <v>1516</v>
      </c>
      <c r="AW327" s="7" t="s">
        <v>1517</v>
      </c>
      <c r="AX327" s="5">
        <v>33600000</v>
      </c>
      <c r="AY327">
        <f t="shared" si="52"/>
        <v>0</v>
      </c>
      <c r="AZ327">
        <f t="shared" si="53"/>
        <v>5241600</v>
      </c>
      <c r="BA327" s="5">
        <v>53760000</v>
      </c>
      <c r="BB327" s="5">
        <v>0</v>
      </c>
      <c r="BC327" s="4" t="s">
        <v>49</v>
      </c>
      <c r="BD327" s="4">
        <v>47112</v>
      </c>
      <c r="BE327" t="s">
        <v>54</v>
      </c>
    </row>
    <row r="328" spans="1:57" ht="255.75" thickBot="1" x14ac:dyDescent="0.3">
      <c r="A328" s="4" t="s">
        <v>1518</v>
      </c>
      <c r="B328" s="4">
        <v>2001</v>
      </c>
      <c r="C328" s="5">
        <v>2</v>
      </c>
      <c r="D328" s="4" t="s">
        <v>44</v>
      </c>
      <c r="E328" s="6">
        <v>46263.027448379631</v>
      </c>
      <c r="F328" s="4" t="s">
        <v>1519</v>
      </c>
      <c r="G328" s="4" t="s">
        <v>46</v>
      </c>
      <c r="H328" s="4">
        <v>53</v>
      </c>
      <c r="I328" s="4" t="s">
        <v>47</v>
      </c>
      <c r="J328" s="4">
        <v>5309</v>
      </c>
      <c r="K328" s="4" t="s">
        <v>48</v>
      </c>
      <c r="L328" s="4">
        <v>5309050</v>
      </c>
      <c r="M328" s="4">
        <v>5309050005</v>
      </c>
      <c r="N328" s="4" t="s">
        <v>49</v>
      </c>
      <c r="O328" s="4">
        <v>47112</v>
      </c>
      <c r="P328" s="4" t="s">
        <v>1520</v>
      </c>
      <c r="Q328" s="5">
        <v>2</v>
      </c>
      <c r="R328" s="5">
        <v>0</v>
      </c>
      <c r="S328" s="5">
        <v>250000</v>
      </c>
      <c r="T328" s="5">
        <v>12000000</v>
      </c>
      <c r="U328" s="5">
        <v>150000</v>
      </c>
      <c r="V328" s="5">
        <v>0</v>
      </c>
      <c r="W328" s="5">
        <v>12400000</v>
      </c>
      <c r="X328" s="5">
        <v>17250000</v>
      </c>
      <c r="Y328" s="5">
        <v>0</v>
      </c>
      <c r="Z328" s="5">
        <f t="shared" si="45"/>
        <v>4850000</v>
      </c>
      <c r="AA328" s="5">
        <v>2300000</v>
      </c>
      <c r="AB328" s="5">
        <f t="shared" si="46"/>
        <v>5250000</v>
      </c>
      <c r="AC328" s="5" t="s">
        <v>1060</v>
      </c>
      <c r="AD328" s="4" t="s">
        <v>51</v>
      </c>
      <c r="AE328" s="5">
        <f t="shared" si="47"/>
        <v>0.92380952380952386</v>
      </c>
      <c r="AF328" s="5">
        <v>2625000</v>
      </c>
      <c r="AG328" s="5">
        <v>1</v>
      </c>
      <c r="AH328" s="5">
        <v>1</v>
      </c>
      <c r="AI328" s="5">
        <v>1</v>
      </c>
      <c r="AJ328" s="7" t="s">
        <v>1521</v>
      </c>
      <c r="AK328" s="5">
        <v>0</v>
      </c>
      <c r="AL328" s="5">
        <v>0</v>
      </c>
      <c r="AM328" s="4">
        <v>2020</v>
      </c>
      <c r="AN328" s="5">
        <v>0</v>
      </c>
      <c r="AO328" s="5">
        <v>2</v>
      </c>
      <c r="AP328" s="8"/>
      <c r="AQ328" s="8"/>
      <c r="AR328" s="8">
        <f t="shared" si="48"/>
        <v>0</v>
      </c>
      <c r="AS328" s="8">
        <f t="shared" si="49"/>
        <v>400000</v>
      </c>
      <c r="AT328" s="8">
        <f t="shared" si="50"/>
        <v>3885000</v>
      </c>
      <c r="AU328" s="8">
        <f t="shared" si="51"/>
        <v>1365000</v>
      </c>
      <c r="AV328" s="4" t="s">
        <v>1520</v>
      </c>
      <c r="AW328" s="7" t="s">
        <v>1521</v>
      </c>
      <c r="AX328" s="5">
        <v>12000000</v>
      </c>
      <c r="AY328">
        <f t="shared" si="52"/>
        <v>853125</v>
      </c>
      <c r="AZ328">
        <f t="shared" si="53"/>
        <v>511875</v>
      </c>
      <c r="BA328" s="5">
        <v>17250000</v>
      </c>
      <c r="BB328" s="5">
        <v>0</v>
      </c>
      <c r="BC328" s="4" t="s">
        <v>49</v>
      </c>
      <c r="BD328" s="4">
        <v>47112</v>
      </c>
      <c r="BE328" t="s">
        <v>54</v>
      </c>
    </row>
    <row r="329" spans="1:57" ht="270.75" thickBot="1" x14ac:dyDescent="0.3">
      <c r="A329" s="4" t="s">
        <v>1522</v>
      </c>
      <c r="B329" s="4">
        <v>2001</v>
      </c>
      <c r="C329" s="5">
        <v>2</v>
      </c>
      <c r="D329" s="4" t="s">
        <v>56</v>
      </c>
      <c r="E329" s="6">
        <v>46316.249639016205</v>
      </c>
      <c r="F329" s="4" t="s">
        <v>1523</v>
      </c>
      <c r="G329" s="4" t="s">
        <v>46</v>
      </c>
      <c r="H329" s="4">
        <v>53</v>
      </c>
      <c r="I329" s="4" t="s">
        <v>47</v>
      </c>
      <c r="J329" s="4">
        <v>5309</v>
      </c>
      <c r="K329" s="4" t="s">
        <v>48</v>
      </c>
      <c r="L329" s="4">
        <v>5309030</v>
      </c>
      <c r="M329" s="4">
        <v>5309030011</v>
      </c>
      <c r="N329" s="4" t="s">
        <v>49</v>
      </c>
      <c r="O329" s="4">
        <v>47112</v>
      </c>
      <c r="P329" s="4" t="s">
        <v>1524</v>
      </c>
      <c r="Q329" s="5">
        <v>1</v>
      </c>
      <c r="R329" s="5">
        <v>0</v>
      </c>
      <c r="S329" s="5">
        <v>24000000</v>
      </c>
      <c r="T329" s="5">
        <v>9000000</v>
      </c>
      <c r="U329" s="5">
        <v>2400000</v>
      </c>
      <c r="V329" s="5">
        <v>0</v>
      </c>
      <c r="W329" s="5">
        <v>35400000</v>
      </c>
      <c r="X329" s="5">
        <v>42000000</v>
      </c>
      <c r="Y329" s="5">
        <v>0</v>
      </c>
      <c r="Z329" s="5">
        <f t="shared" si="45"/>
        <v>6600000</v>
      </c>
      <c r="AA329" s="5">
        <v>0</v>
      </c>
      <c r="AB329" s="5">
        <f t="shared" si="46"/>
        <v>33000000</v>
      </c>
      <c r="AC329" s="5" t="s">
        <v>1525</v>
      </c>
      <c r="AD329" s="4" t="s">
        <v>51</v>
      </c>
      <c r="AE329" s="5">
        <f t="shared" si="47"/>
        <v>0.2</v>
      </c>
      <c r="AF329" s="5">
        <v>33000000</v>
      </c>
      <c r="AG329" s="4"/>
      <c r="AH329" s="5">
        <v>1</v>
      </c>
      <c r="AI329" s="5">
        <v>1</v>
      </c>
      <c r="AJ329" s="7" t="s">
        <v>1526</v>
      </c>
      <c r="AK329" s="5">
        <v>0</v>
      </c>
      <c r="AL329" s="5">
        <v>0</v>
      </c>
      <c r="AM329" s="4">
        <v>2026</v>
      </c>
      <c r="AN329" s="5">
        <v>0</v>
      </c>
      <c r="AO329" s="5">
        <v>1</v>
      </c>
      <c r="AP329" s="8"/>
      <c r="AQ329" s="8"/>
      <c r="AR329" s="8">
        <f t="shared" si="48"/>
        <v>0</v>
      </c>
      <c r="AS329" s="8">
        <f t="shared" si="49"/>
        <v>26400000</v>
      </c>
      <c r="AT329" s="8">
        <f t="shared" si="50"/>
        <v>6600000</v>
      </c>
      <c r="AU329" s="8">
        <f t="shared" si="51"/>
        <v>26400000</v>
      </c>
      <c r="AV329" s="4" t="s">
        <v>1524</v>
      </c>
      <c r="AW329" s="7" t="s">
        <v>1526</v>
      </c>
      <c r="AX329" s="5">
        <v>9000000</v>
      </c>
      <c r="AY329">
        <f t="shared" si="52"/>
        <v>24000000</v>
      </c>
      <c r="AZ329">
        <f t="shared" si="53"/>
        <v>2400000</v>
      </c>
      <c r="BA329" s="5">
        <v>42000000</v>
      </c>
      <c r="BB329" s="5">
        <v>0</v>
      </c>
      <c r="BC329" s="4" t="s">
        <v>49</v>
      </c>
      <c r="BD329" s="4">
        <v>47112</v>
      </c>
      <c r="BE329" t="s">
        <v>54</v>
      </c>
    </row>
    <row r="330" spans="1:57" ht="270.75" thickBot="1" x14ac:dyDescent="0.3">
      <c r="A330" s="4" t="s">
        <v>1527</v>
      </c>
      <c r="B330" s="4">
        <v>2001</v>
      </c>
      <c r="C330" s="5">
        <v>2</v>
      </c>
      <c r="D330" s="4" t="s">
        <v>44</v>
      </c>
      <c r="E330" s="6">
        <v>46233.004011261575</v>
      </c>
      <c r="F330" s="4" t="s">
        <v>1528</v>
      </c>
      <c r="G330" s="4" t="s">
        <v>46</v>
      </c>
      <c r="H330" s="4">
        <v>53</v>
      </c>
      <c r="I330" s="4" t="s">
        <v>47</v>
      </c>
      <c r="J330" s="4">
        <v>5309</v>
      </c>
      <c r="K330" s="4" t="s">
        <v>48</v>
      </c>
      <c r="L330" s="4">
        <v>5309061</v>
      </c>
      <c r="M330" s="4">
        <v>5309061001</v>
      </c>
      <c r="N330" s="4" t="s">
        <v>49</v>
      </c>
      <c r="O330" s="4">
        <v>47112</v>
      </c>
      <c r="P330" s="4" t="s">
        <v>1529</v>
      </c>
      <c r="Q330" s="5">
        <v>1</v>
      </c>
      <c r="R330" s="5">
        <v>0</v>
      </c>
      <c r="S330" s="5">
        <v>0</v>
      </c>
      <c r="T330" s="5">
        <v>60000000</v>
      </c>
      <c r="U330" s="5">
        <v>4200000</v>
      </c>
      <c r="V330" s="5">
        <v>0</v>
      </c>
      <c r="W330" s="5">
        <v>64200000</v>
      </c>
      <c r="X330" s="5">
        <v>68400000</v>
      </c>
      <c r="Y330" s="5">
        <v>0</v>
      </c>
      <c r="Z330" s="5">
        <f t="shared" si="45"/>
        <v>4200000</v>
      </c>
      <c r="AA330" s="5">
        <v>0</v>
      </c>
      <c r="AB330" s="5">
        <f t="shared" si="46"/>
        <v>8400000</v>
      </c>
      <c r="AC330" s="5" t="s">
        <v>1530</v>
      </c>
      <c r="AD330" s="4" t="s">
        <v>51</v>
      </c>
      <c r="AE330" s="5">
        <f t="shared" si="47"/>
        <v>0.5</v>
      </c>
      <c r="AF330" s="5">
        <v>8400000</v>
      </c>
      <c r="AG330" s="4"/>
      <c r="AH330" s="5">
        <v>1</v>
      </c>
      <c r="AI330" s="5">
        <v>1</v>
      </c>
      <c r="AJ330" s="7" t="s">
        <v>1531</v>
      </c>
      <c r="AK330" s="5">
        <v>0</v>
      </c>
      <c r="AL330" s="5">
        <v>0</v>
      </c>
      <c r="AM330" s="4">
        <v>2026</v>
      </c>
      <c r="AN330" s="5">
        <v>0</v>
      </c>
      <c r="AO330" s="5">
        <v>1</v>
      </c>
      <c r="AP330" s="8"/>
      <c r="AQ330" s="8"/>
      <c r="AR330" s="8">
        <f t="shared" si="48"/>
        <v>0</v>
      </c>
      <c r="AS330" s="8">
        <f t="shared" si="49"/>
        <v>4200000</v>
      </c>
      <c r="AT330" s="8">
        <f t="shared" si="50"/>
        <v>4200000</v>
      </c>
      <c r="AU330" s="8">
        <f t="shared" si="51"/>
        <v>4200000</v>
      </c>
      <c r="AV330" s="4" t="s">
        <v>1529</v>
      </c>
      <c r="AW330" s="7" t="s">
        <v>1531</v>
      </c>
      <c r="AX330" s="5">
        <v>60000000</v>
      </c>
      <c r="AY330">
        <f t="shared" si="52"/>
        <v>0</v>
      </c>
      <c r="AZ330">
        <f t="shared" si="53"/>
        <v>4200000</v>
      </c>
      <c r="BA330" s="5">
        <v>68400000</v>
      </c>
      <c r="BB330" s="5">
        <v>0</v>
      </c>
      <c r="BC330" s="4" t="s">
        <v>49</v>
      </c>
      <c r="BD330" s="4">
        <v>47112</v>
      </c>
      <c r="BE330" t="s">
        <v>54</v>
      </c>
    </row>
    <row r="331" spans="1:57" ht="255.75" thickBot="1" x14ac:dyDescent="0.3">
      <c r="A331" s="4" t="s">
        <v>1532</v>
      </c>
      <c r="B331" s="4">
        <v>1</v>
      </c>
      <c r="C331" s="5">
        <v>2</v>
      </c>
      <c r="D331" s="4" t="s">
        <v>56</v>
      </c>
      <c r="E331" s="6">
        <v>46273.551056284719</v>
      </c>
      <c r="F331" s="4" t="s">
        <v>1533</v>
      </c>
      <c r="G331" s="4" t="s">
        <v>46</v>
      </c>
      <c r="H331" s="4">
        <v>53</v>
      </c>
      <c r="I331" s="4" t="s">
        <v>47</v>
      </c>
      <c r="J331" s="4">
        <v>5309</v>
      </c>
      <c r="K331" s="4" t="s">
        <v>48</v>
      </c>
      <c r="L331" s="4">
        <v>5309041</v>
      </c>
      <c r="M331" s="4">
        <v>5309041007</v>
      </c>
      <c r="N331" s="4" t="s">
        <v>49</v>
      </c>
      <c r="O331" s="4">
        <v>47112</v>
      </c>
      <c r="P331" s="4" t="s">
        <v>1534</v>
      </c>
      <c r="Q331" s="5">
        <v>3</v>
      </c>
      <c r="R331" s="5">
        <v>0</v>
      </c>
      <c r="S331" s="5">
        <v>0</v>
      </c>
      <c r="T331" s="5">
        <v>2000000</v>
      </c>
      <c r="U331" s="5">
        <v>500000</v>
      </c>
      <c r="V331" s="5">
        <v>0</v>
      </c>
      <c r="W331" s="5">
        <v>2500000</v>
      </c>
      <c r="X331" s="5">
        <v>3000000</v>
      </c>
      <c r="Y331" s="5">
        <v>0</v>
      </c>
      <c r="Z331" s="5">
        <f t="shared" si="45"/>
        <v>500000</v>
      </c>
      <c r="AA331" s="5">
        <v>10000000</v>
      </c>
      <c r="AB331" s="5">
        <f t="shared" si="46"/>
        <v>1000000</v>
      </c>
      <c r="AC331" s="5" t="s">
        <v>102</v>
      </c>
      <c r="AD331" s="4" t="s">
        <v>51</v>
      </c>
      <c r="AE331" s="5">
        <f t="shared" si="47"/>
        <v>0.5</v>
      </c>
      <c r="AF331" s="10">
        <v>3333333333</v>
      </c>
      <c r="AG331" s="5">
        <v>1</v>
      </c>
      <c r="AH331" s="5">
        <v>1</v>
      </c>
      <c r="AI331" s="5">
        <v>1</v>
      </c>
      <c r="AJ331" s="7" t="s">
        <v>1535</v>
      </c>
      <c r="AK331" s="5">
        <v>0</v>
      </c>
      <c r="AL331" s="5">
        <v>0</v>
      </c>
      <c r="AM331" s="4">
        <v>2018</v>
      </c>
      <c r="AN331" s="5">
        <v>0</v>
      </c>
      <c r="AO331" s="5">
        <v>3</v>
      </c>
      <c r="AP331" s="8"/>
      <c r="AQ331" s="8"/>
      <c r="AR331" s="8">
        <f t="shared" si="48"/>
        <v>0</v>
      </c>
      <c r="AS331" s="8">
        <f t="shared" si="49"/>
        <v>500000</v>
      </c>
      <c r="AT331" s="8">
        <f t="shared" si="50"/>
        <v>500000</v>
      </c>
      <c r="AU331" s="8">
        <f t="shared" si="51"/>
        <v>500000</v>
      </c>
      <c r="AV331" s="4" t="s">
        <v>1534</v>
      </c>
      <c r="AW331" s="7" t="s">
        <v>1535</v>
      </c>
      <c r="AX331" s="5">
        <v>2000000</v>
      </c>
      <c r="AY331">
        <f t="shared" si="52"/>
        <v>0</v>
      </c>
      <c r="AZ331">
        <f t="shared" si="53"/>
        <v>500000</v>
      </c>
      <c r="BA331" s="5">
        <v>3000000</v>
      </c>
      <c r="BB331" s="5">
        <v>0</v>
      </c>
      <c r="BC331" s="4" t="s">
        <v>49</v>
      </c>
      <c r="BD331" s="4">
        <v>47112</v>
      </c>
      <c r="BE331" t="s">
        <v>54</v>
      </c>
    </row>
    <row r="332" spans="1:57" ht="270.75" thickBot="1" x14ac:dyDescent="0.3">
      <c r="A332" s="4" t="s">
        <v>1536</v>
      </c>
      <c r="B332" s="4">
        <v>1001</v>
      </c>
      <c r="C332" s="5">
        <v>2</v>
      </c>
      <c r="D332" s="4" t="s">
        <v>44</v>
      </c>
      <c r="E332" s="6">
        <v>46255.729014131946</v>
      </c>
      <c r="F332" s="4" t="s">
        <v>1537</v>
      </c>
      <c r="G332" s="4" t="s">
        <v>46</v>
      </c>
      <c r="H332" s="4">
        <v>53</v>
      </c>
      <c r="I332" s="4" t="s">
        <v>47</v>
      </c>
      <c r="J332" s="4">
        <v>5309</v>
      </c>
      <c r="K332" s="4" t="s">
        <v>48</v>
      </c>
      <c r="L332" s="4">
        <v>5309060</v>
      </c>
      <c r="M332" s="4">
        <v>5309060020</v>
      </c>
      <c r="N332" s="4" t="s">
        <v>49</v>
      </c>
      <c r="O332" s="4">
        <v>47112</v>
      </c>
      <c r="P332" s="4" t="s">
        <v>1538</v>
      </c>
      <c r="Q332" s="5">
        <v>4</v>
      </c>
      <c r="R332" s="5">
        <v>0</v>
      </c>
      <c r="S332" s="5">
        <v>300000</v>
      </c>
      <c r="T332" s="5">
        <v>10000000</v>
      </c>
      <c r="U332" s="5">
        <v>500000</v>
      </c>
      <c r="V332" s="5">
        <v>0</v>
      </c>
      <c r="W332" s="5">
        <v>10800000</v>
      </c>
      <c r="X332" s="5">
        <v>25000000</v>
      </c>
      <c r="Y332" s="5">
        <v>0</v>
      </c>
      <c r="Z332" s="5">
        <f t="shared" si="45"/>
        <v>14200000</v>
      </c>
      <c r="AA332" s="5">
        <v>200000</v>
      </c>
      <c r="AB332" s="5">
        <f t="shared" si="46"/>
        <v>15000000</v>
      </c>
      <c r="AC332" s="5" t="s">
        <v>167</v>
      </c>
      <c r="AD332" s="4" t="s">
        <v>51</v>
      </c>
      <c r="AE332" s="5">
        <f t="shared" si="47"/>
        <v>0.94666666666666666</v>
      </c>
      <c r="AF332" s="5">
        <v>3750000</v>
      </c>
      <c r="AG332" s="5">
        <v>1</v>
      </c>
      <c r="AH332" s="5">
        <v>1</v>
      </c>
      <c r="AI332" s="5">
        <v>1</v>
      </c>
      <c r="AJ332" s="7" t="s">
        <v>1539</v>
      </c>
      <c r="AK332" s="5">
        <v>0</v>
      </c>
      <c r="AL332" s="5">
        <v>0</v>
      </c>
      <c r="AM332" s="4">
        <v>2015</v>
      </c>
      <c r="AN332" s="5">
        <v>0</v>
      </c>
      <c r="AO332" s="5">
        <v>4</v>
      </c>
      <c r="AP332" s="8"/>
      <c r="AQ332" s="8"/>
      <c r="AR332" s="8">
        <f t="shared" si="48"/>
        <v>0</v>
      </c>
      <c r="AS332" s="8">
        <f t="shared" si="49"/>
        <v>800000</v>
      </c>
      <c r="AT332" s="8">
        <f t="shared" si="50"/>
        <v>11100000</v>
      </c>
      <c r="AU332" s="8">
        <f t="shared" si="51"/>
        <v>3900000</v>
      </c>
      <c r="AV332" s="4" t="s">
        <v>1538</v>
      </c>
      <c r="AW332" s="7" t="s">
        <v>1539</v>
      </c>
      <c r="AX332" s="5">
        <v>10000000</v>
      </c>
      <c r="AY332">
        <f t="shared" si="52"/>
        <v>1462500</v>
      </c>
      <c r="AZ332">
        <f t="shared" si="53"/>
        <v>2437500</v>
      </c>
      <c r="BA332" s="5">
        <v>25000000</v>
      </c>
      <c r="BB332" s="5">
        <v>0</v>
      </c>
      <c r="BC332" s="4" t="s">
        <v>49</v>
      </c>
      <c r="BD332" s="4">
        <v>47112</v>
      </c>
      <c r="BE332" t="s">
        <v>54</v>
      </c>
    </row>
    <row r="333" spans="1:57" ht="270.75" thickBot="1" x14ac:dyDescent="0.3">
      <c r="A333" s="4" t="s">
        <v>1540</v>
      </c>
      <c r="B333" s="4">
        <v>1</v>
      </c>
      <c r="C333" s="5">
        <v>2</v>
      </c>
      <c r="D333" s="4" t="s">
        <v>44</v>
      </c>
      <c r="E333" s="6">
        <v>46295.334023275464</v>
      </c>
      <c r="F333" s="4" t="s">
        <v>1541</v>
      </c>
      <c r="G333" s="4" t="s">
        <v>46</v>
      </c>
      <c r="H333" s="4">
        <v>53</v>
      </c>
      <c r="I333" s="4" t="s">
        <v>47</v>
      </c>
      <c r="J333" s="4">
        <v>5309</v>
      </c>
      <c r="K333" s="4" t="s">
        <v>48</v>
      </c>
      <c r="L333" s="4">
        <v>5309070</v>
      </c>
      <c r="M333" s="4">
        <v>5309070008</v>
      </c>
      <c r="N333" s="4" t="s">
        <v>49</v>
      </c>
      <c r="O333" s="4">
        <v>47112</v>
      </c>
      <c r="P333" s="4" t="s">
        <v>1542</v>
      </c>
      <c r="Q333" s="5">
        <v>2</v>
      </c>
      <c r="R333" s="5">
        <v>0</v>
      </c>
      <c r="S333" s="5">
        <v>600000</v>
      </c>
      <c r="T333" s="5">
        <v>24000000</v>
      </c>
      <c r="U333" s="5">
        <v>2100000</v>
      </c>
      <c r="V333" s="5">
        <v>300000</v>
      </c>
      <c r="W333" s="5">
        <v>27000000</v>
      </c>
      <c r="X333" s="5">
        <v>30000000</v>
      </c>
      <c r="Y333" s="5">
        <v>0</v>
      </c>
      <c r="Z333" s="5">
        <f t="shared" si="45"/>
        <v>3300000</v>
      </c>
      <c r="AA333" s="5">
        <v>29000000</v>
      </c>
      <c r="AB333" s="5">
        <f t="shared" si="46"/>
        <v>6000000</v>
      </c>
      <c r="AC333" s="5" t="s">
        <v>52</v>
      </c>
      <c r="AD333" s="4" t="s">
        <v>51</v>
      </c>
      <c r="AE333" s="5">
        <f t="shared" si="47"/>
        <v>0.55000000000000004</v>
      </c>
      <c r="AF333" s="5">
        <v>3000000</v>
      </c>
      <c r="AG333" s="5">
        <v>0</v>
      </c>
      <c r="AH333" s="5">
        <v>1</v>
      </c>
      <c r="AI333" s="5">
        <v>1</v>
      </c>
      <c r="AJ333" s="7" t="s">
        <v>1543</v>
      </c>
      <c r="AK333" s="5">
        <v>0</v>
      </c>
      <c r="AL333" s="5">
        <v>0</v>
      </c>
      <c r="AM333" s="4">
        <v>2015</v>
      </c>
      <c r="AN333" s="5">
        <v>0</v>
      </c>
      <c r="AO333" s="5">
        <v>2</v>
      </c>
      <c r="AP333" s="8"/>
      <c r="AQ333" s="8"/>
      <c r="AR333" s="8">
        <f t="shared" si="48"/>
        <v>0</v>
      </c>
      <c r="AS333" s="8">
        <f t="shared" si="49"/>
        <v>2700000</v>
      </c>
      <c r="AT333" s="8">
        <f t="shared" si="50"/>
        <v>3300000</v>
      </c>
      <c r="AU333" s="8">
        <f t="shared" si="51"/>
        <v>2700000</v>
      </c>
      <c r="AV333" s="4" t="s">
        <v>1542</v>
      </c>
      <c r="AW333" s="7" t="s">
        <v>1543</v>
      </c>
      <c r="AX333" s="5">
        <v>24000000</v>
      </c>
      <c r="AY333">
        <f t="shared" si="52"/>
        <v>600000</v>
      </c>
      <c r="AZ333">
        <f t="shared" si="53"/>
        <v>2100000</v>
      </c>
      <c r="BA333" s="5">
        <v>30000000</v>
      </c>
      <c r="BB333" s="5">
        <v>0</v>
      </c>
      <c r="BC333" s="4" t="s">
        <v>49</v>
      </c>
      <c r="BD333" s="4">
        <v>47112</v>
      </c>
      <c r="BE333" t="s">
        <v>54</v>
      </c>
    </row>
    <row r="334" spans="1:57" ht="270.75" thickBot="1" x14ac:dyDescent="0.3">
      <c r="A334" s="4" t="s">
        <v>1544</v>
      </c>
      <c r="B334" s="4">
        <v>3002</v>
      </c>
      <c r="C334" s="5">
        <v>2</v>
      </c>
      <c r="D334" s="4" t="s">
        <v>44</v>
      </c>
      <c r="E334" s="6">
        <v>46247.715061087962</v>
      </c>
      <c r="F334" s="4" t="s">
        <v>1545</v>
      </c>
      <c r="G334" s="4" t="s">
        <v>46</v>
      </c>
      <c r="H334" s="4">
        <v>53</v>
      </c>
      <c r="I334" s="4" t="s">
        <v>47</v>
      </c>
      <c r="J334" s="4">
        <v>5309</v>
      </c>
      <c r="K334" s="4" t="s">
        <v>48</v>
      </c>
      <c r="L334" s="4">
        <v>5309012</v>
      </c>
      <c r="M334" s="4">
        <v>5309012001</v>
      </c>
      <c r="N334" s="4" t="s">
        <v>49</v>
      </c>
      <c r="O334" s="4">
        <v>47112</v>
      </c>
      <c r="P334" s="4" t="s">
        <v>1546</v>
      </c>
      <c r="Q334" s="5">
        <v>1</v>
      </c>
      <c r="R334" s="5">
        <v>0</v>
      </c>
      <c r="S334" s="5">
        <v>200000</v>
      </c>
      <c r="T334" s="5">
        <v>20000000</v>
      </c>
      <c r="U334" s="5">
        <v>800000</v>
      </c>
      <c r="V334" s="5">
        <v>0</v>
      </c>
      <c r="W334" s="5">
        <v>21000000</v>
      </c>
      <c r="X334" s="5">
        <v>30000000</v>
      </c>
      <c r="Y334" s="5">
        <v>0</v>
      </c>
      <c r="Z334" s="5">
        <f t="shared" si="45"/>
        <v>9000000</v>
      </c>
      <c r="AA334" s="5">
        <v>1000000</v>
      </c>
      <c r="AB334" s="5">
        <f t="shared" si="46"/>
        <v>10000000</v>
      </c>
      <c r="AC334" s="5" t="s">
        <v>102</v>
      </c>
      <c r="AD334" s="4" t="s">
        <v>51</v>
      </c>
      <c r="AE334" s="5">
        <f t="shared" si="47"/>
        <v>0.9</v>
      </c>
      <c r="AF334" s="5">
        <v>10000000</v>
      </c>
      <c r="AG334" s="5">
        <v>1</v>
      </c>
      <c r="AH334" s="5">
        <v>1</v>
      </c>
      <c r="AI334" s="5">
        <v>1</v>
      </c>
      <c r="AJ334" s="7" t="s">
        <v>1547</v>
      </c>
      <c r="AK334" s="5">
        <v>0</v>
      </c>
      <c r="AL334" s="5">
        <v>0</v>
      </c>
      <c r="AM334" s="4">
        <v>2023</v>
      </c>
      <c r="AN334" s="5">
        <v>0</v>
      </c>
      <c r="AO334" s="5">
        <v>1</v>
      </c>
      <c r="AP334" s="8"/>
      <c r="AQ334" s="8"/>
      <c r="AR334" s="8">
        <f t="shared" si="48"/>
        <v>0</v>
      </c>
      <c r="AS334" s="8">
        <f t="shared" si="49"/>
        <v>1000000</v>
      </c>
      <c r="AT334" s="8">
        <f t="shared" si="50"/>
        <v>7400000</v>
      </c>
      <c r="AU334" s="8">
        <f t="shared" si="51"/>
        <v>2600000</v>
      </c>
      <c r="AV334" s="4" t="s">
        <v>1546</v>
      </c>
      <c r="AW334" s="7" t="s">
        <v>1547</v>
      </c>
      <c r="AX334" s="5">
        <v>20000000</v>
      </c>
      <c r="AY334">
        <f t="shared" si="52"/>
        <v>520000</v>
      </c>
      <c r="AZ334">
        <f t="shared" si="53"/>
        <v>2080000</v>
      </c>
      <c r="BA334" s="5">
        <v>30000000</v>
      </c>
      <c r="BB334" s="5">
        <v>0</v>
      </c>
      <c r="BC334" s="4" t="s">
        <v>49</v>
      </c>
      <c r="BD334" s="4">
        <v>47112</v>
      </c>
      <c r="BE334" t="s">
        <v>54</v>
      </c>
    </row>
    <row r="335" spans="1:57" ht="270.75" thickBot="1" x14ac:dyDescent="0.3">
      <c r="A335" s="4" t="s">
        <v>1548</v>
      </c>
      <c r="B335" s="4">
        <v>2001</v>
      </c>
      <c r="C335" s="5">
        <v>2</v>
      </c>
      <c r="D335" s="4" t="s">
        <v>44</v>
      </c>
      <c r="E335" s="6">
        <v>46274.036791064813</v>
      </c>
      <c r="F335" s="4" t="s">
        <v>1549</v>
      </c>
      <c r="G335" s="4" t="s">
        <v>46</v>
      </c>
      <c r="H335" s="4">
        <v>53</v>
      </c>
      <c r="I335" s="4" t="s">
        <v>47</v>
      </c>
      <c r="J335" s="4">
        <v>5309</v>
      </c>
      <c r="K335" s="4" t="s">
        <v>48</v>
      </c>
      <c r="L335" s="4">
        <v>5309030</v>
      </c>
      <c r="M335" s="4">
        <v>5309030010</v>
      </c>
      <c r="N335" s="4" t="s">
        <v>49</v>
      </c>
      <c r="O335" s="4">
        <v>47112</v>
      </c>
      <c r="P335" s="4" t="s">
        <v>1550</v>
      </c>
      <c r="Q335" s="5">
        <v>1</v>
      </c>
      <c r="R335" s="5">
        <v>0</v>
      </c>
      <c r="S335" s="5">
        <v>6500000</v>
      </c>
      <c r="T335" s="5">
        <v>3200000</v>
      </c>
      <c r="U335" s="5">
        <v>1200000</v>
      </c>
      <c r="V335" s="5">
        <v>0</v>
      </c>
      <c r="W335" s="5">
        <v>10900000</v>
      </c>
      <c r="X335" s="5">
        <v>15200000</v>
      </c>
      <c r="Y335" s="5">
        <v>0</v>
      </c>
      <c r="Z335" s="5">
        <f t="shared" si="45"/>
        <v>4300000</v>
      </c>
      <c r="AA335" s="5">
        <v>30300000</v>
      </c>
      <c r="AB335" s="5">
        <f t="shared" si="46"/>
        <v>12000000</v>
      </c>
      <c r="AC335" s="5" t="s">
        <v>1551</v>
      </c>
      <c r="AD335" s="4" t="s">
        <v>51</v>
      </c>
      <c r="AE335" s="5">
        <f t="shared" si="47"/>
        <v>0.35833333333333334</v>
      </c>
      <c r="AF335" s="5">
        <v>12000000</v>
      </c>
      <c r="AG335" s="5">
        <v>0</v>
      </c>
      <c r="AH335" s="5">
        <v>1</v>
      </c>
      <c r="AI335" s="5">
        <v>1</v>
      </c>
      <c r="AJ335" s="7" t="s">
        <v>1552</v>
      </c>
      <c r="AK335" s="5">
        <v>0</v>
      </c>
      <c r="AL335" s="5">
        <v>0</v>
      </c>
      <c r="AM335" s="4">
        <v>2020</v>
      </c>
      <c r="AN335" s="5">
        <v>0</v>
      </c>
      <c r="AO335" s="5">
        <v>1</v>
      </c>
      <c r="AP335" s="8"/>
      <c r="AQ335" s="8"/>
      <c r="AR335" s="8">
        <f t="shared" si="48"/>
        <v>0</v>
      </c>
      <c r="AS335" s="8">
        <f t="shared" si="49"/>
        <v>7700000</v>
      </c>
      <c r="AT335" s="8">
        <f t="shared" si="50"/>
        <v>4300000</v>
      </c>
      <c r="AU335" s="8">
        <f t="shared" si="51"/>
        <v>7700000</v>
      </c>
      <c r="AV335" s="4" t="s">
        <v>1550</v>
      </c>
      <c r="AW335" s="7" t="s">
        <v>1552</v>
      </c>
      <c r="AX335" s="5">
        <v>3200000</v>
      </c>
      <c r="AY335">
        <f t="shared" si="52"/>
        <v>6500000</v>
      </c>
      <c r="AZ335">
        <f t="shared" si="53"/>
        <v>1200000</v>
      </c>
      <c r="BA335" s="5">
        <v>15200000</v>
      </c>
      <c r="BB335" s="5">
        <v>0</v>
      </c>
      <c r="BC335" s="4" t="s">
        <v>49</v>
      </c>
      <c r="BD335" s="4">
        <v>47112</v>
      </c>
      <c r="BE335" t="s">
        <v>54</v>
      </c>
    </row>
    <row r="336" spans="1:57" ht="270.75" thickBot="1" x14ac:dyDescent="0.3">
      <c r="A336" s="4" t="s">
        <v>1553</v>
      </c>
      <c r="B336" s="4">
        <v>1001</v>
      </c>
      <c r="C336" s="5">
        <v>2</v>
      </c>
      <c r="D336" s="4" t="s">
        <v>44</v>
      </c>
      <c r="E336" s="6">
        <v>46246.976304618052</v>
      </c>
      <c r="F336" s="4" t="s">
        <v>1554</v>
      </c>
      <c r="G336" s="4" t="s">
        <v>46</v>
      </c>
      <c r="H336" s="4">
        <v>53</v>
      </c>
      <c r="I336" s="4" t="s">
        <v>47</v>
      </c>
      <c r="J336" s="4">
        <v>5309</v>
      </c>
      <c r="K336" s="4" t="s">
        <v>48</v>
      </c>
      <c r="L336" s="4">
        <v>5309072</v>
      </c>
      <c r="M336" s="4">
        <v>5309072010</v>
      </c>
      <c r="N336" s="4" t="s">
        <v>49</v>
      </c>
      <c r="O336" s="4">
        <v>47112</v>
      </c>
      <c r="P336" s="4" t="s">
        <v>1555</v>
      </c>
      <c r="Q336" s="5">
        <v>1</v>
      </c>
      <c r="R336" s="5">
        <v>0</v>
      </c>
      <c r="S336" s="5">
        <v>200000</v>
      </c>
      <c r="T336" s="5">
        <v>9600000</v>
      </c>
      <c r="U336" s="5">
        <v>100000</v>
      </c>
      <c r="V336" s="5">
        <v>0</v>
      </c>
      <c r="W336" s="5">
        <v>9900000</v>
      </c>
      <c r="X336" s="5">
        <v>14400000</v>
      </c>
      <c r="Y336" s="5">
        <v>0</v>
      </c>
      <c r="Z336" s="5">
        <f t="shared" si="45"/>
        <v>4500000</v>
      </c>
      <c r="AA336" s="5">
        <v>5000000</v>
      </c>
      <c r="AB336" s="5">
        <f t="shared" si="46"/>
        <v>4800000</v>
      </c>
      <c r="AC336" s="5" t="s">
        <v>102</v>
      </c>
      <c r="AD336" s="4" t="s">
        <v>51</v>
      </c>
      <c r="AE336" s="5">
        <f t="shared" si="47"/>
        <v>0.9375</v>
      </c>
      <c r="AF336" s="5">
        <v>4800000</v>
      </c>
      <c r="AG336" s="5">
        <v>1</v>
      </c>
      <c r="AH336" s="5">
        <v>1</v>
      </c>
      <c r="AI336" s="5">
        <v>1</v>
      </c>
      <c r="AJ336" s="7" t="s">
        <v>1556</v>
      </c>
      <c r="AK336" s="5">
        <v>0</v>
      </c>
      <c r="AL336" s="5">
        <v>0</v>
      </c>
      <c r="AM336" s="4">
        <v>2011</v>
      </c>
      <c r="AN336" s="5">
        <v>0</v>
      </c>
      <c r="AO336" s="5">
        <v>1</v>
      </c>
      <c r="AP336" s="8"/>
      <c r="AQ336" s="8"/>
      <c r="AR336" s="8">
        <f t="shared" si="48"/>
        <v>0</v>
      </c>
      <c r="AS336" s="8">
        <f t="shared" si="49"/>
        <v>300000</v>
      </c>
      <c r="AT336" s="8">
        <f t="shared" si="50"/>
        <v>3552000</v>
      </c>
      <c r="AU336" s="8">
        <f t="shared" si="51"/>
        <v>1248000</v>
      </c>
      <c r="AV336" s="4" t="s">
        <v>1555</v>
      </c>
      <c r="AW336" s="7" t="s">
        <v>1556</v>
      </c>
      <c r="AX336" s="5">
        <v>9600000</v>
      </c>
      <c r="AY336">
        <f t="shared" si="52"/>
        <v>832000</v>
      </c>
      <c r="AZ336">
        <f t="shared" si="53"/>
        <v>416000</v>
      </c>
      <c r="BA336" s="5">
        <v>14400000</v>
      </c>
      <c r="BB336" s="5">
        <v>0</v>
      </c>
      <c r="BC336" s="4" t="s">
        <v>49</v>
      </c>
      <c r="BD336" s="4">
        <v>47112</v>
      </c>
      <c r="BE336" t="s">
        <v>54</v>
      </c>
    </row>
    <row r="337" spans="1:57" ht="270.75" thickBot="1" x14ac:dyDescent="0.3">
      <c r="A337" s="4" t="s">
        <v>1557</v>
      </c>
      <c r="B337" s="4">
        <v>3001</v>
      </c>
      <c r="C337" s="5">
        <v>2</v>
      </c>
      <c r="D337" s="4" t="s">
        <v>44</v>
      </c>
      <c r="E337" s="6">
        <v>46268.486840613426</v>
      </c>
      <c r="F337" s="4" t="s">
        <v>1558</v>
      </c>
      <c r="G337" s="4" t="s">
        <v>46</v>
      </c>
      <c r="H337" s="4">
        <v>53</v>
      </c>
      <c r="I337" s="4" t="s">
        <v>47</v>
      </c>
      <c r="J337" s="4">
        <v>5309</v>
      </c>
      <c r="K337" s="4" t="s">
        <v>48</v>
      </c>
      <c r="L337" s="4">
        <v>5309073</v>
      </c>
      <c r="M337" s="4">
        <v>5309073019</v>
      </c>
      <c r="N337" s="4" t="s">
        <v>49</v>
      </c>
      <c r="O337" s="4">
        <v>47112</v>
      </c>
      <c r="P337" s="4" t="s">
        <v>1559</v>
      </c>
      <c r="Q337" s="5">
        <v>2</v>
      </c>
      <c r="R337" s="5">
        <v>0</v>
      </c>
      <c r="S337" s="5">
        <v>0</v>
      </c>
      <c r="T337" s="5">
        <v>72000000</v>
      </c>
      <c r="U337" s="5">
        <v>2400000</v>
      </c>
      <c r="V337" s="5">
        <v>0</v>
      </c>
      <c r="W337" s="5">
        <v>74400000</v>
      </c>
      <c r="X337" s="5">
        <v>104400000</v>
      </c>
      <c r="Y337" s="5">
        <v>0</v>
      </c>
      <c r="Z337" s="5">
        <f t="shared" si="45"/>
        <v>30000000</v>
      </c>
      <c r="AA337" s="5">
        <v>15000000</v>
      </c>
      <c r="AB337" s="5">
        <f t="shared" si="46"/>
        <v>32400000</v>
      </c>
      <c r="AC337" s="5" t="s">
        <v>1560</v>
      </c>
      <c r="AD337" s="4" t="s">
        <v>51</v>
      </c>
      <c r="AE337" s="5">
        <f t="shared" si="47"/>
        <v>0.92592592592592593</v>
      </c>
      <c r="AF337" s="5">
        <v>16200000</v>
      </c>
      <c r="AG337" s="5">
        <v>1</v>
      </c>
      <c r="AH337" s="5">
        <v>1</v>
      </c>
      <c r="AI337" s="5">
        <v>1</v>
      </c>
      <c r="AJ337" s="7" t="s">
        <v>1561</v>
      </c>
      <c r="AK337" s="5">
        <v>0</v>
      </c>
      <c r="AL337" s="5">
        <v>0</v>
      </c>
      <c r="AM337" s="4">
        <v>2010</v>
      </c>
      <c r="AN337" s="5">
        <v>0</v>
      </c>
      <c r="AO337" s="5">
        <v>2</v>
      </c>
      <c r="AP337" s="8"/>
      <c r="AQ337" s="8"/>
      <c r="AR337" s="8">
        <f t="shared" si="48"/>
        <v>0</v>
      </c>
      <c r="AS337" s="8">
        <f t="shared" si="49"/>
        <v>2400000</v>
      </c>
      <c r="AT337" s="8">
        <f t="shared" si="50"/>
        <v>23976000</v>
      </c>
      <c r="AU337" s="8">
        <f t="shared" si="51"/>
        <v>8424000</v>
      </c>
      <c r="AV337" s="4" t="s">
        <v>1559</v>
      </c>
      <c r="AW337" s="7" t="s">
        <v>1561</v>
      </c>
      <c r="AX337" s="5">
        <v>72000000</v>
      </c>
      <c r="AY337">
        <f t="shared" si="52"/>
        <v>0</v>
      </c>
      <c r="AZ337">
        <f t="shared" si="53"/>
        <v>8424000</v>
      </c>
      <c r="BA337" s="5">
        <v>104400000</v>
      </c>
      <c r="BB337" s="5">
        <v>0</v>
      </c>
      <c r="BC337" s="4" t="s">
        <v>49</v>
      </c>
      <c r="BD337" s="4">
        <v>47112</v>
      </c>
      <c r="BE337" t="s">
        <v>54</v>
      </c>
    </row>
    <row r="338" spans="1:57" ht="270.75" thickBot="1" x14ac:dyDescent="0.3">
      <c r="A338" s="4" t="s">
        <v>1562</v>
      </c>
      <c r="B338" s="4">
        <v>3004</v>
      </c>
      <c r="C338" s="5">
        <v>2</v>
      </c>
      <c r="D338" s="4" t="s">
        <v>44</v>
      </c>
      <c r="E338" s="6">
        <v>46237.977977847222</v>
      </c>
      <c r="F338" s="4" t="s">
        <v>1563</v>
      </c>
      <c r="G338" s="4" t="s">
        <v>46</v>
      </c>
      <c r="H338" s="4">
        <v>53</v>
      </c>
      <c r="I338" s="4" t="s">
        <v>47</v>
      </c>
      <c r="J338" s="4">
        <v>5309</v>
      </c>
      <c r="K338" s="4" t="s">
        <v>48</v>
      </c>
      <c r="L338" s="4">
        <v>5309010</v>
      </c>
      <c r="M338" s="4">
        <v>5309010014</v>
      </c>
      <c r="N338" s="4" t="s">
        <v>49</v>
      </c>
      <c r="O338" s="4">
        <v>47112</v>
      </c>
      <c r="P338" s="4" t="s">
        <v>1564</v>
      </c>
      <c r="Q338" s="5">
        <v>2</v>
      </c>
      <c r="R338" s="5">
        <v>0</v>
      </c>
      <c r="S338" s="5">
        <v>0</v>
      </c>
      <c r="T338" s="5">
        <v>12000000</v>
      </c>
      <c r="U338" s="5">
        <v>3000000</v>
      </c>
      <c r="V338" s="5">
        <v>0</v>
      </c>
      <c r="W338" s="5">
        <v>15000000</v>
      </c>
      <c r="X338" s="5">
        <v>18000000</v>
      </c>
      <c r="Y338" s="5">
        <v>0</v>
      </c>
      <c r="Z338" s="5">
        <f t="shared" si="45"/>
        <v>3000000</v>
      </c>
      <c r="AA338" s="5">
        <v>12000000</v>
      </c>
      <c r="AB338" s="5">
        <f t="shared" si="46"/>
        <v>6000000</v>
      </c>
      <c r="AC338" s="5" t="s">
        <v>102</v>
      </c>
      <c r="AD338" s="4" t="s">
        <v>51</v>
      </c>
      <c r="AE338" s="5">
        <f t="shared" si="47"/>
        <v>0.5</v>
      </c>
      <c r="AF338" s="5">
        <v>3000000</v>
      </c>
      <c r="AG338" s="5">
        <v>1</v>
      </c>
      <c r="AH338" s="5">
        <v>1</v>
      </c>
      <c r="AI338" s="5">
        <v>1</v>
      </c>
      <c r="AJ338" s="7" t="s">
        <v>1565</v>
      </c>
      <c r="AK338" s="5">
        <v>0</v>
      </c>
      <c r="AL338" s="5">
        <v>0</v>
      </c>
      <c r="AM338" s="4">
        <v>2017</v>
      </c>
      <c r="AN338" s="5">
        <v>0</v>
      </c>
      <c r="AO338" s="5">
        <v>2</v>
      </c>
      <c r="AP338" s="8"/>
      <c r="AQ338" s="8"/>
      <c r="AR338" s="8">
        <f t="shared" si="48"/>
        <v>0</v>
      </c>
      <c r="AS338" s="8">
        <f t="shared" si="49"/>
        <v>3000000</v>
      </c>
      <c r="AT338" s="8">
        <f t="shared" si="50"/>
        <v>3000000</v>
      </c>
      <c r="AU338" s="8">
        <f t="shared" si="51"/>
        <v>3000000</v>
      </c>
      <c r="AV338" s="4" t="s">
        <v>1564</v>
      </c>
      <c r="AW338" s="7" t="s">
        <v>1565</v>
      </c>
      <c r="AX338" s="5">
        <v>12000000</v>
      </c>
      <c r="AY338">
        <f t="shared" si="52"/>
        <v>0</v>
      </c>
      <c r="AZ338">
        <f t="shared" si="53"/>
        <v>3000000</v>
      </c>
      <c r="BA338" s="5">
        <v>18000000</v>
      </c>
      <c r="BB338" s="5">
        <v>0</v>
      </c>
      <c r="BC338" s="4" t="s">
        <v>49</v>
      </c>
      <c r="BD338" s="4">
        <v>47112</v>
      </c>
      <c r="BE338" t="s">
        <v>54</v>
      </c>
    </row>
    <row r="339" spans="1:57" ht="270.75" thickBot="1" x14ac:dyDescent="0.3">
      <c r="A339" s="4" t="s">
        <v>1566</v>
      </c>
      <c r="B339" s="4">
        <v>3002</v>
      </c>
      <c r="C339" s="5">
        <v>2</v>
      </c>
      <c r="D339" s="4" t="s">
        <v>44</v>
      </c>
      <c r="E339" s="6">
        <v>46233.991641689812</v>
      </c>
      <c r="F339" s="4" t="s">
        <v>1567</v>
      </c>
      <c r="G339" s="4" t="s">
        <v>46</v>
      </c>
      <c r="H339" s="4">
        <v>53</v>
      </c>
      <c r="I339" s="4" t="s">
        <v>47</v>
      </c>
      <c r="J339" s="4">
        <v>5309</v>
      </c>
      <c r="K339" s="4" t="s">
        <v>48</v>
      </c>
      <c r="L339" s="4">
        <v>5309060</v>
      </c>
      <c r="M339" s="4">
        <v>5309060042</v>
      </c>
      <c r="N339" s="4" t="s">
        <v>49</v>
      </c>
      <c r="O339" s="4">
        <v>47112</v>
      </c>
      <c r="P339" s="4" t="s">
        <v>1568</v>
      </c>
      <c r="Q339" s="5">
        <v>2</v>
      </c>
      <c r="R339" s="5">
        <v>0</v>
      </c>
      <c r="S339" s="5">
        <v>0</v>
      </c>
      <c r="T339" s="5">
        <v>5000000</v>
      </c>
      <c r="U339" s="5">
        <v>500000</v>
      </c>
      <c r="V339" s="5">
        <v>0</v>
      </c>
      <c r="W339" s="5">
        <v>5500000</v>
      </c>
      <c r="X339" s="5">
        <v>9000000</v>
      </c>
      <c r="Y339" s="5">
        <v>0</v>
      </c>
      <c r="Z339" s="5">
        <f t="shared" si="45"/>
        <v>3500000</v>
      </c>
      <c r="AA339" s="5">
        <v>5000000</v>
      </c>
      <c r="AB339" s="5">
        <f t="shared" si="46"/>
        <v>4000000</v>
      </c>
      <c r="AC339" s="5" t="s">
        <v>117</v>
      </c>
      <c r="AD339" s="4" t="s">
        <v>51</v>
      </c>
      <c r="AE339" s="5">
        <f t="shared" si="47"/>
        <v>0.875</v>
      </c>
      <c r="AF339" s="5">
        <v>2000000</v>
      </c>
      <c r="AG339" s="5">
        <v>1</v>
      </c>
      <c r="AH339" s="5">
        <v>1</v>
      </c>
      <c r="AI339" s="5">
        <v>1</v>
      </c>
      <c r="AJ339" s="7" t="s">
        <v>1569</v>
      </c>
      <c r="AK339" s="5">
        <v>0</v>
      </c>
      <c r="AL339" s="5">
        <v>0</v>
      </c>
      <c r="AM339" s="4">
        <v>2024</v>
      </c>
      <c r="AN339" s="5">
        <v>0</v>
      </c>
      <c r="AO339" s="5">
        <v>2</v>
      </c>
      <c r="AP339" s="8"/>
      <c r="AQ339" s="8"/>
      <c r="AR339" s="8">
        <f t="shared" si="48"/>
        <v>0</v>
      </c>
      <c r="AS339" s="8">
        <f t="shared" si="49"/>
        <v>500000</v>
      </c>
      <c r="AT339" s="8">
        <f t="shared" si="50"/>
        <v>2960000</v>
      </c>
      <c r="AU339" s="8">
        <f t="shared" si="51"/>
        <v>1040000</v>
      </c>
      <c r="AV339" s="4" t="s">
        <v>1568</v>
      </c>
      <c r="AW339" s="7" t="s">
        <v>1569</v>
      </c>
      <c r="AX339" s="5">
        <v>5000000</v>
      </c>
      <c r="AY339">
        <f t="shared" si="52"/>
        <v>0</v>
      </c>
      <c r="AZ339">
        <f t="shared" si="53"/>
        <v>1040000</v>
      </c>
      <c r="BA339" s="5">
        <v>9000000</v>
      </c>
      <c r="BB339" s="5">
        <v>0</v>
      </c>
      <c r="BC339" s="4" t="s">
        <v>49</v>
      </c>
      <c r="BD339" s="4">
        <v>47112</v>
      </c>
      <c r="BE339" t="s">
        <v>54</v>
      </c>
    </row>
    <row r="340" spans="1:57" ht="270.75" thickBot="1" x14ac:dyDescent="0.3">
      <c r="A340" s="4" t="s">
        <v>1570</v>
      </c>
      <c r="B340" s="4">
        <v>1002</v>
      </c>
      <c r="C340" s="5">
        <v>2</v>
      </c>
      <c r="D340" s="4" t="s">
        <v>44</v>
      </c>
      <c r="E340" s="6">
        <v>46280.607613298613</v>
      </c>
      <c r="F340" s="4" t="s">
        <v>1571</v>
      </c>
      <c r="G340" s="4" t="s">
        <v>46</v>
      </c>
      <c r="H340" s="4">
        <v>53</v>
      </c>
      <c r="I340" s="4" t="s">
        <v>47</v>
      </c>
      <c r="J340" s="4">
        <v>5309</v>
      </c>
      <c r="K340" s="4" t="s">
        <v>48</v>
      </c>
      <c r="L340" s="4">
        <v>5309070</v>
      </c>
      <c r="M340" s="4">
        <v>5309070006</v>
      </c>
      <c r="N340" s="4" t="s">
        <v>49</v>
      </c>
      <c r="O340" s="4">
        <v>47112</v>
      </c>
      <c r="P340" s="4" t="s">
        <v>1572</v>
      </c>
      <c r="Q340" s="5">
        <v>2</v>
      </c>
      <c r="R340" s="5">
        <v>0</v>
      </c>
      <c r="S340" s="5">
        <v>600000</v>
      </c>
      <c r="T340" s="5">
        <v>144000000</v>
      </c>
      <c r="U340" s="5">
        <v>1200000</v>
      </c>
      <c r="V340" s="5">
        <v>0</v>
      </c>
      <c r="W340" s="5">
        <v>145800000</v>
      </c>
      <c r="X340" s="5">
        <v>180000000</v>
      </c>
      <c r="Y340" s="5">
        <v>0</v>
      </c>
      <c r="Z340" s="5">
        <f t="shared" si="45"/>
        <v>34200000</v>
      </c>
      <c r="AA340" s="5">
        <v>40000000</v>
      </c>
      <c r="AB340" s="5">
        <f t="shared" si="46"/>
        <v>36000000</v>
      </c>
      <c r="AC340" s="5" t="s">
        <v>52</v>
      </c>
      <c r="AD340" s="4" t="s">
        <v>51</v>
      </c>
      <c r="AE340" s="5">
        <f t="shared" si="47"/>
        <v>0.95</v>
      </c>
      <c r="AF340" s="5">
        <v>18000000</v>
      </c>
      <c r="AG340" s="5">
        <v>1</v>
      </c>
      <c r="AH340" s="5">
        <v>1</v>
      </c>
      <c r="AI340" s="5">
        <v>1</v>
      </c>
      <c r="AJ340" s="7" t="s">
        <v>1573</v>
      </c>
      <c r="AK340" s="5">
        <v>0</v>
      </c>
      <c r="AL340" s="5">
        <v>0</v>
      </c>
      <c r="AM340" s="4">
        <v>2023</v>
      </c>
      <c r="AN340" s="5">
        <v>0</v>
      </c>
      <c r="AO340" s="5">
        <v>2</v>
      </c>
      <c r="AP340" s="8"/>
      <c r="AQ340" s="8"/>
      <c r="AR340" s="8">
        <f t="shared" si="48"/>
        <v>0</v>
      </c>
      <c r="AS340" s="8">
        <f t="shared" si="49"/>
        <v>1800000</v>
      </c>
      <c r="AT340" s="8">
        <f t="shared" si="50"/>
        <v>26640000</v>
      </c>
      <c r="AU340" s="8">
        <f t="shared" si="51"/>
        <v>9360000</v>
      </c>
      <c r="AV340" s="4" t="s">
        <v>1572</v>
      </c>
      <c r="AW340" s="7" t="s">
        <v>1573</v>
      </c>
      <c r="AX340" s="5">
        <v>144000000</v>
      </c>
      <c r="AY340">
        <f t="shared" si="52"/>
        <v>3120000</v>
      </c>
      <c r="AZ340">
        <f t="shared" si="53"/>
        <v>6240000</v>
      </c>
      <c r="BA340" s="5">
        <v>180000000</v>
      </c>
      <c r="BB340" s="5">
        <v>0</v>
      </c>
      <c r="BC340" s="4" t="s">
        <v>49</v>
      </c>
      <c r="BD340" s="4">
        <v>47112</v>
      </c>
      <c r="BE340" t="s">
        <v>54</v>
      </c>
    </row>
    <row r="341" spans="1:57" ht="270.75" thickBot="1" x14ac:dyDescent="0.3">
      <c r="A341" s="4" t="s">
        <v>1574</v>
      </c>
      <c r="B341" s="4">
        <v>2001</v>
      </c>
      <c r="C341" s="5">
        <v>2</v>
      </c>
      <c r="D341" s="4" t="s">
        <v>44</v>
      </c>
      <c r="E341" s="6">
        <v>46233.461872037034</v>
      </c>
      <c r="F341" s="4" t="s">
        <v>1575</v>
      </c>
      <c r="G341" s="4" t="s">
        <v>46</v>
      </c>
      <c r="H341" s="4">
        <v>53</v>
      </c>
      <c r="I341" s="4" t="s">
        <v>47</v>
      </c>
      <c r="J341" s="4">
        <v>5309</v>
      </c>
      <c r="K341" s="4" t="s">
        <v>48</v>
      </c>
      <c r="L341" s="4">
        <v>5309061</v>
      </c>
      <c r="M341" s="4">
        <v>5309061010</v>
      </c>
      <c r="N341" s="4" t="s">
        <v>49</v>
      </c>
      <c r="O341" s="4">
        <v>47112</v>
      </c>
      <c r="P341" s="4" t="s">
        <v>1576</v>
      </c>
      <c r="Q341" s="5">
        <v>1</v>
      </c>
      <c r="R341" s="5">
        <v>0</v>
      </c>
      <c r="S341" s="5">
        <v>0</v>
      </c>
      <c r="T341" s="5">
        <v>5000000</v>
      </c>
      <c r="U341" s="5">
        <v>100000</v>
      </c>
      <c r="V341" s="5">
        <v>20000</v>
      </c>
      <c r="W341" s="5">
        <v>5120000</v>
      </c>
      <c r="X341" s="5">
        <v>8000000</v>
      </c>
      <c r="Y341" s="5">
        <v>2000000</v>
      </c>
      <c r="Z341" s="5">
        <f t="shared" si="45"/>
        <v>2900000</v>
      </c>
      <c r="AA341" s="5">
        <v>10000000</v>
      </c>
      <c r="AB341" s="5">
        <f t="shared" si="46"/>
        <v>3000000</v>
      </c>
      <c r="AC341" s="5" t="s">
        <v>90</v>
      </c>
      <c r="AD341" s="4" t="s">
        <v>51</v>
      </c>
      <c r="AE341" s="5">
        <f t="shared" si="47"/>
        <v>0.96666666666666667</v>
      </c>
      <c r="AF341" s="5">
        <v>3000000</v>
      </c>
      <c r="AG341" s="5">
        <v>0</v>
      </c>
      <c r="AH341" s="5">
        <v>1</v>
      </c>
      <c r="AI341" s="5">
        <v>1</v>
      </c>
      <c r="AJ341" s="7" t="s">
        <v>1577</v>
      </c>
      <c r="AK341" s="5">
        <v>0</v>
      </c>
      <c r="AL341" s="5">
        <v>0</v>
      </c>
      <c r="AM341" s="4">
        <v>2022</v>
      </c>
      <c r="AN341" s="5">
        <v>0</v>
      </c>
      <c r="AO341" s="5">
        <v>1</v>
      </c>
      <c r="AP341" s="8"/>
      <c r="AQ341" s="8"/>
      <c r="AR341" s="8">
        <f t="shared" si="48"/>
        <v>0</v>
      </c>
      <c r="AS341" s="8">
        <f t="shared" si="49"/>
        <v>100000</v>
      </c>
      <c r="AT341" s="8">
        <f t="shared" si="50"/>
        <v>2220000</v>
      </c>
      <c r="AU341" s="8">
        <f t="shared" si="51"/>
        <v>780000</v>
      </c>
      <c r="AV341" s="4" t="s">
        <v>1576</v>
      </c>
      <c r="AW341" s="7" t="s">
        <v>1577</v>
      </c>
      <c r="AX341" s="5">
        <v>5000000</v>
      </c>
      <c r="AY341">
        <f t="shared" si="52"/>
        <v>0</v>
      </c>
      <c r="AZ341">
        <f t="shared" si="53"/>
        <v>780000</v>
      </c>
      <c r="BA341" s="5">
        <v>8000000</v>
      </c>
      <c r="BB341" s="5">
        <v>2000000</v>
      </c>
      <c r="BC341" s="4" t="s">
        <v>49</v>
      </c>
      <c r="BD341" s="4">
        <v>47112</v>
      </c>
      <c r="BE341" t="s">
        <v>54</v>
      </c>
    </row>
    <row r="342" spans="1:57" ht="270.75" thickBot="1" x14ac:dyDescent="0.3">
      <c r="A342" s="4" t="s">
        <v>1578</v>
      </c>
      <c r="B342" s="4">
        <v>3001</v>
      </c>
      <c r="C342" s="5">
        <v>2</v>
      </c>
      <c r="D342" s="4" t="s">
        <v>44</v>
      </c>
      <c r="E342" s="6">
        <v>46280.609638182868</v>
      </c>
      <c r="F342" s="4" t="s">
        <v>1579</v>
      </c>
      <c r="G342" s="4" t="s">
        <v>46</v>
      </c>
      <c r="H342" s="4">
        <v>53</v>
      </c>
      <c r="I342" s="4" t="s">
        <v>47</v>
      </c>
      <c r="J342" s="4">
        <v>5309</v>
      </c>
      <c r="K342" s="4" t="s">
        <v>48</v>
      </c>
      <c r="L342" s="4">
        <v>5309070</v>
      </c>
      <c r="M342" s="4">
        <v>5309070012</v>
      </c>
      <c r="N342" s="4" t="s">
        <v>49</v>
      </c>
      <c r="O342" s="4">
        <v>47112</v>
      </c>
      <c r="P342" s="4" t="s">
        <v>1580</v>
      </c>
      <c r="Q342" s="5">
        <v>1</v>
      </c>
      <c r="R342" s="5">
        <v>0</v>
      </c>
      <c r="S342" s="5">
        <v>0</v>
      </c>
      <c r="T342" s="5">
        <v>10000000</v>
      </c>
      <c r="U342" s="5">
        <v>200000</v>
      </c>
      <c r="V342" s="5">
        <v>0</v>
      </c>
      <c r="W342" s="5">
        <v>10200000</v>
      </c>
      <c r="X342" s="5">
        <v>20000000</v>
      </c>
      <c r="Y342" s="5">
        <v>0</v>
      </c>
      <c r="Z342" s="5">
        <f t="shared" si="45"/>
        <v>9800000</v>
      </c>
      <c r="AA342" s="5">
        <v>30000000</v>
      </c>
      <c r="AB342" s="5">
        <f t="shared" si="46"/>
        <v>10000000</v>
      </c>
      <c r="AC342" s="5" t="s">
        <v>93</v>
      </c>
      <c r="AD342" s="4" t="s">
        <v>51</v>
      </c>
      <c r="AE342" s="5">
        <f t="shared" si="47"/>
        <v>0.98</v>
      </c>
      <c r="AF342" s="5">
        <v>10000000</v>
      </c>
      <c r="AG342" s="5">
        <v>0</v>
      </c>
      <c r="AH342" s="5">
        <v>1</v>
      </c>
      <c r="AI342" s="5">
        <v>1</v>
      </c>
      <c r="AJ342" s="7" t="s">
        <v>1581</v>
      </c>
      <c r="AK342" s="5">
        <v>0</v>
      </c>
      <c r="AL342" s="5">
        <v>0</v>
      </c>
      <c r="AM342" s="4">
        <v>2021</v>
      </c>
      <c r="AN342" s="5">
        <v>0</v>
      </c>
      <c r="AO342" s="5">
        <v>1</v>
      </c>
      <c r="AP342" s="8"/>
      <c r="AQ342" s="8"/>
      <c r="AR342" s="8">
        <f t="shared" si="48"/>
        <v>0</v>
      </c>
      <c r="AS342" s="8">
        <f t="shared" si="49"/>
        <v>200000</v>
      </c>
      <c r="AT342" s="8">
        <f t="shared" si="50"/>
        <v>7400000</v>
      </c>
      <c r="AU342" s="8">
        <f t="shared" si="51"/>
        <v>2600000</v>
      </c>
      <c r="AV342" s="4" t="s">
        <v>1580</v>
      </c>
      <c r="AW342" s="7" t="s">
        <v>1581</v>
      </c>
      <c r="AX342" s="5">
        <v>10000000</v>
      </c>
      <c r="AY342">
        <f t="shared" si="52"/>
        <v>0</v>
      </c>
      <c r="AZ342">
        <f t="shared" si="53"/>
        <v>2600000</v>
      </c>
      <c r="BA342" s="5">
        <v>20000000</v>
      </c>
      <c r="BB342" s="5">
        <v>0</v>
      </c>
      <c r="BC342" s="4" t="s">
        <v>49</v>
      </c>
      <c r="BD342" s="4">
        <v>47112</v>
      </c>
      <c r="BE342" t="s">
        <v>54</v>
      </c>
    </row>
    <row r="343" spans="1:57" ht="270.75" thickBot="1" x14ac:dyDescent="0.3">
      <c r="A343" s="4" t="s">
        <v>1582</v>
      </c>
      <c r="B343" s="4">
        <v>1001</v>
      </c>
      <c r="C343" s="5">
        <v>2</v>
      </c>
      <c r="D343" s="4" t="s">
        <v>44</v>
      </c>
      <c r="E343" s="6">
        <v>46255.241246423611</v>
      </c>
      <c r="F343" s="4" t="s">
        <v>1583</v>
      </c>
      <c r="G343" s="4" t="s">
        <v>46</v>
      </c>
      <c r="H343" s="4">
        <v>53</v>
      </c>
      <c r="I343" s="4" t="s">
        <v>47</v>
      </c>
      <c r="J343" s="4">
        <v>5309</v>
      </c>
      <c r="K343" s="4" t="s">
        <v>48</v>
      </c>
      <c r="L343" s="4">
        <v>5309070</v>
      </c>
      <c r="M343" s="4">
        <v>5309070006</v>
      </c>
      <c r="N343" s="4" t="s">
        <v>49</v>
      </c>
      <c r="O343" s="4">
        <v>47112</v>
      </c>
      <c r="P343" s="4" t="s">
        <v>1584</v>
      </c>
      <c r="Q343" s="5">
        <v>2</v>
      </c>
      <c r="R343" s="5">
        <v>0</v>
      </c>
      <c r="S343" s="5">
        <v>300000</v>
      </c>
      <c r="T343" s="5">
        <v>30000000</v>
      </c>
      <c r="U343" s="5">
        <v>500000</v>
      </c>
      <c r="V343" s="5">
        <v>0</v>
      </c>
      <c r="W343" s="5">
        <v>30800000</v>
      </c>
      <c r="X343" s="5">
        <v>45000000</v>
      </c>
      <c r="Y343" s="5">
        <v>0</v>
      </c>
      <c r="Z343" s="5">
        <f t="shared" si="45"/>
        <v>14200000</v>
      </c>
      <c r="AA343" s="5">
        <v>10500000</v>
      </c>
      <c r="AB343" s="5">
        <f t="shared" si="46"/>
        <v>15000000</v>
      </c>
      <c r="AC343" s="5" t="s">
        <v>102</v>
      </c>
      <c r="AD343" s="4" t="s">
        <v>51</v>
      </c>
      <c r="AE343" s="5">
        <f t="shared" si="47"/>
        <v>0.94666666666666666</v>
      </c>
      <c r="AF343" s="5">
        <v>7500000</v>
      </c>
      <c r="AG343" s="5">
        <v>1</v>
      </c>
      <c r="AH343" s="5">
        <v>1</v>
      </c>
      <c r="AI343" s="5">
        <v>1</v>
      </c>
      <c r="AJ343" s="7" t="s">
        <v>1585</v>
      </c>
      <c r="AK343" s="5">
        <v>0</v>
      </c>
      <c r="AL343" s="5">
        <v>0</v>
      </c>
      <c r="AM343" s="4">
        <v>2024</v>
      </c>
      <c r="AN343" s="5">
        <v>0</v>
      </c>
      <c r="AO343" s="5">
        <v>2</v>
      </c>
      <c r="AP343" s="8"/>
      <c r="AQ343" s="8"/>
      <c r="AR343" s="8">
        <f t="shared" si="48"/>
        <v>0</v>
      </c>
      <c r="AS343" s="8">
        <f t="shared" si="49"/>
        <v>800000</v>
      </c>
      <c r="AT343" s="8">
        <f t="shared" si="50"/>
        <v>11100000</v>
      </c>
      <c r="AU343" s="8">
        <f t="shared" si="51"/>
        <v>3900000</v>
      </c>
      <c r="AV343" s="4" t="s">
        <v>1584</v>
      </c>
      <c r="AW343" s="7" t="s">
        <v>1585</v>
      </c>
      <c r="AX343" s="5">
        <v>30000000</v>
      </c>
      <c r="AY343">
        <f t="shared" si="52"/>
        <v>1462500</v>
      </c>
      <c r="AZ343">
        <f t="shared" si="53"/>
        <v>2437500</v>
      </c>
      <c r="BA343" s="5">
        <v>45000000</v>
      </c>
      <c r="BB343" s="5">
        <v>0</v>
      </c>
      <c r="BC343" s="4" t="s">
        <v>49</v>
      </c>
      <c r="BD343" s="4">
        <v>47112</v>
      </c>
      <c r="BE343" t="s">
        <v>54</v>
      </c>
    </row>
    <row r="344" spans="1:57" ht="270.75" thickBot="1" x14ac:dyDescent="0.3">
      <c r="A344" s="4" t="s">
        <v>1586</v>
      </c>
      <c r="B344" s="4">
        <v>1002</v>
      </c>
      <c r="C344" s="5">
        <v>2</v>
      </c>
      <c r="D344" s="4" t="s">
        <v>44</v>
      </c>
      <c r="E344" s="6">
        <v>46218.544744687497</v>
      </c>
      <c r="F344" s="4" t="s">
        <v>1587</v>
      </c>
      <c r="G344" s="4" t="s">
        <v>46</v>
      </c>
      <c r="H344" s="4">
        <v>53</v>
      </c>
      <c r="I344" s="4" t="s">
        <v>47</v>
      </c>
      <c r="J344" s="4">
        <v>5309</v>
      </c>
      <c r="K344" s="4" t="s">
        <v>48</v>
      </c>
      <c r="L344" s="4">
        <v>5309031</v>
      </c>
      <c r="M344" s="4">
        <v>5309031006</v>
      </c>
      <c r="N344" s="4" t="s">
        <v>49</v>
      </c>
      <c r="O344" s="4">
        <v>47112</v>
      </c>
      <c r="P344" s="4" t="s">
        <v>1588</v>
      </c>
      <c r="Q344" s="5">
        <v>1</v>
      </c>
      <c r="R344" s="5">
        <v>0</v>
      </c>
      <c r="S344" s="5">
        <v>50000</v>
      </c>
      <c r="T344" s="5">
        <v>8000000</v>
      </c>
      <c r="U344" s="5">
        <v>255000</v>
      </c>
      <c r="V344" s="5">
        <v>0</v>
      </c>
      <c r="W344" s="5">
        <v>8305000</v>
      </c>
      <c r="X344" s="5">
        <v>17800000</v>
      </c>
      <c r="Y344" s="5">
        <v>0</v>
      </c>
      <c r="Z344" s="5">
        <f t="shared" si="45"/>
        <v>9495000</v>
      </c>
      <c r="AA344" s="5">
        <v>42450000</v>
      </c>
      <c r="AB344" s="5">
        <f t="shared" si="46"/>
        <v>9800000</v>
      </c>
      <c r="AC344" s="5" t="s">
        <v>1589</v>
      </c>
      <c r="AD344" s="4" t="s">
        <v>51</v>
      </c>
      <c r="AE344" s="5">
        <f t="shared" si="47"/>
        <v>0.96887755102040818</v>
      </c>
      <c r="AF344" s="5">
        <v>9800000</v>
      </c>
      <c r="AG344" s="5">
        <v>0</v>
      </c>
      <c r="AH344" s="5">
        <v>1</v>
      </c>
      <c r="AI344" s="5">
        <v>1</v>
      </c>
      <c r="AJ344" s="7" t="s">
        <v>1590</v>
      </c>
      <c r="AK344" s="5">
        <v>0</v>
      </c>
      <c r="AL344" s="5">
        <v>0</v>
      </c>
      <c r="AM344" s="4">
        <v>2023</v>
      </c>
      <c r="AN344" s="5">
        <v>0</v>
      </c>
      <c r="AO344" s="5">
        <v>1</v>
      </c>
      <c r="AP344" s="8"/>
      <c r="AQ344" s="8"/>
      <c r="AR344" s="8">
        <f t="shared" si="48"/>
        <v>0</v>
      </c>
      <c r="AS344" s="8">
        <f t="shared" si="49"/>
        <v>305000</v>
      </c>
      <c r="AT344" s="8">
        <f t="shared" si="50"/>
        <v>7252000</v>
      </c>
      <c r="AU344" s="8">
        <f t="shared" si="51"/>
        <v>2548000</v>
      </c>
      <c r="AV344" s="4" t="s">
        <v>1588</v>
      </c>
      <c r="AW344" s="7" t="s">
        <v>1590</v>
      </c>
      <c r="AX344" s="5">
        <v>8000000</v>
      </c>
      <c r="AY344">
        <f t="shared" si="52"/>
        <v>417704.91803278681</v>
      </c>
      <c r="AZ344">
        <f t="shared" si="53"/>
        <v>2130295.0819672132</v>
      </c>
      <c r="BA344" s="5">
        <v>17800000</v>
      </c>
      <c r="BB344" s="5">
        <v>0</v>
      </c>
      <c r="BC344" s="4" t="s">
        <v>49</v>
      </c>
      <c r="BD344" s="4">
        <v>47112</v>
      </c>
      <c r="BE344" t="s">
        <v>54</v>
      </c>
    </row>
    <row r="345" spans="1:57" ht="270.75" thickBot="1" x14ac:dyDescent="0.3">
      <c r="A345" s="4" t="s">
        <v>1591</v>
      </c>
      <c r="B345" s="4">
        <v>3001</v>
      </c>
      <c r="C345" s="5">
        <v>2</v>
      </c>
      <c r="D345" s="4" t="s">
        <v>44</v>
      </c>
      <c r="E345" s="6">
        <v>46278.361533703704</v>
      </c>
      <c r="F345" s="4" t="s">
        <v>1592</v>
      </c>
      <c r="G345" s="4" t="s">
        <v>46</v>
      </c>
      <c r="H345" s="4">
        <v>53</v>
      </c>
      <c r="I345" s="4" t="s">
        <v>47</v>
      </c>
      <c r="J345" s="4">
        <v>5309</v>
      </c>
      <c r="K345" s="4" t="s">
        <v>48</v>
      </c>
      <c r="L345" s="4">
        <v>5309050</v>
      </c>
      <c r="M345" s="4">
        <v>5309050014</v>
      </c>
      <c r="N345" s="4" t="s">
        <v>49</v>
      </c>
      <c r="O345" s="4">
        <v>47112</v>
      </c>
      <c r="P345" s="4" t="s">
        <v>1593</v>
      </c>
      <c r="Q345" s="5">
        <v>2</v>
      </c>
      <c r="R345" s="5">
        <v>0</v>
      </c>
      <c r="S345" s="5">
        <v>0</v>
      </c>
      <c r="T345" s="5">
        <v>96000000</v>
      </c>
      <c r="U345" s="5">
        <v>0</v>
      </c>
      <c r="V345" s="5">
        <v>0</v>
      </c>
      <c r="W345" s="5">
        <v>96000000</v>
      </c>
      <c r="X345" s="5">
        <v>120000000</v>
      </c>
      <c r="Y345" s="5">
        <v>0</v>
      </c>
      <c r="Z345" s="5">
        <f t="shared" si="45"/>
        <v>24000000</v>
      </c>
      <c r="AA345" s="5">
        <v>10000000</v>
      </c>
      <c r="AB345" s="5">
        <f t="shared" si="46"/>
        <v>24000000</v>
      </c>
      <c r="AC345" s="5" t="s">
        <v>52</v>
      </c>
      <c r="AD345" s="4" t="s">
        <v>51</v>
      </c>
      <c r="AE345" s="5">
        <f t="shared" si="47"/>
        <v>1</v>
      </c>
      <c r="AF345" s="5">
        <v>12000000</v>
      </c>
      <c r="AG345" s="5">
        <v>1</v>
      </c>
      <c r="AH345" s="5">
        <v>1</v>
      </c>
      <c r="AI345" s="5">
        <v>1</v>
      </c>
      <c r="AJ345" s="7" t="s">
        <v>1594</v>
      </c>
      <c r="AK345" s="5">
        <v>0</v>
      </c>
      <c r="AL345" s="5">
        <v>0</v>
      </c>
      <c r="AM345" s="4">
        <v>2010</v>
      </c>
      <c r="AN345" s="5">
        <v>0</v>
      </c>
      <c r="AO345" s="5">
        <v>2</v>
      </c>
      <c r="AP345" s="8"/>
      <c r="AQ345" s="8"/>
      <c r="AR345" s="8">
        <f t="shared" si="48"/>
        <v>0</v>
      </c>
      <c r="AS345" s="8">
        <f t="shared" si="49"/>
        <v>0</v>
      </c>
      <c r="AT345" s="8">
        <f t="shared" si="50"/>
        <v>17760000</v>
      </c>
      <c r="AU345" s="8">
        <f t="shared" si="51"/>
        <v>6240000</v>
      </c>
      <c r="AV345" s="4" t="s">
        <v>1593</v>
      </c>
      <c r="AW345" s="7" t="s">
        <v>1594</v>
      </c>
      <c r="AX345" s="5">
        <v>96000000</v>
      </c>
      <c r="AY345" t="e">
        <f t="shared" si="52"/>
        <v>#DIV/0!</v>
      </c>
      <c r="AZ345" t="e">
        <f t="shared" si="53"/>
        <v>#DIV/0!</v>
      </c>
      <c r="BA345" s="5">
        <v>120000000</v>
      </c>
      <c r="BB345" s="5">
        <v>0</v>
      </c>
      <c r="BC345" s="4" t="s">
        <v>49</v>
      </c>
      <c r="BD345" s="4">
        <v>47112</v>
      </c>
      <c r="BE345" t="s">
        <v>54</v>
      </c>
    </row>
    <row r="346" spans="1:57" ht="270.75" thickBot="1" x14ac:dyDescent="0.3">
      <c r="A346" s="4" t="s">
        <v>1595</v>
      </c>
      <c r="B346" s="4">
        <v>1001</v>
      </c>
      <c r="C346" s="5">
        <v>2</v>
      </c>
      <c r="D346" s="4" t="s">
        <v>44</v>
      </c>
      <c r="E346" s="6">
        <v>46293.153911435184</v>
      </c>
      <c r="F346" s="4" t="s">
        <v>1596</v>
      </c>
      <c r="G346" s="4" t="s">
        <v>46</v>
      </c>
      <c r="H346" s="4">
        <v>53</v>
      </c>
      <c r="I346" s="4" t="s">
        <v>47</v>
      </c>
      <c r="J346" s="4">
        <v>5309</v>
      </c>
      <c r="K346" s="4" t="s">
        <v>48</v>
      </c>
      <c r="L346" s="4">
        <v>5309012</v>
      </c>
      <c r="M346" s="4">
        <v>5309012003</v>
      </c>
      <c r="N346" s="4" t="s">
        <v>49</v>
      </c>
      <c r="O346" s="4">
        <v>47112</v>
      </c>
      <c r="P346" s="4" t="s">
        <v>1597</v>
      </c>
      <c r="Q346" s="5">
        <v>2</v>
      </c>
      <c r="R346" s="5">
        <v>700000</v>
      </c>
      <c r="S346" s="5">
        <v>480000</v>
      </c>
      <c r="T346" s="5">
        <v>2000000</v>
      </c>
      <c r="U346" s="5">
        <v>3660000</v>
      </c>
      <c r="V346" s="5">
        <v>120000</v>
      </c>
      <c r="W346" s="5">
        <v>6960000</v>
      </c>
      <c r="X346" s="5">
        <v>24000000</v>
      </c>
      <c r="Y346" s="5">
        <v>0</v>
      </c>
      <c r="Z346" s="5">
        <f t="shared" si="45"/>
        <v>17860000</v>
      </c>
      <c r="AA346" s="5">
        <v>117000000</v>
      </c>
      <c r="AB346" s="5">
        <f t="shared" si="46"/>
        <v>22000000</v>
      </c>
      <c r="AC346" s="5" t="s">
        <v>967</v>
      </c>
      <c r="AD346" s="4" t="s">
        <v>51</v>
      </c>
      <c r="AE346" s="5">
        <f t="shared" si="47"/>
        <v>0.81181818181818177</v>
      </c>
      <c r="AF346" s="5">
        <v>11000000</v>
      </c>
      <c r="AG346" s="5">
        <v>1</v>
      </c>
      <c r="AH346" s="5">
        <v>1</v>
      </c>
      <c r="AI346" s="5">
        <v>1</v>
      </c>
      <c r="AJ346" s="7" t="s">
        <v>1598</v>
      </c>
      <c r="AK346" s="5">
        <v>0</v>
      </c>
      <c r="AL346" s="5">
        <v>0</v>
      </c>
      <c r="AM346" s="4">
        <v>2008</v>
      </c>
      <c r="AN346" s="5">
        <v>1</v>
      </c>
      <c r="AO346" s="5">
        <v>1</v>
      </c>
      <c r="AP346" s="8"/>
      <c r="AQ346" s="8"/>
      <c r="AR346" s="8">
        <f t="shared" si="48"/>
        <v>0</v>
      </c>
      <c r="AS346" s="8">
        <f t="shared" si="49"/>
        <v>4140000</v>
      </c>
      <c r="AT346" s="8">
        <f t="shared" si="50"/>
        <v>16280000</v>
      </c>
      <c r="AU346" s="8">
        <f t="shared" si="51"/>
        <v>5720000</v>
      </c>
      <c r="AV346" s="4" t="s">
        <v>1597</v>
      </c>
      <c r="AW346" s="7" t="s">
        <v>1598</v>
      </c>
      <c r="AX346" s="5">
        <v>2000000</v>
      </c>
      <c r="AY346">
        <f t="shared" si="52"/>
        <v>663188.40579710156</v>
      </c>
      <c r="AZ346">
        <f t="shared" si="53"/>
        <v>5056811.5942028984</v>
      </c>
      <c r="BA346" s="5">
        <v>24000000</v>
      </c>
      <c r="BB346" s="5">
        <v>0</v>
      </c>
      <c r="BC346" s="4" t="s">
        <v>49</v>
      </c>
      <c r="BD346" s="4">
        <v>47112</v>
      </c>
      <c r="BE346" t="s">
        <v>54</v>
      </c>
    </row>
    <row r="347" spans="1:57" ht="270.75" thickBot="1" x14ac:dyDescent="0.3">
      <c r="A347" s="4" t="s">
        <v>1599</v>
      </c>
      <c r="B347" s="4">
        <v>2001</v>
      </c>
      <c r="C347" s="5">
        <v>2</v>
      </c>
      <c r="D347" s="4" t="s">
        <v>44</v>
      </c>
      <c r="E347" s="6">
        <v>46232.962251423611</v>
      </c>
      <c r="F347" s="4" t="s">
        <v>1600</v>
      </c>
      <c r="G347" s="4" t="s">
        <v>46</v>
      </c>
      <c r="H347" s="4">
        <v>53</v>
      </c>
      <c r="I347" s="4" t="s">
        <v>47</v>
      </c>
      <c r="J347" s="4">
        <v>5309</v>
      </c>
      <c r="K347" s="4" t="s">
        <v>48</v>
      </c>
      <c r="L347" s="4">
        <v>5309032</v>
      </c>
      <c r="M347" s="4">
        <v>5309032002</v>
      </c>
      <c r="N347" s="4" t="s">
        <v>49</v>
      </c>
      <c r="O347" s="4">
        <v>47112</v>
      </c>
      <c r="P347" s="4" t="s">
        <v>1601</v>
      </c>
      <c r="Q347" s="5">
        <v>2</v>
      </c>
      <c r="R347" s="5">
        <v>0</v>
      </c>
      <c r="S347" s="5">
        <v>25000000</v>
      </c>
      <c r="T347" s="5">
        <v>15000000</v>
      </c>
      <c r="U347" s="5">
        <v>0</v>
      </c>
      <c r="V347" s="5">
        <v>0</v>
      </c>
      <c r="W347" s="5">
        <v>40000000</v>
      </c>
      <c r="X347" s="5">
        <v>54000000</v>
      </c>
      <c r="Y347" s="5">
        <v>0</v>
      </c>
      <c r="Z347" s="5">
        <f t="shared" si="45"/>
        <v>14000000</v>
      </c>
      <c r="AA347" s="5">
        <v>98000000</v>
      </c>
      <c r="AB347" s="5">
        <f t="shared" si="46"/>
        <v>39000000</v>
      </c>
      <c r="AC347" s="5" t="s">
        <v>1602</v>
      </c>
      <c r="AD347" s="4" t="s">
        <v>51</v>
      </c>
      <c r="AE347" s="5">
        <f t="shared" si="47"/>
        <v>0.35897435897435898</v>
      </c>
      <c r="AF347" s="5">
        <v>19500000</v>
      </c>
      <c r="AG347" s="5">
        <v>0</v>
      </c>
      <c r="AH347" s="5">
        <v>1</v>
      </c>
      <c r="AI347" s="5">
        <v>1</v>
      </c>
      <c r="AJ347" s="7" t="s">
        <v>1603</v>
      </c>
      <c r="AK347" s="5">
        <v>0</v>
      </c>
      <c r="AL347" s="5">
        <v>0</v>
      </c>
      <c r="AM347" s="4">
        <v>2023</v>
      </c>
      <c r="AN347" s="5">
        <v>0</v>
      </c>
      <c r="AO347" s="5">
        <v>2</v>
      </c>
      <c r="AP347" s="8"/>
      <c r="AQ347" s="8"/>
      <c r="AR347" s="8">
        <f t="shared" si="48"/>
        <v>0</v>
      </c>
      <c r="AS347" s="8">
        <f t="shared" si="49"/>
        <v>25000000</v>
      </c>
      <c r="AT347" s="8">
        <f t="shared" si="50"/>
        <v>14000000</v>
      </c>
      <c r="AU347" s="8">
        <f t="shared" si="51"/>
        <v>25000000</v>
      </c>
      <c r="AV347" s="4" t="s">
        <v>1601</v>
      </c>
      <c r="AW347" s="7" t="s">
        <v>1603</v>
      </c>
      <c r="AX347" s="5">
        <v>15000000</v>
      </c>
      <c r="AY347">
        <f t="shared" si="52"/>
        <v>25000000</v>
      </c>
      <c r="AZ347">
        <f t="shared" si="53"/>
        <v>0</v>
      </c>
      <c r="BA347" s="5">
        <v>54000000</v>
      </c>
      <c r="BB347" s="5">
        <v>0</v>
      </c>
      <c r="BC347" s="4" t="s">
        <v>49</v>
      </c>
      <c r="BD347" s="4">
        <v>47112</v>
      </c>
      <c r="BE347" t="s">
        <v>54</v>
      </c>
    </row>
    <row r="348" spans="1:57" ht="270.75" thickBot="1" x14ac:dyDescent="0.3">
      <c r="A348" s="11" t="s">
        <v>1604</v>
      </c>
      <c r="B348" s="4">
        <v>3001</v>
      </c>
      <c r="C348" s="5">
        <v>2</v>
      </c>
      <c r="D348" s="4" t="s">
        <v>60</v>
      </c>
      <c r="E348" s="6">
        <v>46280.610064548608</v>
      </c>
      <c r="F348" s="11" t="s">
        <v>1605</v>
      </c>
      <c r="G348" s="4" t="s">
        <v>46</v>
      </c>
      <c r="H348" s="4">
        <v>53</v>
      </c>
      <c r="I348" s="4" t="s">
        <v>47</v>
      </c>
      <c r="J348" s="4">
        <v>5309</v>
      </c>
      <c r="K348" s="4" t="s">
        <v>48</v>
      </c>
      <c r="L348" s="4">
        <v>5309073</v>
      </c>
      <c r="M348" s="4">
        <v>5309073010</v>
      </c>
      <c r="N348" s="4" t="s">
        <v>49</v>
      </c>
      <c r="O348" s="4">
        <v>47112</v>
      </c>
      <c r="P348" s="4" t="s">
        <v>1606</v>
      </c>
      <c r="Q348" s="5">
        <v>1</v>
      </c>
      <c r="R348" s="5">
        <v>0</v>
      </c>
      <c r="S348" s="5">
        <v>0</v>
      </c>
      <c r="T348" s="5">
        <v>72000000</v>
      </c>
      <c r="U348" s="5">
        <v>1200000</v>
      </c>
      <c r="V348" s="5">
        <v>0</v>
      </c>
      <c r="W348" s="5">
        <v>73200000</v>
      </c>
      <c r="X348" s="5">
        <v>108600000</v>
      </c>
      <c r="Y348" s="5">
        <v>0</v>
      </c>
      <c r="Z348" s="5">
        <f t="shared" si="45"/>
        <v>35400000</v>
      </c>
      <c r="AA348" s="5">
        <v>19000000</v>
      </c>
      <c r="AB348" s="5">
        <f t="shared" si="46"/>
        <v>36600000</v>
      </c>
      <c r="AC348" s="5" t="s">
        <v>808</v>
      </c>
      <c r="AD348" s="4" t="s">
        <v>51</v>
      </c>
      <c r="AE348" s="5">
        <f t="shared" si="47"/>
        <v>0.96721311475409832</v>
      </c>
      <c r="AF348" s="5">
        <v>36600000</v>
      </c>
      <c r="AG348" s="5">
        <v>1</v>
      </c>
      <c r="AH348" s="5">
        <v>1</v>
      </c>
      <c r="AI348" s="5">
        <v>1</v>
      </c>
      <c r="AJ348" s="7" t="s">
        <v>1607</v>
      </c>
      <c r="AK348" s="5">
        <v>0</v>
      </c>
      <c r="AL348" s="5">
        <v>0</v>
      </c>
      <c r="AM348" s="4">
        <v>2023</v>
      </c>
      <c r="AN348" s="5">
        <v>0</v>
      </c>
      <c r="AO348" s="5">
        <v>1</v>
      </c>
      <c r="AP348" s="8"/>
      <c r="AQ348" s="8"/>
      <c r="AR348" s="8">
        <f t="shared" si="48"/>
        <v>0</v>
      </c>
      <c r="AS348" s="8">
        <f t="shared" si="49"/>
        <v>1200000</v>
      </c>
      <c r="AT348" s="8">
        <f t="shared" si="50"/>
        <v>27084000</v>
      </c>
      <c r="AU348" s="8">
        <f t="shared" si="51"/>
        <v>9516000</v>
      </c>
      <c r="AV348" s="4" t="s">
        <v>1606</v>
      </c>
      <c r="AW348" s="7" t="s">
        <v>1607</v>
      </c>
      <c r="AX348" s="5">
        <v>72000000</v>
      </c>
      <c r="AY348">
        <f t="shared" si="52"/>
        <v>0</v>
      </c>
      <c r="AZ348">
        <f t="shared" si="53"/>
        <v>9516000</v>
      </c>
      <c r="BA348" s="5">
        <v>108600000</v>
      </c>
      <c r="BB348" s="5">
        <v>0</v>
      </c>
      <c r="BC348" s="4" t="s">
        <v>49</v>
      </c>
      <c r="BD348" s="4">
        <v>47112</v>
      </c>
      <c r="BE348" t="s">
        <v>54</v>
      </c>
    </row>
    <row r="349" spans="1:57" ht="270.75" thickBot="1" x14ac:dyDescent="0.3">
      <c r="A349" s="4" t="s">
        <v>1608</v>
      </c>
      <c r="B349" s="4">
        <v>1002</v>
      </c>
      <c r="C349" s="5">
        <v>2</v>
      </c>
      <c r="D349" s="4" t="s">
        <v>44</v>
      </c>
      <c r="E349" s="6">
        <v>46218.831998692127</v>
      </c>
      <c r="F349" s="4" t="s">
        <v>1609</v>
      </c>
      <c r="G349" s="4" t="s">
        <v>46</v>
      </c>
      <c r="H349" s="4">
        <v>53</v>
      </c>
      <c r="I349" s="4" t="s">
        <v>47</v>
      </c>
      <c r="J349" s="4">
        <v>5309</v>
      </c>
      <c r="K349" s="4" t="s">
        <v>48</v>
      </c>
      <c r="L349" s="4">
        <v>5309040</v>
      </c>
      <c r="M349" s="4">
        <v>5309040016</v>
      </c>
      <c r="N349" s="4" t="s">
        <v>49</v>
      </c>
      <c r="O349" s="4">
        <v>47112</v>
      </c>
      <c r="P349" s="4" t="s">
        <v>1610</v>
      </c>
      <c r="Q349" s="5">
        <v>4</v>
      </c>
      <c r="R349" s="5">
        <v>0</v>
      </c>
      <c r="S349" s="5">
        <v>250000</v>
      </c>
      <c r="T349" s="5">
        <v>7500000</v>
      </c>
      <c r="U349" s="5">
        <v>250000</v>
      </c>
      <c r="V349" s="5">
        <v>0</v>
      </c>
      <c r="W349" s="5">
        <v>8000000</v>
      </c>
      <c r="X349" s="5">
        <v>10000000</v>
      </c>
      <c r="Y349" s="5">
        <v>0</v>
      </c>
      <c r="Z349" s="5">
        <f t="shared" si="45"/>
        <v>2000000</v>
      </c>
      <c r="AA349" s="5">
        <v>5250000</v>
      </c>
      <c r="AB349" s="5">
        <f t="shared" si="46"/>
        <v>2500000</v>
      </c>
      <c r="AC349" s="5" t="s">
        <v>255</v>
      </c>
      <c r="AD349" s="4" t="s">
        <v>51</v>
      </c>
      <c r="AE349" s="5">
        <f t="shared" si="47"/>
        <v>0.8</v>
      </c>
      <c r="AF349" s="5">
        <v>625000</v>
      </c>
      <c r="AG349" s="5">
        <v>1</v>
      </c>
      <c r="AH349" s="5">
        <v>1</v>
      </c>
      <c r="AI349" s="5">
        <v>1</v>
      </c>
      <c r="AJ349" s="7" t="s">
        <v>1611</v>
      </c>
      <c r="AK349" s="5">
        <v>0</v>
      </c>
      <c r="AL349" s="5">
        <v>0</v>
      </c>
      <c r="AM349" s="4">
        <v>2015</v>
      </c>
      <c r="AN349" s="5">
        <v>0</v>
      </c>
      <c r="AO349" s="5">
        <v>4</v>
      </c>
      <c r="AP349" s="8"/>
      <c r="AQ349" s="8"/>
      <c r="AR349" s="8">
        <f t="shared" si="48"/>
        <v>0</v>
      </c>
      <c r="AS349" s="8">
        <f t="shared" si="49"/>
        <v>500000</v>
      </c>
      <c r="AT349" s="8">
        <f t="shared" si="50"/>
        <v>1850000</v>
      </c>
      <c r="AU349" s="8">
        <f t="shared" si="51"/>
        <v>650000</v>
      </c>
      <c r="AV349" s="4" t="s">
        <v>1610</v>
      </c>
      <c r="AW349" s="7" t="s">
        <v>1611</v>
      </c>
      <c r="AX349" s="5">
        <v>7500000</v>
      </c>
      <c r="AY349">
        <f t="shared" si="52"/>
        <v>325000</v>
      </c>
      <c r="AZ349">
        <f t="shared" si="53"/>
        <v>325000</v>
      </c>
      <c r="BA349" s="5">
        <v>10000000</v>
      </c>
      <c r="BB349" s="5">
        <v>0</v>
      </c>
      <c r="BC349" s="4" t="s">
        <v>49</v>
      </c>
      <c r="BD349" s="4">
        <v>47112</v>
      </c>
      <c r="BE349" t="s">
        <v>54</v>
      </c>
    </row>
    <row r="350" spans="1:57" ht="270.75" thickBot="1" x14ac:dyDescent="0.3">
      <c r="A350" s="4" t="s">
        <v>1612</v>
      </c>
      <c r="B350" s="4">
        <v>3002</v>
      </c>
      <c r="C350" s="5">
        <v>2</v>
      </c>
      <c r="D350" s="4" t="s">
        <v>44</v>
      </c>
      <c r="E350" s="6">
        <v>46214.488474351849</v>
      </c>
      <c r="F350" s="4" t="s">
        <v>1613</v>
      </c>
      <c r="G350" s="4" t="s">
        <v>46</v>
      </c>
      <c r="H350" s="4">
        <v>53</v>
      </c>
      <c r="I350" s="4" t="s">
        <v>47</v>
      </c>
      <c r="J350" s="4">
        <v>5309</v>
      </c>
      <c r="K350" s="4" t="s">
        <v>48</v>
      </c>
      <c r="L350" s="4">
        <v>5309073</v>
      </c>
      <c r="M350" s="4">
        <v>5309073006</v>
      </c>
      <c r="N350" s="4" t="s">
        <v>49</v>
      </c>
      <c r="O350" s="4">
        <v>47112</v>
      </c>
      <c r="P350" s="4" t="s">
        <v>1614</v>
      </c>
      <c r="Q350" s="5">
        <v>1</v>
      </c>
      <c r="R350" s="5">
        <v>0</v>
      </c>
      <c r="S350" s="5">
        <v>0</v>
      </c>
      <c r="T350" s="5">
        <v>10200000</v>
      </c>
      <c r="U350" s="5">
        <v>100000</v>
      </c>
      <c r="V350" s="5">
        <v>0</v>
      </c>
      <c r="W350" s="5">
        <v>10300000</v>
      </c>
      <c r="X350" s="5">
        <v>14500000</v>
      </c>
      <c r="Y350" s="5">
        <v>0</v>
      </c>
      <c r="Z350" s="5">
        <f t="shared" si="45"/>
        <v>4200000</v>
      </c>
      <c r="AA350" s="5">
        <v>11400000</v>
      </c>
      <c r="AB350" s="5">
        <f t="shared" si="46"/>
        <v>4300000</v>
      </c>
      <c r="AC350" s="5" t="s">
        <v>1615</v>
      </c>
      <c r="AD350" s="4" t="s">
        <v>51</v>
      </c>
      <c r="AE350" s="5">
        <f t="shared" si="47"/>
        <v>0.97674418604651159</v>
      </c>
      <c r="AF350" s="5">
        <v>4300000</v>
      </c>
      <c r="AG350" s="5">
        <v>0</v>
      </c>
      <c r="AH350" s="5">
        <v>1</v>
      </c>
      <c r="AI350" s="5">
        <v>1</v>
      </c>
      <c r="AJ350" s="7" t="s">
        <v>1616</v>
      </c>
      <c r="AK350" s="5">
        <v>0</v>
      </c>
      <c r="AL350" s="5">
        <v>0</v>
      </c>
      <c r="AM350" s="4">
        <v>2025</v>
      </c>
      <c r="AN350" s="5">
        <v>0</v>
      </c>
      <c r="AO350" s="5">
        <v>1</v>
      </c>
      <c r="AP350" s="8"/>
      <c r="AQ350" s="8"/>
      <c r="AR350" s="8">
        <f t="shared" si="48"/>
        <v>0</v>
      </c>
      <c r="AS350" s="8">
        <f t="shared" si="49"/>
        <v>100000</v>
      </c>
      <c r="AT350" s="8">
        <f t="shared" si="50"/>
        <v>3182000</v>
      </c>
      <c r="AU350" s="8">
        <f t="shared" si="51"/>
        <v>1118000</v>
      </c>
      <c r="AV350" s="4" t="s">
        <v>1614</v>
      </c>
      <c r="AW350" s="7" t="s">
        <v>1616</v>
      </c>
      <c r="AX350" s="5">
        <v>10200000</v>
      </c>
      <c r="AY350">
        <f t="shared" si="52"/>
        <v>0</v>
      </c>
      <c r="AZ350">
        <f t="shared" si="53"/>
        <v>1118000</v>
      </c>
      <c r="BA350" s="5">
        <v>14500000</v>
      </c>
      <c r="BB350" s="5">
        <v>0</v>
      </c>
      <c r="BC350" s="4" t="s">
        <v>49</v>
      </c>
      <c r="BD350" s="4">
        <v>47112</v>
      </c>
      <c r="BE350" t="s">
        <v>54</v>
      </c>
    </row>
    <row r="351" spans="1:57" ht="270.75" thickBot="1" x14ac:dyDescent="0.3">
      <c r="A351" s="4" t="s">
        <v>1617</v>
      </c>
      <c r="B351" s="4">
        <v>1001</v>
      </c>
      <c r="C351" s="5">
        <v>2</v>
      </c>
      <c r="D351" s="4" t="s">
        <v>44</v>
      </c>
      <c r="E351" s="6">
        <v>46240.832141793981</v>
      </c>
      <c r="F351" s="4" t="s">
        <v>1618</v>
      </c>
      <c r="G351" s="4" t="s">
        <v>46</v>
      </c>
      <c r="H351" s="4">
        <v>53</v>
      </c>
      <c r="I351" s="4" t="s">
        <v>47</v>
      </c>
      <c r="J351" s="4">
        <v>5309</v>
      </c>
      <c r="K351" s="4" t="s">
        <v>48</v>
      </c>
      <c r="L351" s="4">
        <v>5309041</v>
      </c>
      <c r="M351" s="4">
        <v>5309041003</v>
      </c>
      <c r="N351" s="4" t="s">
        <v>49</v>
      </c>
      <c r="O351" s="4">
        <v>47112</v>
      </c>
      <c r="P351" s="4" t="s">
        <v>1619</v>
      </c>
      <c r="Q351" s="5">
        <v>2</v>
      </c>
      <c r="R351" s="5">
        <v>0</v>
      </c>
      <c r="S351" s="5">
        <v>50000</v>
      </c>
      <c r="T351" s="5">
        <v>8000000</v>
      </c>
      <c r="U351" s="5">
        <v>300000</v>
      </c>
      <c r="V351" s="5">
        <v>0</v>
      </c>
      <c r="W351" s="5">
        <v>8350000</v>
      </c>
      <c r="X351" s="5">
        <v>12000000</v>
      </c>
      <c r="Y351" s="5">
        <v>0</v>
      </c>
      <c r="Z351" s="5">
        <f t="shared" si="45"/>
        <v>3650000</v>
      </c>
      <c r="AA351" s="5">
        <v>10000000</v>
      </c>
      <c r="AB351" s="5">
        <f t="shared" si="46"/>
        <v>4000000</v>
      </c>
      <c r="AC351" s="5" t="s">
        <v>102</v>
      </c>
      <c r="AD351" s="4" t="s">
        <v>51</v>
      </c>
      <c r="AE351" s="5">
        <f t="shared" si="47"/>
        <v>0.91249999999999998</v>
      </c>
      <c r="AF351" s="5">
        <v>2000000</v>
      </c>
      <c r="AG351" s="5">
        <v>0</v>
      </c>
      <c r="AH351" s="5">
        <v>1</v>
      </c>
      <c r="AI351" s="5">
        <v>1</v>
      </c>
      <c r="AJ351" s="7" t="s">
        <v>1620</v>
      </c>
      <c r="AK351" s="5">
        <v>0</v>
      </c>
      <c r="AL351" s="5">
        <v>0</v>
      </c>
      <c r="AM351" s="4">
        <v>2022</v>
      </c>
      <c r="AN351" s="5">
        <v>0</v>
      </c>
      <c r="AO351" s="5">
        <v>2</v>
      </c>
      <c r="AP351" s="8"/>
      <c r="AQ351" s="8"/>
      <c r="AR351" s="8">
        <f t="shared" si="48"/>
        <v>0</v>
      </c>
      <c r="AS351" s="8">
        <f t="shared" si="49"/>
        <v>350000</v>
      </c>
      <c r="AT351" s="8">
        <f t="shared" si="50"/>
        <v>2960000</v>
      </c>
      <c r="AU351" s="8">
        <f t="shared" si="51"/>
        <v>1040000</v>
      </c>
      <c r="AV351" s="4" t="s">
        <v>1619</v>
      </c>
      <c r="AW351" s="7" t="s">
        <v>1620</v>
      </c>
      <c r="AX351" s="5">
        <v>8000000</v>
      </c>
      <c r="AY351">
        <f t="shared" si="52"/>
        <v>148571.42857142852</v>
      </c>
      <c r="AZ351">
        <f t="shared" si="53"/>
        <v>891428.57142857148</v>
      </c>
      <c r="BA351" s="5">
        <v>12000000</v>
      </c>
      <c r="BB351" s="5">
        <v>0</v>
      </c>
      <c r="BC351" s="4" t="s">
        <v>49</v>
      </c>
      <c r="BD351" s="4">
        <v>47112</v>
      </c>
      <c r="BE351" t="s">
        <v>54</v>
      </c>
    </row>
    <row r="352" spans="1:57" ht="270.75" thickBot="1" x14ac:dyDescent="0.3">
      <c r="A352" s="11" t="s">
        <v>1621</v>
      </c>
      <c r="B352" s="4">
        <v>2001</v>
      </c>
      <c r="C352" s="5">
        <v>2</v>
      </c>
      <c r="D352" s="4" t="s">
        <v>56</v>
      </c>
      <c r="E352" s="6">
        <v>46234.842743356479</v>
      </c>
      <c r="F352" s="11" t="s">
        <v>1622</v>
      </c>
      <c r="G352" s="4" t="s">
        <v>46</v>
      </c>
      <c r="H352" s="4">
        <v>53</v>
      </c>
      <c r="I352" s="4" t="s">
        <v>47</v>
      </c>
      <c r="J352" s="4">
        <v>5309</v>
      </c>
      <c r="K352" s="4" t="s">
        <v>48</v>
      </c>
      <c r="L352" s="4">
        <v>5309060</v>
      </c>
      <c r="M352" s="4">
        <v>5309060012</v>
      </c>
      <c r="N352" s="4" t="s">
        <v>49</v>
      </c>
      <c r="O352" s="4">
        <v>47112</v>
      </c>
      <c r="P352" s="4" t="s">
        <v>1623</v>
      </c>
      <c r="Q352" s="5">
        <v>2</v>
      </c>
      <c r="R352" s="5">
        <v>0</v>
      </c>
      <c r="S352" s="5">
        <v>0</v>
      </c>
      <c r="T352" s="5">
        <v>20000000</v>
      </c>
      <c r="U352" s="5">
        <v>2500000</v>
      </c>
      <c r="V352" s="5">
        <v>0</v>
      </c>
      <c r="W352" s="5">
        <v>22500000</v>
      </c>
      <c r="X352" s="5">
        <v>26500000</v>
      </c>
      <c r="Y352" s="5">
        <v>3500000</v>
      </c>
      <c r="Z352" s="5">
        <f t="shared" si="45"/>
        <v>4000000</v>
      </c>
      <c r="AA352" s="5">
        <v>4500000</v>
      </c>
      <c r="AB352" s="5">
        <f t="shared" si="46"/>
        <v>6500000</v>
      </c>
      <c r="AC352" s="5" t="s">
        <v>1624</v>
      </c>
      <c r="AD352" s="4" t="s">
        <v>51</v>
      </c>
      <c r="AE352" s="5">
        <f t="shared" si="47"/>
        <v>0.61538461538461542</v>
      </c>
      <c r="AF352" s="5">
        <v>3250000</v>
      </c>
      <c r="AG352" s="5">
        <v>1</v>
      </c>
      <c r="AH352" s="5">
        <v>1</v>
      </c>
      <c r="AI352" s="5">
        <v>1</v>
      </c>
      <c r="AJ352" s="7" t="s">
        <v>1625</v>
      </c>
      <c r="AK352" s="5">
        <v>0</v>
      </c>
      <c r="AL352" s="5">
        <v>0</v>
      </c>
      <c r="AM352" s="4">
        <v>2024</v>
      </c>
      <c r="AN352" s="5">
        <v>0</v>
      </c>
      <c r="AO352" s="5">
        <v>2</v>
      </c>
      <c r="AP352" s="8"/>
      <c r="AQ352" s="8"/>
      <c r="AR352" s="8">
        <f t="shared" si="48"/>
        <v>0</v>
      </c>
      <c r="AS352" s="8">
        <f t="shared" si="49"/>
        <v>2500000</v>
      </c>
      <c r="AT352" s="8">
        <f t="shared" si="50"/>
        <v>4000000</v>
      </c>
      <c r="AU352" s="8">
        <f t="shared" si="51"/>
        <v>2500000</v>
      </c>
      <c r="AV352" s="4" t="s">
        <v>1623</v>
      </c>
      <c r="AW352" s="7" t="s">
        <v>1625</v>
      </c>
      <c r="AX352" s="5">
        <v>20000000</v>
      </c>
      <c r="AY352">
        <f t="shared" si="52"/>
        <v>0</v>
      </c>
      <c r="AZ352">
        <f t="shared" si="53"/>
        <v>2500000</v>
      </c>
      <c r="BA352" s="5">
        <v>26500000</v>
      </c>
      <c r="BB352" s="5">
        <v>3500000</v>
      </c>
      <c r="BC352" s="4" t="s">
        <v>49</v>
      </c>
      <c r="BD352" s="4">
        <v>47112</v>
      </c>
      <c r="BE352" t="s">
        <v>54</v>
      </c>
    </row>
    <row r="353" spans="1:57" ht="270.75" thickBot="1" x14ac:dyDescent="0.3">
      <c r="A353" s="4" t="s">
        <v>1626</v>
      </c>
      <c r="B353" s="4">
        <v>1002</v>
      </c>
      <c r="C353" s="5">
        <v>2</v>
      </c>
      <c r="D353" s="4" t="s">
        <v>44</v>
      </c>
      <c r="E353" s="6">
        <v>46237.707824791665</v>
      </c>
      <c r="F353" s="4" t="s">
        <v>1627</v>
      </c>
      <c r="G353" s="4" t="s">
        <v>46</v>
      </c>
      <c r="H353" s="4">
        <v>53</v>
      </c>
      <c r="I353" s="4" t="s">
        <v>47</v>
      </c>
      <c r="J353" s="4">
        <v>5309</v>
      </c>
      <c r="K353" s="4" t="s">
        <v>48</v>
      </c>
      <c r="L353" s="4">
        <v>5309060</v>
      </c>
      <c r="M353" s="4">
        <v>5309060028</v>
      </c>
      <c r="N353" s="4" t="s">
        <v>49</v>
      </c>
      <c r="O353" s="4">
        <v>47112</v>
      </c>
      <c r="P353" s="4" t="s">
        <v>1628</v>
      </c>
      <c r="Q353" s="5">
        <v>1</v>
      </c>
      <c r="R353" s="5">
        <v>0</v>
      </c>
      <c r="S353" s="5">
        <v>0</v>
      </c>
      <c r="T353" s="5">
        <v>25000000</v>
      </c>
      <c r="U353" s="5">
        <v>1000000</v>
      </c>
      <c r="V353" s="5">
        <v>0</v>
      </c>
      <c r="W353" s="5">
        <v>26000000</v>
      </c>
      <c r="X353" s="5">
        <v>33000000</v>
      </c>
      <c r="Y353" s="5">
        <v>0</v>
      </c>
      <c r="Z353" s="5">
        <f t="shared" si="45"/>
        <v>7000000</v>
      </c>
      <c r="AA353" s="5">
        <v>20000000</v>
      </c>
      <c r="AB353" s="5">
        <f t="shared" si="46"/>
        <v>8000000</v>
      </c>
      <c r="AC353" s="5" t="s">
        <v>1629</v>
      </c>
      <c r="AD353" s="4" t="s">
        <v>51</v>
      </c>
      <c r="AE353" s="5">
        <f t="shared" si="47"/>
        <v>0.875</v>
      </c>
      <c r="AF353" s="5">
        <v>8000000</v>
      </c>
      <c r="AG353" s="5">
        <v>0</v>
      </c>
      <c r="AH353" s="5">
        <v>1</v>
      </c>
      <c r="AI353" s="5">
        <v>1</v>
      </c>
      <c r="AJ353" s="7" t="s">
        <v>1630</v>
      </c>
      <c r="AK353" s="5">
        <v>0</v>
      </c>
      <c r="AL353" s="5">
        <v>0</v>
      </c>
      <c r="AM353" s="4">
        <v>2023</v>
      </c>
      <c r="AN353" s="5">
        <v>0</v>
      </c>
      <c r="AO353" s="5">
        <v>1</v>
      </c>
      <c r="AP353" s="8"/>
      <c r="AQ353" s="8"/>
      <c r="AR353" s="8">
        <f t="shared" si="48"/>
        <v>0</v>
      </c>
      <c r="AS353" s="8">
        <f t="shared" si="49"/>
        <v>1000000</v>
      </c>
      <c r="AT353" s="8">
        <f t="shared" si="50"/>
        <v>5920000</v>
      </c>
      <c r="AU353" s="8">
        <f t="shared" si="51"/>
        <v>2080000</v>
      </c>
      <c r="AV353" s="4" t="s">
        <v>1628</v>
      </c>
      <c r="AW353" s="7" t="s">
        <v>1630</v>
      </c>
      <c r="AX353" s="5">
        <v>25000000</v>
      </c>
      <c r="AY353">
        <f t="shared" si="52"/>
        <v>0</v>
      </c>
      <c r="AZ353">
        <f t="shared" si="53"/>
        <v>2080000</v>
      </c>
      <c r="BA353" s="5">
        <v>33000000</v>
      </c>
      <c r="BB353" s="5">
        <v>0</v>
      </c>
      <c r="BC353" s="4" t="s">
        <v>49</v>
      </c>
      <c r="BD353" s="4">
        <v>47112</v>
      </c>
      <c r="BE353" t="s">
        <v>54</v>
      </c>
    </row>
    <row r="354" spans="1:57" ht="270.75" thickBot="1" x14ac:dyDescent="0.3">
      <c r="A354" s="4" t="s">
        <v>1631</v>
      </c>
      <c r="B354" s="4">
        <v>1</v>
      </c>
      <c r="C354" s="5">
        <v>2</v>
      </c>
      <c r="D354" s="4" t="s">
        <v>44</v>
      </c>
      <c r="E354" s="6">
        <v>46263.354847442133</v>
      </c>
      <c r="F354" s="4" t="s">
        <v>1632</v>
      </c>
      <c r="G354" s="4" t="s">
        <v>46</v>
      </c>
      <c r="H354" s="4">
        <v>53</v>
      </c>
      <c r="I354" s="4" t="s">
        <v>47</v>
      </c>
      <c r="J354" s="4">
        <v>5309</v>
      </c>
      <c r="K354" s="4" t="s">
        <v>48</v>
      </c>
      <c r="L354" s="4">
        <v>5309031</v>
      </c>
      <c r="M354" s="4">
        <v>5309031008</v>
      </c>
      <c r="N354" s="4" t="s">
        <v>49</v>
      </c>
      <c r="O354" s="4">
        <v>47112</v>
      </c>
      <c r="P354" s="4" t="s">
        <v>1633</v>
      </c>
      <c r="Q354" s="5">
        <v>4</v>
      </c>
      <c r="R354" s="5">
        <v>12000000</v>
      </c>
      <c r="S354" s="5">
        <v>450000</v>
      </c>
      <c r="T354" s="5">
        <v>98000000</v>
      </c>
      <c r="U354" s="5">
        <v>12000000</v>
      </c>
      <c r="V354" s="5">
        <v>97000</v>
      </c>
      <c r="W354" s="5">
        <v>122547000</v>
      </c>
      <c r="X354" s="5">
        <v>201500000</v>
      </c>
      <c r="Y354" s="5">
        <v>0</v>
      </c>
      <c r="Z354" s="5">
        <f t="shared" si="45"/>
        <v>91050000</v>
      </c>
      <c r="AA354" s="5">
        <v>1400000000</v>
      </c>
      <c r="AB354" s="5">
        <f t="shared" si="46"/>
        <v>103500000</v>
      </c>
      <c r="AC354" s="5" t="s">
        <v>1634</v>
      </c>
      <c r="AD354" s="4" t="s">
        <v>51</v>
      </c>
      <c r="AE354" s="5">
        <f t="shared" si="47"/>
        <v>0.87971014492753619</v>
      </c>
      <c r="AF354" s="5">
        <v>25875000</v>
      </c>
      <c r="AG354" s="5">
        <v>1</v>
      </c>
      <c r="AH354" s="5">
        <v>1</v>
      </c>
      <c r="AI354" s="5">
        <v>1</v>
      </c>
      <c r="AJ354" s="7" t="s">
        <v>1635</v>
      </c>
      <c r="AK354" s="5">
        <v>0</v>
      </c>
      <c r="AL354" s="5">
        <v>0</v>
      </c>
      <c r="AM354" s="4">
        <v>2017</v>
      </c>
      <c r="AN354" s="5">
        <v>2</v>
      </c>
      <c r="AO354" s="5">
        <v>2</v>
      </c>
      <c r="AP354" s="8"/>
      <c r="AQ354" s="8"/>
      <c r="AR354" s="8">
        <f t="shared" si="48"/>
        <v>0</v>
      </c>
      <c r="AS354" s="8">
        <f t="shared" si="49"/>
        <v>12450000</v>
      </c>
      <c r="AT354" s="8">
        <f t="shared" si="50"/>
        <v>76590000</v>
      </c>
      <c r="AU354" s="8">
        <f t="shared" si="51"/>
        <v>26910000</v>
      </c>
      <c r="AV354" s="4" t="s">
        <v>1633</v>
      </c>
      <c r="AW354" s="7" t="s">
        <v>1635</v>
      </c>
      <c r="AX354" s="5">
        <v>98000000</v>
      </c>
      <c r="AY354">
        <f t="shared" si="52"/>
        <v>972650.60240963846</v>
      </c>
      <c r="AZ354">
        <f t="shared" si="53"/>
        <v>25937349.397590362</v>
      </c>
      <c r="BA354" s="5">
        <v>201500000</v>
      </c>
      <c r="BB354" s="5">
        <v>0</v>
      </c>
      <c r="BC354" s="4" t="s">
        <v>49</v>
      </c>
      <c r="BD354" s="4">
        <v>47112</v>
      </c>
      <c r="BE354" t="s">
        <v>54</v>
      </c>
    </row>
    <row r="355" spans="1:57" ht="270.75" thickBot="1" x14ac:dyDescent="0.3">
      <c r="A355" s="4" t="s">
        <v>1636</v>
      </c>
      <c r="B355" s="4">
        <v>3001</v>
      </c>
      <c r="C355" s="5">
        <v>2</v>
      </c>
      <c r="D355" s="4" t="s">
        <v>44</v>
      </c>
      <c r="E355" s="6">
        <v>46249.971152858794</v>
      </c>
      <c r="F355" s="4" t="s">
        <v>1637</v>
      </c>
      <c r="G355" s="4" t="s">
        <v>46</v>
      </c>
      <c r="H355" s="4">
        <v>53</v>
      </c>
      <c r="I355" s="4" t="s">
        <v>47</v>
      </c>
      <c r="J355" s="4">
        <v>5309</v>
      </c>
      <c r="K355" s="4" t="s">
        <v>48</v>
      </c>
      <c r="L355" s="4">
        <v>5309060</v>
      </c>
      <c r="M355" s="4">
        <v>5309060019</v>
      </c>
      <c r="N355" s="4" t="s">
        <v>49</v>
      </c>
      <c r="O355" s="4">
        <v>47112</v>
      </c>
      <c r="P355" s="4" t="s">
        <v>1638</v>
      </c>
      <c r="Q355" s="5">
        <v>3</v>
      </c>
      <c r="R355" s="5">
        <v>0</v>
      </c>
      <c r="S355" s="5">
        <v>300000</v>
      </c>
      <c r="T355" s="5">
        <v>2500000</v>
      </c>
      <c r="U355" s="5">
        <v>200000</v>
      </c>
      <c r="V355" s="5">
        <v>0</v>
      </c>
      <c r="W355" s="5">
        <v>3000000</v>
      </c>
      <c r="X355" s="5">
        <v>7000000</v>
      </c>
      <c r="Y355" s="5">
        <v>0</v>
      </c>
      <c r="Z355" s="5">
        <f t="shared" si="45"/>
        <v>4000000</v>
      </c>
      <c r="AA355" s="5">
        <v>800000</v>
      </c>
      <c r="AB355" s="5">
        <f t="shared" si="46"/>
        <v>4500000</v>
      </c>
      <c r="AC355" s="5" t="s">
        <v>1639</v>
      </c>
      <c r="AD355" s="4" t="s">
        <v>51</v>
      </c>
      <c r="AE355" s="5">
        <f t="shared" si="47"/>
        <v>0.88888888888888884</v>
      </c>
      <c r="AF355" s="5">
        <v>1500000</v>
      </c>
      <c r="AG355" s="5">
        <v>1</v>
      </c>
      <c r="AH355" s="5">
        <v>1</v>
      </c>
      <c r="AI355" s="5">
        <v>1</v>
      </c>
      <c r="AJ355" s="7" t="s">
        <v>1640</v>
      </c>
      <c r="AK355" s="5">
        <v>0</v>
      </c>
      <c r="AL355" s="5">
        <v>0</v>
      </c>
      <c r="AM355" s="4">
        <v>2024</v>
      </c>
      <c r="AN355" s="5">
        <v>0</v>
      </c>
      <c r="AO355" s="5">
        <v>3</v>
      </c>
      <c r="AP355" s="8"/>
      <c r="AQ355" s="8"/>
      <c r="AR355" s="8">
        <f t="shared" si="48"/>
        <v>0</v>
      </c>
      <c r="AS355" s="8">
        <f t="shared" si="49"/>
        <v>500000</v>
      </c>
      <c r="AT355" s="8">
        <f t="shared" si="50"/>
        <v>3330000</v>
      </c>
      <c r="AU355" s="8">
        <f t="shared" si="51"/>
        <v>1170000</v>
      </c>
      <c r="AV355" s="4" t="s">
        <v>1638</v>
      </c>
      <c r="AW355" s="7" t="s">
        <v>1640</v>
      </c>
      <c r="AX355" s="5">
        <v>2500000</v>
      </c>
      <c r="AY355">
        <f t="shared" si="52"/>
        <v>702000</v>
      </c>
      <c r="AZ355">
        <f t="shared" si="53"/>
        <v>468000</v>
      </c>
      <c r="BA355" s="5">
        <v>7000000</v>
      </c>
      <c r="BB355" s="5">
        <v>0</v>
      </c>
      <c r="BC355" s="4" t="s">
        <v>49</v>
      </c>
      <c r="BD355" s="4">
        <v>47112</v>
      </c>
      <c r="BE355" t="s">
        <v>54</v>
      </c>
    </row>
    <row r="356" spans="1:57" ht="270.75" thickBot="1" x14ac:dyDescent="0.3">
      <c r="A356" s="4" t="s">
        <v>1641</v>
      </c>
      <c r="B356" s="4">
        <v>2001</v>
      </c>
      <c r="C356" s="5">
        <v>2</v>
      </c>
      <c r="D356" s="4" t="s">
        <v>44</v>
      </c>
      <c r="E356" s="6">
        <v>46293.073839467594</v>
      </c>
      <c r="F356" s="4" t="s">
        <v>1642</v>
      </c>
      <c r="G356" s="4" t="s">
        <v>46</v>
      </c>
      <c r="H356" s="4">
        <v>53</v>
      </c>
      <c r="I356" s="4" t="s">
        <v>47</v>
      </c>
      <c r="J356" s="4">
        <v>5309</v>
      </c>
      <c r="K356" s="4" t="s">
        <v>48</v>
      </c>
      <c r="L356" s="4">
        <v>5309030</v>
      </c>
      <c r="M356" s="4">
        <v>5309030023</v>
      </c>
      <c r="N356" s="4" t="s">
        <v>49</v>
      </c>
      <c r="O356" s="4">
        <v>47112</v>
      </c>
      <c r="P356" s="4" t="s">
        <v>1643</v>
      </c>
      <c r="Q356" s="5">
        <v>1</v>
      </c>
      <c r="R356" s="5">
        <v>0</v>
      </c>
      <c r="S356" s="5">
        <v>0</v>
      </c>
      <c r="T356" s="5">
        <v>7000000</v>
      </c>
      <c r="U356" s="5">
        <v>500000</v>
      </c>
      <c r="V356" s="5">
        <v>0</v>
      </c>
      <c r="W356" s="5">
        <v>7500000</v>
      </c>
      <c r="X356" s="5">
        <v>10000000</v>
      </c>
      <c r="Y356" s="5">
        <v>0</v>
      </c>
      <c r="Z356" s="5">
        <f t="shared" si="45"/>
        <v>2500000</v>
      </c>
      <c r="AA356" s="5">
        <v>50000000</v>
      </c>
      <c r="AB356" s="5">
        <f t="shared" si="46"/>
        <v>3000000</v>
      </c>
      <c r="AC356" s="5" t="s">
        <v>921</v>
      </c>
      <c r="AD356" s="4" t="s">
        <v>51</v>
      </c>
      <c r="AE356" s="5">
        <f t="shared" si="47"/>
        <v>0.83333333333333337</v>
      </c>
      <c r="AF356" s="5">
        <v>3000000</v>
      </c>
      <c r="AG356" s="5">
        <v>1</v>
      </c>
      <c r="AH356" s="5">
        <v>1</v>
      </c>
      <c r="AI356" s="5">
        <v>1</v>
      </c>
      <c r="AJ356" s="7" t="s">
        <v>1644</v>
      </c>
      <c r="AK356" s="5">
        <v>0</v>
      </c>
      <c r="AL356" s="5">
        <v>0</v>
      </c>
      <c r="AM356" s="4">
        <v>2019</v>
      </c>
      <c r="AN356" s="5">
        <v>0</v>
      </c>
      <c r="AO356" s="5">
        <v>1</v>
      </c>
      <c r="AP356" s="8"/>
      <c r="AQ356" s="8"/>
      <c r="AR356" s="8">
        <f t="shared" si="48"/>
        <v>0</v>
      </c>
      <c r="AS356" s="8">
        <f t="shared" si="49"/>
        <v>500000</v>
      </c>
      <c r="AT356" s="8">
        <f t="shared" si="50"/>
        <v>2220000</v>
      </c>
      <c r="AU356" s="8">
        <f t="shared" si="51"/>
        <v>780000</v>
      </c>
      <c r="AV356" s="4" t="s">
        <v>1643</v>
      </c>
      <c r="AW356" s="7" t="s">
        <v>1644</v>
      </c>
      <c r="AX356" s="5">
        <v>7000000</v>
      </c>
      <c r="AY356">
        <f t="shared" si="52"/>
        <v>0</v>
      </c>
      <c r="AZ356">
        <f t="shared" si="53"/>
        <v>780000</v>
      </c>
      <c r="BA356" s="5">
        <v>10000000</v>
      </c>
      <c r="BB356" s="5">
        <v>0</v>
      </c>
      <c r="BC356" s="4" t="s">
        <v>49</v>
      </c>
      <c r="BD356" s="4">
        <v>47112</v>
      </c>
      <c r="BE356" t="s">
        <v>54</v>
      </c>
    </row>
    <row r="357" spans="1:57" ht="270.75" thickBot="1" x14ac:dyDescent="0.3">
      <c r="A357" s="4" t="s">
        <v>1645</v>
      </c>
      <c r="B357" s="4">
        <v>3005</v>
      </c>
      <c r="C357" s="5">
        <v>2</v>
      </c>
      <c r="D357" s="4" t="s">
        <v>56</v>
      </c>
      <c r="E357" s="6">
        <v>46316.277954340279</v>
      </c>
      <c r="F357" s="4" t="s">
        <v>1646</v>
      </c>
      <c r="G357" s="4" t="s">
        <v>46</v>
      </c>
      <c r="H357" s="4">
        <v>53</v>
      </c>
      <c r="I357" s="4" t="s">
        <v>47</v>
      </c>
      <c r="J357" s="4">
        <v>5309</v>
      </c>
      <c r="K357" s="4" t="s">
        <v>48</v>
      </c>
      <c r="L357" s="4">
        <v>5309030</v>
      </c>
      <c r="M357" s="4">
        <v>5309030011</v>
      </c>
      <c r="N357" s="4" t="s">
        <v>49</v>
      </c>
      <c r="O357" s="4">
        <v>47112</v>
      </c>
      <c r="P357" s="4" t="s">
        <v>1647</v>
      </c>
      <c r="Q357" s="5">
        <v>1</v>
      </c>
      <c r="R357" s="5">
        <v>0</v>
      </c>
      <c r="S357" s="5">
        <v>17999988</v>
      </c>
      <c r="T357" s="5">
        <v>11400000</v>
      </c>
      <c r="U357" s="5">
        <v>240000</v>
      </c>
      <c r="V357" s="5">
        <v>0</v>
      </c>
      <c r="W357" s="5">
        <v>29639988</v>
      </c>
      <c r="X357" s="5">
        <v>52200000</v>
      </c>
      <c r="Y357" s="5">
        <v>0</v>
      </c>
      <c r="Z357" s="5">
        <f t="shared" si="45"/>
        <v>22560012</v>
      </c>
      <c r="AA357" s="5">
        <v>0</v>
      </c>
      <c r="AB357" s="5">
        <f t="shared" si="46"/>
        <v>40800000</v>
      </c>
      <c r="AC357" s="5" t="s">
        <v>1648</v>
      </c>
      <c r="AD357" s="4" t="s">
        <v>51</v>
      </c>
      <c r="AE357" s="5">
        <f t="shared" si="47"/>
        <v>0.55294147058823528</v>
      </c>
      <c r="AF357" s="5">
        <v>40800000</v>
      </c>
      <c r="AG357" s="4"/>
      <c r="AH357" s="5">
        <v>1</v>
      </c>
      <c r="AI357" s="5">
        <v>1</v>
      </c>
      <c r="AJ357" s="7" t="s">
        <v>1649</v>
      </c>
      <c r="AK357" s="5">
        <v>0</v>
      </c>
      <c r="AL357" s="5">
        <v>0</v>
      </c>
      <c r="AM357" s="4">
        <v>2026</v>
      </c>
      <c r="AN357" s="5">
        <v>0</v>
      </c>
      <c r="AO357" s="5">
        <v>1</v>
      </c>
      <c r="AP357" s="8"/>
      <c r="AQ357" s="8"/>
      <c r="AR357" s="8">
        <f t="shared" si="48"/>
        <v>0</v>
      </c>
      <c r="AS357" s="8">
        <f t="shared" si="49"/>
        <v>18239988</v>
      </c>
      <c r="AT357" s="8">
        <f t="shared" si="50"/>
        <v>22560012</v>
      </c>
      <c r="AU357" s="8">
        <f t="shared" si="51"/>
        <v>18239988</v>
      </c>
      <c r="AV357" s="4" t="s">
        <v>1647</v>
      </c>
      <c r="AW357" s="7" t="s">
        <v>1649</v>
      </c>
      <c r="AX357" s="5">
        <v>11400000</v>
      </c>
      <c r="AY357">
        <f t="shared" si="52"/>
        <v>17999988</v>
      </c>
      <c r="AZ357">
        <f t="shared" si="53"/>
        <v>240000</v>
      </c>
      <c r="BA357" s="5">
        <v>52200000</v>
      </c>
      <c r="BB357" s="5">
        <v>0</v>
      </c>
      <c r="BC357" s="4" t="s">
        <v>49</v>
      </c>
      <c r="BD357" s="4">
        <v>47112</v>
      </c>
      <c r="BE357" t="s">
        <v>54</v>
      </c>
    </row>
    <row r="358" spans="1:57" ht="270.75" thickBot="1" x14ac:dyDescent="0.3">
      <c r="A358" s="4" t="s">
        <v>1650</v>
      </c>
      <c r="B358" s="4">
        <v>1102</v>
      </c>
      <c r="C358" s="5">
        <v>2</v>
      </c>
      <c r="D358" s="4" t="s">
        <v>60</v>
      </c>
      <c r="E358" s="6">
        <v>46314.328300578702</v>
      </c>
      <c r="F358" s="4" t="s">
        <v>1651</v>
      </c>
      <c r="G358" s="4" t="s">
        <v>46</v>
      </c>
      <c r="H358" s="4">
        <v>53</v>
      </c>
      <c r="I358" s="4" t="s">
        <v>47</v>
      </c>
      <c r="J358" s="4">
        <v>5309</v>
      </c>
      <c r="K358" s="4" t="s">
        <v>48</v>
      </c>
      <c r="L358" s="4">
        <v>5309061</v>
      </c>
      <c r="M358" s="4">
        <v>5309061008</v>
      </c>
      <c r="N358" s="4" t="s">
        <v>49</v>
      </c>
      <c r="O358" s="4">
        <v>47112</v>
      </c>
      <c r="P358" s="4" t="s">
        <v>1652</v>
      </c>
      <c r="Q358" s="5">
        <v>2</v>
      </c>
      <c r="R358" s="5">
        <v>0</v>
      </c>
      <c r="S358" s="5">
        <v>600000</v>
      </c>
      <c r="T358" s="5">
        <v>2000000</v>
      </c>
      <c r="U358" s="5">
        <v>120000</v>
      </c>
      <c r="V358" s="5">
        <v>0</v>
      </c>
      <c r="W358" s="5">
        <v>2720000</v>
      </c>
      <c r="X358" s="5">
        <v>2750000</v>
      </c>
      <c r="Y358" s="5">
        <v>0</v>
      </c>
      <c r="Z358" s="5">
        <f t="shared" si="45"/>
        <v>30000</v>
      </c>
      <c r="AA358" s="5">
        <v>6200000</v>
      </c>
      <c r="AB358" s="5">
        <f t="shared" si="46"/>
        <v>750000</v>
      </c>
      <c r="AC358" s="5" t="s">
        <v>1653</v>
      </c>
      <c r="AD358" s="4" t="s">
        <v>51</v>
      </c>
      <c r="AE358" s="5">
        <f t="shared" si="47"/>
        <v>0.04</v>
      </c>
      <c r="AF358" s="5">
        <v>375000</v>
      </c>
      <c r="AG358" s="5">
        <v>1</v>
      </c>
      <c r="AH358" s="5">
        <v>1</v>
      </c>
      <c r="AI358" s="5">
        <v>1</v>
      </c>
      <c r="AJ358" s="7" t="s">
        <v>1655</v>
      </c>
      <c r="AK358" s="5">
        <v>0</v>
      </c>
      <c r="AL358" s="5">
        <v>0</v>
      </c>
      <c r="AM358" s="4">
        <v>2024</v>
      </c>
      <c r="AN358" s="5">
        <v>0</v>
      </c>
      <c r="AO358" s="5">
        <v>2</v>
      </c>
      <c r="AP358" s="8"/>
      <c r="AQ358" s="8"/>
      <c r="AR358" s="8">
        <f t="shared" si="48"/>
        <v>0</v>
      </c>
      <c r="AS358" s="8">
        <f t="shared" si="49"/>
        <v>720000</v>
      </c>
      <c r="AT358" s="8">
        <f t="shared" si="50"/>
        <v>30000</v>
      </c>
      <c r="AU358" s="8">
        <f t="shared" si="51"/>
        <v>720000</v>
      </c>
      <c r="AV358" s="4" t="s">
        <v>1652</v>
      </c>
      <c r="AW358" s="7" t="s">
        <v>1655</v>
      </c>
      <c r="AX358" s="5">
        <v>2000000</v>
      </c>
      <c r="AY358">
        <f t="shared" si="52"/>
        <v>600000</v>
      </c>
      <c r="AZ358">
        <f t="shared" si="53"/>
        <v>120000</v>
      </c>
      <c r="BA358" s="5">
        <v>2750000</v>
      </c>
      <c r="BB358" s="5">
        <v>0</v>
      </c>
      <c r="BC358" s="4" t="s">
        <v>49</v>
      </c>
      <c r="BD358" s="4">
        <v>47112</v>
      </c>
      <c r="BE358" t="s">
        <v>54</v>
      </c>
    </row>
    <row r="359" spans="1:57" ht="270.75" thickBot="1" x14ac:dyDescent="0.3">
      <c r="A359" s="4" t="s">
        <v>1656</v>
      </c>
      <c r="B359" s="4">
        <v>1</v>
      </c>
      <c r="C359" s="5">
        <v>2</v>
      </c>
      <c r="D359" s="4" t="s">
        <v>44</v>
      </c>
      <c r="E359" s="6">
        <v>46255.89682224537</v>
      </c>
      <c r="F359" s="4" t="s">
        <v>1657</v>
      </c>
      <c r="G359" s="4" t="s">
        <v>46</v>
      </c>
      <c r="H359" s="4">
        <v>53</v>
      </c>
      <c r="I359" s="4" t="s">
        <v>47</v>
      </c>
      <c r="J359" s="4">
        <v>5309</v>
      </c>
      <c r="K359" s="4" t="s">
        <v>48</v>
      </c>
      <c r="L359" s="4">
        <v>5309041</v>
      </c>
      <c r="M359" s="4">
        <v>5309041006</v>
      </c>
      <c r="N359" s="4" t="s">
        <v>49</v>
      </c>
      <c r="O359" s="4">
        <v>47112</v>
      </c>
      <c r="P359" s="4" t="s">
        <v>1658</v>
      </c>
      <c r="Q359" s="5">
        <v>2</v>
      </c>
      <c r="R359" s="5">
        <v>0</v>
      </c>
      <c r="S359" s="5">
        <v>100000</v>
      </c>
      <c r="T359" s="5">
        <v>5000000</v>
      </c>
      <c r="U359" s="5">
        <v>1000000</v>
      </c>
      <c r="V359" s="5">
        <v>0</v>
      </c>
      <c r="W359" s="5">
        <v>6100000</v>
      </c>
      <c r="X359" s="5">
        <v>18000000</v>
      </c>
      <c r="Y359" s="5">
        <v>0</v>
      </c>
      <c r="Z359" s="5">
        <f t="shared" si="45"/>
        <v>11900000</v>
      </c>
      <c r="AA359" s="5">
        <v>15000000</v>
      </c>
      <c r="AB359" s="5">
        <f t="shared" si="46"/>
        <v>13000000</v>
      </c>
      <c r="AC359" s="5" t="s">
        <v>1602</v>
      </c>
      <c r="AD359" s="4" t="s">
        <v>51</v>
      </c>
      <c r="AE359" s="5">
        <f t="shared" si="47"/>
        <v>0.91538461538461535</v>
      </c>
      <c r="AF359" s="5">
        <v>6500000</v>
      </c>
      <c r="AG359" s="5">
        <v>1</v>
      </c>
      <c r="AH359" s="5">
        <v>1</v>
      </c>
      <c r="AI359" s="5">
        <v>1</v>
      </c>
      <c r="AJ359" s="7" t="s">
        <v>1659</v>
      </c>
      <c r="AK359" s="5">
        <v>0</v>
      </c>
      <c r="AL359" s="5">
        <v>0</v>
      </c>
      <c r="AM359" s="4">
        <v>2019</v>
      </c>
      <c r="AN359" s="5">
        <v>0</v>
      </c>
      <c r="AO359" s="5">
        <v>2</v>
      </c>
      <c r="AP359" s="8"/>
      <c r="AQ359" s="8"/>
      <c r="AR359" s="8">
        <f t="shared" si="48"/>
        <v>0</v>
      </c>
      <c r="AS359" s="8">
        <f t="shared" si="49"/>
        <v>1100000</v>
      </c>
      <c r="AT359" s="8">
        <f t="shared" si="50"/>
        <v>9620000</v>
      </c>
      <c r="AU359" s="8">
        <f t="shared" si="51"/>
        <v>3380000</v>
      </c>
      <c r="AV359" s="4" t="s">
        <v>1658</v>
      </c>
      <c r="AW359" s="7" t="s">
        <v>1659</v>
      </c>
      <c r="AX359" s="5">
        <v>5000000</v>
      </c>
      <c r="AY359">
        <f t="shared" si="52"/>
        <v>307272.72727272706</v>
      </c>
      <c r="AZ359">
        <f t="shared" si="53"/>
        <v>3072727.2727272729</v>
      </c>
      <c r="BA359" s="5">
        <v>18000000</v>
      </c>
      <c r="BB359" s="5">
        <v>0</v>
      </c>
      <c r="BC359" s="4" t="s">
        <v>49</v>
      </c>
      <c r="BD359" s="4">
        <v>47112</v>
      </c>
      <c r="BE359" t="s">
        <v>54</v>
      </c>
    </row>
    <row r="360" spans="1:57" ht="270.75" thickBot="1" x14ac:dyDescent="0.3">
      <c r="A360" s="4" t="s">
        <v>1660</v>
      </c>
      <c r="B360" s="4">
        <v>1001</v>
      </c>
      <c r="C360" s="5">
        <v>2</v>
      </c>
      <c r="D360" s="4" t="s">
        <v>44</v>
      </c>
      <c r="E360" s="6">
        <v>46255.194731886571</v>
      </c>
      <c r="F360" s="4" t="s">
        <v>1661</v>
      </c>
      <c r="G360" s="4" t="s">
        <v>46</v>
      </c>
      <c r="H360" s="4">
        <v>53</v>
      </c>
      <c r="I360" s="4" t="s">
        <v>47</v>
      </c>
      <c r="J360" s="4">
        <v>5309</v>
      </c>
      <c r="K360" s="4" t="s">
        <v>48</v>
      </c>
      <c r="L360" s="4">
        <v>5309070</v>
      </c>
      <c r="M360" s="4">
        <v>5309070007</v>
      </c>
      <c r="N360" s="4" t="s">
        <v>49</v>
      </c>
      <c r="O360" s="4">
        <v>47112</v>
      </c>
      <c r="P360" s="4" t="s">
        <v>1662</v>
      </c>
      <c r="Q360" s="5">
        <v>2</v>
      </c>
      <c r="R360" s="5">
        <v>0</v>
      </c>
      <c r="S360" s="5">
        <v>35000</v>
      </c>
      <c r="T360" s="5">
        <v>48000000</v>
      </c>
      <c r="U360" s="5">
        <v>180000</v>
      </c>
      <c r="V360" s="5">
        <v>0</v>
      </c>
      <c r="W360" s="5">
        <v>48215000</v>
      </c>
      <c r="X360" s="5">
        <v>60000000</v>
      </c>
      <c r="Y360" s="5">
        <v>0</v>
      </c>
      <c r="Z360" s="5">
        <f t="shared" si="45"/>
        <v>11785000</v>
      </c>
      <c r="AA360" s="5">
        <v>7000000</v>
      </c>
      <c r="AB360" s="5">
        <f t="shared" si="46"/>
        <v>12000000</v>
      </c>
      <c r="AC360" s="5" t="s">
        <v>52</v>
      </c>
      <c r="AD360" s="4" t="s">
        <v>51</v>
      </c>
      <c r="AE360" s="5">
        <f t="shared" si="47"/>
        <v>0.98208333333333331</v>
      </c>
      <c r="AF360" s="5">
        <v>6000000</v>
      </c>
      <c r="AG360" s="5">
        <v>1</v>
      </c>
      <c r="AH360" s="5">
        <v>1</v>
      </c>
      <c r="AI360" s="5">
        <v>1</v>
      </c>
      <c r="AJ360" s="7" t="s">
        <v>1663</v>
      </c>
      <c r="AK360" s="5">
        <v>0</v>
      </c>
      <c r="AL360" s="5">
        <v>0</v>
      </c>
      <c r="AM360" s="4">
        <v>2021</v>
      </c>
      <c r="AN360" s="5">
        <v>0</v>
      </c>
      <c r="AO360" s="5">
        <v>2</v>
      </c>
      <c r="AP360" s="8"/>
      <c r="AQ360" s="8"/>
      <c r="AR360" s="8">
        <f t="shared" si="48"/>
        <v>0</v>
      </c>
      <c r="AS360" s="8">
        <f t="shared" si="49"/>
        <v>215000</v>
      </c>
      <c r="AT360" s="8">
        <f t="shared" si="50"/>
        <v>8880000</v>
      </c>
      <c r="AU360" s="8">
        <f t="shared" si="51"/>
        <v>3120000</v>
      </c>
      <c r="AV360" s="4" t="s">
        <v>1662</v>
      </c>
      <c r="AW360" s="7" t="s">
        <v>1663</v>
      </c>
      <c r="AX360" s="5">
        <v>48000000</v>
      </c>
      <c r="AY360">
        <f t="shared" si="52"/>
        <v>507906.97674418613</v>
      </c>
      <c r="AZ360">
        <f t="shared" si="53"/>
        <v>2612093.0232558139</v>
      </c>
      <c r="BA360" s="5">
        <v>60000000</v>
      </c>
      <c r="BB360" s="5">
        <v>0</v>
      </c>
      <c r="BC360" s="4" t="s">
        <v>49</v>
      </c>
      <c r="BD360" s="4">
        <v>47112</v>
      </c>
      <c r="BE360" t="s">
        <v>54</v>
      </c>
    </row>
    <row r="361" spans="1:57" ht="270.75" thickBot="1" x14ac:dyDescent="0.3">
      <c r="A361" s="4" t="s">
        <v>1664</v>
      </c>
      <c r="B361" s="4">
        <v>1001</v>
      </c>
      <c r="C361" s="5">
        <v>2</v>
      </c>
      <c r="D361" s="4" t="s">
        <v>44</v>
      </c>
      <c r="E361" s="6">
        <v>46293.103473182869</v>
      </c>
      <c r="F361" s="4" t="s">
        <v>1665</v>
      </c>
      <c r="G361" s="4" t="s">
        <v>46</v>
      </c>
      <c r="H361" s="4">
        <v>53</v>
      </c>
      <c r="I361" s="4" t="s">
        <v>47</v>
      </c>
      <c r="J361" s="4">
        <v>5309</v>
      </c>
      <c r="K361" s="4" t="s">
        <v>48</v>
      </c>
      <c r="L361" s="4">
        <v>5309031</v>
      </c>
      <c r="M361" s="4">
        <v>5309031006</v>
      </c>
      <c r="N361" s="4" t="s">
        <v>49</v>
      </c>
      <c r="O361" s="4">
        <v>47112</v>
      </c>
      <c r="P361" s="4" t="s">
        <v>1666</v>
      </c>
      <c r="Q361" s="5">
        <v>5</v>
      </c>
      <c r="R361" s="5">
        <v>0</v>
      </c>
      <c r="S361" s="5">
        <v>300000</v>
      </c>
      <c r="T361" s="5">
        <v>8400000</v>
      </c>
      <c r="U361" s="5">
        <v>125000</v>
      </c>
      <c r="V361" s="5">
        <v>10000</v>
      </c>
      <c r="W361" s="5">
        <v>8835000</v>
      </c>
      <c r="X361" s="5">
        <v>14400000</v>
      </c>
      <c r="Y361" s="5">
        <v>0</v>
      </c>
      <c r="Z361" s="5">
        <f t="shared" si="45"/>
        <v>5575000</v>
      </c>
      <c r="AA361" s="5">
        <v>81000000</v>
      </c>
      <c r="AB361" s="5">
        <f t="shared" si="46"/>
        <v>6000000</v>
      </c>
      <c r="AC361" s="5" t="s">
        <v>375</v>
      </c>
      <c r="AD361" s="4" t="s">
        <v>51</v>
      </c>
      <c r="AE361" s="5">
        <f t="shared" si="47"/>
        <v>0.9291666666666667</v>
      </c>
      <c r="AF361" s="5">
        <v>1200000</v>
      </c>
      <c r="AG361" s="5">
        <v>1</v>
      </c>
      <c r="AH361" s="5">
        <v>1</v>
      </c>
      <c r="AI361" s="5">
        <v>1</v>
      </c>
      <c r="AJ361" s="7" t="s">
        <v>1667</v>
      </c>
      <c r="AK361" s="5">
        <v>0</v>
      </c>
      <c r="AL361" s="5">
        <v>0</v>
      </c>
      <c r="AM361" s="4">
        <v>2024</v>
      </c>
      <c r="AN361" s="5">
        <v>0</v>
      </c>
      <c r="AO361" s="5">
        <v>5</v>
      </c>
      <c r="AP361" s="8"/>
      <c r="AQ361" s="8"/>
      <c r="AR361" s="8">
        <f t="shared" si="48"/>
        <v>0</v>
      </c>
      <c r="AS361" s="8">
        <f t="shared" si="49"/>
        <v>425000</v>
      </c>
      <c r="AT361" s="8">
        <f t="shared" si="50"/>
        <v>4440000</v>
      </c>
      <c r="AU361" s="8">
        <f t="shared" si="51"/>
        <v>1560000</v>
      </c>
      <c r="AV361" s="4" t="s">
        <v>1666</v>
      </c>
      <c r="AW361" s="7" t="s">
        <v>1667</v>
      </c>
      <c r="AX361" s="5">
        <v>8400000</v>
      </c>
      <c r="AY361">
        <f t="shared" si="52"/>
        <v>1101176.4705882352</v>
      </c>
      <c r="AZ361">
        <f t="shared" si="53"/>
        <v>458823.5294117647</v>
      </c>
      <c r="BA361" s="5">
        <v>14400000</v>
      </c>
      <c r="BB361" s="5">
        <v>0</v>
      </c>
      <c r="BC361" s="4" t="s">
        <v>49</v>
      </c>
      <c r="BD361" s="4">
        <v>47112</v>
      </c>
      <c r="BE361" t="s">
        <v>54</v>
      </c>
    </row>
    <row r="362" spans="1:57" ht="270.75" thickBot="1" x14ac:dyDescent="0.3">
      <c r="A362" s="4" t="s">
        <v>1668</v>
      </c>
      <c r="B362" s="4">
        <v>2001</v>
      </c>
      <c r="C362" s="5">
        <v>2</v>
      </c>
      <c r="D362" s="4" t="s">
        <v>44</v>
      </c>
      <c r="E362" s="6">
        <v>46293.103498217592</v>
      </c>
      <c r="F362" s="4" t="s">
        <v>1669</v>
      </c>
      <c r="G362" s="4" t="s">
        <v>46</v>
      </c>
      <c r="H362" s="4">
        <v>53</v>
      </c>
      <c r="I362" s="4" t="s">
        <v>47</v>
      </c>
      <c r="J362" s="4">
        <v>5309</v>
      </c>
      <c r="K362" s="4" t="s">
        <v>48</v>
      </c>
      <c r="L362" s="4">
        <v>5309073</v>
      </c>
      <c r="M362" s="4">
        <v>5309073004</v>
      </c>
      <c r="N362" s="4" t="s">
        <v>49</v>
      </c>
      <c r="O362" s="4">
        <v>47112</v>
      </c>
      <c r="P362" s="4" t="s">
        <v>1670</v>
      </c>
      <c r="Q362" s="5">
        <v>1</v>
      </c>
      <c r="R362" s="5">
        <v>0</v>
      </c>
      <c r="S362" s="5">
        <v>0</v>
      </c>
      <c r="T362" s="5">
        <v>30000000</v>
      </c>
      <c r="U362" s="5">
        <v>5000000</v>
      </c>
      <c r="V362" s="5">
        <v>0</v>
      </c>
      <c r="W362" s="5">
        <v>35000000</v>
      </c>
      <c r="X362" s="5">
        <v>70000000</v>
      </c>
      <c r="Y362" s="5">
        <v>0</v>
      </c>
      <c r="Z362" s="5">
        <f t="shared" si="45"/>
        <v>35000000</v>
      </c>
      <c r="AA362" s="5">
        <v>7500000</v>
      </c>
      <c r="AB362" s="5">
        <f t="shared" si="46"/>
        <v>40000000</v>
      </c>
      <c r="AC362" s="5" t="s">
        <v>296</v>
      </c>
      <c r="AD362" s="4" t="s">
        <v>51</v>
      </c>
      <c r="AE362" s="5">
        <f t="shared" si="47"/>
        <v>0.875</v>
      </c>
      <c r="AF362" s="5">
        <v>40000000</v>
      </c>
      <c r="AG362" s="5">
        <v>1</v>
      </c>
      <c r="AH362" s="5">
        <v>1</v>
      </c>
      <c r="AI362" s="5">
        <v>1</v>
      </c>
      <c r="AJ362" s="7" t="s">
        <v>1671</v>
      </c>
      <c r="AK362" s="5">
        <v>0</v>
      </c>
      <c r="AL362" s="5">
        <v>0</v>
      </c>
      <c r="AM362" s="4">
        <v>2020</v>
      </c>
      <c r="AN362" s="5">
        <v>0</v>
      </c>
      <c r="AO362" s="5">
        <v>1</v>
      </c>
      <c r="AP362" s="8"/>
      <c r="AQ362" s="8"/>
      <c r="AR362" s="8">
        <f t="shared" si="48"/>
        <v>0</v>
      </c>
      <c r="AS362" s="8">
        <f t="shared" si="49"/>
        <v>5000000</v>
      </c>
      <c r="AT362" s="8">
        <f t="shared" si="50"/>
        <v>29600000</v>
      </c>
      <c r="AU362" s="8">
        <f t="shared" si="51"/>
        <v>10400000</v>
      </c>
      <c r="AV362" s="4" t="s">
        <v>1670</v>
      </c>
      <c r="AW362" s="7" t="s">
        <v>1671</v>
      </c>
      <c r="AX362" s="5">
        <v>30000000</v>
      </c>
      <c r="AY362">
        <f t="shared" si="52"/>
        <v>0</v>
      </c>
      <c r="AZ362">
        <f t="shared" si="53"/>
        <v>10400000</v>
      </c>
      <c r="BA362" s="5">
        <v>70000000</v>
      </c>
      <c r="BB362" s="5">
        <v>0</v>
      </c>
      <c r="BC362" s="4" t="s">
        <v>49</v>
      </c>
      <c r="BD362" s="4">
        <v>47112</v>
      </c>
      <c r="BE362" t="s">
        <v>54</v>
      </c>
    </row>
    <row r="363" spans="1:57" ht="270.75" thickBot="1" x14ac:dyDescent="0.3">
      <c r="A363" s="4" t="s">
        <v>1672</v>
      </c>
      <c r="B363" s="4">
        <v>1001</v>
      </c>
      <c r="C363" s="5">
        <v>2</v>
      </c>
      <c r="D363" s="4" t="s">
        <v>44</v>
      </c>
      <c r="E363" s="6">
        <v>46280.509291967595</v>
      </c>
      <c r="F363" s="4" t="s">
        <v>1673</v>
      </c>
      <c r="G363" s="4" t="s">
        <v>46</v>
      </c>
      <c r="H363" s="4">
        <v>53</v>
      </c>
      <c r="I363" s="4" t="s">
        <v>47</v>
      </c>
      <c r="J363" s="4">
        <v>5309</v>
      </c>
      <c r="K363" s="4" t="s">
        <v>48</v>
      </c>
      <c r="L363" s="4">
        <v>5309070</v>
      </c>
      <c r="M363" s="4">
        <v>5309070012</v>
      </c>
      <c r="N363" s="4" t="s">
        <v>49</v>
      </c>
      <c r="O363" s="4">
        <v>47112</v>
      </c>
      <c r="P363" s="4" t="s">
        <v>1674</v>
      </c>
      <c r="Q363" s="5">
        <v>1</v>
      </c>
      <c r="R363" s="5">
        <v>0</v>
      </c>
      <c r="S363" s="5">
        <v>0</v>
      </c>
      <c r="T363" s="5">
        <v>1000000</v>
      </c>
      <c r="U363" s="5">
        <v>100000</v>
      </c>
      <c r="V363" s="5">
        <v>0</v>
      </c>
      <c r="W363" s="5">
        <v>1100000</v>
      </c>
      <c r="X363" s="5">
        <v>2000000</v>
      </c>
      <c r="Y363" s="5">
        <v>0</v>
      </c>
      <c r="Z363" s="5">
        <f t="shared" si="45"/>
        <v>900000</v>
      </c>
      <c r="AA363" s="5">
        <v>10000000</v>
      </c>
      <c r="AB363" s="5">
        <f t="shared" si="46"/>
        <v>1000000</v>
      </c>
      <c r="AC363" s="5" t="s">
        <v>93</v>
      </c>
      <c r="AD363" s="4" t="s">
        <v>51</v>
      </c>
      <c r="AE363" s="5">
        <f t="shared" si="47"/>
        <v>0.9</v>
      </c>
      <c r="AF363" s="5">
        <v>1000000</v>
      </c>
      <c r="AG363" s="5">
        <v>1</v>
      </c>
      <c r="AH363" s="5">
        <v>1</v>
      </c>
      <c r="AI363" s="5">
        <v>1</v>
      </c>
      <c r="AJ363" s="7" t="s">
        <v>1675</v>
      </c>
      <c r="AK363" s="5">
        <v>0</v>
      </c>
      <c r="AL363" s="5">
        <v>0</v>
      </c>
      <c r="AM363" s="4">
        <v>2020</v>
      </c>
      <c r="AN363" s="5">
        <v>0</v>
      </c>
      <c r="AO363" s="5">
        <v>1</v>
      </c>
      <c r="AP363" s="8"/>
      <c r="AQ363" s="8"/>
      <c r="AR363" s="8">
        <f t="shared" si="48"/>
        <v>0</v>
      </c>
      <c r="AS363" s="8">
        <f t="shared" si="49"/>
        <v>100000</v>
      </c>
      <c r="AT363" s="8">
        <f t="shared" si="50"/>
        <v>740000</v>
      </c>
      <c r="AU363" s="8">
        <f t="shared" si="51"/>
        <v>260000</v>
      </c>
      <c r="AV363" s="4" t="s">
        <v>1674</v>
      </c>
      <c r="AW363" s="7" t="s">
        <v>1675</v>
      </c>
      <c r="AX363" s="5">
        <v>1000000</v>
      </c>
      <c r="AY363">
        <f t="shared" si="52"/>
        <v>0</v>
      </c>
      <c r="AZ363">
        <f t="shared" si="53"/>
        <v>260000</v>
      </c>
      <c r="BA363" s="5">
        <v>2000000</v>
      </c>
      <c r="BB363" s="5">
        <v>0</v>
      </c>
      <c r="BC363" s="4" t="s">
        <v>49</v>
      </c>
      <c r="BD363" s="4">
        <v>47112</v>
      </c>
      <c r="BE363" t="s">
        <v>54</v>
      </c>
    </row>
    <row r="364" spans="1:57" ht="270.75" thickBot="1" x14ac:dyDescent="0.3">
      <c r="A364" s="4" t="s">
        <v>1676</v>
      </c>
      <c r="B364" s="4">
        <v>2001</v>
      </c>
      <c r="C364" s="5">
        <v>2</v>
      </c>
      <c r="D364" s="4" t="s">
        <v>44</v>
      </c>
      <c r="E364" s="6">
        <v>46268.412932511572</v>
      </c>
      <c r="F364" s="4" t="s">
        <v>1677</v>
      </c>
      <c r="G364" s="4" t="s">
        <v>46</v>
      </c>
      <c r="H364" s="4">
        <v>53</v>
      </c>
      <c r="I364" s="4" t="s">
        <v>47</v>
      </c>
      <c r="J364" s="4">
        <v>5309</v>
      </c>
      <c r="K364" s="4" t="s">
        <v>48</v>
      </c>
      <c r="L364" s="4">
        <v>5309071</v>
      </c>
      <c r="M364" s="4">
        <v>5309071012</v>
      </c>
      <c r="N364" s="4" t="s">
        <v>49</v>
      </c>
      <c r="O364" s="4">
        <v>47112</v>
      </c>
      <c r="P364" s="4" t="s">
        <v>1678</v>
      </c>
      <c r="Q364" s="5">
        <v>1</v>
      </c>
      <c r="R364" s="5">
        <v>0</v>
      </c>
      <c r="S364" s="5">
        <v>1000000</v>
      </c>
      <c r="T364" s="5">
        <v>4000000</v>
      </c>
      <c r="U364" s="5">
        <v>1200000</v>
      </c>
      <c r="V364" s="5">
        <v>0</v>
      </c>
      <c r="W364" s="5">
        <v>6200000</v>
      </c>
      <c r="X364" s="5">
        <v>8600000</v>
      </c>
      <c r="Y364" s="5">
        <v>0</v>
      </c>
      <c r="Z364" s="5">
        <f t="shared" si="45"/>
        <v>2400000</v>
      </c>
      <c r="AA364" s="5">
        <v>62500000</v>
      </c>
      <c r="AB364" s="5">
        <f t="shared" si="46"/>
        <v>4600000</v>
      </c>
      <c r="AC364" s="5" t="s">
        <v>1679</v>
      </c>
      <c r="AD364" s="4" t="s">
        <v>51</v>
      </c>
      <c r="AE364" s="5">
        <f t="shared" si="47"/>
        <v>0.52173913043478259</v>
      </c>
      <c r="AF364" s="5">
        <v>4600000</v>
      </c>
      <c r="AG364" s="5">
        <v>1</v>
      </c>
      <c r="AH364" s="5">
        <v>1</v>
      </c>
      <c r="AI364" s="5">
        <v>1</v>
      </c>
      <c r="AJ364" s="7" t="s">
        <v>1680</v>
      </c>
      <c r="AK364" s="5">
        <v>0</v>
      </c>
      <c r="AL364" s="5">
        <v>0</v>
      </c>
      <c r="AM364" s="4">
        <v>2012</v>
      </c>
      <c r="AN364" s="5">
        <v>0</v>
      </c>
      <c r="AO364" s="5">
        <v>1</v>
      </c>
      <c r="AP364" s="8"/>
      <c r="AQ364" s="8"/>
      <c r="AR364" s="8">
        <f t="shared" si="48"/>
        <v>0</v>
      </c>
      <c r="AS364" s="8">
        <f t="shared" si="49"/>
        <v>2200000</v>
      </c>
      <c r="AT364" s="8">
        <f t="shared" si="50"/>
        <v>2400000</v>
      </c>
      <c r="AU364" s="8">
        <f t="shared" si="51"/>
        <v>2200000</v>
      </c>
      <c r="AV364" s="4" t="s">
        <v>1678</v>
      </c>
      <c r="AW364" s="7" t="s">
        <v>1680</v>
      </c>
      <c r="AX364" s="5">
        <v>4000000</v>
      </c>
      <c r="AY364">
        <f t="shared" si="52"/>
        <v>1000000</v>
      </c>
      <c r="AZ364">
        <f t="shared" si="53"/>
        <v>1200000</v>
      </c>
      <c r="BA364" s="5">
        <v>8600000</v>
      </c>
      <c r="BB364" s="5">
        <v>0</v>
      </c>
      <c r="BC364" s="4" t="s">
        <v>49</v>
      </c>
      <c r="BD364" s="4">
        <v>47112</v>
      </c>
      <c r="BE364" t="s">
        <v>54</v>
      </c>
    </row>
    <row r="365" spans="1:57" ht="270.75" thickBot="1" x14ac:dyDescent="0.3">
      <c r="A365" s="4" t="s">
        <v>1681</v>
      </c>
      <c r="B365" s="4">
        <v>1002</v>
      </c>
      <c r="C365" s="5">
        <v>2</v>
      </c>
      <c r="D365" s="4" t="s">
        <v>44</v>
      </c>
      <c r="E365" s="6">
        <v>46269.347091979165</v>
      </c>
      <c r="F365" s="4" t="s">
        <v>1682</v>
      </c>
      <c r="G365" s="4" t="s">
        <v>46</v>
      </c>
      <c r="H365" s="4">
        <v>53</v>
      </c>
      <c r="I365" s="4" t="s">
        <v>47</v>
      </c>
      <c r="J365" s="4">
        <v>5309</v>
      </c>
      <c r="K365" s="4" t="s">
        <v>48</v>
      </c>
      <c r="L365" s="4">
        <v>5309070</v>
      </c>
      <c r="M365" s="4">
        <v>5309070006</v>
      </c>
      <c r="N365" s="4" t="s">
        <v>49</v>
      </c>
      <c r="O365" s="4">
        <v>47112</v>
      </c>
      <c r="P365" s="4" t="s">
        <v>1683</v>
      </c>
      <c r="Q365" s="5">
        <v>1</v>
      </c>
      <c r="R365" s="5">
        <v>0</v>
      </c>
      <c r="S365" s="5">
        <v>200000</v>
      </c>
      <c r="T365" s="5">
        <v>5000000</v>
      </c>
      <c r="U365" s="5">
        <v>300000</v>
      </c>
      <c r="V365" s="5">
        <v>0</v>
      </c>
      <c r="W365" s="5">
        <v>5500000</v>
      </c>
      <c r="X365" s="5">
        <v>10000000</v>
      </c>
      <c r="Y365" s="5">
        <v>0</v>
      </c>
      <c r="Z365" s="5">
        <f t="shared" si="45"/>
        <v>4500000</v>
      </c>
      <c r="AA365" s="5">
        <v>1100000</v>
      </c>
      <c r="AB365" s="5">
        <f t="shared" si="46"/>
        <v>5000000</v>
      </c>
      <c r="AC365" s="5" t="s">
        <v>93</v>
      </c>
      <c r="AD365" s="4" t="s">
        <v>51</v>
      </c>
      <c r="AE365" s="5">
        <f t="shared" si="47"/>
        <v>0.9</v>
      </c>
      <c r="AF365" s="5">
        <v>5000000</v>
      </c>
      <c r="AG365" s="5">
        <v>1</v>
      </c>
      <c r="AH365" s="5">
        <v>1</v>
      </c>
      <c r="AI365" s="5">
        <v>1</v>
      </c>
      <c r="AJ365" s="7" t="s">
        <v>1684</v>
      </c>
      <c r="AK365" s="5">
        <v>0</v>
      </c>
      <c r="AL365" s="5">
        <v>0</v>
      </c>
      <c r="AM365" s="4">
        <v>2016</v>
      </c>
      <c r="AN365" s="5">
        <v>0</v>
      </c>
      <c r="AO365" s="5">
        <v>1</v>
      </c>
      <c r="AP365" s="8"/>
      <c r="AQ365" s="8"/>
      <c r="AR365" s="8">
        <f t="shared" si="48"/>
        <v>0</v>
      </c>
      <c r="AS365" s="8">
        <f t="shared" si="49"/>
        <v>500000</v>
      </c>
      <c r="AT365" s="8">
        <f t="shared" si="50"/>
        <v>3700000</v>
      </c>
      <c r="AU365" s="8">
        <f t="shared" si="51"/>
        <v>1300000</v>
      </c>
      <c r="AV365" s="4" t="s">
        <v>1683</v>
      </c>
      <c r="AW365" s="7" t="s">
        <v>1684</v>
      </c>
      <c r="AX365" s="5">
        <v>5000000</v>
      </c>
      <c r="AY365">
        <f t="shared" si="52"/>
        <v>520000</v>
      </c>
      <c r="AZ365">
        <f t="shared" si="53"/>
        <v>780000</v>
      </c>
      <c r="BA365" s="5">
        <v>10000000</v>
      </c>
      <c r="BB365" s="5">
        <v>0</v>
      </c>
      <c r="BC365" s="4" t="s">
        <v>49</v>
      </c>
      <c r="BD365" s="4">
        <v>47112</v>
      </c>
      <c r="BE365" t="s">
        <v>54</v>
      </c>
    </row>
    <row r="366" spans="1:57" ht="270.75" thickBot="1" x14ac:dyDescent="0.3">
      <c r="A366" s="4" t="s">
        <v>1685</v>
      </c>
      <c r="B366" s="4">
        <v>3004</v>
      </c>
      <c r="C366" s="5">
        <v>2</v>
      </c>
      <c r="D366" s="4" t="s">
        <v>44</v>
      </c>
      <c r="E366" s="6">
        <v>46225.047141342591</v>
      </c>
      <c r="F366" s="4" t="s">
        <v>1686</v>
      </c>
      <c r="G366" s="4" t="s">
        <v>46</v>
      </c>
      <c r="H366" s="4">
        <v>53</v>
      </c>
      <c r="I366" s="4" t="s">
        <v>47</v>
      </c>
      <c r="J366" s="4">
        <v>5309</v>
      </c>
      <c r="K366" s="4" t="s">
        <v>48</v>
      </c>
      <c r="L366" s="4">
        <v>5309070</v>
      </c>
      <c r="M366" s="4">
        <v>5309070056</v>
      </c>
      <c r="N366" s="4" t="s">
        <v>49</v>
      </c>
      <c r="O366" s="4">
        <v>47112</v>
      </c>
      <c r="P366" s="4" t="s">
        <v>1687</v>
      </c>
      <c r="Q366" s="5">
        <v>1</v>
      </c>
      <c r="R366" s="5">
        <v>0</v>
      </c>
      <c r="S366" s="5">
        <v>420000</v>
      </c>
      <c r="T366" s="5">
        <v>120000000</v>
      </c>
      <c r="U366" s="5">
        <v>1080000</v>
      </c>
      <c r="V366" s="5">
        <v>0</v>
      </c>
      <c r="W366" s="5">
        <v>121500000</v>
      </c>
      <c r="X366" s="5">
        <v>148800000</v>
      </c>
      <c r="Y366" s="5">
        <v>0</v>
      </c>
      <c r="Z366" s="5">
        <f t="shared" si="45"/>
        <v>27300000</v>
      </c>
      <c r="AA366" s="5">
        <v>0</v>
      </c>
      <c r="AB366" s="5">
        <f t="shared" si="46"/>
        <v>28800000</v>
      </c>
      <c r="AC366" s="5" t="s">
        <v>1688</v>
      </c>
      <c r="AD366" s="4" t="s">
        <v>51</v>
      </c>
      <c r="AE366" s="5">
        <f t="shared" si="47"/>
        <v>0.94791666666666663</v>
      </c>
      <c r="AF366" s="5">
        <v>28800000</v>
      </c>
      <c r="AG366" s="4"/>
      <c r="AH366" s="5">
        <v>1</v>
      </c>
      <c r="AI366" s="5">
        <v>1</v>
      </c>
      <c r="AJ366" s="7" t="s">
        <v>1689</v>
      </c>
      <c r="AK366" s="5">
        <v>0</v>
      </c>
      <c r="AL366" s="5">
        <v>0</v>
      </c>
      <c r="AM366" s="4">
        <v>2026</v>
      </c>
      <c r="AN366" s="5">
        <v>0</v>
      </c>
      <c r="AO366" s="5">
        <v>1</v>
      </c>
      <c r="AP366" s="8"/>
      <c r="AQ366" s="8"/>
      <c r="AR366" s="8">
        <f t="shared" si="48"/>
        <v>0</v>
      </c>
      <c r="AS366" s="8">
        <f t="shared" si="49"/>
        <v>1500000</v>
      </c>
      <c r="AT366" s="8">
        <f t="shared" si="50"/>
        <v>21312000</v>
      </c>
      <c r="AU366" s="8">
        <f t="shared" si="51"/>
        <v>7488000</v>
      </c>
      <c r="AV366" s="4" t="s">
        <v>1687</v>
      </c>
      <c r="AW366" s="7" t="s">
        <v>1689</v>
      </c>
      <c r="AX366" s="5">
        <v>120000000</v>
      </c>
      <c r="AY366">
        <f t="shared" si="52"/>
        <v>2096640</v>
      </c>
      <c r="AZ366">
        <f t="shared" si="53"/>
        <v>5391360</v>
      </c>
      <c r="BA366" s="5">
        <v>148800000</v>
      </c>
      <c r="BB366" s="5">
        <v>0</v>
      </c>
      <c r="BC366" s="4" t="s">
        <v>49</v>
      </c>
      <c r="BD366" s="4">
        <v>47112</v>
      </c>
      <c r="BE366" t="s">
        <v>54</v>
      </c>
    </row>
    <row r="367" spans="1:57" ht="270.75" thickBot="1" x14ac:dyDescent="0.3">
      <c r="A367" s="4" t="s">
        <v>1690</v>
      </c>
      <c r="B367" s="4">
        <v>1</v>
      </c>
      <c r="C367" s="5">
        <v>2</v>
      </c>
      <c r="D367" s="4" t="s">
        <v>44</v>
      </c>
      <c r="E367" s="6">
        <v>46278.954522523149</v>
      </c>
      <c r="F367" s="4" t="s">
        <v>1691</v>
      </c>
      <c r="G367" s="4" t="s">
        <v>46</v>
      </c>
      <c r="H367" s="4">
        <v>53</v>
      </c>
      <c r="I367" s="4" t="s">
        <v>47</v>
      </c>
      <c r="J367" s="4">
        <v>5309</v>
      </c>
      <c r="K367" s="4" t="s">
        <v>48</v>
      </c>
      <c r="L367" s="4">
        <v>5309030</v>
      </c>
      <c r="M367" s="4">
        <v>5309030020</v>
      </c>
      <c r="N367" s="4" t="s">
        <v>49</v>
      </c>
      <c r="O367" s="4">
        <v>47112</v>
      </c>
      <c r="P367" s="4" t="s">
        <v>1692</v>
      </c>
      <c r="Q367" s="5">
        <v>1</v>
      </c>
      <c r="R367" s="5">
        <v>0</v>
      </c>
      <c r="S367" s="5">
        <v>2500000</v>
      </c>
      <c r="T367" s="5">
        <v>7200000</v>
      </c>
      <c r="U367" s="5">
        <v>2400000</v>
      </c>
      <c r="V367" s="5">
        <v>0</v>
      </c>
      <c r="W367" s="5">
        <v>12100000</v>
      </c>
      <c r="X367" s="5">
        <v>14400000</v>
      </c>
      <c r="Y367" s="5">
        <v>3600000</v>
      </c>
      <c r="Z367" s="5">
        <f t="shared" si="45"/>
        <v>2300000</v>
      </c>
      <c r="AA367" s="5">
        <v>11500000</v>
      </c>
      <c r="AB367" s="5">
        <f t="shared" si="46"/>
        <v>7200000</v>
      </c>
      <c r="AC367" s="5" t="s">
        <v>93</v>
      </c>
      <c r="AD367" s="4" t="s">
        <v>51</v>
      </c>
      <c r="AE367" s="5">
        <f t="shared" si="47"/>
        <v>0.31944444444444442</v>
      </c>
      <c r="AF367" s="5">
        <v>7200000</v>
      </c>
      <c r="AG367" s="5">
        <v>1</v>
      </c>
      <c r="AH367" s="5">
        <v>1</v>
      </c>
      <c r="AI367" s="5">
        <v>1</v>
      </c>
      <c r="AJ367" s="7" t="s">
        <v>1693</v>
      </c>
      <c r="AK367" s="5">
        <v>0</v>
      </c>
      <c r="AL367" s="5">
        <v>0</v>
      </c>
      <c r="AM367" s="4">
        <v>2021</v>
      </c>
      <c r="AN367" s="5">
        <v>0</v>
      </c>
      <c r="AO367" s="5">
        <v>1</v>
      </c>
      <c r="AP367" s="8"/>
      <c r="AQ367" s="8"/>
      <c r="AR367" s="8">
        <f t="shared" si="48"/>
        <v>0</v>
      </c>
      <c r="AS367" s="8">
        <f t="shared" si="49"/>
        <v>4900000</v>
      </c>
      <c r="AT367" s="8">
        <f t="shared" si="50"/>
        <v>2300000</v>
      </c>
      <c r="AU367" s="8">
        <f t="shared" si="51"/>
        <v>4900000</v>
      </c>
      <c r="AV367" s="4" t="s">
        <v>1692</v>
      </c>
      <c r="AW367" s="7" t="s">
        <v>1693</v>
      </c>
      <c r="AX367" s="5">
        <v>7200000</v>
      </c>
      <c r="AY367">
        <f t="shared" si="52"/>
        <v>2500000</v>
      </c>
      <c r="AZ367">
        <f t="shared" si="53"/>
        <v>2400000</v>
      </c>
      <c r="BA367" s="5">
        <v>14400000</v>
      </c>
      <c r="BB367" s="5">
        <v>3600000</v>
      </c>
      <c r="BC367" s="4" t="s">
        <v>49</v>
      </c>
      <c r="BD367" s="4">
        <v>47112</v>
      </c>
      <c r="BE367" t="s">
        <v>54</v>
      </c>
    </row>
    <row r="368" spans="1:57" ht="270.75" thickBot="1" x14ac:dyDescent="0.3">
      <c r="A368" s="4" t="s">
        <v>1694</v>
      </c>
      <c r="B368" s="4">
        <v>1002</v>
      </c>
      <c r="C368" s="5">
        <v>2</v>
      </c>
      <c r="D368" s="4" t="s">
        <v>44</v>
      </c>
      <c r="E368" s="6">
        <v>46218.577732013888</v>
      </c>
      <c r="F368" s="4" t="s">
        <v>1695</v>
      </c>
      <c r="G368" s="4" t="s">
        <v>46</v>
      </c>
      <c r="H368" s="4">
        <v>53</v>
      </c>
      <c r="I368" s="4" t="s">
        <v>47</v>
      </c>
      <c r="J368" s="4">
        <v>5309</v>
      </c>
      <c r="K368" s="4" t="s">
        <v>48</v>
      </c>
      <c r="L368" s="4">
        <v>5309031</v>
      </c>
      <c r="M368" s="4">
        <v>5309031005</v>
      </c>
      <c r="N368" s="4" t="s">
        <v>49</v>
      </c>
      <c r="O368" s="4">
        <v>47112</v>
      </c>
      <c r="P368" s="4" t="s">
        <v>1696</v>
      </c>
      <c r="Q368" s="5">
        <v>1</v>
      </c>
      <c r="R368" s="5">
        <v>0</v>
      </c>
      <c r="S368" s="5">
        <v>500000</v>
      </c>
      <c r="T368" s="5">
        <v>200000</v>
      </c>
      <c r="U368" s="5">
        <v>25000</v>
      </c>
      <c r="V368" s="5">
        <v>0</v>
      </c>
      <c r="W368" s="5">
        <v>725000</v>
      </c>
      <c r="X368" s="5">
        <v>1200000</v>
      </c>
      <c r="Y368" s="5">
        <v>0</v>
      </c>
      <c r="Z368" s="5">
        <f t="shared" si="45"/>
        <v>475000</v>
      </c>
      <c r="AA368" s="5">
        <v>50500000</v>
      </c>
      <c r="AB368" s="5">
        <f t="shared" si="46"/>
        <v>1000000</v>
      </c>
      <c r="AC368" s="5" t="s">
        <v>286</v>
      </c>
      <c r="AD368" s="4" t="s">
        <v>51</v>
      </c>
      <c r="AE368" s="5">
        <f t="shared" si="47"/>
        <v>0.47499999999999998</v>
      </c>
      <c r="AF368" s="5">
        <v>1000000</v>
      </c>
      <c r="AG368" s="5">
        <v>1</v>
      </c>
      <c r="AH368" s="5">
        <v>1</v>
      </c>
      <c r="AI368" s="5">
        <v>1</v>
      </c>
      <c r="AJ368" s="7" t="s">
        <v>1697</v>
      </c>
      <c r="AK368" s="5">
        <v>0</v>
      </c>
      <c r="AL368" s="5">
        <v>0</v>
      </c>
      <c r="AM368" s="4">
        <v>2024</v>
      </c>
      <c r="AN368" s="5">
        <v>0</v>
      </c>
      <c r="AO368" s="5">
        <v>1</v>
      </c>
      <c r="AP368" s="8"/>
      <c r="AQ368" s="8"/>
      <c r="AR368" s="8">
        <f t="shared" si="48"/>
        <v>0</v>
      </c>
      <c r="AS368" s="8">
        <f t="shared" si="49"/>
        <v>525000</v>
      </c>
      <c r="AT368" s="8">
        <f t="shared" si="50"/>
        <v>475000</v>
      </c>
      <c r="AU368" s="8">
        <f t="shared" si="51"/>
        <v>525000</v>
      </c>
      <c r="AV368" s="4" t="s">
        <v>1696</v>
      </c>
      <c r="AW368" s="7" t="s">
        <v>1697</v>
      </c>
      <c r="AX368" s="5">
        <v>200000</v>
      </c>
      <c r="AY368">
        <f t="shared" si="52"/>
        <v>500000</v>
      </c>
      <c r="AZ368">
        <f t="shared" si="53"/>
        <v>25000</v>
      </c>
      <c r="BA368" s="5">
        <v>1200000</v>
      </c>
      <c r="BB368" s="5">
        <v>0</v>
      </c>
      <c r="BC368" s="4" t="s">
        <v>49</v>
      </c>
      <c r="BD368" s="4">
        <v>47112</v>
      </c>
      <c r="BE368" t="s">
        <v>54</v>
      </c>
    </row>
    <row r="369" spans="1:57" ht="270.75" thickBot="1" x14ac:dyDescent="0.3">
      <c r="A369" s="4" t="s">
        <v>1698</v>
      </c>
      <c r="B369" s="4">
        <v>1002</v>
      </c>
      <c r="C369" s="5">
        <v>2</v>
      </c>
      <c r="D369" s="4" t="s">
        <v>44</v>
      </c>
      <c r="E369" s="6">
        <v>46290.922887337962</v>
      </c>
      <c r="F369" s="4" t="s">
        <v>1699</v>
      </c>
      <c r="G369" s="4" t="s">
        <v>46</v>
      </c>
      <c r="H369" s="4">
        <v>53</v>
      </c>
      <c r="I369" s="4" t="s">
        <v>47</v>
      </c>
      <c r="J369" s="4">
        <v>5309</v>
      </c>
      <c r="K369" s="4" t="s">
        <v>48</v>
      </c>
      <c r="L369" s="4">
        <v>5309030</v>
      </c>
      <c r="M369" s="4">
        <v>5309030024</v>
      </c>
      <c r="N369" s="4" t="s">
        <v>49</v>
      </c>
      <c r="O369" s="4">
        <v>47112</v>
      </c>
      <c r="P369" s="4" t="s">
        <v>1700</v>
      </c>
      <c r="Q369" s="5">
        <v>1</v>
      </c>
      <c r="R369" s="5">
        <v>0</v>
      </c>
      <c r="S369" s="5">
        <v>0</v>
      </c>
      <c r="T369" s="5">
        <v>100000</v>
      </c>
      <c r="U369" s="5">
        <v>20000</v>
      </c>
      <c r="V369" s="5">
        <v>0</v>
      </c>
      <c r="W369" s="5">
        <v>120000</v>
      </c>
      <c r="X369" s="5">
        <v>500000</v>
      </c>
      <c r="Y369" s="5">
        <v>0</v>
      </c>
      <c r="Z369" s="5">
        <f t="shared" si="45"/>
        <v>380000</v>
      </c>
      <c r="AA369" s="5">
        <v>1700000</v>
      </c>
      <c r="AB369" s="5">
        <f t="shared" si="46"/>
        <v>400000</v>
      </c>
      <c r="AC369" s="5" t="s">
        <v>233</v>
      </c>
      <c r="AD369" s="4" t="s">
        <v>51</v>
      </c>
      <c r="AE369" s="5">
        <f t="shared" si="47"/>
        <v>0.95</v>
      </c>
      <c r="AF369" s="5">
        <v>400000</v>
      </c>
      <c r="AG369" s="5">
        <v>0</v>
      </c>
      <c r="AH369" s="5">
        <v>1</v>
      </c>
      <c r="AI369" s="5">
        <v>1</v>
      </c>
      <c r="AJ369" s="7" t="s">
        <v>1701</v>
      </c>
      <c r="AK369" s="5">
        <v>0</v>
      </c>
      <c r="AL369" s="5">
        <v>0</v>
      </c>
      <c r="AM369" s="4">
        <v>2017</v>
      </c>
      <c r="AN369" s="5">
        <v>0</v>
      </c>
      <c r="AO369" s="5">
        <v>1</v>
      </c>
      <c r="AP369" s="8"/>
      <c r="AQ369" s="8"/>
      <c r="AR369" s="8">
        <f t="shared" si="48"/>
        <v>0</v>
      </c>
      <c r="AS369" s="8">
        <f t="shared" si="49"/>
        <v>20000</v>
      </c>
      <c r="AT369" s="8">
        <f t="shared" si="50"/>
        <v>296000</v>
      </c>
      <c r="AU369" s="8">
        <f t="shared" si="51"/>
        <v>104000</v>
      </c>
      <c r="AV369" s="4" t="s">
        <v>1700</v>
      </c>
      <c r="AW369" s="7" t="s">
        <v>1701</v>
      </c>
      <c r="AX369" s="5">
        <v>100000</v>
      </c>
      <c r="AY369">
        <f t="shared" si="52"/>
        <v>0</v>
      </c>
      <c r="AZ369">
        <f t="shared" si="53"/>
        <v>104000</v>
      </c>
      <c r="BA369" s="5">
        <v>500000</v>
      </c>
      <c r="BB369" s="5">
        <v>0</v>
      </c>
      <c r="BC369" s="4" t="s">
        <v>49</v>
      </c>
      <c r="BD369" s="4">
        <v>47112</v>
      </c>
      <c r="BE369" t="s">
        <v>54</v>
      </c>
    </row>
    <row r="370" spans="1:57" ht="270.75" thickBot="1" x14ac:dyDescent="0.3">
      <c r="A370" s="4" t="s">
        <v>1702</v>
      </c>
      <c r="B370" s="4">
        <v>3003</v>
      </c>
      <c r="C370" s="5">
        <v>2</v>
      </c>
      <c r="D370" s="4" t="s">
        <v>56</v>
      </c>
      <c r="E370" s="6">
        <v>46309.368397164355</v>
      </c>
      <c r="F370" s="4" t="s">
        <v>1703</v>
      </c>
      <c r="G370" s="4" t="s">
        <v>46</v>
      </c>
      <c r="H370" s="4">
        <v>53</v>
      </c>
      <c r="I370" s="4" t="s">
        <v>47</v>
      </c>
      <c r="J370" s="4">
        <v>5309</v>
      </c>
      <c r="K370" s="4" t="s">
        <v>48</v>
      </c>
      <c r="L370" s="4">
        <v>5309060</v>
      </c>
      <c r="M370" s="4">
        <v>5309060011</v>
      </c>
      <c r="N370" s="4" t="s">
        <v>49</v>
      </c>
      <c r="O370" s="4">
        <v>47112</v>
      </c>
      <c r="P370" s="4" t="s">
        <v>1236</v>
      </c>
      <c r="Q370" s="5">
        <v>2</v>
      </c>
      <c r="R370" s="5">
        <v>0</v>
      </c>
      <c r="S370" s="5">
        <v>500000</v>
      </c>
      <c r="T370" s="5">
        <v>5000000</v>
      </c>
      <c r="U370" s="5">
        <v>2000000</v>
      </c>
      <c r="V370" s="5">
        <v>15000</v>
      </c>
      <c r="W370" s="5">
        <v>7515000</v>
      </c>
      <c r="X370" s="5">
        <v>10000000</v>
      </c>
      <c r="Y370" s="5">
        <v>0</v>
      </c>
      <c r="Z370" s="5">
        <f t="shared" si="45"/>
        <v>2500000</v>
      </c>
      <c r="AA370" s="5">
        <v>10150000</v>
      </c>
      <c r="AB370" s="5">
        <f t="shared" si="46"/>
        <v>5000000</v>
      </c>
      <c r="AC370" s="5" t="s">
        <v>93</v>
      </c>
      <c r="AD370" s="4" t="s">
        <v>51</v>
      </c>
      <c r="AE370" s="5">
        <f t="shared" si="47"/>
        <v>0.5</v>
      </c>
      <c r="AF370" s="5">
        <v>2500000</v>
      </c>
      <c r="AG370" s="5">
        <v>1</v>
      </c>
      <c r="AH370" s="5">
        <v>1</v>
      </c>
      <c r="AI370" s="5">
        <v>1</v>
      </c>
      <c r="AJ370" s="7" t="s">
        <v>1704</v>
      </c>
      <c r="AK370" s="5">
        <v>0</v>
      </c>
      <c r="AL370" s="5">
        <v>0</v>
      </c>
      <c r="AM370" s="4">
        <v>2024</v>
      </c>
      <c r="AN370" s="5">
        <v>0</v>
      </c>
      <c r="AO370" s="5">
        <v>2</v>
      </c>
      <c r="AP370" s="8"/>
      <c r="AQ370" s="8"/>
      <c r="AR370" s="8">
        <f t="shared" si="48"/>
        <v>0</v>
      </c>
      <c r="AS370" s="8">
        <f t="shared" si="49"/>
        <v>2500000</v>
      </c>
      <c r="AT370" s="8">
        <f t="shared" si="50"/>
        <v>2500000</v>
      </c>
      <c r="AU370" s="8">
        <f t="shared" si="51"/>
        <v>2500000</v>
      </c>
      <c r="AV370" s="4" t="s">
        <v>1236</v>
      </c>
      <c r="AW370" s="7" t="s">
        <v>1704</v>
      </c>
      <c r="AX370" s="5">
        <v>5000000</v>
      </c>
      <c r="AY370">
        <f t="shared" si="52"/>
        <v>500000</v>
      </c>
      <c r="AZ370">
        <f t="shared" si="53"/>
        <v>2000000</v>
      </c>
      <c r="BA370" s="5">
        <v>10000000</v>
      </c>
      <c r="BB370" s="5">
        <v>0</v>
      </c>
      <c r="BC370" s="4" t="s">
        <v>49</v>
      </c>
      <c r="BD370" s="4">
        <v>47112</v>
      </c>
      <c r="BE370" t="s">
        <v>54</v>
      </c>
    </row>
    <row r="371" spans="1:57" ht="270.75" thickBot="1" x14ac:dyDescent="0.3">
      <c r="A371" s="4" t="s">
        <v>1705</v>
      </c>
      <c r="B371" s="4">
        <v>1</v>
      </c>
      <c r="C371" s="5">
        <v>2</v>
      </c>
      <c r="D371" s="4" t="s">
        <v>44</v>
      </c>
      <c r="E371" s="6">
        <v>46275.359559340279</v>
      </c>
      <c r="F371" s="4" t="s">
        <v>1706</v>
      </c>
      <c r="G371" s="4" t="s">
        <v>46</v>
      </c>
      <c r="H371" s="4">
        <v>53</v>
      </c>
      <c r="I371" s="4" t="s">
        <v>47</v>
      </c>
      <c r="J371" s="4">
        <v>5309</v>
      </c>
      <c r="K371" s="4" t="s">
        <v>48</v>
      </c>
      <c r="L371" s="4">
        <v>5309030</v>
      </c>
      <c r="M371" s="4">
        <v>5309030011</v>
      </c>
      <c r="N371" s="4" t="s">
        <v>49</v>
      </c>
      <c r="O371" s="4">
        <v>47112</v>
      </c>
      <c r="P371" s="4" t="s">
        <v>1707</v>
      </c>
      <c r="Q371" s="5">
        <v>1</v>
      </c>
      <c r="R371" s="5">
        <v>0</v>
      </c>
      <c r="S371" s="5">
        <v>41200000</v>
      </c>
      <c r="T371" s="5">
        <v>12500000</v>
      </c>
      <c r="U371" s="5">
        <v>2500000</v>
      </c>
      <c r="V371" s="5">
        <v>0</v>
      </c>
      <c r="W371" s="5">
        <v>56200000</v>
      </c>
      <c r="X371" s="5">
        <v>72500000</v>
      </c>
      <c r="Y371" s="5">
        <v>0</v>
      </c>
      <c r="Z371" s="5">
        <f t="shared" si="45"/>
        <v>16300000</v>
      </c>
      <c r="AA371" s="5">
        <v>57200000</v>
      </c>
      <c r="AB371" s="5">
        <f t="shared" si="46"/>
        <v>60000000</v>
      </c>
      <c r="AC371" s="5" t="s">
        <v>1708</v>
      </c>
      <c r="AD371" s="4" t="s">
        <v>51</v>
      </c>
      <c r="AE371" s="5">
        <f t="shared" si="47"/>
        <v>0.27166666666666667</v>
      </c>
      <c r="AF371" s="5">
        <v>60000000</v>
      </c>
      <c r="AG371" s="5">
        <v>1</v>
      </c>
      <c r="AH371" s="5">
        <v>1</v>
      </c>
      <c r="AI371" s="5">
        <v>1</v>
      </c>
      <c r="AJ371" s="7" t="s">
        <v>1709</v>
      </c>
      <c r="AK371" s="5">
        <v>0</v>
      </c>
      <c r="AL371" s="5">
        <v>0</v>
      </c>
      <c r="AM371" s="4">
        <v>2008</v>
      </c>
      <c r="AN371" s="5">
        <v>0</v>
      </c>
      <c r="AO371" s="5">
        <v>1</v>
      </c>
      <c r="AP371" s="8"/>
      <c r="AQ371" s="8"/>
      <c r="AR371" s="8">
        <f t="shared" si="48"/>
        <v>0</v>
      </c>
      <c r="AS371" s="8">
        <f t="shared" si="49"/>
        <v>43700000</v>
      </c>
      <c r="AT371" s="8">
        <f t="shared" si="50"/>
        <v>16300000</v>
      </c>
      <c r="AU371" s="8">
        <f t="shared" si="51"/>
        <v>43700000</v>
      </c>
      <c r="AV371" s="4" t="s">
        <v>1707</v>
      </c>
      <c r="AW371" s="7" t="s">
        <v>1709</v>
      </c>
      <c r="AX371" s="5">
        <v>12500000</v>
      </c>
      <c r="AY371">
        <f t="shared" si="52"/>
        <v>41200000</v>
      </c>
      <c r="AZ371">
        <f t="shared" si="53"/>
        <v>2500000</v>
      </c>
      <c r="BA371" s="5">
        <v>72500000</v>
      </c>
      <c r="BB371" s="5">
        <v>0</v>
      </c>
      <c r="BC371" s="4" t="s">
        <v>49</v>
      </c>
      <c r="BD371" s="4">
        <v>47112</v>
      </c>
      <c r="BE371" t="s">
        <v>54</v>
      </c>
    </row>
    <row r="372" spans="1:57" ht="270.75" thickBot="1" x14ac:dyDescent="0.3">
      <c r="A372" s="4" t="s">
        <v>1710</v>
      </c>
      <c r="B372" s="4">
        <v>1002</v>
      </c>
      <c r="C372" s="5">
        <v>2</v>
      </c>
      <c r="D372" s="4" t="s">
        <v>44</v>
      </c>
      <c r="E372" s="6">
        <v>46293.103480833335</v>
      </c>
      <c r="F372" s="4" t="s">
        <v>1711</v>
      </c>
      <c r="G372" s="4" t="s">
        <v>46</v>
      </c>
      <c r="H372" s="4">
        <v>53</v>
      </c>
      <c r="I372" s="4" t="s">
        <v>47</v>
      </c>
      <c r="J372" s="4">
        <v>5309</v>
      </c>
      <c r="K372" s="4" t="s">
        <v>48</v>
      </c>
      <c r="L372" s="4">
        <v>5309031</v>
      </c>
      <c r="M372" s="4">
        <v>5309031002</v>
      </c>
      <c r="N372" s="4" t="s">
        <v>49</v>
      </c>
      <c r="O372" s="4">
        <v>47112</v>
      </c>
      <c r="P372" s="4" t="s">
        <v>1712</v>
      </c>
      <c r="Q372" s="5">
        <v>2</v>
      </c>
      <c r="R372" s="5">
        <v>0</v>
      </c>
      <c r="S372" s="5">
        <v>108000</v>
      </c>
      <c r="T372" s="5">
        <v>12000000</v>
      </c>
      <c r="U372" s="5">
        <v>120000</v>
      </c>
      <c r="V372" s="5">
        <v>10000</v>
      </c>
      <c r="W372" s="5">
        <v>12238000</v>
      </c>
      <c r="X372" s="5">
        <v>18000000</v>
      </c>
      <c r="Y372" s="5">
        <v>0</v>
      </c>
      <c r="Z372" s="5">
        <f t="shared" si="45"/>
        <v>5772000</v>
      </c>
      <c r="AA372" s="5">
        <v>151500000</v>
      </c>
      <c r="AB372" s="5">
        <f t="shared" si="46"/>
        <v>6000000</v>
      </c>
      <c r="AC372" s="5" t="s">
        <v>102</v>
      </c>
      <c r="AD372" s="4" t="s">
        <v>51</v>
      </c>
      <c r="AE372" s="5">
        <f t="shared" si="47"/>
        <v>0.96199999999999997</v>
      </c>
      <c r="AF372" s="5">
        <v>3000000</v>
      </c>
      <c r="AG372" s="5">
        <v>1</v>
      </c>
      <c r="AH372" s="5">
        <v>1</v>
      </c>
      <c r="AI372" s="5">
        <v>1</v>
      </c>
      <c r="AJ372" s="7" t="s">
        <v>1713</v>
      </c>
      <c r="AK372" s="5">
        <v>0</v>
      </c>
      <c r="AL372" s="5">
        <v>0</v>
      </c>
      <c r="AM372" s="4">
        <v>2016</v>
      </c>
      <c r="AN372" s="5">
        <v>0</v>
      </c>
      <c r="AO372" s="5">
        <v>2</v>
      </c>
      <c r="AP372" s="8"/>
      <c r="AQ372" s="8"/>
      <c r="AR372" s="8">
        <f t="shared" si="48"/>
        <v>0</v>
      </c>
      <c r="AS372" s="8">
        <f t="shared" si="49"/>
        <v>228000</v>
      </c>
      <c r="AT372" s="8">
        <f t="shared" si="50"/>
        <v>4440000</v>
      </c>
      <c r="AU372" s="8">
        <f t="shared" si="51"/>
        <v>1560000</v>
      </c>
      <c r="AV372" s="4" t="s">
        <v>1712</v>
      </c>
      <c r="AW372" s="7" t="s">
        <v>1713</v>
      </c>
      <c r="AX372" s="5">
        <v>12000000</v>
      </c>
      <c r="AY372">
        <f t="shared" si="52"/>
        <v>738947.36842105258</v>
      </c>
      <c r="AZ372">
        <f t="shared" si="53"/>
        <v>821052.63157894742</v>
      </c>
      <c r="BA372" s="5">
        <v>18000000</v>
      </c>
      <c r="BB372" s="5">
        <v>0</v>
      </c>
      <c r="BC372" s="4" t="s">
        <v>49</v>
      </c>
      <c r="BD372" s="4">
        <v>47112</v>
      </c>
      <c r="BE372" t="s">
        <v>54</v>
      </c>
    </row>
    <row r="373" spans="1:57" ht="270.75" thickBot="1" x14ac:dyDescent="0.3">
      <c r="A373" s="4" t="s">
        <v>1714</v>
      </c>
      <c r="B373" s="4">
        <v>1001</v>
      </c>
      <c r="C373" s="5">
        <v>2</v>
      </c>
      <c r="D373" s="4" t="s">
        <v>44</v>
      </c>
      <c r="E373" s="6">
        <v>46290.922879409722</v>
      </c>
      <c r="F373" s="4" t="s">
        <v>1715</v>
      </c>
      <c r="G373" s="4" t="s">
        <v>46</v>
      </c>
      <c r="H373" s="4">
        <v>53</v>
      </c>
      <c r="I373" s="4" t="s">
        <v>47</v>
      </c>
      <c r="J373" s="4">
        <v>5309</v>
      </c>
      <c r="K373" s="4" t="s">
        <v>48</v>
      </c>
      <c r="L373" s="4">
        <v>5309030</v>
      </c>
      <c r="M373" s="4">
        <v>5309030024</v>
      </c>
      <c r="N373" s="4" t="s">
        <v>49</v>
      </c>
      <c r="O373" s="4">
        <v>47112</v>
      </c>
      <c r="P373" s="4" t="s">
        <v>1716</v>
      </c>
      <c r="Q373" s="5">
        <v>2</v>
      </c>
      <c r="R373" s="5">
        <v>0</v>
      </c>
      <c r="S373" s="5">
        <v>0</v>
      </c>
      <c r="T373" s="5">
        <v>2400000</v>
      </c>
      <c r="U373" s="5">
        <v>2400000</v>
      </c>
      <c r="V373" s="5">
        <v>0</v>
      </c>
      <c r="W373" s="5">
        <v>4800000</v>
      </c>
      <c r="X373" s="5">
        <v>6000000</v>
      </c>
      <c r="Y373" s="5">
        <v>0</v>
      </c>
      <c r="Z373" s="5">
        <f t="shared" si="45"/>
        <v>1200000</v>
      </c>
      <c r="AA373" s="5">
        <v>5000000</v>
      </c>
      <c r="AB373" s="5">
        <f t="shared" si="46"/>
        <v>3600000</v>
      </c>
      <c r="AC373" s="5" t="s">
        <v>167</v>
      </c>
      <c r="AD373" s="4" t="s">
        <v>51</v>
      </c>
      <c r="AE373" s="5">
        <f t="shared" si="47"/>
        <v>0.33333333333333331</v>
      </c>
      <c r="AF373" s="5">
        <v>1800000</v>
      </c>
      <c r="AG373" s="5">
        <v>1</v>
      </c>
      <c r="AH373" s="5">
        <v>1</v>
      </c>
      <c r="AI373" s="5">
        <v>1</v>
      </c>
      <c r="AJ373" s="7" t="s">
        <v>1717</v>
      </c>
      <c r="AK373" s="5">
        <v>0</v>
      </c>
      <c r="AL373" s="5">
        <v>0</v>
      </c>
      <c r="AM373" s="4">
        <v>2024</v>
      </c>
      <c r="AN373" s="5">
        <v>0</v>
      </c>
      <c r="AO373" s="5">
        <v>2</v>
      </c>
      <c r="AP373" s="8"/>
      <c r="AQ373" s="8"/>
      <c r="AR373" s="8">
        <f t="shared" si="48"/>
        <v>0</v>
      </c>
      <c r="AS373" s="8">
        <f t="shared" si="49"/>
        <v>2400000</v>
      </c>
      <c r="AT373" s="8">
        <f t="shared" si="50"/>
        <v>1200000</v>
      </c>
      <c r="AU373" s="8">
        <f t="shared" si="51"/>
        <v>2400000</v>
      </c>
      <c r="AV373" s="4" t="s">
        <v>1716</v>
      </c>
      <c r="AW373" s="7" t="s">
        <v>1717</v>
      </c>
      <c r="AX373" s="5">
        <v>2400000</v>
      </c>
      <c r="AY373">
        <f t="shared" si="52"/>
        <v>0</v>
      </c>
      <c r="AZ373">
        <f t="shared" si="53"/>
        <v>2400000</v>
      </c>
      <c r="BA373" s="5">
        <v>6000000</v>
      </c>
      <c r="BB373" s="5">
        <v>0</v>
      </c>
      <c r="BC373" s="4" t="s">
        <v>49</v>
      </c>
      <c r="BD373" s="4">
        <v>47112</v>
      </c>
      <c r="BE373" t="s">
        <v>54</v>
      </c>
    </row>
    <row r="374" spans="1:57" ht="270.75" thickBot="1" x14ac:dyDescent="0.3">
      <c r="A374" s="4" t="s">
        <v>1718</v>
      </c>
      <c r="B374" s="4">
        <v>2001</v>
      </c>
      <c r="C374" s="5">
        <v>2</v>
      </c>
      <c r="D374" s="4" t="s">
        <v>44</v>
      </c>
      <c r="E374" s="6">
        <v>46261.087624143518</v>
      </c>
      <c r="F374" s="4" t="s">
        <v>1719</v>
      </c>
      <c r="G374" s="4" t="s">
        <v>46</v>
      </c>
      <c r="H374" s="4">
        <v>53</v>
      </c>
      <c r="I374" s="4" t="s">
        <v>47</v>
      </c>
      <c r="J374" s="4">
        <v>5309</v>
      </c>
      <c r="K374" s="4" t="s">
        <v>48</v>
      </c>
      <c r="L374" s="4">
        <v>5309050</v>
      </c>
      <c r="M374" s="4">
        <v>5309050019</v>
      </c>
      <c r="N374" s="4" t="s">
        <v>49</v>
      </c>
      <c r="O374" s="4">
        <v>47112</v>
      </c>
      <c r="P374" s="4" t="s">
        <v>1720</v>
      </c>
      <c r="Q374" s="5">
        <v>1</v>
      </c>
      <c r="R374" s="5">
        <v>0</v>
      </c>
      <c r="S374" s="5">
        <v>1000000</v>
      </c>
      <c r="T374" s="5">
        <v>12000000</v>
      </c>
      <c r="U374" s="5">
        <v>1500000</v>
      </c>
      <c r="V374" s="5">
        <v>1000000</v>
      </c>
      <c r="W374" s="5">
        <v>15500000</v>
      </c>
      <c r="X374" s="5">
        <v>17000000</v>
      </c>
      <c r="Y374" s="5">
        <v>0</v>
      </c>
      <c r="Z374" s="5">
        <f t="shared" si="45"/>
        <v>2500000</v>
      </c>
      <c r="AA374" s="5">
        <v>5500000</v>
      </c>
      <c r="AB374" s="5">
        <f t="shared" si="46"/>
        <v>5000000</v>
      </c>
      <c r="AC374" s="5" t="s">
        <v>1721</v>
      </c>
      <c r="AD374" s="4" t="s">
        <v>51</v>
      </c>
      <c r="AE374" s="5">
        <f t="shared" si="47"/>
        <v>0.5</v>
      </c>
      <c r="AF374" s="5">
        <v>5000000</v>
      </c>
      <c r="AG374" s="5">
        <v>1</v>
      </c>
      <c r="AH374" s="5">
        <v>1</v>
      </c>
      <c r="AI374" s="5">
        <v>1</v>
      </c>
      <c r="AJ374" s="7" t="s">
        <v>1722</v>
      </c>
      <c r="AK374" s="5">
        <v>0</v>
      </c>
      <c r="AL374" s="5">
        <v>0</v>
      </c>
      <c r="AM374" s="4">
        <v>2004</v>
      </c>
      <c r="AN374" s="5">
        <v>0</v>
      </c>
      <c r="AO374" s="5">
        <v>1</v>
      </c>
      <c r="AP374" s="8"/>
      <c r="AQ374" s="8"/>
      <c r="AR374" s="8">
        <f t="shared" si="48"/>
        <v>0</v>
      </c>
      <c r="AS374" s="8">
        <f t="shared" si="49"/>
        <v>2500000</v>
      </c>
      <c r="AT374" s="8">
        <f t="shared" si="50"/>
        <v>2500000</v>
      </c>
      <c r="AU374" s="8">
        <f t="shared" si="51"/>
        <v>2500000</v>
      </c>
      <c r="AV374" s="4" t="s">
        <v>1720</v>
      </c>
      <c r="AW374" s="7" t="s">
        <v>1722</v>
      </c>
      <c r="AX374" s="5">
        <v>12000000</v>
      </c>
      <c r="AY374">
        <f t="shared" si="52"/>
        <v>1000000</v>
      </c>
      <c r="AZ374">
        <f t="shared" si="53"/>
        <v>1500000</v>
      </c>
      <c r="BA374" s="5">
        <v>17000000</v>
      </c>
      <c r="BB374" s="5">
        <v>0</v>
      </c>
      <c r="BC374" s="4" t="s">
        <v>49</v>
      </c>
      <c r="BD374" s="4">
        <v>47112</v>
      </c>
      <c r="BE374" t="s">
        <v>54</v>
      </c>
    </row>
    <row r="375" spans="1:57" ht="270.75" thickBot="1" x14ac:dyDescent="0.3">
      <c r="A375" s="4" t="s">
        <v>1723</v>
      </c>
      <c r="B375" s="4">
        <v>1001</v>
      </c>
      <c r="C375" s="5">
        <v>2</v>
      </c>
      <c r="D375" s="4" t="s">
        <v>44</v>
      </c>
      <c r="E375" s="6">
        <v>46267.571957384258</v>
      </c>
      <c r="F375" s="4" t="s">
        <v>1724</v>
      </c>
      <c r="G375" s="4" t="s">
        <v>46</v>
      </c>
      <c r="H375" s="4">
        <v>53</v>
      </c>
      <c r="I375" s="4" t="s">
        <v>47</v>
      </c>
      <c r="J375" s="4">
        <v>5309</v>
      </c>
      <c r="K375" s="4" t="s">
        <v>48</v>
      </c>
      <c r="L375" s="4">
        <v>5309070</v>
      </c>
      <c r="M375" s="4">
        <v>5309070002</v>
      </c>
      <c r="N375" s="4" t="s">
        <v>49</v>
      </c>
      <c r="O375" s="4">
        <v>47112</v>
      </c>
      <c r="P375" s="4" t="s">
        <v>1725</v>
      </c>
      <c r="Q375" s="5">
        <v>1</v>
      </c>
      <c r="R375" s="5">
        <v>0</v>
      </c>
      <c r="S375" s="5">
        <v>0</v>
      </c>
      <c r="T375" s="5">
        <v>2500000</v>
      </c>
      <c r="U375" s="5">
        <v>450000</v>
      </c>
      <c r="V375" s="5">
        <v>300000</v>
      </c>
      <c r="W375" s="5">
        <v>3250000</v>
      </c>
      <c r="X375" s="5">
        <v>5600000</v>
      </c>
      <c r="Y375" s="5">
        <v>780000</v>
      </c>
      <c r="Z375" s="5">
        <f t="shared" si="45"/>
        <v>2650000</v>
      </c>
      <c r="AA375" s="5">
        <v>1000000</v>
      </c>
      <c r="AB375" s="5">
        <f t="shared" si="46"/>
        <v>3100000</v>
      </c>
      <c r="AC375" s="5" t="s">
        <v>1726</v>
      </c>
      <c r="AD375" s="4" t="s">
        <v>51</v>
      </c>
      <c r="AE375" s="5">
        <f t="shared" si="47"/>
        <v>0.85483870967741937</v>
      </c>
      <c r="AF375" s="5">
        <v>3100000</v>
      </c>
      <c r="AG375" s="5">
        <v>1</v>
      </c>
      <c r="AH375" s="5">
        <v>1</v>
      </c>
      <c r="AI375" s="5">
        <v>1</v>
      </c>
      <c r="AJ375" s="7" t="s">
        <v>1727</v>
      </c>
      <c r="AK375" s="5">
        <v>0</v>
      </c>
      <c r="AL375" s="5">
        <v>0</v>
      </c>
      <c r="AM375" s="4">
        <v>2020</v>
      </c>
      <c r="AN375" s="5">
        <v>0</v>
      </c>
      <c r="AO375" s="5">
        <v>1</v>
      </c>
      <c r="AP375" s="8"/>
      <c r="AQ375" s="8"/>
      <c r="AR375" s="8">
        <f t="shared" si="48"/>
        <v>0</v>
      </c>
      <c r="AS375" s="8">
        <f t="shared" si="49"/>
        <v>450000</v>
      </c>
      <c r="AT375" s="8">
        <f t="shared" si="50"/>
        <v>2294000</v>
      </c>
      <c r="AU375" s="8">
        <f t="shared" si="51"/>
        <v>806000</v>
      </c>
      <c r="AV375" s="4" t="s">
        <v>1725</v>
      </c>
      <c r="AW375" s="7" t="s">
        <v>1727</v>
      </c>
      <c r="AX375" s="5">
        <v>2500000</v>
      </c>
      <c r="AY375">
        <f t="shared" si="52"/>
        <v>0</v>
      </c>
      <c r="AZ375">
        <f t="shared" si="53"/>
        <v>806000</v>
      </c>
      <c r="BA375" s="5">
        <v>5600000</v>
      </c>
      <c r="BB375" s="5">
        <v>780000</v>
      </c>
      <c r="BC375" s="4" t="s">
        <v>49</v>
      </c>
      <c r="BD375" s="4">
        <v>47112</v>
      </c>
      <c r="BE375" t="s">
        <v>54</v>
      </c>
    </row>
    <row r="376" spans="1:57" ht="270.75" thickBot="1" x14ac:dyDescent="0.3">
      <c r="A376" s="4" t="s">
        <v>1728</v>
      </c>
      <c r="B376" s="4">
        <v>2001</v>
      </c>
      <c r="C376" s="5">
        <v>2</v>
      </c>
      <c r="D376" s="4" t="s">
        <v>44</v>
      </c>
      <c r="E376" s="6">
        <v>46274.09515666667</v>
      </c>
      <c r="F376" s="4" t="s">
        <v>1729</v>
      </c>
      <c r="G376" s="4" t="s">
        <v>46</v>
      </c>
      <c r="H376" s="4">
        <v>53</v>
      </c>
      <c r="I376" s="4" t="s">
        <v>47</v>
      </c>
      <c r="J376" s="4">
        <v>5309</v>
      </c>
      <c r="K376" s="4" t="s">
        <v>48</v>
      </c>
      <c r="L376" s="4">
        <v>5309021</v>
      </c>
      <c r="M376" s="4">
        <v>5309021006</v>
      </c>
      <c r="N376" s="4" t="s">
        <v>49</v>
      </c>
      <c r="O376" s="4">
        <v>47112</v>
      </c>
      <c r="P376" s="4" t="s">
        <v>1730</v>
      </c>
      <c r="Q376" s="5">
        <v>2</v>
      </c>
      <c r="R376" s="5">
        <v>0</v>
      </c>
      <c r="S376" s="5">
        <v>0</v>
      </c>
      <c r="T376" s="5">
        <v>3600000</v>
      </c>
      <c r="U376" s="5">
        <v>325000</v>
      </c>
      <c r="V376" s="5">
        <v>0</v>
      </c>
      <c r="W376" s="5">
        <v>3925000</v>
      </c>
      <c r="X376" s="5">
        <v>10000000</v>
      </c>
      <c r="Y376" s="5">
        <v>0</v>
      </c>
      <c r="Z376" s="5">
        <f t="shared" si="45"/>
        <v>6075000</v>
      </c>
      <c r="AA376" s="5">
        <v>13800000</v>
      </c>
      <c r="AB376" s="5">
        <f t="shared" si="46"/>
        <v>6400000</v>
      </c>
      <c r="AC376" s="5" t="s">
        <v>1731</v>
      </c>
      <c r="AD376" s="4" t="s">
        <v>51</v>
      </c>
      <c r="AE376" s="5">
        <f t="shared" si="47"/>
        <v>0.94921875</v>
      </c>
      <c r="AF376" s="5">
        <v>3200000</v>
      </c>
      <c r="AG376" s="5">
        <v>1</v>
      </c>
      <c r="AH376" s="5">
        <v>1</v>
      </c>
      <c r="AI376" s="5">
        <v>1</v>
      </c>
      <c r="AJ376" s="7" t="s">
        <v>1732</v>
      </c>
      <c r="AK376" s="5">
        <v>0</v>
      </c>
      <c r="AL376" s="5">
        <v>0</v>
      </c>
      <c r="AM376" s="4">
        <v>2024</v>
      </c>
      <c r="AN376" s="5">
        <v>0</v>
      </c>
      <c r="AO376" s="5">
        <v>2</v>
      </c>
      <c r="AP376" s="8"/>
      <c r="AQ376" s="8"/>
      <c r="AR376" s="8">
        <f t="shared" si="48"/>
        <v>0</v>
      </c>
      <c r="AS376" s="8">
        <f t="shared" si="49"/>
        <v>325000</v>
      </c>
      <c r="AT376" s="8">
        <f t="shared" si="50"/>
        <v>4736000</v>
      </c>
      <c r="AU376" s="8">
        <f t="shared" si="51"/>
        <v>1664000</v>
      </c>
      <c r="AV376" s="4" t="s">
        <v>1730</v>
      </c>
      <c r="AW376" s="7" t="s">
        <v>1732</v>
      </c>
      <c r="AX376" s="5">
        <v>3600000</v>
      </c>
      <c r="AY376">
        <f t="shared" si="52"/>
        <v>0</v>
      </c>
      <c r="AZ376">
        <f t="shared" si="53"/>
        <v>1664000</v>
      </c>
      <c r="BA376" s="5">
        <v>10000000</v>
      </c>
      <c r="BB376" s="5">
        <v>0</v>
      </c>
      <c r="BC376" s="4" t="s">
        <v>49</v>
      </c>
      <c r="BD376" s="4">
        <v>47112</v>
      </c>
      <c r="BE376" t="s">
        <v>54</v>
      </c>
    </row>
    <row r="377" spans="1:57" ht="270.75" thickBot="1" x14ac:dyDescent="0.3">
      <c r="A377" s="4" t="s">
        <v>1733</v>
      </c>
      <c r="B377" s="4">
        <v>1002</v>
      </c>
      <c r="C377" s="5">
        <v>2</v>
      </c>
      <c r="D377" s="4" t="s">
        <v>44</v>
      </c>
      <c r="E377" s="6">
        <v>46290.925835532405</v>
      </c>
      <c r="F377" s="4" t="s">
        <v>1734</v>
      </c>
      <c r="G377" s="4" t="s">
        <v>46</v>
      </c>
      <c r="H377" s="4">
        <v>53</v>
      </c>
      <c r="I377" s="4" t="s">
        <v>47</v>
      </c>
      <c r="J377" s="4">
        <v>5309</v>
      </c>
      <c r="K377" s="4" t="s">
        <v>48</v>
      </c>
      <c r="L377" s="4">
        <v>5309030</v>
      </c>
      <c r="M377" s="4">
        <v>5309030021</v>
      </c>
      <c r="N377" s="4" t="s">
        <v>49</v>
      </c>
      <c r="O377" s="4">
        <v>47112</v>
      </c>
      <c r="P377" s="4" t="s">
        <v>1735</v>
      </c>
      <c r="Q377" s="5">
        <v>1</v>
      </c>
      <c r="R377" s="5">
        <v>0</v>
      </c>
      <c r="S377" s="5">
        <v>750000</v>
      </c>
      <c r="T377" s="5">
        <v>36000000</v>
      </c>
      <c r="U377" s="5">
        <v>1000000</v>
      </c>
      <c r="V377" s="5">
        <v>0</v>
      </c>
      <c r="W377" s="5">
        <v>37750000</v>
      </c>
      <c r="X377" s="5">
        <v>55000000</v>
      </c>
      <c r="Y377" s="5">
        <v>0</v>
      </c>
      <c r="Z377" s="5">
        <f t="shared" si="45"/>
        <v>17250000</v>
      </c>
      <c r="AA377" s="5">
        <v>60000000</v>
      </c>
      <c r="AB377" s="5">
        <f t="shared" si="46"/>
        <v>19000000</v>
      </c>
      <c r="AC377" s="5" t="s">
        <v>1736</v>
      </c>
      <c r="AD377" s="4" t="s">
        <v>51</v>
      </c>
      <c r="AE377" s="5">
        <f t="shared" si="47"/>
        <v>0.90789473684210531</v>
      </c>
      <c r="AF377" s="5">
        <v>19000000</v>
      </c>
      <c r="AG377" s="5">
        <v>0</v>
      </c>
      <c r="AH377" s="5">
        <v>1</v>
      </c>
      <c r="AI377" s="5">
        <v>1</v>
      </c>
      <c r="AJ377" s="7" t="s">
        <v>1737</v>
      </c>
      <c r="AK377" s="5">
        <v>0</v>
      </c>
      <c r="AL377" s="5">
        <v>0</v>
      </c>
      <c r="AM377" s="4">
        <v>2024</v>
      </c>
      <c r="AN377" s="5">
        <v>0</v>
      </c>
      <c r="AO377" s="5">
        <v>1</v>
      </c>
      <c r="AP377" s="8"/>
      <c r="AQ377" s="8"/>
      <c r="AR377" s="8">
        <f t="shared" si="48"/>
        <v>0</v>
      </c>
      <c r="AS377" s="8">
        <f t="shared" si="49"/>
        <v>1750000</v>
      </c>
      <c r="AT377" s="8">
        <f t="shared" si="50"/>
        <v>14060000</v>
      </c>
      <c r="AU377" s="8">
        <f t="shared" si="51"/>
        <v>4940000</v>
      </c>
      <c r="AV377" s="4" t="s">
        <v>1735</v>
      </c>
      <c r="AW377" s="7" t="s">
        <v>1737</v>
      </c>
      <c r="AX377" s="5">
        <v>36000000</v>
      </c>
      <c r="AY377">
        <f t="shared" si="52"/>
        <v>2117142.8571428573</v>
      </c>
      <c r="AZ377">
        <f t="shared" si="53"/>
        <v>2822857.1428571427</v>
      </c>
      <c r="BA377" s="5">
        <v>55000000</v>
      </c>
      <c r="BB377" s="5">
        <v>0</v>
      </c>
      <c r="BC377" s="4" t="s">
        <v>49</v>
      </c>
      <c r="BD377" s="4">
        <v>47112</v>
      </c>
      <c r="BE377" t="s">
        <v>54</v>
      </c>
    </row>
    <row r="378" spans="1:57" ht="270.75" thickBot="1" x14ac:dyDescent="0.3">
      <c r="A378" s="4" t="s">
        <v>1738</v>
      </c>
      <c r="B378" s="4">
        <v>1</v>
      </c>
      <c r="C378" s="5">
        <v>2</v>
      </c>
      <c r="D378" s="4" t="s">
        <v>44</v>
      </c>
      <c r="E378" s="6">
        <v>46219.957685451387</v>
      </c>
      <c r="F378" s="4" t="s">
        <v>1739</v>
      </c>
      <c r="G378" s="4" t="s">
        <v>46</v>
      </c>
      <c r="H378" s="4">
        <v>53</v>
      </c>
      <c r="I378" s="4" t="s">
        <v>47</v>
      </c>
      <c r="J378" s="4">
        <v>5309</v>
      </c>
      <c r="K378" s="4" t="s">
        <v>48</v>
      </c>
      <c r="L378" s="4">
        <v>5309011</v>
      </c>
      <c r="M378" s="4">
        <v>5309011006</v>
      </c>
      <c r="N378" s="4" t="s">
        <v>49</v>
      </c>
      <c r="O378" s="4">
        <v>47112</v>
      </c>
      <c r="P378" s="4" t="s">
        <v>1740</v>
      </c>
      <c r="Q378" s="5">
        <v>2</v>
      </c>
      <c r="R378" s="5">
        <v>0</v>
      </c>
      <c r="S378" s="5">
        <v>20000000</v>
      </c>
      <c r="T378" s="5">
        <v>10000000</v>
      </c>
      <c r="U378" s="5">
        <v>0</v>
      </c>
      <c r="V378" s="5">
        <v>0</v>
      </c>
      <c r="W378" s="5">
        <v>30000000</v>
      </c>
      <c r="X378" s="5">
        <v>35000000</v>
      </c>
      <c r="Y378" s="5">
        <v>0</v>
      </c>
      <c r="Z378" s="5">
        <f t="shared" si="45"/>
        <v>5000000</v>
      </c>
      <c r="AA378" s="5">
        <v>3000000</v>
      </c>
      <c r="AB378" s="5">
        <f t="shared" si="46"/>
        <v>25000000</v>
      </c>
      <c r="AC378" s="5" t="s">
        <v>425</v>
      </c>
      <c r="AD378" s="4" t="s">
        <v>51</v>
      </c>
      <c r="AE378" s="5">
        <f t="shared" si="47"/>
        <v>0.2</v>
      </c>
      <c r="AF378" s="5">
        <v>12500000</v>
      </c>
      <c r="AG378" s="5">
        <v>1</v>
      </c>
      <c r="AH378" s="5">
        <v>1</v>
      </c>
      <c r="AI378" s="5">
        <v>1</v>
      </c>
      <c r="AJ378" s="7" t="s">
        <v>1741</v>
      </c>
      <c r="AK378" s="5">
        <v>0</v>
      </c>
      <c r="AL378" s="5">
        <v>0</v>
      </c>
      <c r="AM378" s="4">
        <v>2010</v>
      </c>
      <c r="AN378" s="5">
        <v>0</v>
      </c>
      <c r="AO378" s="5">
        <v>2</v>
      </c>
      <c r="AP378" s="8"/>
      <c r="AQ378" s="8"/>
      <c r="AR378" s="8">
        <f t="shared" si="48"/>
        <v>0</v>
      </c>
      <c r="AS378" s="8">
        <f t="shared" si="49"/>
        <v>20000000</v>
      </c>
      <c r="AT378" s="8">
        <f t="shared" si="50"/>
        <v>5000000</v>
      </c>
      <c r="AU378" s="8">
        <f t="shared" si="51"/>
        <v>20000000</v>
      </c>
      <c r="AV378" s="4" t="s">
        <v>1740</v>
      </c>
      <c r="AW378" s="7" t="s">
        <v>1741</v>
      </c>
      <c r="AX378" s="5">
        <v>10000000</v>
      </c>
      <c r="AY378">
        <f t="shared" si="52"/>
        <v>20000000</v>
      </c>
      <c r="AZ378">
        <f t="shared" si="53"/>
        <v>0</v>
      </c>
      <c r="BA378" s="5">
        <v>35000000</v>
      </c>
      <c r="BB378" s="5">
        <v>0</v>
      </c>
      <c r="BC378" s="4" t="s">
        <v>49</v>
      </c>
      <c r="BD378" s="4">
        <v>47112</v>
      </c>
      <c r="BE378" t="s">
        <v>54</v>
      </c>
    </row>
    <row r="379" spans="1:57" ht="270.75" thickBot="1" x14ac:dyDescent="0.3">
      <c r="A379" s="4" t="s">
        <v>1742</v>
      </c>
      <c r="B379" s="4">
        <v>1</v>
      </c>
      <c r="C379" s="5">
        <v>2</v>
      </c>
      <c r="D379" s="4" t="s">
        <v>44</v>
      </c>
      <c r="E379" s="6">
        <v>46232.017310428244</v>
      </c>
      <c r="F379" s="4" t="s">
        <v>1743</v>
      </c>
      <c r="G379" s="4" t="s">
        <v>46</v>
      </c>
      <c r="H379" s="4">
        <v>53</v>
      </c>
      <c r="I379" s="4" t="s">
        <v>47</v>
      </c>
      <c r="J379" s="4">
        <v>5309</v>
      </c>
      <c r="K379" s="4" t="s">
        <v>48</v>
      </c>
      <c r="L379" s="4">
        <v>5309062</v>
      </c>
      <c r="M379" s="4">
        <v>5309062001</v>
      </c>
      <c r="N379" s="4" t="s">
        <v>49</v>
      </c>
      <c r="O379" s="4">
        <v>47112</v>
      </c>
      <c r="P379" s="4" t="s">
        <v>1744</v>
      </c>
      <c r="Q379" s="5">
        <v>2</v>
      </c>
      <c r="R379" s="5">
        <v>0</v>
      </c>
      <c r="S379" s="5">
        <v>250000</v>
      </c>
      <c r="T379" s="5">
        <v>150000</v>
      </c>
      <c r="U379" s="5">
        <v>50000</v>
      </c>
      <c r="V379" s="5">
        <v>0</v>
      </c>
      <c r="W379" s="5">
        <v>450000</v>
      </c>
      <c r="X379" s="5">
        <v>500000</v>
      </c>
      <c r="Y379" s="5">
        <v>350000</v>
      </c>
      <c r="Z379" s="5">
        <f t="shared" si="45"/>
        <v>50000</v>
      </c>
      <c r="AA379" s="5">
        <v>600000</v>
      </c>
      <c r="AB379" s="5">
        <f t="shared" si="46"/>
        <v>350000</v>
      </c>
      <c r="AC379" s="5" t="s">
        <v>516</v>
      </c>
      <c r="AD379" s="4" t="s">
        <v>51</v>
      </c>
      <c r="AE379" s="5">
        <f t="shared" si="47"/>
        <v>0.14285714285714285</v>
      </c>
      <c r="AF379" s="5">
        <v>175000</v>
      </c>
      <c r="AG379" s="5">
        <v>1</v>
      </c>
      <c r="AH379" s="5">
        <v>1</v>
      </c>
      <c r="AI379" s="5">
        <v>1</v>
      </c>
      <c r="AJ379" s="7" t="s">
        <v>1745</v>
      </c>
      <c r="AK379" s="5">
        <v>0</v>
      </c>
      <c r="AL379" s="5">
        <v>0</v>
      </c>
      <c r="AM379" s="4">
        <v>2017</v>
      </c>
      <c r="AN379" s="5">
        <v>0</v>
      </c>
      <c r="AO379" s="5">
        <v>2</v>
      </c>
      <c r="AP379" s="8"/>
      <c r="AQ379" s="8"/>
      <c r="AR379" s="8">
        <f t="shared" si="48"/>
        <v>0</v>
      </c>
      <c r="AS379" s="8">
        <f t="shared" si="49"/>
        <v>300000</v>
      </c>
      <c r="AT379" s="8">
        <f t="shared" si="50"/>
        <v>50000</v>
      </c>
      <c r="AU379" s="8">
        <f t="shared" si="51"/>
        <v>300000</v>
      </c>
      <c r="AV379" s="4" t="s">
        <v>1744</v>
      </c>
      <c r="AW379" s="7" t="s">
        <v>1745</v>
      </c>
      <c r="AX379" s="5">
        <v>150000</v>
      </c>
      <c r="AY379">
        <f t="shared" si="52"/>
        <v>250000</v>
      </c>
      <c r="AZ379">
        <f t="shared" si="53"/>
        <v>50000</v>
      </c>
      <c r="BA379" s="5">
        <v>500000</v>
      </c>
      <c r="BB379" s="5">
        <v>350000</v>
      </c>
      <c r="BC379" s="4" t="s">
        <v>49</v>
      </c>
      <c r="BD379" s="4">
        <v>47112</v>
      </c>
      <c r="BE379" t="s">
        <v>54</v>
      </c>
    </row>
    <row r="380" spans="1:57" ht="270.75" thickBot="1" x14ac:dyDescent="0.3">
      <c r="A380" s="4" t="s">
        <v>1746</v>
      </c>
      <c r="B380" s="4">
        <v>1002</v>
      </c>
      <c r="C380" s="5">
        <v>2</v>
      </c>
      <c r="D380" s="4" t="s">
        <v>44</v>
      </c>
      <c r="E380" s="6">
        <v>46293.103480833335</v>
      </c>
      <c r="F380" s="4" t="s">
        <v>1747</v>
      </c>
      <c r="G380" s="4" t="s">
        <v>46</v>
      </c>
      <c r="H380" s="4">
        <v>53</v>
      </c>
      <c r="I380" s="4" t="s">
        <v>47</v>
      </c>
      <c r="J380" s="4">
        <v>5309</v>
      </c>
      <c r="K380" s="4" t="s">
        <v>48</v>
      </c>
      <c r="L380" s="4">
        <v>5309031</v>
      </c>
      <c r="M380" s="4">
        <v>5309031002</v>
      </c>
      <c r="N380" s="4" t="s">
        <v>49</v>
      </c>
      <c r="O380" s="4">
        <v>47112</v>
      </c>
      <c r="P380" s="4" t="s">
        <v>1748</v>
      </c>
      <c r="Q380" s="5">
        <v>4</v>
      </c>
      <c r="R380" s="5">
        <v>38400000</v>
      </c>
      <c r="S380" s="5">
        <v>3600000</v>
      </c>
      <c r="T380" s="5">
        <v>12000000</v>
      </c>
      <c r="U380" s="5">
        <v>3600000</v>
      </c>
      <c r="V380" s="5">
        <v>3690000</v>
      </c>
      <c r="W380" s="5">
        <v>61290000</v>
      </c>
      <c r="X380" s="5">
        <v>50000000</v>
      </c>
      <c r="Y380" s="5">
        <v>20000000</v>
      </c>
      <c r="Z380" s="5">
        <f t="shared" si="45"/>
        <v>30800000</v>
      </c>
      <c r="AA380" s="5">
        <v>400000000</v>
      </c>
      <c r="AB380" s="5">
        <f t="shared" si="46"/>
        <v>38000000</v>
      </c>
      <c r="AC380" s="5" t="s">
        <v>1749</v>
      </c>
      <c r="AD380" s="4" t="s">
        <v>51</v>
      </c>
      <c r="AE380" s="5">
        <f t="shared" si="47"/>
        <v>0.81052631578947365</v>
      </c>
      <c r="AF380" s="5">
        <v>9500000</v>
      </c>
      <c r="AG380" s="5">
        <v>1</v>
      </c>
      <c r="AH380" s="5">
        <v>1</v>
      </c>
      <c r="AI380" s="5">
        <v>1</v>
      </c>
      <c r="AJ380" s="7" t="s">
        <v>1750</v>
      </c>
      <c r="AK380" s="5">
        <v>0</v>
      </c>
      <c r="AL380" s="5">
        <v>0</v>
      </c>
      <c r="AM380" s="4">
        <v>2014</v>
      </c>
      <c r="AN380" s="5">
        <v>2</v>
      </c>
      <c r="AO380" s="5">
        <v>2</v>
      </c>
      <c r="AP380" s="8"/>
      <c r="AQ380" s="8"/>
      <c r="AR380" s="8">
        <f t="shared" si="48"/>
        <v>0</v>
      </c>
      <c r="AS380" s="8">
        <f t="shared" si="49"/>
        <v>7200000</v>
      </c>
      <c r="AT380" s="8">
        <f t="shared" si="50"/>
        <v>28120000</v>
      </c>
      <c r="AU380" s="8">
        <f t="shared" si="51"/>
        <v>9880000</v>
      </c>
      <c r="AV380" s="4" t="s">
        <v>1748</v>
      </c>
      <c r="AW380" s="7" t="s">
        <v>1750</v>
      </c>
      <c r="AX380" s="5">
        <v>12000000</v>
      </c>
      <c r="AY380">
        <f t="shared" si="52"/>
        <v>4940000</v>
      </c>
      <c r="AZ380">
        <f t="shared" si="53"/>
        <v>4940000</v>
      </c>
      <c r="BA380" s="5">
        <v>50000000</v>
      </c>
      <c r="BB380" s="5">
        <v>20000000</v>
      </c>
      <c r="BC380" s="4" t="s">
        <v>49</v>
      </c>
      <c r="BD380" s="4">
        <v>47112</v>
      </c>
      <c r="BE380" t="s">
        <v>54</v>
      </c>
    </row>
    <row r="381" spans="1:57" ht="270.75" thickBot="1" x14ac:dyDescent="0.3">
      <c r="A381" s="4" t="s">
        <v>1751</v>
      </c>
      <c r="B381" s="4">
        <v>2001</v>
      </c>
      <c r="C381" s="5">
        <v>2</v>
      </c>
      <c r="D381" s="4" t="s">
        <v>44</v>
      </c>
      <c r="E381" s="6">
        <v>46278.177776689816</v>
      </c>
      <c r="F381" s="4" t="s">
        <v>1752</v>
      </c>
      <c r="G381" s="4" t="s">
        <v>46</v>
      </c>
      <c r="H381" s="4">
        <v>53</v>
      </c>
      <c r="I381" s="4" t="s">
        <v>47</v>
      </c>
      <c r="J381" s="4">
        <v>5309</v>
      </c>
      <c r="K381" s="4" t="s">
        <v>48</v>
      </c>
      <c r="L381" s="4">
        <v>5309071</v>
      </c>
      <c r="M381" s="4">
        <v>5309071007</v>
      </c>
      <c r="N381" s="4" t="s">
        <v>49</v>
      </c>
      <c r="O381" s="4">
        <v>47112</v>
      </c>
      <c r="P381" s="4" t="s">
        <v>1753</v>
      </c>
      <c r="Q381" s="5">
        <v>2</v>
      </c>
      <c r="R381" s="5">
        <v>0</v>
      </c>
      <c r="S381" s="5">
        <v>0</v>
      </c>
      <c r="T381" s="5">
        <v>10000000</v>
      </c>
      <c r="U381" s="5">
        <v>500000</v>
      </c>
      <c r="V381" s="5">
        <v>192000</v>
      </c>
      <c r="W381" s="5">
        <v>10692000</v>
      </c>
      <c r="X381" s="5">
        <v>15000000</v>
      </c>
      <c r="Y381" s="5">
        <v>0</v>
      </c>
      <c r="Z381" s="5">
        <f t="shared" si="45"/>
        <v>4500000</v>
      </c>
      <c r="AA381" s="5">
        <v>3150000</v>
      </c>
      <c r="AB381" s="5">
        <f t="shared" si="46"/>
        <v>5000000</v>
      </c>
      <c r="AC381" s="5" t="s">
        <v>102</v>
      </c>
      <c r="AD381" s="4" t="s">
        <v>51</v>
      </c>
      <c r="AE381" s="5">
        <f t="shared" si="47"/>
        <v>0.9</v>
      </c>
      <c r="AF381" s="5">
        <v>2500000</v>
      </c>
      <c r="AG381" s="5">
        <v>1</v>
      </c>
      <c r="AH381" s="5">
        <v>1</v>
      </c>
      <c r="AI381" s="5">
        <v>1</v>
      </c>
      <c r="AJ381" s="7" t="s">
        <v>1754</v>
      </c>
      <c r="AK381" s="5">
        <v>0</v>
      </c>
      <c r="AL381" s="5">
        <v>0</v>
      </c>
      <c r="AM381" s="4">
        <v>2015</v>
      </c>
      <c r="AN381" s="5">
        <v>0</v>
      </c>
      <c r="AO381" s="5">
        <v>2</v>
      </c>
      <c r="AP381" s="8"/>
      <c r="AQ381" s="8"/>
      <c r="AR381" s="8">
        <f t="shared" si="48"/>
        <v>0</v>
      </c>
      <c r="AS381" s="8">
        <f t="shared" si="49"/>
        <v>500000</v>
      </c>
      <c r="AT381" s="8">
        <f t="shared" si="50"/>
        <v>3700000</v>
      </c>
      <c r="AU381" s="8">
        <f t="shared" si="51"/>
        <v>1300000</v>
      </c>
      <c r="AV381" s="4" t="s">
        <v>1753</v>
      </c>
      <c r="AW381" s="7" t="s">
        <v>1754</v>
      </c>
      <c r="AX381" s="5">
        <v>10000000</v>
      </c>
      <c r="AY381">
        <f t="shared" si="52"/>
        <v>0</v>
      </c>
      <c r="AZ381">
        <f t="shared" si="53"/>
        <v>1300000</v>
      </c>
      <c r="BA381" s="5">
        <v>15000000</v>
      </c>
      <c r="BB381" s="5">
        <v>0</v>
      </c>
      <c r="BC381" s="4" t="s">
        <v>49</v>
      </c>
      <c r="BD381" s="4">
        <v>47112</v>
      </c>
      <c r="BE381" t="s">
        <v>54</v>
      </c>
    </row>
    <row r="382" spans="1:57" ht="270.75" thickBot="1" x14ac:dyDescent="0.3">
      <c r="A382" s="4" t="s">
        <v>1755</v>
      </c>
      <c r="B382" s="4">
        <v>1101</v>
      </c>
      <c r="C382" s="5">
        <v>2</v>
      </c>
      <c r="D382" s="4" t="s">
        <v>44</v>
      </c>
      <c r="E382" s="6">
        <v>46263.607164456022</v>
      </c>
      <c r="F382" s="4" t="s">
        <v>1756</v>
      </c>
      <c r="G382" s="4" t="s">
        <v>46</v>
      </c>
      <c r="H382" s="4">
        <v>53</v>
      </c>
      <c r="I382" s="4" t="s">
        <v>47</v>
      </c>
      <c r="J382" s="4">
        <v>5309</v>
      </c>
      <c r="K382" s="4" t="s">
        <v>48</v>
      </c>
      <c r="L382" s="4">
        <v>5309073</v>
      </c>
      <c r="M382" s="4">
        <v>5309073006</v>
      </c>
      <c r="N382" s="4" t="s">
        <v>49</v>
      </c>
      <c r="O382" s="4">
        <v>47112</v>
      </c>
      <c r="P382" s="4" t="s">
        <v>1757</v>
      </c>
      <c r="Q382" s="5">
        <v>1</v>
      </c>
      <c r="R382" s="5">
        <v>0</v>
      </c>
      <c r="S382" s="5">
        <v>0</v>
      </c>
      <c r="T382" s="5">
        <v>14400000</v>
      </c>
      <c r="U382" s="5">
        <v>0</v>
      </c>
      <c r="V382" s="5">
        <v>0</v>
      </c>
      <c r="W382" s="5">
        <v>14400000</v>
      </c>
      <c r="X382" s="5">
        <v>16350000</v>
      </c>
      <c r="Y382" s="5">
        <v>0</v>
      </c>
      <c r="Z382" s="5">
        <f t="shared" si="45"/>
        <v>1950000</v>
      </c>
      <c r="AA382" s="5">
        <v>11200000</v>
      </c>
      <c r="AB382" s="5">
        <f t="shared" si="46"/>
        <v>1950000</v>
      </c>
      <c r="AC382" s="5" t="s">
        <v>1758</v>
      </c>
      <c r="AD382" s="4" t="s">
        <v>51</v>
      </c>
      <c r="AE382" s="5">
        <f t="shared" si="47"/>
        <v>1</v>
      </c>
      <c r="AF382" s="5">
        <v>1950000</v>
      </c>
      <c r="AG382" s="5">
        <v>1</v>
      </c>
      <c r="AH382" s="5">
        <v>1</v>
      </c>
      <c r="AI382" s="5">
        <v>1</v>
      </c>
      <c r="AJ382" s="7" t="s">
        <v>1759</v>
      </c>
      <c r="AK382" s="5">
        <v>0</v>
      </c>
      <c r="AL382" s="5">
        <v>0</v>
      </c>
      <c r="AM382" s="4">
        <v>2023</v>
      </c>
      <c r="AN382" s="5">
        <v>0</v>
      </c>
      <c r="AO382" s="5">
        <v>1</v>
      </c>
      <c r="AP382" s="8"/>
      <c r="AQ382" s="8"/>
      <c r="AR382" s="8">
        <f t="shared" si="48"/>
        <v>0</v>
      </c>
      <c r="AS382" s="8">
        <f t="shared" si="49"/>
        <v>0</v>
      </c>
      <c r="AT382" s="8">
        <f t="shared" si="50"/>
        <v>1443000</v>
      </c>
      <c r="AU382" s="8">
        <f t="shared" si="51"/>
        <v>507000</v>
      </c>
      <c r="AV382" s="4" t="s">
        <v>1757</v>
      </c>
      <c r="AW382" s="7" t="s">
        <v>1759</v>
      </c>
      <c r="AX382" s="5">
        <v>14400000</v>
      </c>
      <c r="AY382" t="e">
        <f t="shared" si="52"/>
        <v>#DIV/0!</v>
      </c>
      <c r="AZ382" t="e">
        <f t="shared" si="53"/>
        <v>#DIV/0!</v>
      </c>
      <c r="BA382" s="5">
        <v>16350000</v>
      </c>
      <c r="BB382" s="5">
        <v>0</v>
      </c>
      <c r="BC382" s="4" t="s">
        <v>49</v>
      </c>
      <c r="BD382" s="4">
        <v>47112</v>
      </c>
      <c r="BE382" t="s">
        <v>54</v>
      </c>
    </row>
    <row r="383" spans="1:57" ht="270.75" thickBot="1" x14ac:dyDescent="0.3">
      <c r="A383" s="4" t="s">
        <v>1760</v>
      </c>
      <c r="B383" s="4">
        <v>1002</v>
      </c>
      <c r="C383" s="5">
        <v>2</v>
      </c>
      <c r="D383" s="4" t="s">
        <v>44</v>
      </c>
      <c r="E383" s="6">
        <v>46294.296842685188</v>
      </c>
      <c r="F383" s="4" t="s">
        <v>1761</v>
      </c>
      <c r="G383" s="4" t="s">
        <v>46</v>
      </c>
      <c r="H383" s="4">
        <v>53</v>
      </c>
      <c r="I383" s="4" t="s">
        <v>47</v>
      </c>
      <c r="J383" s="4">
        <v>5309</v>
      </c>
      <c r="K383" s="4" t="s">
        <v>48</v>
      </c>
      <c r="L383" s="4">
        <v>5309031</v>
      </c>
      <c r="M383" s="4">
        <v>5309031002</v>
      </c>
      <c r="N383" s="4" t="s">
        <v>49</v>
      </c>
      <c r="O383" s="4">
        <v>47112</v>
      </c>
      <c r="P383" s="4" t="s">
        <v>1762</v>
      </c>
      <c r="Q383" s="5">
        <v>1</v>
      </c>
      <c r="R383" s="5">
        <v>0</v>
      </c>
      <c r="S383" s="5">
        <v>36000</v>
      </c>
      <c r="T383" s="5">
        <v>6000000</v>
      </c>
      <c r="U383" s="5">
        <v>240000</v>
      </c>
      <c r="V383" s="5">
        <v>0</v>
      </c>
      <c r="W383" s="5">
        <v>6276000</v>
      </c>
      <c r="X383" s="5">
        <v>9000000</v>
      </c>
      <c r="Y383" s="5">
        <v>0</v>
      </c>
      <c r="Z383" s="5">
        <f t="shared" si="45"/>
        <v>2724000</v>
      </c>
      <c r="AA383" s="5">
        <v>11000000</v>
      </c>
      <c r="AB383" s="5">
        <f t="shared" si="46"/>
        <v>3000000</v>
      </c>
      <c r="AC383" s="5" t="s">
        <v>102</v>
      </c>
      <c r="AD383" s="4" t="s">
        <v>51</v>
      </c>
      <c r="AE383" s="5">
        <f t="shared" si="47"/>
        <v>0.90800000000000003</v>
      </c>
      <c r="AF383" s="5">
        <v>3000000</v>
      </c>
      <c r="AG383" s="5">
        <v>0</v>
      </c>
      <c r="AH383" s="5">
        <v>1</v>
      </c>
      <c r="AI383" s="5">
        <v>1</v>
      </c>
      <c r="AJ383" s="7" t="s">
        <v>1763</v>
      </c>
      <c r="AK383" s="5">
        <v>0</v>
      </c>
      <c r="AL383" s="5">
        <v>0</v>
      </c>
      <c r="AM383" s="4">
        <v>2023</v>
      </c>
      <c r="AN383" s="5">
        <v>0</v>
      </c>
      <c r="AO383" s="5">
        <v>1</v>
      </c>
      <c r="AP383" s="8"/>
      <c r="AQ383" s="8"/>
      <c r="AR383" s="8">
        <f t="shared" si="48"/>
        <v>0</v>
      </c>
      <c r="AS383" s="8">
        <f t="shared" si="49"/>
        <v>276000</v>
      </c>
      <c r="AT383" s="8">
        <f t="shared" si="50"/>
        <v>2220000</v>
      </c>
      <c r="AU383" s="8">
        <f t="shared" si="51"/>
        <v>780000</v>
      </c>
      <c r="AV383" s="4" t="s">
        <v>1762</v>
      </c>
      <c r="AW383" s="7" t="s">
        <v>1763</v>
      </c>
      <c r="AX383" s="5">
        <v>6000000</v>
      </c>
      <c r="AY383">
        <f t="shared" si="52"/>
        <v>101739.13043478259</v>
      </c>
      <c r="AZ383">
        <f t="shared" si="53"/>
        <v>678260.86956521741</v>
      </c>
      <c r="BA383" s="5">
        <v>9000000</v>
      </c>
      <c r="BB383" s="5">
        <v>0</v>
      </c>
      <c r="BC383" s="4" t="s">
        <v>49</v>
      </c>
      <c r="BD383" s="4">
        <v>47112</v>
      </c>
      <c r="BE383" t="s">
        <v>54</v>
      </c>
    </row>
    <row r="384" spans="1:57" ht="270.75" thickBot="1" x14ac:dyDescent="0.3">
      <c r="A384" s="4" t="s">
        <v>1764</v>
      </c>
      <c r="B384" s="4">
        <v>1</v>
      </c>
      <c r="C384" s="5">
        <v>2</v>
      </c>
      <c r="D384" s="4" t="s">
        <v>44</v>
      </c>
      <c r="E384" s="6">
        <v>46278.275944953704</v>
      </c>
      <c r="F384" s="4" t="s">
        <v>1765</v>
      </c>
      <c r="G384" s="4" t="s">
        <v>46</v>
      </c>
      <c r="H384" s="4">
        <v>53</v>
      </c>
      <c r="I384" s="4" t="s">
        <v>47</v>
      </c>
      <c r="J384" s="4">
        <v>5309</v>
      </c>
      <c r="K384" s="4" t="s">
        <v>48</v>
      </c>
      <c r="L384" s="4">
        <v>5309070</v>
      </c>
      <c r="M384" s="4">
        <v>5309070007</v>
      </c>
      <c r="N384" s="4" t="s">
        <v>49</v>
      </c>
      <c r="O384" s="4">
        <v>47112</v>
      </c>
      <c r="P384" s="4" t="s">
        <v>1766</v>
      </c>
      <c r="Q384" s="5">
        <v>2</v>
      </c>
      <c r="R384" s="5">
        <v>0</v>
      </c>
      <c r="S384" s="5">
        <v>200000</v>
      </c>
      <c r="T384" s="5">
        <v>170000000</v>
      </c>
      <c r="U384" s="5">
        <v>600000</v>
      </c>
      <c r="V384" s="5">
        <v>200000</v>
      </c>
      <c r="W384" s="5">
        <v>171000000</v>
      </c>
      <c r="X384" s="5">
        <v>192000000</v>
      </c>
      <c r="Y384" s="5">
        <v>0</v>
      </c>
      <c r="Z384" s="5">
        <f t="shared" si="45"/>
        <v>21200000</v>
      </c>
      <c r="AA384" s="5">
        <v>110000000</v>
      </c>
      <c r="AB384" s="5">
        <f t="shared" si="46"/>
        <v>22000000</v>
      </c>
      <c r="AC384" s="5" t="s">
        <v>1767</v>
      </c>
      <c r="AD384" s="4" t="s">
        <v>51</v>
      </c>
      <c r="AE384" s="5">
        <f t="shared" si="47"/>
        <v>0.96363636363636362</v>
      </c>
      <c r="AF384" s="5">
        <v>11000000</v>
      </c>
      <c r="AG384" s="5">
        <v>0</v>
      </c>
      <c r="AH384" s="5">
        <v>1</v>
      </c>
      <c r="AI384" s="5">
        <v>1</v>
      </c>
      <c r="AJ384" s="7" t="s">
        <v>1768</v>
      </c>
      <c r="AK384" s="5">
        <v>0</v>
      </c>
      <c r="AL384" s="5">
        <v>0</v>
      </c>
      <c r="AM384" s="4">
        <v>2017</v>
      </c>
      <c r="AN384" s="5">
        <v>0</v>
      </c>
      <c r="AO384" s="5">
        <v>2</v>
      </c>
      <c r="AP384" s="8"/>
      <c r="AQ384" s="8"/>
      <c r="AR384" s="8">
        <f t="shared" si="48"/>
        <v>0</v>
      </c>
      <c r="AS384" s="8">
        <f t="shared" si="49"/>
        <v>800000</v>
      </c>
      <c r="AT384" s="8">
        <f t="shared" si="50"/>
        <v>16280000</v>
      </c>
      <c r="AU384" s="8">
        <f t="shared" si="51"/>
        <v>5720000</v>
      </c>
      <c r="AV384" s="4" t="s">
        <v>1766</v>
      </c>
      <c r="AW384" s="7" t="s">
        <v>1768</v>
      </c>
      <c r="AX384" s="5">
        <v>170000000</v>
      </c>
      <c r="AY384">
        <f t="shared" si="52"/>
        <v>1430000</v>
      </c>
      <c r="AZ384">
        <f t="shared" si="53"/>
        <v>4290000</v>
      </c>
      <c r="BA384" s="5">
        <v>192000000</v>
      </c>
      <c r="BB384" s="5">
        <v>0</v>
      </c>
      <c r="BC384" s="4" t="s">
        <v>49</v>
      </c>
      <c r="BD384" s="4">
        <v>47112</v>
      </c>
      <c r="BE384" t="s">
        <v>54</v>
      </c>
    </row>
    <row r="385" spans="1:57" ht="270.75" thickBot="1" x14ac:dyDescent="0.3">
      <c r="A385" s="4" t="s">
        <v>1769</v>
      </c>
      <c r="B385" s="4">
        <v>1001</v>
      </c>
      <c r="C385" s="5">
        <v>2</v>
      </c>
      <c r="D385" s="4" t="s">
        <v>44</v>
      </c>
      <c r="E385" s="6">
        <v>46264.926795590276</v>
      </c>
      <c r="F385" s="4" t="s">
        <v>1770</v>
      </c>
      <c r="G385" s="4" t="s">
        <v>46</v>
      </c>
      <c r="H385" s="4">
        <v>53</v>
      </c>
      <c r="I385" s="4" t="s">
        <v>47</v>
      </c>
      <c r="J385" s="4">
        <v>5309</v>
      </c>
      <c r="K385" s="4" t="s">
        <v>48</v>
      </c>
      <c r="L385" s="4">
        <v>5309073</v>
      </c>
      <c r="M385" s="4">
        <v>5309073006</v>
      </c>
      <c r="N385" s="4" t="s">
        <v>49</v>
      </c>
      <c r="O385" s="4">
        <v>47112</v>
      </c>
      <c r="P385" s="4" t="s">
        <v>1771</v>
      </c>
      <c r="Q385" s="5">
        <v>1</v>
      </c>
      <c r="R385" s="5">
        <v>0</v>
      </c>
      <c r="S385" s="5">
        <v>0</v>
      </c>
      <c r="T385" s="5">
        <v>12600000</v>
      </c>
      <c r="U385" s="5">
        <v>0</v>
      </c>
      <c r="V385" s="5">
        <v>0</v>
      </c>
      <c r="W385" s="5">
        <v>12600000</v>
      </c>
      <c r="X385" s="5">
        <v>15450000</v>
      </c>
      <c r="Y385" s="5">
        <v>0</v>
      </c>
      <c r="Z385" s="5">
        <f t="shared" si="45"/>
        <v>2850000</v>
      </c>
      <c r="AA385" s="5">
        <v>10500000</v>
      </c>
      <c r="AB385" s="5">
        <f t="shared" si="46"/>
        <v>2850000</v>
      </c>
      <c r="AC385" s="5" t="s">
        <v>1772</v>
      </c>
      <c r="AD385" s="4" t="s">
        <v>51</v>
      </c>
      <c r="AE385" s="5">
        <f t="shared" si="47"/>
        <v>1</v>
      </c>
      <c r="AF385" s="5">
        <v>2850000</v>
      </c>
      <c r="AG385" s="5">
        <v>0</v>
      </c>
      <c r="AH385" s="5">
        <v>1</v>
      </c>
      <c r="AI385" s="5">
        <v>1</v>
      </c>
      <c r="AJ385" s="7" t="s">
        <v>1773</v>
      </c>
      <c r="AK385" s="5">
        <v>0</v>
      </c>
      <c r="AL385" s="5">
        <v>0</v>
      </c>
      <c r="AM385" s="4">
        <v>2013</v>
      </c>
      <c r="AN385" s="5">
        <v>0</v>
      </c>
      <c r="AO385" s="5">
        <v>1</v>
      </c>
      <c r="AP385" s="8"/>
      <c r="AQ385" s="8"/>
      <c r="AR385" s="8">
        <f t="shared" si="48"/>
        <v>0</v>
      </c>
      <c r="AS385" s="8">
        <f t="shared" si="49"/>
        <v>0</v>
      </c>
      <c r="AT385" s="8">
        <f t="shared" si="50"/>
        <v>2109000</v>
      </c>
      <c r="AU385" s="8">
        <f t="shared" si="51"/>
        <v>741000</v>
      </c>
      <c r="AV385" s="4" t="s">
        <v>1771</v>
      </c>
      <c r="AW385" s="7" t="s">
        <v>1773</v>
      </c>
      <c r="AX385" s="5">
        <v>12600000</v>
      </c>
      <c r="AY385" t="e">
        <f t="shared" si="52"/>
        <v>#DIV/0!</v>
      </c>
      <c r="AZ385" t="e">
        <f t="shared" si="53"/>
        <v>#DIV/0!</v>
      </c>
      <c r="BA385" s="5">
        <v>15450000</v>
      </c>
      <c r="BB385" s="5">
        <v>0</v>
      </c>
      <c r="BC385" s="4" t="s">
        <v>49</v>
      </c>
      <c r="BD385" s="4">
        <v>47112</v>
      </c>
      <c r="BE385" t="s">
        <v>54</v>
      </c>
    </row>
    <row r="386" spans="1:57" ht="270.75" thickBot="1" x14ac:dyDescent="0.3">
      <c r="A386" s="4" t="s">
        <v>1774</v>
      </c>
      <c r="B386" s="4">
        <v>1002</v>
      </c>
      <c r="C386" s="5">
        <v>2</v>
      </c>
      <c r="D386" s="4" t="s">
        <v>44</v>
      </c>
      <c r="E386" s="6">
        <v>46241.947485324075</v>
      </c>
      <c r="F386" s="4" t="s">
        <v>1775</v>
      </c>
      <c r="G386" s="4" t="s">
        <v>46</v>
      </c>
      <c r="H386" s="4">
        <v>53</v>
      </c>
      <c r="I386" s="4" t="s">
        <v>47</v>
      </c>
      <c r="J386" s="4">
        <v>5309</v>
      </c>
      <c r="K386" s="4" t="s">
        <v>48</v>
      </c>
      <c r="L386" s="4">
        <v>5309073</v>
      </c>
      <c r="M386" s="4">
        <v>5309073019</v>
      </c>
      <c r="N386" s="4" t="s">
        <v>49</v>
      </c>
      <c r="O386" s="4">
        <v>47112</v>
      </c>
      <c r="P386" s="4" t="s">
        <v>1776</v>
      </c>
      <c r="Q386" s="5">
        <v>1</v>
      </c>
      <c r="R386" s="5">
        <v>0</v>
      </c>
      <c r="S386" s="5">
        <v>0</v>
      </c>
      <c r="T386" s="5">
        <v>3600000</v>
      </c>
      <c r="U386" s="5">
        <v>300000</v>
      </c>
      <c r="V386" s="5">
        <v>0</v>
      </c>
      <c r="W386" s="5">
        <v>3900000</v>
      </c>
      <c r="X386" s="5">
        <v>7500000</v>
      </c>
      <c r="Y386" s="5">
        <v>0</v>
      </c>
      <c r="Z386" s="5">
        <f t="shared" si="45"/>
        <v>3600000</v>
      </c>
      <c r="AA386" s="5">
        <v>1200000</v>
      </c>
      <c r="AB386" s="5">
        <f t="shared" si="46"/>
        <v>3900000</v>
      </c>
      <c r="AC386" s="5" t="s">
        <v>395</v>
      </c>
      <c r="AD386" s="4" t="s">
        <v>51</v>
      </c>
      <c r="AE386" s="5">
        <f t="shared" si="47"/>
        <v>0.92307692307692313</v>
      </c>
      <c r="AF386" s="5">
        <v>3900000</v>
      </c>
      <c r="AG386" s="5">
        <v>1</v>
      </c>
      <c r="AH386" s="5">
        <v>1</v>
      </c>
      <c r="AI386" s="5">
        <v>1</v>
      </c>
      <c r="AJ386" s="7" t="s">
        <v>1777</v>
      </c>
      <c r="AK386" s="5">
        <v>0</v>
      </c>
      <c r="AL386" s="5">
        <v>0</v>
      </c>
      <c r="AM386" s="4">
        <v>2022</v>
      </c>
      <c r="AN386" s="5">
        <v>0</v>
      </c>
      <c r="AO386" s="5">
        <v>1</v>
      </c>
      <c r="AP386" s="8"/>
      <c r="AQ386" s="8"/>
      <c r="AR386" s="8">
        <f t="shared" si="48"/>
        <v>0</v>
      </c>
      <c r="AS386" s="8">
        <f t="shared" si="49"/>
        <v>300000</v>
      </c>
      <c r="AT386" s="8">
        <f t="shared" si="50"/>
        <v>2886000</v>
      </c>
      <c r="AU386" s="8">
        <f t="shared" si="51"/>
        <v>1014000</v>
      </c>
      <c r="AV386" s="4" t="s">
        <v>1776</v>
      </c>
      <c r="AW386" s="7" t="s">
        <v>1777</v>
      </c>
      <c r="AX386" s="5">
        <v>3600000</v>
      </c>
      <c r="AY386">
        <f t="shared" si="52"/>
        <v>0</v>
      </c>
      <c r="AZ386">
        <f t="shared" si="53"/>
        <v>1014000</v>
      </c>
      <c r="BA386" s="5">
        <v>7500000</v>
      </c>
      <c r="BB386" s="5">
        <v>0</v>
      </c>
      <c r="BC386" s="4" t="s">
        <v>49</v>
      </c>
      <c r="BD386" s="4">
        <v>47112</v>
      </c>
      <c r="BE386" t="s">
        <v>54</v>
      </c>
    </row>
    <row r="387" spans="1:57" ht="270.75" thickBot="1" x14ac:dyDescent="0.3">
      <c r="A387" s="4" t="s">
        <v>1778</v>
      </c>
      <c r="B387" s="4">
        <v>1001</v>
      </c>
      <c r="C387" s="5">
        <v>2</v>
      </c>
      <c r="D387" s="4" t="s">
        <v>44</v>
      </c>
      <c r="E387" s="6">
        <v>46250.01708849537</v>
      </c>
      <c r="F387" s="4" t="s">
        <v>1779</v>
      </c>
      <c r="G387" s="4" t="s">
        <v>46</v>
      </c>
      <c r="H387" s="4">
        <v>53</v>
      </c>
      <c r="I387" s="4" t="s">
        <v>47</v>
      </c>
      <c r="J387" s="4">
        <v>5309</v>
      </c>
      <c r="K387" s="4" t="s">
        <v>48</v>
      </c>
      <c r="L387" s="4">
        <v>5309030</v>
      </c>
      <c r="M387" s="4">
        <v>5309030013</v>
      </c>
      <c r="N387" s="4" t="s">
        <v>49</v>
      </c>
      <c r="O387" s="4">
        <v>47112</v>
      </c>
      <c r="P387" s="4" t="s">
        <v>1780</v>
      </c>
      <c r="Q387" s="5">
        <v>2</v>
      </c>
      <c r="R387" s="5">
        <v>0</v>
      </c>
      <c r="S387" s="5">
        <v>24000000</v>
      </c>
      <c r="T387" s="5">
        <v>2400000</v>
      </c>
      <c r="U387" s="5">
        <v>1200000</v>
      </c>
      <c r="V387" s="5">
        <v>0</v>
      </c>
      <c r="W387" s="5">
        <v>27600000</v>
      </c>
      <c r="X387" s="5">
        <v>60000000</v>
      </c>
      <c r="Y387" s="5">
        <v>0</v>
      </c>
      <c r="Z387" s="5">
        <f t="shared" ref="Z387:Z450" si="54">X387-SUM(S387:U387)</f>
        <v>32400000</v>
      </c>
      <c r="AA387" s="5">
        <v>0</v>
      </c>
      <c r="AB387" s="5">
        <f t="shared" ref="AB387:AB450" si="55">X387-T387</f>
        <v>57600000</v>
      </c>
      <c r="AC387" s="5" t="s">
        <v>1654</v>
      </c>
      <c r="AD387" s="4" t="s">
        <v>51</v>
      </c>
      <c r="AE387" s="5">
        <f t="shared" ref="AE387:AE450" si="56">Z387/AB387</f>
        <v>0.5625</v>
      </c>
      <c r="AF387" s="5">
        <v>28800000</v>
      </c>
      <c r="AG387" s="4"/>
      <c r="AH387" s="5">
        <v>1</v>
      </c>
      <c r="AI387" s="5">
        <v>1</v>
      </c>
      <c r="AJ387" s="7" t="s">
        <v>1781</v>
      </c>
      <c r="AK387" s="5">
        <v>0</v>
      </c>
      <c r="AL387" s="5">
        <v>0</v>
      </c>
      <c r="AM387" s="4">
        <v>2026</v>
      </c>
      <c r="AN387" s="5">
        <v>0</v>
      </c>
      <c r="AO387" s="5">
        <v>2</v>
      </c>
      <c r="AP387" s="8"/>
      <c r="AQ387" s="8"/>
      <c r="AR387" s="8">
        <f t="shared" ref="AR387:AR450" si="57">IF(Z387&lt;=0,1,0)</f>
        <v>0</v>
      </c>
      <c r="AS387" s="8">
        <f t="shared" ref="AS387:AS450" si="58">AB387-Z387</f>
        <v>25200000</v>
      </c>
      <c r="AT387" s="8">
        <f t="shared" ref="AT387:AT450" si="59">IF(AE387&gt;0.78,(Z387*0.74/AE387),IF(Z387&lt;0.64,(Z387*0.68/AE387),Z387))</f>
        <v>32400000</v>
      </c>
      <c r="AU387" s="8">
        <f t="shared" ref="AU387:AU450" si="60">AB387-AT387</f>
        <v>25200000</v>
      </c>
      <c r="AV387" s="4" t="s">
        <v>1780</v>
      </c>
      <c r="AW387" s="7" t="s">
        <v>1781</v>
      </c>
      <c r="AX387" s="5">
        <v>2400000</v>
      </c>
      <c r="AY387">
        <f t="shared" ref="AY387:AY450" si="61">AU387-AZ387</f>
        <v>24000000</v>
      </c>
      <c r="AZ387">
        <f t="shared" ref="AZ387:AZ450" si="62">U387*AU387/AS387</f>
        <v>1200000</v>
      </c>
      <c r="BA387" s="5">
        <v>60000000</v>
      </c>
      <c r="BB387" s="5">
        <v>0</v>
      </c>
      <c r="BC387" s="4" t="s">
        <v>49</v>
      </c>
      <c r="BD387" s="4">
        <v>47112</v>
      </c>
      <c r="BE387" t="s">
        <v>54</v>
      </c>
    </row>
    <row r="388" spans="1:57" ht="270.75" thickBot="1" x14ac:dyDescent="0.3">
      <c r="A388" s="11" t="s">
        <v>1782</v>
      </c>
      <c r="B388" s="4">
        <v>3002</v>
      </c>
      <c r="C388" s="5">
        <v>2</v>
      </c>
      <c r="D388" s="4" t="s">
        <v>60</v>
      </c>
      <c r="E388" s="6">
        <v>46293.103479895835</v>
      </c>
      <c r="F388" s="11" t="s">
        <v>1783</v>
      </c>
      <c r="G388" s="4" t="s">
        <v>46</v>
      </c>
      <c r="H388" s="4">
        <v>53</v>
      </c>
      <c r="I388" s="4" t="s">
        <v>47</v>
      </c>
      <c r="J388" s="4">
        <v>5309</v>
      </c>
      <c r="K388" s="4" t="s">
        <v>48</v>
      </c>
      <c r="L388" s="4">
        <v>5309040</v>
      </c>
      <c r="M388" s="4">
        <v>5309040010</v>
      </c>
      <c r="N388" s="4" t="s">
        <v>49</v>
      </c>
      <c r="O388" s="4">
        <v>47112</v>
      </c>
      <c r="P388" s="4" t="s">
        <v>1784</v>
      </c>
      <c r="Q388" s="5">
        <v>5</v>
      </c>
      <c r="R388" s="5">
        <v>0</v>
      </c>
      <c r="S388" s="5">
        <v>0</v>
      </c>
      <c r="T388" s="5">
        <v>28800000</v>
      </c>
      <c r="U388" s="5">
        <v>0</v>
      </c>
      <c r="V388" s="5">
        <v>0</v>
      </c>
      <c r="W388" s="5">
        <v>28800000</v>
      </c>
      <c r="X388" s="5">
        <v>34800000</v>
      </c>
      <c r="Y388" s="5">
        <v>0</v>
      </c>
      <c r="Z388" s="5">
        <f t="shared" si="54"/>
        <v>6000000</v>
      </c>
      <c r="AA388" s="5">
        <v>38200000</v>
      </c>
      <c r="AB388" s="5">
        <f t="shared" si="55"/>
        <v>6000000</v>
      </c>
      <c r="AC388" s="5" t="s">
        <v>1785</v>
      </c>
      <c r="AD388" s="4" t="s">
        <v>51</v>
      </c>
      <c r="AE388" s="5">
        <f t="shared" si="56"/>
        <v>1</v>
      </c>
      <c r="AF388" s="5">
        <v>1200000</v>
      </c>
      <c r="AG388" s="5">
        <v>1</v>
      </c>
      <c r="AH388" s="5">
        <v>1</v>
      </c>
      <c r="AI388" s="5">
        <v>1</v>
      </c>
      <c r="AJ388" s="7" t="s">
        <v>1786</v>
      </c>
      <c r="AK388" s="5">
        <v>0</v>
      </c>
      <c r="AL388" s="5">
        <v>0</v>
      </c>
      <c r="AM388" s="4">
        <v>2001</v>
      </c>
      <c r="AN388" s="5">
        <v>0</v>
      </c>
      <c r="AO388" s="5">
        <v>5</v>
      </c>
      <c r="AP388" s="8"/>
      <c r="AQ388" s="8"/>
      <c r="AR388" s="8">
        <f t="shared" si="57"/>
        <v>0</v>
      </c>
      <c r="AS388" s="8">
        <f t="shared" si="58"/>
        <v>0</v>
      </c>
      <c r="AT388" s="8">
        <f t="shared" si="59"/>
        <v>4440000</v>
      </c>
      <c r="AU388" s="8">
        <f t="shared" si="60"/>
        <v>1560000</v>
      </c>
      <c r="AV388" s="4" t="s">
        <v>1784</v>
      </c>
      <c r="AW388" s="7" t="s">
        <v>1786</v>
      </c>
      <c r="AX388" s="5">
        <v>28800000</v>
      </c>
      <c r="AY388" t="e">
        <f t="shared" si="61"/>
        <v>#DIV/0!</v>
      </c>
      <c r="AZ388" t="e">
        <f t="shared" si="62"/>
        <v>#DIV/0!</v>
      </c>
      <c r="BA388" s="5">
        <v>34800000</v>
      </c>
      <c r="BB388" s="5">
        <v>0</v>
      </c>
      <c r="BC388" s="4" t="s">
        <v>49</v>
      </c>
      <c r="BD388" s="4">
        <v>47112</v>
      </c>
      <c r="BE388" t="s">
        <v>54</v>
      </c>
    </row>
    <row r="389" spans="1:57" ht="270.75" thickBot="1" x14ac:dyDescent="0.3">
      <c r="A389" s="11" t="s">
        <v>1787</v>
      </c>
      <c r="B389" s="4">
        <v>2001</v>
      </c>
      <c r="C389" s="5">
        <v>2</v>
      </c>
      <c r="D389" s="4" t="s">
        <v>44</v>
      </c>
      <c r="E389" s="6">
        <v>46293.073873831017</v>
      </c>
      <c r="F389" s="11" t="s">
        <v>1788</v>
      </c>
      <c r="G389" s="4" t="s">
        <v>46</v>
      </c>
      <c r="H389" s="4">
        <v>53</v>
      </c>
      <c r="I389" s="4" t="s">
        <v>47</v>
      </c>
      <c r="J389" s="4">
        <v>5309</v>
      </c>
      <c r="K389" s="4" t="s">
        <v>48</v>
      </c>
      <c r="L389" s="4">
        <v>5309030</v>
      </c>
      <c r="M389" s="4">
        <v>5309030025</v>
      </c>
      <c r="N389" s="4" t="s">
        <v>49</v>
      </c>
      <c r="O389" s="4">
        <v>47112</v>
      </c>
      <c r="P389" s="4" t="s">
        <v>1789</v>
      </c>
      <c r="Q389" s="5">
        <v>2</v>
      </c>
      <c r="R389" s="5">
        <v>0</v>
      </c>
      <c r="S389" s="5">
        <v>650000</v>
      </c>
      <c r="T389" s="5">
        <v>30000000</v>
      </c>
      <c r="U389" s="5">
        <v>450000</v>
      </c>
      <c r="V389" s="5">
        <v>3500000</v>
      </c>
      <c r="W389" s="5">
        <v>34600000</v>
      </c>
      <c r="X389" s="5">
        <v>65000000</v>
      </c>
      <c r="Y389" s="5">
        <v>0</v>
      </c>
      <c r="Z389" s="5">
        <f t="shared" si="54"/>
        <v>33900000</v>
      </c>
      <c r="AA389" s="5">
        <v>23500000</v>
      </c>
      <c r="AB389" s="5">
        <f t="shared" si="55"/>
        <v>35000000</v>
      </c>
      <c r="AC389" s="5" t="s">
        <v>1790</v>
      </c>
      <c r="AD389" s="4" t="s">
        <v>51</v>
      </c>
      <c r="AE389" s="5">
        <f t="shared" si="56"/>
        <v>0.96857142857142853</v>
      </c>
      <c r="AF389" s="5">
        <v>17500000</v>
      </c>
      <c r="AG389" s="5">
        <v>1</v>
      </c>
      <c r="AH389" s="5">
        <v>1</v>
      </c>
      <c r="AI389" s="5">
        <v>1</v>
      </c>
      <c r="AJ389" s="7" t="s">
        <v>1791</v>
      </c>
      <c r="AK389" s="5">
        <v>0</v>
      </c>
      <c r="AL389" s="5">
        <v>0</v>
      </c>
      <c r="AM389" s="4">
        <v>2024</v>
      </c>
      <c r="AN389" s="5">
        <v>0</v>
      </c>
      <c r="AO389" s="5">
        <v>2</v>
      </c>
      <c r="AP389" s="8"/>
      <c r="AQ389" s="8"/>
      <c r="AR389" s="8">
        <f t="shared" si="57"/>
        <v>0</v>
      </c>
      <c r="AS389" s="8">
        <f t="shared" si="58"/>
        <v>1100000</v>
      </c>
      <c r="AT389" s="8">
        <f t="shared" si="59"/>
        <v>25900000</v>
      </c>
      <c r="AU389" s="8">
        <f t="shared" si="60"/>
        <v>9100000</v>
      </c>
      <c r="AV389" s="4" t="s">
        <v>1789</v>
      </c>
      <c r="AW389" s="7" t="s">
        <v>1791</v>
      </c>
      <c r="AX389" s="5">
        <v>30000000</v>
      </c>
      <c r="AY389">
        <f t="shared" si="61"/>
        <v>5377272.7272727266</v>
      </c>
      <c r="AZ389">
        <f t="shared" si="62"/>
        <v>3722727.2727272729</v>
      </c>
      <c r="BA389" s="5">
        <v>65000000</v>
      </c>
      <c r="BB389" s="5">
        <v>0</v>
      </c>
      <c r="BC389" s="4" t="s">
        <v>49</v>
      </c>
      <c r="BD389" s="4">
        <v>47112</v>
      </c>
      <c r="BE389" t="s">
        <v>54</v>
      </c>
    </row>
    <row r="390" spans="1:57" ht="270.75" thickBot="1" x14ac:dyDescent="0.3">
      <c r="A390" s="4" t="s">
        <v>1792</v>
      </c>
      <c r="B390" s="4">
        <v>2001</v>
      </c>
      <c r="C390" s="5">
        <v>2</v>
      </c>
      <c r="D390" s="4" t="s">
        <v>44</v>
      </c>
      <c r="E390" s="6">
        <v>46232.251497141202</v>
      </c>
      <c r="F390" s="4" t="s">
        <v>1793</v>
      </c>
      <c r="G390" s="4" t="s">
        <v>46</v>
      </c>
      <c r="H390" s="4">
        <v>53</v>
      </c>
      <c r="I390" s="4" t="s">
        <v>47</v>
      </c>
      <c r="J390" s="4">
        <v>5309</v>
      </c>
      <c r="K390" s="4" t="s">
        <v>48</v>
      </c>
      <c r="L390" s="4">
        <v>5309020</v>
      </c>
      <c r="M390" s="4">
        <v>5309020010</v>
      </c>
      <c r="N390" s="4" t="s">
        <v>49</v>
      </c>
      <c r="O390" s="4">
        <v>47112</v>
      </c>
      <c r="P390" s="4" t="s">
        <v>1794</v>
      </c>
      <c r="Q390" s="5">
        <v>3</v>
      </c>
      <c r="R390" s="5">
        <v>0</v>
      </c>
      <c r="S390" s="5">
        <v>0</v>
      </c>
      <c r="T390" s="5">
        <v>2500000</v>
      </c>
      <c r="U390" s="5">
        <v>650000</v>
      </c>
      <c r="V390" s="5">
        <v>0</v>
      </c>
      <c r="W390" s="5">
        <v>3150000</v>
      </c>
      <c r="X390" s="5">
        <v>4000000</v>
      </c>
      <c r="Y390" s="5">
        <v>0</v>
      </c>
      <c r="Z390" s="5">
        <f t="shared" si="54"/>
        <v>850000</v>
      </c>
      <c r="AA390" s="5">
        <v>6000000</v>
      </c>
      <c r="AB390" s="5">
        <f t="shared" si="55"/>
        <v>1500000</v>
      </c>
      <c r="AC390" s="5" t="s">
        <v>90</v>
      </c>
      <c r="AD390" s="4" t="s">
        <v>51</v>
      </c>
      <c r="AE390" s="5">
        <f t="shared" si="56"/>
        <v>0.56666666666666665</v>
      </c>
      <c r="AF390" s="5">
        <v>500000</v>
      </c>
      <c r="AG390" s="5">
        <v>0</v>
      </c>
      <c r="AH390" s="5">
        <v>1</v>
      </c>
      <c r="AI390" s="5">
        <v>1</v>
      </c>
      <c r="AJ390" s="7" t="s">
        <v>1795</v>
      </c>
      <c r="AK390" s="5">
        <v>0</v>
      </c>
      <c r="AL390" s="5">
        <v>0</v>
      </c>
      <c r="AM390" s="4">
        <v>2025</v>
      </c>
      <c r="AN390" s="5">
        <v>0</v>
      </c>
      <c r="AO390" s="5">
        <v>3</v>
      </c>
      <c r="AP390" s="8"/>
      <c r="AQ390" s="8"/>
      <c r="AR390" s="8">
        <f t="shared" si="57"/>
        <v>0</v>
      </c>
      <c r="AS390" s="8">
        <f t="shared" si="58"/>
        <v>650000</v>
      </c>
      <c r="AT390" s="8">
        <f t="shared" si="59"/>
        <v>850000</v>
      </c>
      <c r="AU390" s="8">
        <f t="shared" si="60"/>
        <v>650000</v>
      </c>
      <c r="AV390" s="4" t="s">
        <v>1794</v>
      </c>
      <c r="AW390" s="7" t="s">
        <v>1795</v>
      </c>
      <c r="AX390" s="5">
        <v>2500000</v>
      </c>
      <c r="AY390">
        <f t="shared" si="61"/>
        <v>0</v>
      </c>
      <c r="AZ390">
        <f t="shared" si="62"/>
        <v>650000</v>
      </c>
      <c r="BA390" s="5">
        <v>4000000</v>
      </c>
      <c r="BB390" s="5">
        <v>0</v>
      </c>
      <c r="BC390" s="4" t="s">
        <v>49</v>
      </c>
      <c r="BD390" s="4">
        <v>47112</v>
      </c>
      <c r="BE390" t="s">
        <v>54</v>
      </c>
    </row>
    <row r="391" spans="1:57" ht="270.75" thickBot="1" x14ac:dyDescent="0.3">
      <c r="A391" s="11" t="s">
        <v>1796</v>
      </c>
      <c r="B391" s="4">
        <v>3001</v>
      </c>
      <c r="C391" s="5">
        <v>2</v>
      </c>
      <c r="D391" s="4" t="s">
        <v>44</v>
      </c>
      <c r="E391" s="6">
        <v>46277.942173356481</v>
      </c>
      <c r="F391" s="11" t="s">
        <v>1797</v>
      </c>
      <c r="G391" s="4" t="s">
        <v>46</v>
      </c>
      <c r="H391" s="4">
        <v>53</v>
      </c>
      <c r="I391" s="4" t="s">
        <v>47</v>
      </c>
      <c r="J391" s="4">
        <v>5309</v>
      </c>
      <c r="K391" s="4" t="s">
        <v>48</v>
      </c>
      <c r="L391" s="4">
        <v>5309030</v>
      </c>
      <c r="M391" s="4">
        <v>5309030010</v>
      </c>
      <c r="N391" s="4" t="s">
        <v>49</v>
      </c>
      <c r="O391" s="4">
        <v>47112</v>
      </c>
      <c r="P391" s="4" t="s">
        <v>1798</v>
      </c>
      <c r="Q391" s="5">
        <v>1</v>
      </c>
      <c r="R391" s="5">
        <v>0</v>
      </c>
      <c r="S391" s="5">
        <v>0</v>
      </c>
      <c r="T391" s="5">
        <v>3000000</v>
      </c>
      <c r="U391" s="5">
        <v>10000</v>
      </c>
      <c r="V391" s="5">
        <v>0</v>
      </c>
      <c r="W391" s="5">
        <v>3010000</v>
      </c>
      <c r="X391" s="5">
        <v>5000000</v>
      </c>
      <c r="Y391" s="5">
        <v>0</v>
      </c>
      <c r="Z391" s="5">
        <f t="shared" si="54"/>
        <v>1990000</v>
      </c>
      <c r="AA391" s="5">
        <v>100000</v>
      </c>
      <c r="AB391" s="5">
        <f t="shared" si="55"/>
        <v>2000000</v>
      </c>
      <c r="AC391" s="5" t="s">
        <v>100</v>
      </c>
      <c r="AD391" s="4" t="s">
        <v>51</v>
      </c>
      <c r="AE391" s="5">
        <f t="shared" si="56"/>
        <v>0.995</v>
      </c>
      <c r="AF391" s="5">
        <v>2000000</v>
      </c>
      <c r="AG391" s="5">
        <v>1</v>
      </c>
      <c r="AH391" s="5">
        <v>1</v>
      </c>
      <c r="AI391" s="5">
        <v>1</v>
      </c>
      <c r="AJ391" s="7" t="s">
        <v>1799</v>
      </c>
      <c r="AK391" s="5">
        <v>0</v>
      </c>
      <c r="AL391" s="5">
        <v>0</v>
      </c>
      <c r="AM391" s="4">
        <v>2005</v>
      </c>
      <c r="AN391" s="5">
        <v>0</v>
      </c>
      <c r="AO391" s="5">
        <v>1</v>
      </c>
      <c r="AP391" s="8"/>
      <c r="AQ391" s="8"/>
      <c r="AR391" s="8">
        <f t="shared" si="57"/>
        <v>0</v>
      </c>
      <c r="AS391" s="8">
        <f t="shared" si="58"/>
        <v>10000</v>
      </c>
      <c r="AT391" s="8">
        <f t="shared" si="59"/>
        <v>1480000</v>
      </c>
      <c r="AU391" s="8">
        <f t="shared" si="60"/>
        <v>520000</v>
      </c>
      <c r="AV391" s="4" t="s">
        <v>1798</v>
      </c>
      <c r="AW391" s="7" t="s">
        <v>1799</v>
      </c>
      <c r="AX391" s="5">
        <v>3000000</v>
      </c>
      <c r="AY391">
        <f t="shared" si="61"/>
        <v>0</v>
      </c>
      <c r="AZ391">
        <f t="shared" si="62"/>
        <v>520000</v>
      </c>
      <c r="BA391" s="5">
        <v>5000000</v>
      </c>
      <c r="BB391" s="5">
        <v>0</v>
      </c>
      <c r="BC391" s="4" t="s">
        <v>49</v>
      </c>
      <c r="BD391" s="4">
        <v>47112</v>
      </c>
      <c r="BE391" t="s">
        <v>54</v>
      </c>
    </row>
    <row r="392" spans="1:57" ht="270.75" thickBot="1" x14ac:dyDescent="0.3">
      <c r="A392" s="11" t="s">
        <v>1796</v>
      </c>
      <c r="B392" s="4">
        <v>1003</v>
      </c>
      <c r="C392" s="5">
        <v>2</v>
      </c>
      <c r="D392" s="4" t="s">
        <v>44</v>
      </c>
      <c r="E392" s="6">
        <v>46277.942173356481</v>
      </c>
      <c r="F392" s="11" t="s">
        <v>1797</v>
      </c>
      <c r="G392" s="4" t="s">
        <v>46</v>
      </c>
      <c r="H392" s="4">
        <v>53</v>
      </c>
      <c r="I392" s="4" t="s">
        <v>47</v>
      </c>
      <c r="J392" s="4">
        <v>5309</v>
      </c>
      <c r="K392" s="4" t="s">
        <v>48</v>
      </c>
      <c r="L392" s="4">
        <v>5309030</v>
      </c>
      <c r="M392" s="4">
        <v>5309030010</v>
      </c>
      <c r="N392" s="4" t="s">
        <v>49</v>
      </c>
      <c r="O392" s="4">
        <v>47112</v>
      </c>
      <c r="P392" s="4" t="s">
        <v>1800</v>
      </c>
      <c r="Q392" s="5">
        <v>2</v>
      </c>
      <c r="R392" s="5">
        <v>0</v>
      </c>
      <c r="S392" s="5">
        <v>500000</v>
      </c>
      <c r="T392" s="5">
        <v>5000000</v>
      </c>
      <c r="U392" s="5">
        <v>100000</v>
      </c>
      <c r="V392" s="5">
        <v>0</v>
      </c>
      <c r="W392" s="5">
        <v>5600000</v>
      </c>
      <c r="X392" s="5">
        <v>7700000</v>
      </c>
      <c r="Y392" s="5">
        <v>0</v>
      </c>
      <c r="Z392" s="5">
        <f t="shared" si="54"/>
        <v>2100000</v>
      </c>
      <c r="AA392" s="5">
        <v>3000000</v>
      </c>
      <c r="AB392" s="5">
        <f t="shared" si="55"/>
        <v>2700000</v>
      </c>
      <c r="AC392" s="5" t="s">
        <v>1801</v>
      </c>
      <c r="AD392" s="4" t="s">
        <v>51</v>
      </c>
      <c r="AE392" s="5">
        <f t="shared" si="56"/>
        <v>0.77777777777777779</v>
      </c>
      <c r="AF392" s="5">
        <v>1350000</v>
      </c>
      <c r="AG392" s="5">
        <v>1</v>
      </c>
      <c r="AH392" s="5">
        <v>1</v>
      </c>
      <c r="AI392" s="5">
        <v>1</v>
      </c>
      <c r="AJ392" s="7" t="s">
        <v>1799</v>
      </c>
      <c r="AK392" s="5">
        <v>0</v>
      </c>
      <c r="AL392" s="5">
        <v>0</v>
      </c>
      <c r="AM392" s="4">
        <v>2024</v>
      </c>
      <c r="AN392" s="5">
        <v>0</v>
      </c>
      <c r="AO392" s="5">
        <v>2</v>
      </c>
      <c r="AP392" s="8"/>
      <c r="AQ392" s="8"/>
      <c r="AR392" s="8">
        <f t="shared" si="57"/>
        <v>0</v>
      </c>
      <c r="AS392" s="8">
        <f t="shared" si="58"/>
        <v>600000</v>
      </c>
      <c r="AT392" s="8">
        <f t="shared" si="59"/>
        <v>2100000</v>
      </c>
      <c r="AU392" s="8">
        <f t="shared" si="60"/>
        <v>600000</v>
      </c>
      <c r="AV392" s="4" t="s">
        <v>1800</v>
      </c>
      <c r="AW392" s="7" t="s">
        <v>1799</v>
      </c>
      <c r="AX392" s="5">
        <v>5000000</v>
      </c>
      <c r="AY392">
        <f t="shared" si="61"/>
        <v>500000</v>
      </c>
      <c r="AZ392">
        <f t="shared" si="62"/>
        <v>100000</v>
      </c>
      <c r="BA392" s="5">
        <v>7700000</v>
      </c>
      <c r="BB392" s="5">
        <v>0</v>
      </c>
      <c r="BC392" s="4" t="s">
        <v>49</v>
      </c>
      <c r="BD392" s="4">
        <v>47112</v>
      </c>
      <c r="BE392" t="s">
        <v>54</v>
      </c>
    </row>
    <row r="393" spans="1:57" ht="270.75" thickBot="1" x14ac:dyDescent="0.3">
      <c r="A393" s="4" t="s">
        <v>1802</v>
      </c>
      <c r="B393" s="4">
        <v>3002</v>
      </c>
      <c r="C393" s="5">
        <v>2</v>
      </c>
      <c r="D393" s="4" t="s">
        <v>44</v>
      </c>
      <c r="E393" s="6">
        <v>46243.991360740743</v>
      </c>
      <c r="F393" s="4" t="s">
        <v>1803</v>
      </c>
      <c r="G393" s="4" t="s">
        <v>46</v>
      </c>
      <c r="H393" s="4">
        <v>53</v>
      </c>
      <c r="I393" s="4" t="s">
        <v>47</v>
      </c>
      <c r="J393" s="4">
        <v>5309</v>
      </c>
      <c r="K393" s="4" t="s">
        <v>48</v>
      </c>
      <c r="L393" s="4">
        <v>5309072</v>
      </c>
      <c r="M393" s="4">
        <v>5309072002</v>
      </c>
      <c r="N393" s="4" t="s">
        <v>49</v>
      </c>
      <c r="O393" s="4">
        <v>47112</v>
      </c>
      <c r="P393" s="4" t="s">
        <v>1804</v>
      </c>
      <c r="Q393" s="5">
        <v>2</v>
      </c>
      <c r="R393" s="5">
        <v>0</v>
      </c>
      <c r="S393" s="5">
        <v>1500000</v>
      </c>
      <c r="T393" s="5">
        <v>3000000</v>
      </c>
      <c r="U393" s="5">
        <v>210000</v>
      </c>
      <c r="V393" s="5">
        <v>0</v>
      </c>
      <c r="W393" s="5">
        <v>4710000</v>
      </c>
      <c r="X393" s="5">
        <v>5000000</v>
      </c>
      <c r="Y393" s="5">
        <v>0</v>
      </c>
      <c r="Z393" s="5">
        <f t="shared" si="54"/>
        <v>290000</v>
      </c>
      <c r="AA393" s="5">
        <v>12500000</v>
      </c>
      <c r="AB393" s="5">
        <f t="shared" si="55"/>
        <v>2000000</v>
      </c>
      <c r="AC393" s="5" t="s">
        <v>100</v>
      </c>
      <c r="AD393" s="4" t="s">
        <v>51</v>
      </c>
      <c r="AE393" s="5">
        <f t="shared" si="56"/>
        <v>0.14499999999999999</v>
      </c>
      <c r="AF393" s="5">
        <v>1000000</v>
      </c>
      <c r="AG393" s="5">
        <v>1</v>
      </c>
      <c r="AH393" s="5">
        <v>1</v>
      </c>
      <c r="AI393" s="5">
        <v>1</v>
      </c>
      <c r="AJ393" s="7" t="s">
        <v>1805</v>
      </c>
      <c r="AK393" s="5">
        <v>0</v>
      </c>
      <c r="AL393" s="5">
        <v>0</v>
      </c>
      <c r="AM393" s="4">
        <v>2022</v>
      </c>
      <c r="AN393" s="5">
        <v>0</v>
      </c>
      <c r="AO393" s="5">
        <v>2</v>
      </c>
      <c r="AP393" s="8"/>
      <c r="AQ393" s="8"/>
      <c r="AR393" s="8">
        <f t="shared" si="57"/>
        <v>0</v>
      </c>
      <c r="AS393" s="8">
        <f t="shared" si="58"/>
        <v>1710000</v>
      </c>
      <c r="AT393" s="8">
        <f t="shared" si="59"/>
        <v>290000</v>
      </c>
      <c r="AU393" s="8">
        <f t="shared" si="60"/>
        <v>1710000</v>
      </c>
      <c r="AV393" s="4" t="s">
        <v>1804</v>
      </c>
      <c r="AW393" s="7" t="s">
        <v>1805</v>
      </c>
      <c r="AX393" s="5">
        <v>3000000</v>
      </c>
      <c r="AY393">
        <f t="shared" si="61"/>
        <v>1500000</v>
      </c>
      <c r="AZ393">
        <f t="shared" si="62"/>
        <v>210000</v>
      </c>
      <c r="BA393" s="5">
        <v>5000000</v>
      </c>
      <c r="BB393" s="5">
        <v>0</v>
      </c>
      <c r="BC393" s="4" t="s">
        <v>49</v>
      </c>
      <c r="BD393" s="4">
        <v>47112</v>
      </c>
      <c r="BE393" t="s">
        <v>54</v>
      </c>
    </row>
    <row r="394" spans="1:57" ht="270.75" thickBot="1" x14ac:dyDescent="0.3">
      <c r="A394" s="11" t="s">
        <v>1806</v>
      </c>
      <c r="B394" s="4">
        <v>1002</v>
      </c>
      <c r="C394" s="5">
        <v>2</v>
      </c>
      <c r="D394" s="4" t="s">
        <v>44</v>
      </c>
      <c r="E394" s="6">
        <v>46293.073932199077</v>
      </c>
      <c r="F394" s="11" t="s">
        <v>1807</v>
      </c>
      <c r="G394" s="4" t="s">
        <v>46</v>
      </c>
      <c r="H394" s="4">
        <v>53</v>
      </c>
      <c r="I394" s="4" t="s">
        <v>47</v>
      </c>
      <c r="J394" s="4">
        <v>5309</v>
      </c>
      <c r="K394" s="4" t="s">
        <v>48</v>
      </c>
      <c r="L394" s="4">
        <v>5309030</v>
      </c>
      <c r="M394" s="4">
        <v>5309030022</v>
      </c>
      <c r="N394" s="4" t="s">
        <v>49</v>
      </c>
      <c r="O394" s="4">
        <v>47112</v>
      </c>
      <c r="P394" s="4" t="s">
        <v>1808</v>
      </c>
      <c r="Q394" s="5">
        <v>3</v>
      </c>
      <c r="R394" s="5">
        <v>0</v>
      </c>
      <c r="S394" s="5">
        <v>500000</v>
      </c>
      <c r="T394" s="5">
        <v>40000000</v>
      </c>
      <c r="U394" s="5">
        <v>0</v>
      </c>
      <c r="V394" s="5">
        <v>0</v>
      </c>
      <c r="W394" s="5">
        <v>40500000</v>
      </c>
      <c r="X394" s="5">
        <v>57000000</v>
      </c>
      <c r="Y394" s="5">
        <v>0</v>
      </c>
      <c r="Z394" s="5">
        <f t="shared" si="54"/>
        <v>16500000</v>
      </c>
      <c r="AA394" s="5">
        <v>50000000</v>
      </c>
      <c r="AB394" s="5">
        <f t="shared" si="55"/>
        <v>17000000</v>
      </c>
      <c r="AC394" s="5" t="s">
        <v>1398</v>
      </c>
      <c r="AD394" s="4" t="s">
        <v>51</v>
      </c>
      <c r="AE394" s="5">
        <f t="shared" si="56"/>
        <v>0.97058823529411764</v>
      </c>
      <c r="AF394" s="10">
        <v>5666666667</v>
      </c>
      <c r="AG394" s="5">
        <v>0</v>
      </c>
      <c r="AH394" s="5">
        <v>1</v>
      </c>
      <c r="AI394" s="5">
        <v>1</v>
      </c>
      <c r="AJ394" s="7" t="s">
        <v>1809</v>
      </c>
      <c r="AK394" s="5">
        <v>0</v>
      </c>
      <c r="AL394" s="5">
        <v>0</v>
      </c>
      <c r="AM394" s="4">
        <v>2020</v>
      </c>
      <c r="AN394" s="5">
        <v>0</v>
      </c>
      <c r="AO394" s="5">
        <v>3</v>
      </c>
      <c r="AP394" s="8"/>
      <c r="AQ394" s="8"/>
      <c r="AR394" s="8">
        <f t="shared" si="57"/>
        <v>0</v>
      </c>
      <c r="AS394" s="8">
        <f t="shared" si="58"/>
        <v>500000</v>
      </c>
      <c r="AT394" s="8">
        <f t="shared" si="59"/>
        <v>12580000</v>
      </c>
      <c r="AU394" s="8">
        <f t="shared" si="60"/>
        <v>4420000</v>
      </c>
      <c r="AV394" s="4" t="s">
        <v>1808</v>
      </c>
      <c r="AW394" s="7" t="s">
        <v>1809</v>
      </c>
      <c r="AX394" s="5">
        <v>40000000</v>
      </c>
      <c r="AY394">
        <f t="shared" si="61"/>
        <v>4420000</v>
      </c>
      <c r="AZ394">
        <f t="shared" si="62"/>
        <v>0</v>
      </c>
      <c r="BA394" s="5">
        <v>57000000</v>
      </c>
      <c r="BB394" s="5">
        <v>0</v>
      </c>
      <c r="BC394" s="4" t="s">
        <v>49</v>
      </c>
      <c r="BD394" s="4">
        <v>47112</v>
      </c>
      <c r="BE394" t="s">
        <v>54</v>
      </c>
    </row>
    <row r="395" spans="1:57" ht="270.75" thickBot="1" x14ac:dyDescent="0.3">
      <c r="A395" s="4" t="s">
        <v>1810</v>
      </c>
      <c r="B395" s="4">
        <v>1001</v>
      </c>
      <c r="C395" s="5">
        <v>2</v>
      </c>
      <c r="D395" s="4" t="s">
        <v>44</v>
      </c>
      <c r="E395" s="6">
        <v>46243.13109516204</v>
      </c>
      <c r="F395" s="4" t="s">
        <v>1811</v>
      </c>
      <c r="G395" s="4" t="s">
        <v>46</v>
      </c>
      <c r="H395" s="4">
        <v>53</v>
      </c>
      <c r="I395" s="4" t="s">
        <v>47</v>
      </c>
      <c r="J395" s="4">
        <v>5309</v>
      </c>
      <c r="K395" s="4" t="s">
        <v>48</v>
      </c>
      <c r="L395" s="4">
        <v>5309072</v>
      </c>
      <c r="M395" s="4">
        <v>5309072014</v>
      </c>
      <c r="N395" s="4" t="s">
        <v>49</v>
      </c>
      <c r="O395" s="4">
        <v>47112</v>
      </c>
      <c r="P395" s="4" t="s">
        <v>1812</v>
      </c>
      <c r="Q395" s="5">
        <v>2</v>
      </c>
      <c r="R395" s="5">
        <v>0</v>
      </c>
      <c r="S395" s="5">
        <v>0</v>
      </c>
      <c r="T395" s="5">
        <v>2300000</v>
      </c>
      <c r="U395" s="5">
        <v>200000</v>
      </c>
      <c r="V395" s="5">
        <v>0</v>
      </c>
      <c r="W395" s="5">
        <v>2500000</v>
      </c>
      <c r="X395" s="5">
        <v>3600000</v>
      </c>
      <c r="Y395" s="5">
        <v>0</v>
      </c>
      <c r="Z395" s="5">
        <f t="shared" si="54"/>
        <v>1100000</v>
      </c>
      <c r="AA395" s="5">
        <v>70000000</v>
      </c>
      <c r="AB395" s="5">
        <f t="shared" si="55"/>
        <v>1300000</v>
      </c>
      <c r="AC395" s="5" t="s">
        <v>1813</v>
      </c>
      <c r="AD395" s="4" t="s">
        <v>51</v>
      </c>
      <c r="AE395" s="5">
        <f t="shared" si="56"/>
        <v>0.84615384615384615</v>
      </c>
      <c r="AF395" s="5">
        <v>650000</v>
      </c>
      <c r="AG395" s="5">
        <v>1</v>
      </c>
      <c r="AH395" s="5">
        <v>1</v>
      </c>
      <c r="AI395" s="5">
        <v>1</v>
      </c>
      <c r="AJ395" s="7" t="s">
        <v>1814</v>
      </c>
      <c r="AK395" s="5">
        <v>0</v>
      </c>
      <c r="AL395" s="5">
        <v>0</v>
      </c>
      <c r="AM395" s="4">
        <v>2022</v>
      </c>
      <c r="AN395" s="5">
        <v>0</v>
      </c>
      <c r="AO395" s="5">
        <v>2</v>
      </c>
      <c r="AP395" s="8"/>
      <c r="AQ395" s="8"/>
      <c r="AR395" s="8">
        <f t="shared" si="57"/>
        <v>0</v>
      </c>
      <c r="AS395" s="8">
        <f t="shared" si="58"/>
        <v>200000</v>
      </c>
      <c r="AT395" s="8">
        <f t="shared" si="59"/>
        <v>962000</v>
      </c>
      <c r="AU395" s="8">
        <f t="shared" si="60"/>
        <v>338000</v>
      </c>
      <c r="AV395" s="4" t="s">
        <v>1812</v>
      </c>
      <c r="AW395" s="7" t="s">
        <v>1814</v>
      </c>
      <c r="AX395" s="5">
        <v>2300000</v>
      </c>
      <c r="AY395">
        <f t="shared" si="61"/>
        <v>0</v>
      </c>
      <c r="AZ395">
        <f t="shared" si="62"/>
        <v>338000</v>
      </c>
      <c r="BA395" s="5">
        <v>3600000</v>
      </c>
      <c r="BB395" s="5">
        <v>0</v>
      </c>
      <c r="BC395" s="4" t="s">
        <v>49</v>
      </c>
      <c r="BD395" s="4">
        <v>47112</v>
      </c>
      <c r="BE395" t="s">
        <v>54</v>
      </c>
    </row>
    <row r="396" spans="1:57" ht="270.75" thickBot="1" x14ac:dyDescent="0.3">
      <c r="A396" s="4" t="s">
        <v>1815</v>
      </c>
      <c r="B396" s="4">
        <v>1002</v>
      </c>
      <c r="C396" s="5">
        <v>2</v>
      </c>
      <c r="D396" s="4" t="s">
        <v>44</v>
      </c>
      <c r="E396" s="6">
        <v>46215.24989619213</v>
      </c>
      <c r="F396" s="4" t="s">
        <v>1816</v>
      </c>
      <c r="G396" s="4" t="s">
        <v>46</v>
      </c>
      <c r="H396" s="4">
        <v>53</v>
      </c>
      <c r="I396" s="4" t="s">
        <v>47</v>
      </c>
      <c r="J396" s="4">
        <v>5309</v>
      </c>
      <c r="K396" s="4" t="s">
        <v>48</v>
      </c>
      <c r="L396" s="4">
        <v>5309030</v>
      </c>
      <c r="M396" s="4">
        <v>5309030023</v>
      </c>
      <c r="N396" s="4" t="s">
        <v>49</v>
      </c>
      <c r="O396" s="4">
        <v>47112</v>
      </c>
      <c r="P396" s="4" t="s">
        <v>1817</v>
      </c>
      <c r="Q396" s="5">
        <v>1</v>
      </c>
      <c r="R396" s="5">
        <v>0</v>
      </c>
      <c r="S396" s="5">
        <v>0</v>
      </c>
      <c r="T396" s="5">
        <v>3600000</v>
      </c>
      <c r="U396" s="5">
        <v>250000</v>
      </c>
      <c r="V396" s="5">
        <v>0</v>
      </c>
      <c r="W396" s="5">
        <v>3850000</v>
      </c>
      <c r="X396" s="5">
        <v>6750000</v>
      </c>
      <c r="Y396" s="5">
        <v>0</v>
      </c>
      <c r="Z396" s="5">
        <f t="shared" si="54"/>
        <v>2900000</v>
      </c>
      <c r="AA396" s="5">
        <v>700000</v>
      </c>
      <c r="AB396" s="5">
        <f t="shared" si="55"/>
        <v>3150000</v>
      </c>
      <c r="AC396" s="5" t="s">
        <v>849</v>
      </c>
      <c r="AD396" s="4" t="s">
        <v>51</v>
      </c>
      <c r="AE396" s="5">
        <f t="shared" si="56"/>
        <v>0.92063492063492058</v>
      </c>
      <c r="AF396" s="5">
        <v>3150000</v>
      </c>
      <c r="AG396" s="5">
        <v>1</v>
      </c>
      <c r="AH396" s="5">
        <v>1</v>
      </c>
      <c r="AI396" s="5">
        <v>1</v>
      </c>
      <c r="AJ396" s="7" t="s">
        <v>1818</v>
      </c>
      <c r="AK396" s="5">
        <v>0</v>
      </c>
      <c r="AL396" s="5">
        <v>0</v>
      </c>
      <c r="AM396" s="4">
        <v>2020</v>
      </c>
      <c r="AN396" s="5">
        <v>0</v>
      </c>
      <c r="AO396" s="5">
        <v>1</v>
      </c>
      <c r="AP396" s="8"/>
      <c r="AQ396" s="8"/>
      <c r="AR396" s="8">
        <f t="shared" si="57"/>
        <v>0</v>
      </c>
      <c r="AS396" s="8">
        <f t="shared" si="58"/>
        <v>250000</v>
      </c>
      <c r="AT396" s="8">
        <f t="shared" si="59"/>
        <v>2331000</v>
      </c>
      <c r="AU396" s="8">
        <f t="shared" si="60"/>
        <v>819000</v>
      </c>
      <c r="AV396" s="4" t="s">
        <v>1817</v>
      </c>
      <c r="AW396" s="7" t="s">
        <v>1818</v>
      </c>
      <c r="AX396" s="5">
        <v>3600000</v>
      </c>
      <c r="AY396">
        <f t="shared" si="61"/>
        <v>0</v>
      </c>
      <c r="AZ396">
        <f t="shared" si="62"/>
        <v>819000</v>
      </c>
      <c r="BA396" s="5">
        <v>6750000</v>
      </c>
      <c r="BB396" s="5">
        <v>0</v>
      </c>
      <c r="BC396" s="4" t="s">
        <v>49</v>
      </c>
      <c r="BD396" s="4">
        <v>47112</v>
      </c>
      <c r="BE396" t="s">
        <v>54</v>
      </c>
    </row>
    <row r="397" spans="1:57" ht="270.75" thickBot="1" x14ac:dyDescent="0.3">
      <c r="A397" s="4" t="s">
        <v>1819</v>
      </c>
      <c r="B397" s="4">
        <v>1</v>
      </c>
      <c r="C397" s="5">
        <v>2</v>
      </c>
      <c r="D397" s="4" t="s">
        <v>44</v>
      </c>
      <c r="E397" s="6">
        <v>46214.602327870372</v>
      </c>
      <c r="F397" s="4" t="s">
        <v>1820</v>
      </c>
      <c r="G397" s="4" t="s">
        <v>46</v>
      </c>
      <c r="H397" s="4">
        <v>53</v>
      </c>
      <c r="I397" s="4" t="s">
        <v>47</v>
      </c>
      <c r="J397" s="4">
        <v>5309</v>
      </c>
      <c r="K397" s="4" t="s">
        <v>48</v>
      </c>
      <c r="L397" s="4">
        <v>5309061</v>
      </c>
      <c r="M397" s="4">
        <v>5309061003</v>
      </c>
      <c r="N397" s="4" t="s">
        <v>49</v>
      </c>
      <c r="O397" s="4">
        <v>47112</v>
      </c>
      <c r="P397" s="4" t="s">
        <v>1821</v>
      </c>
      <c r="Q397" s="5">
        <v>1</v>
      </c>
      <c r="R397" s="5">
        <v>0</v>
      </c>
      <c r="S397" s="5">
        <v>0</v>
      </c>
      <c r="T397" s="5">
        <v>5000000</v>
      </c>
      <c r="U397" s="5">
        <v>150000</v>
      </c>
      <c r="V397" s="5">
        <v>65000</v>
      </c>
      <c r="W397" s="5">
        <v>5215000</v>
      </c>
      <c r="X397" s="5">
        <v>6200000</v>
      </c>
      <c r="Y397" s="5">
        <v>0</v>
      </c>
      <c r="Z397" s="5">
        <f t="shared" si="54"/>
        <v>1050000</v>
      </c>
      <c r="AA397" s="5">
        <v>7000000</v>
      </c>
      <c r="AB397" s="5">
        <f t="shared" si="55"/>
        <v>1200000</v>
      </c>
      <c r="AC397" s="5" t="s">
        <v>1688</v>
      </c>
      <c r="AD397" s="4" t="s">
        <v>51</v>
      </c>
      <c r="AE397" s="5">
        <f t="shared" si="56"/>
        <v>0.875</v>
      </c>
      <c r="AF397" s="5">
        <v>1200000</v>
      </c>
      <c r="AG397" s="5">
        <v>1</v>
      </c>
      <c r="AH397" s="5">
        <v>1</v>
      </c>
      <c r="AI397" s="5">
        <v>1</v>
      </c>
      <c r="AJ397" s="7" t="s">
        <v>1822</v>
      </c>
      <c r="AK397" s="5">
        <v>0</v>
      </c>
      <c r="AL397" s="5">
        <v>0</v>
      </c>
      <c r="AM397" s="4">
        <v>2010</v>
      </c>
      <c r="AN397" s="5">
        <v>0</v>
      </c>
      <c r="AO397" s="5">
        <v>1</v>
      </c>
      <c r="AP397" s="8"/>
      <c r="AQ397" s="8"/>
      <c r="AR397" s="8">
        <f t="shared" si="57"/>
        <v>0</v>
      </c>
      <c r="AS397" s="8">
        <f t="shared" si="58"/>
        <v>150000</v>
      </c>
      <c r="AT397" s="8">
        <f t="shared" si="59"/>
        <v>888000</v>
      </c>
      <c r="AU397" s="8">
        <f t="shared" si="60"/>
        <v>312000</v>
      </c>
      <c r="AV397" s="4" t="s">
        <v>1821</v>
      </c>
      <c r="AW397" s="7" t="s">
        <v>1822</v>
      </c>
      <c r="AX397" s="5">
        <v>5000000</v>
      </c>
      <c r="AY397">
        <f t="shared" si="61"/>
        <v>0</v>
      </c>
      <c r="AZ397">
        <f t="shared" si="62"/>
        <v>312000</v>
      </c>
      <c r="BA397" s="5">
        <v>6200000</v>
      </c>
      <c r="BB397" s="5">
        <v>0</v>
      </c>
      <c r="BC397" s="4" t="s">
        <v>49</v>
      </c>
      <c r="BD397" s="4">
        <v>47112</v>
      </c>
      <c r="BE397" t="s">
        <v>54</v>
      </c>
    </row>
    <row r="398" spans="1:57" ht="270.75" thickBot="1" x14ac:dyDescent="0.3">
      <c r="A398" s="4" t="s">
        <v>1823</v>
      </c>
      <c r="B398" s="4">
        <v>1002</v>
      </c>
      <c r="C398" s="5">
        <v>2</v>
      </c>
      <c r="D398" s="4" t="s">
        <v>56</v>
      </c>
      <c r="E398" s="6">
        <v>46226.80061914352</v>
      </c>
      <c r="F398" s="4" t="s">
        <v>1824</v>
      </c>
      <c r="G398" s="4" t="s">
        <v>46</v>
      </c>
      <c r="H398" s="4">
        <v>53</v>
      </c>
      <c r="I398" s="4" t="s">
        <v>47</v>
      </c>
      <c r="J398" s="4">
        <v>5309</v>
      </c>
      <c r="K398" s="4" t="s">
        <v>48</v>
      </c>
      <c r="L398" s="4">
        <v>5309021</v>
      </c>
      <c r="M398" s="4">
        <v>5309021004</v>
      </c>
      <c r="N398" s="4" t="s">
        <v>49</v>
      </c>
      <c r="O398" s="4">
        <v>47112</v>
      </c>
      <c r="P398" s="4" t="s">
        <v>1825</v>
      </c>
      <c r="Q398" s="5">
        <v>3</v>
      </c>
      <c r="R398" s="5">
        <v>0</v>
      </c>
      <c r="S398" s="5">
        <v>0</v>
      </c>
      <c r="T398" s="5">
        <v>3000000</v>
      </c>
      <c r="U398" s="5">
        <v>500000</v>
      </c>
      <c r="V398" s="5">
        <v>0</v>
      </c>
      <c r="W398" s="5">
        <v>3500000</v>
      </c>
      <c r="X398" s="5">
        <v>4500000</v>
      </c>
      <c r="Y398" s="5">
        <v>0</v>
      </c>
      <c r="Z398" s="5">
        <f t="shared" si="54"/>
        <v>1000000</v>
      </c>
      <c r="AA398" s="5">
        <v>54000000</v>
      </c>
      <c r="AB398" s="5">
        <f t="shared" si="55"/>
        <v>1500000</v>
      </c>
      <c r="AC398" s="5" t="s">
        <v>1826</v>
      </c>
      <c r="AD398" s="4" t="s">
        <v>51</v>
      </c>
      <c r="AE398" s="5">
        <f t="shared" si="56"/>
        <v>0.66666666666666663</v>
      </c>
      <c r="AF398" s="10">
        <v>1666666667</v>
      </c>
      <c r="AG398" s="5">
        <v>1</v>
      </c>
      <c r="AH398" s="4"/>
      <c r="AI398" s="5">
        <v>1</v>
      </c>
      <c r="AJ398" s="7" t="s">
        <v>1827</v>
      </c>
      <c r="AK398" s="5">
        <v>0</v>
      </c>
      <c r="AL398" s="5">
        <v>0</v>
      </c>
      <c r="AM398" s="4">
        <v>2019</v>
      </c>
      <c r="AN398" s="5">
        <v>0</v>
      </c>
      <c r="AO398" s="5">
        <v>3</v>
      </c>
      <c r="AP398" s="8"/>
      <c r="AQ398" s="8"/>
      <c r="AR398" s="8">
        <f t="shared" si="57"/>
        <v>0</v>
      </c>
      <c r="AS398" s="8">
        <f t="shared" si="58"/>
        <v>500000</v>
      </c>
      <c r="AT398" s="8">
        <f t="shared" si="59"/>
        <v>1000000</v>
      </c>
      <c r="AU398" s="8">
        <f t="shared" si="60"/>
        <v>500000</v>
      </c>
      <c r="AV398" s="4" t="s">
        <v>1825</v>
      </c>
      <c r="AW398" s="7" t="s">
        <v>1827</v>
      </c>
      <c r="AX398" s="5">
        <v>3000000</v>
      </c>
      <c r="AY398">
        <f t="shared" si="61"/>
        <v>0</v>
      </c>
      <c r="AZ398">
        <f t="shared" si="62"/>
        <v>500000</v>
      </c>
      <c r="BA398" s="5">
        <v>4500000</v>
      </c>
      <c r="BB398" s="5">
        <v>0</v>
      </c>
      <c r="BC398" s="4" t="s">
        <v>49</v>
      </c>
      <c r="BD398" s="4">
        <v>47112</v>
      </c>
      <c r="BE398" t="s">
        <v>54</v>
      </c>
    </row>
    <row r="399" spans="1:57" ht="270.75" thickBot="1" x14ac:dyDescent="0.3">
      <c r="A399" s="4" t="s">
        <v>1828</v>
      </c>
      <c r="B399" s="4">
        <v>1</v>
      </c>
      <c r="C399" s="5">
        <v>2</v>
      </c>
      <c r="D399" s="4" t="s">
        <v>44</v>
      </c>
      <c r="E399" s="6">
        <v>46271.397176874998</v>
      </c>
      <c r="F399" s="4" t="s">
        <v>1829</v>
      </c>
      <c r="G399" s="4" t="s">
        <v>46</v>
      </c>
      <c r="H399" s="4">
        <v>53</v>
      </c>
      <c r="I399" s="4" t="s">
        <v>47</v>
      </c>
      <c r="J399" s="4">
        <v>5309</v>
      </c>
      <c r="K399" s="4" t="s">
        <v>48</v>
      </c>
      <c r="L399" s="4">
        <v>5309070</v>
      </c>
      <c r="M399" s="4">
        <v>5309070007</v>
      </c>
      <c r="N399" s="4" t="s">
        <v>49</v>
      </c>
      <c r="O399" s="4">
        <v>47112</v>
      </c>
      <c r="P399" s="4" t="s">
        <v>1830</v>
      </c>
      <c r="Q399" s="5">
        <v>1</v>
      </c>
      <c r="R399" s="5">
        <v>0</v>
      </c>
      <c r="S399" s="5">
        <v>150000</v>
      </c>
      <c r="T399" s="5">
        <v>100000000</v>
      </c>
      <c r="U399" s="5">
        <v>200000</v>
      </c>
      <c r="V399" s="5">
        <v>1825000</v>
      </c>
      <c r="W399" s="5">
        <v>102175000</v>
      </c>
      <c r="X399" s="5">
        <v>130000000</v>
      </c>
      <c r="Y399" s="5">
        <v>0</v>
      </c>
      <c r="Z399" s="5">
        <f t="shared" si="54"/>
        <v>29650000</v>
      </c>
      <c r="AA399" s="5">
        <v>2000000</v>
      </c>
      <c r="AB399" s="5">
        <f t="shared" si="55"/>
        <v>30000000</v>
      </c>
      <c r="AC399" s="5" t="s">
        <v>671</v>
      </c>
      <c r="AD399" s="4" t="s">
        <v>51</v>
      </c>
      <c r="AE399" s="5">
        <f t="shared" si="56"/>
        <v>0.98833333333333329</v>
      </c>
      <c r="AF399" s="5">
        <v>30000000</v>
      </c>
      <c r="AG399" s="5">
        <v>1</v>
      </c>
      <c r="AH399" s="5">
        <v>1</v>
      </c>
      <c r="AI399" s="5">
        <v>1</v>
      </c>
      <c r="AJ399" s="7" t="s">
        <v>1831</v>
      </c>
      <c r="AK399" s="5">
        <v>0</v>
      </c>
      <c r="AL399" s="5">
        <v>0</v>
      </c>
      <c r="AM399" s="4">
        <v>2015</v>
      </c>
      <c r="AN399" s="5">
        <v>0</v>
      </c>
      <c r="AO399" s="5">
        <v>1</v>
      </c>
      <c r="AP399" s="8"/>
      <c r="AQ399" s="8"/>
      <c r="AR399" s="8">
        <f t="shared" si="57"/>
        <v>0</v>
      </c>
      <c r="AS399" s="8">
        <f t="shared" si="58"/>
        <v>350000</v>
      </c>
      <c r="AT399" s="8">
        <f t="shared" si="59"/>
        <v>22200000</v>
      </c>
      <c r="AU399" s="8">
        <f t="shared" si="60"/>
        <v>7800000</v>
      </c>
      <c r="AV399" s="4" t="s">
        <v>1830</v>
      </c>
      <c r="AW399" s="7" t="s">
        <v>1831</v>
      </c>
      <c r="AX399" s="5">
        <v>100000000</v>
      </c>
      <c r="AY399">
        <f t="shared" si="61"/>
        <v>3342857.1428571427</v>
      </c>
      <c r="AZ399">
        <f t="shared" si="62"/>
        <v>4457142.8571428573</v>
      </c>
      <c r="BA399" s="5">
        <v>130000000</v>
      </c>
      <c r="BB399" s="5">
        <v>0</v>
      </c>
      <c r="BC399" s="4" t="s">
        <v>49</v>
      </c>
      <c r="BD399" s="4">
        <v>47112</v>
      </c>
      <c r="BE399" t="s">
        <v>54</v>
      </c>
    </row>
    <row r="400" spans="1:57" ht="270.75" thickBot="1" x14ac:dyDescent="0.3">
      <c r="A400" s="4" t="s">
        <v>1832</v>
      </c>
      <c r="B400" s="4">
        <v>1002</v>
      </c>
      <c r="C400" s="5">
        <v>2</v>
      </c>
      <c r="D400" s="4" t="s">
        <v>44</v>
      </c>
      <c r="E400" s="6">
        <v>46290.922844548608</v>
      </c>
      <c r="F400" s="4" t="s">
        <v>1833</v>
      </c>
      <c r="G400" s="4" t="s">
        <v>46</v>
      </c>
      <c r="H400" s="4">
        <v>53</v>
      </c>
      <c r="I400" s="4" t="s">
        <v>47</v>
      </c>
      <c r="J400" s="4">
        <v>5309</v>
      </c>
      <c r="K400" s="4" t="s">
        <v>48</v>
      </c>
      <c r="L400" s="4">
        <v>5309030</v>
      </c>
      <c r="M400" s="4">
        <v>5309030027</v>
      </c>
      <c r="N400" s="4" t="s">
        <v>49</v>
      </c>
      <c r="O400" s="4">
        <v>47112</v>
      </c>
      <c r="P400" s="4" t="s">
        <v>1834</v>
      </c>
      <c r="Q400" s="5">
        <v>1</v>
      </c>
      <c r="R400" s="5">
        <v>0</v>
      </c>
      <c r="S400" s="5">
        <v>0</v>
      </c>
      <c r="T400" s="5">
        <v>2000000</v>
      </c>
      <c r="U400" s="5">
        <v>200000</v>
      </c>
      <c r="V400" s="5">
        <v>0</v>
      </c>
      <c r="W400" s="5">
        <v>2200000</v>
      </c>
      <c r="X400" s="5">
        <v>5000000</v>
      </c>
      <c r="Y400" s="5">
        <v>0</v>
      </c>
      <c r="Z400" s="5">
        <f t="shared" si="54"/>
        <v>2800000</v>
      </c>
      <c r="AA400" s="5">
        <v>500000</v>
      </c>
      <c r="AB400" s="5">
        <f t="shared" si="55"/>
        <v>3000000</v>
      </c>
      <c r="AC400" s="5" t="s">
        <v>167</v>
      </c>
      <c r="AD400" s="4" t="s">
        <v>51</v>
      </c>
      <c r="AE400" s="5">
        <f t="shared" si="56"/>
        <v>0.93333333333333335</v>
      </c>
      <c r="AF400" s="5">
        <v>3000000</v>
      </c>
      <c r="AG400" s="5">
        <v>1</v>
      </c>
      <c r="AH400" s="5">
        <v>1</v>
      </c>
      <c r="AI400" s="5">
        <v>1</v>
      </c>
      <c r="AJ400" s="7" t="s">
        <v>1835</v>
      </c>
      <c r="AK400" s="5">
        <v>0</v>
      </c>
      <c r="AL400" s="5">
        <v>0</v>
      </c>
      <c r="AM400" s="4">
        <v>2023</v>
      </c>
      <c r="AN400" s="5">
        <v>0</v>
      </c>
      <c r="AO400" s="5">
        <v>1</v>
      </c>
      <c r="AP400" s="8"/>
      <c r="AQ400" s="8"/>
      <c r="AR400" s="8">
        <f t="shared" si="57"/>
        <v>0</v>
      </c>
      <c r="AS400" s="8">
        <f t="shared" si="58"/>
        <v>200000</v>
      </c>
      <c r="AT400" s="8">
        <f t="shared" si="59"/>
        <v>2220000</v>
      </c>
      <c r="AU400" s="8">
        <f t="shared" si="60"/>
        <v>780000</v>
      </c>
      <c r="AV400" s="4" t="s">
        <v>1834</v>
      </c>
      <c r="AW400" s="7" t="s">
        <v>1835</v>
      </c>
      <c r="AX400" s="5">
        <v>2000000</v>
      </c>
      <c r="AY400">
        <f t="shared" si="61"/>
        <v>0</v>
      </c>
      <c r="AZ400">
        <f t="shared" si="62"/>
        <v>780000</v>
      </c>
      <c r="BA400" s="5">
        <v>5000000</v>
      </c>
      <c r="BB400" s="5">
        <v>0</v>
      </c>
      <c r="BC400" s="4" t="s">
        <v>49</v>
      </c>
      <c r="BD400" s="4">
        <v>47112</v>
      </c>
      <c r="BE400" t="s">
        <v>54</v>
      </c>
    </row>
    <row r="401" spans="1:57" ht="255.75" thickBot="1" x14ac:dyDescent="0.3">
      <c r="A401" s="4" t="s">
        <v>1836</v>
      </c>
      <c r="B401" s="4">
        <v>1002</v>
      </c>
      <c r="C401" s="5">
        <v>2</v>
      </c>
      <c r="D401" s="4" t="s">
        <v>44</v>
      </c>
      <c r="E401" s="6">
        <v>46280.541875532406</v>
      </c>
      <c r="F401" s="4" t="s">
        <v>1837</v>
      </c>
      <c r="G401" s="4" t="s">
        <v>46</v>
      </c>
      <c r="H401" s="4">
        <v>53</v>
      </c>
      <c r="I401" s="4" t="s">
        <v>47</v>
      </c>
      <c r="J401" s="4">
        <v>5309</v>
      </c>
      <c r="K401" s="4" t="s">
        <v>48</v>
      </c>
      <c r="L401" s="4">
        <v>5309070</v>
      </c>
      <c r="M401" s="4">
        <v>5309070012</v>
      </c>
      <c r="N401" s="4" t="s">
        <v>49</v>
      </c>
      <c r="O401" s="4">
        <v>47112</v>
      </c>
      <c r="P401" s="4" t="s">
        <v>1838</v>
      </c>
      <c r="Q401" s="5">
        <v>1</v>
      </c>
      <c r="R401" s="5">
        <v>0</v>
      </c>
      <c r="S401" s="5">
        <v>0</v>
      </c>
      <c r="T401" s="5">
        <v>8000000</v>
      </c>
      <c r="U401" s="5">
        <v>500000</v>
      </c>
      <c r="V401" s="5">
        <v>0</v>
      </c>
      <c r="W401" s="5">
        <v>8500000</v>
      </c>
      <c r="X401" s="5">
        <v>20000000</v>
      </c>
      <c r="Y401" s="5">
        <v>0</v>
      </c>
      <c r="Z401" s="5">
        <f t="shared" si="54"/>
        <v>11500000</v>
      </c>
      <c r="AA401" s="5">
        <v>30000000</v>
      </c>
      <c r="AB401" s="5">
        <f t="shared" si="55"/>
        <v>12000000</v>
      </c>
      <c r="AC401" s="5" t="s">
        <v>167</v>
      </c>
      <c r="AD401" s="4" t="s">
        <v>51</v>
      </c>
      <c r="AE401" s="5">
        <f t="shared" si="56"/>
        <v>0.95833333333333337</v>
      </c>
      <c r="AF401" s="5">
        <v>12000000</v>
      </c>
      <c r="AG401" s="5">
        <v>0</v>
      </c>
      <c r="AH401" s="5">
        <v>1</v>
      </c>
      <c r="AI401" s="5">
        <v>1</v>
      </c>
      <c r="AJ401" s="7" t="s">
        <v>1839</v>
      </c>
      <c r="AK401" s="5">
        <v>0</v>
      </c>
      <c r="AL401" s="5">
        <v>0</v>
      </c>
      <c r="AM401" s="4">
        <v>2024</v>
      </c>
      <c r="AN401" s="5">
        <v>0</v>
      </c>
      <c r="AO401" s="5">
        <v>1</v>
      </c>
      <c r="AP401" s="8"/>
      <c r="AQ401" s="8"/>
      <c r="AR401" s="8">
        <f t="shared" si="57"/>
        <v>0</v>
      </c>
      <c r="AS401" s="8">
        <f t="shared" si="58"/>
        <v>500000</v>
      </c>
      <c r="AT401" s="8">
        <f t="shared" si="59"/>
        <v>8880000</v>
      </c>
      <c r="AU401" s="8">
        <f t="shared" si="60"/>
        <v>3120000</v>
      </c>
      <c r="AV401" s="4" t="s">
        <v>1838</v>
      </c>
      <c r="AW401" s="7" t="s">
        <v>1839</v>
      </c>
      <c r="AX401" s="5">
        <v>8000000</v>
      </c>
      <c r="AY401">
        <f t="shared" si="61"/>
        <v>0</v>
      </c>
      <c r="AZ401">
        <f t="shared" si="62"/>
        <v>3120000</v>
      </c>
      <c r="BA401" s="5">
        <v>20000000</v>
      </c>
      <c r="BB401" s="5">
        <v>0</v>
      </c>
      <c r="BC401" s="4" t="s">
        <v>49</v>
      </c>
      <c r="BD401" s="4">
        <v>47112</v>
      </c>
      <c r="BE401" t="s">
        <v>54</v>
      </c>
    </row>
    <row r="402" spans="1:57" ht="270.75" thickBot="1" x14ac:dyDescent="0.3">
      <c r="A402" s="4" t="s">
        <v>1840</v>
      </c>
      <c r="B402" s="4">
        <v>1001</v>
      </c>
      <c r="C402" s="5">
        <v>2</v>
      </c>
      <c r="D402" s="4" t="s">
        <v>44</v>
      </c>
      <c r="E402" s="6">
        <v>46268.346156180552</v>
      </c>
      <c r="F402" s="4" t="s">
        <v>1841</v>
      </c>
      <c r="G402" s="4" t="s">
        <v>46</v>
      </c>
      <c r="H402" s="4">
        <v>53</v>
      </c>
      <c r="I402" s="4" t="s">
        <v>47</v>
      </c>
      <c r="J402" s="4">
        <v>5309</v>
      </c>
      <c r="K402" s="4" t="s">
        <v>48</v>
      </c>
      <c r="L402" s="4">
        <v>5309073</v>
      </c>
      <c r="M402" s="4">
        <v>5309073019</v>
      </c>
      <c r="N402" s="4" t="s">
        <v>49</v>
      </c>
      <c r="O402" s="4">
        <v>47112</v>
      </c>
      <c r="P402" s="4" t="s">
        <v>1842</v>
      </c>
      <c r="Q402" s="5">
        <v>1</v>
      </c>
      <c r="R402" s="5">
        <v>0</v>
      </c>
      <c r="S402" s="5">
        <v>0</v>
      </c>
      <c r="T402" s="5">
        <v>8000000</v>
      </c>
      <c r="U402" s="5">
        <v>300000</v>
      </c>
      <c r="V402" s="5">
        <v>0</v>
      </c>
      <c r="W402" s="5">
        <v>8300000</v>
      </c>
      <c r="X402" s="5">
        <v>16700000000</v>
      </c>
      <c r="Y402" s="5">
        <v>0</v>
      </c>
      <c r="Z402" s="5">
        <f t="shared" si="54"/>
        <v>16691700000</v>
      </c>
      <c r="AA402" s="5">
        <v>5000000</v>
      </c>
      <c r="AB402" s="5">
        <f t="shared" si="55"/>
        <v>16692000000</v>
      </c>
      <c r="AC402" s="5" t="s">
        <v>1843</v>
      </c>
      <c r="AD402" s="4" t="s">
        <v>1844</v>
      </c>
      <c r="AE402" s="5">
        <f t="shared" si="56"/>
        <v>0.99998202731847596</v>
      </c>
      <c r="AF402" s="5">
        <v>16692000000</v>
      </c>
      <c r="AG402" s="5">
        <v>1</v>
      </c>
      <c r="AH402" s="5">
        <v>1</v>
      </c>
      <c r="AI402" s="5">
        <v>1</v>
      </c>
      <c r="AJ402" s="7" t="s">
        <v>1845</v>
      </c>
      <c r="AK402" s="5">
        <v>0</v>
      </c>
      <c r="AL402" s="5">
        <v>0</v>
      </c>
      <c r="AM402" s="4">
        <v>2015</v>
      </c>
      <c r="AN402" s="5">
        <v>0</v>
      </c>
      <c r="AO402" s="5">
        <v>1</v>
      </c>
      <c r="AP402" s="8"/>
      <c r="AQ402" s="8"/>
      <c r="AR402" s="8">
        <f t="shared" si="57"/>
        <v>0</v>
      </c>
      <c r="AS402" s="8">
        <f t="shared" si="58"/>
        <v>300000</v>
      </c>
      <c r="AT402" s="8">
        <f t="shared" si="59"/>
        <v>12352080000</v>
      </c>
      <c r="AU402" s="8">
        <f t="shared" si="60"/>
        <v>4339920000</v>
      </c>
      <c r="AV402" s="4" t="s">
        <v>1842</v>
      </c>
      <c r="AW402" s="7" t="s">
        <v>1845</v>
      </c>
      <c r="AX402" s="5">
        <v>8000000</v>
      </c>
      <c r="AY402">
        <f t="shared" si="61"/>
        <v>0</v>
      </c>
      <c r="AZ402">
        <f t="shared" si="62"/>
        <v>4339920000</v>
      </c>
      <c r="BA402" s="5">
        <v>16700000000</v>
      </c>
      <c r="BB402" s="5">
        <v>0</v>
      </c>
      <c r="BC402" s="4" t="s">
        <v>49</v>
      </c>
      <c r="BD402" s="4">
        <v>47112</v>
      </c>
      <c r="BE402" t="s">
        <v>54</v>
      </c>
    </row>
    <row r="403" spans="1:57" ht="270.75" thickBot="1" x14ac:dyDescent="0.3">
      <c r="A403" s="4" t="s">
        <v>1846</v>
      </c>
      <c r="B403" s="4">
        <v>1</v>
      </c>
      <c r="C403" s="5">
        <v>2</v>
      </c>
      <c r="D403" s="4" t="s">
        <v>44</v>
      </c>
      <c r="E403" s="6">
        <v>46257.426563773151</v>
      </c>
      <c r="F403" s="4" t="s">
        <v>1847</v>
      </c>
      <c r="G403" s="4" t="s">
        <v>46</v>
      </c>
      <c r="H403" s="4">
        <v>53</v>
      </c>
      <c r="I403" s="4" t="s">
        <v>47</v>
      </c>
      <c r="J403" s="4">
        <v>5309</v>
      </c>
      <c r="K403" s="4" t="s">
        <v>48</v>
      </c>
      <c r="L403" s="4">
        <v>5309071</v>
      </c>
      <c r="M403" s="4">
        <v>5309071019</v>
      </c>
      <c r="N403" s="4" t="s">
        <v>49</v>
      </c>
      <c r="O403" s="4">
        <v>47112</v>
      </c>
      <c r="P403" s="4" t="s">
        <v>1848</v>
      </c>
      <c r="Q403" s="5">
        <v>2</v>
      </c>
      <c r="R403" s="5">
        <v>0</v>
      </c>
      <c r="S403" s="5">
        <v>7000000</v>
      </c>
      <c r="T403" s="5">
        <v>3000000</v>
      </c>
      <c r="U403" s="5">
        <v>500000</v>
      </c>
      <c r="V403" s="5">
        <v>0</v>
      </c>
      <c r="W403" s="5">
        <v>10500000</v>
      </c>
      <c r="X403" s="5">
        <v>15000000</v>
      </c>
      <c r="Y403" s="5">
        <v>0</v>
      </c>
      <c r="Z403" s="5">
        <f t="shared" si="54"/>
        <v>4500000</v>
      </c>
      <c r="AA403" s="5">
        <v>21000000</v>
      </c>
      <c r="AB403" s="5">
        <f t="shared" si="55"/>
        <v>12000000</v>
      </c>
      <c r="AC403" s="5" t="s">
        <v>233</v>
      </c>
      <c r="AD403" s="4" t="s">
        <v>51</v>
      </c>
      <c r="AE403" s="5">
        <f t="shared" si="56"/>
        <v>0.375</v>
      </c>
      <c r="AF403" s="5">
        <v>6000000</v>
      </c>
      <c r="AG403" s="5">
        <v>1</v>
      </c>
      <c r="AH403" s="5">
        <v>1</v>
      </c>
      <c r="AI403" s="5">
        <v>1</v>
      </c>
      <c r="AJ403" s="7" t="s">
        <v>1849</v>
      </c>
      <c r="AK403" s="5">
        <v>0</v>
      </c>
      <c r="AL403" s="5">
        <v>0</v>
      </c>
      <c r="AM403" s="4">
        <v>2017</v>
      </c>
      <c r="AN403" s="5">
        <v>0</v>
      </c>
      <c r="AO403" s="5">
        <v>2</v>
      </c>
      <c r="AP403" s="8"/>
      <c r="AQ403" s="8"/>
      <c r="AR403" s="8">
        <f t="shared" si="57"/>
        <v>0</v>
      </c>
      <c r="AS403" s="8">
        <f t="shared" si="58"/>
        <v>7500000</v>
      </c>
      <c r="AT403" s="8">
        <f t="shared" si="59"/>
        <v>4500000</v>
      </c>
      <c r="AU403" s="8">
        <f t="shared" si="60"/>
        <v>7500000</v>
      </c>
      <c r="AV403" s="4" t="s">
        <v>1848</v>
      </c>
      <c r="AW403" s="7" t="s">
        <v>1849</v>
      </c>
      <c r="AX403" s="5">
        <v>3000000</v>
      </c>
      <c r="AY403">
        <f t="shared" si="61"/>
        <v>7000000</v>
      </c>
      <c r="AZ403">
        <f t="shared" si="62"/>
        <v>500000</v>
      </c>
      <c r="BA403" s="5">
        <v>15000000</v>
      </c>
      <c r="BB403" s="5">
        <v>0</v>
      </c>
      <c r="BC403" s="4" t="s">
        <v>49</v>
      </c>
      <c r="BD403" s="4">
        <v>47112</v>
      </c>
      <c r="BE403" t="s">
        <v>54</v>
      </c>
    </row>
    <row r="404" spans="1:57" ht="255.75" thickBot="1" x14ac:dyDescent="0.3">
      <c r="A404" s="4" t="s">
        <v>1850</v>
      </c>
      <c r="B404" s="4">
        <v>1002</v>
      </c>
      <c r="C404" s="5">
        <v>2</v>
      </c>
      <c r="D404" s="4" t="s">
        <v>44</v>
      </c>
      <c r="E404" s="6">
        <v>46225.306542407408</v>
      </c>
      <c r="F404" s="4" t="s">
        <v>1851</v>
      </c>
      <c r="G404" s="4" t="s">
        <v>46</v>
      </c>
      <c r="H404" s="4">
        <v>53</v>
      </c>
      <c r="I404" s="4" t="s">
        <v>47</v>
      </c>
      <c r="J404" s="4">
        <v>5309</v>
      </c>
      <c r="K404" s="4" t="s">
        <v>48</v>
      </c>
      <c r="L404" s="4">
        <v>5309031</v>
      </c>
      <c r="M404" s="4">
        <v>5309031003</v>
      </c>
      <c r="N404" s="4" t="s">
        <v>49</v>
      </c>
      <c r="O404" s="4">
        <v>47112</v>
      </c>
      <c r="P404" s="4" t="s">
        <v>1852</v>
      </c>
      <c r="Q404" s="5">
        <v>3</v>
      </c>
      <c r="R404" s="5">
        <v>0</v>
      </c>
      <c r="S404" s="5">
        <v>150000</v>
      </c>
      <c r="T404" s="5">
        <v>60000000</v>
      </c>
      <c r="U404" s="5">
        <v>240000</v>
      </c>
      <c r="V404" s="5">
        <v>5000</v>
      </c>
      <c r="W404" s="5">
        <v>60395000</v>
      </c>
      <c r="X404" s="5">
        <v>95000000</v>
      </c>
      <c r="Y404" s="5">
        <v>0</v>
      </c>
      <c r="Z404" s="5">
        <f t="shared" si="54"/>
        <v>34610000</v>
      </c>
      <c r="AA404" s="5">
        <v>82000000</v>
      </c>
      <c r="AB404" s="5">
        <f t="shared" si="55"/>
        <v>35000000</v>
      </c>
      <c r="AC404" s="5" t="s">
        <v>1853</v>
      </c>
      <c r="AD404" s="4" t="s">
        <v>51</v>
      </c>
      <c r="AE404" s="5">
        <f t="shared" si="56"/>
        <v>0.98885714285714288</v>
      </c>
      <c r="AF404" s="5" t="s">
        <v>1854</v>
      </c>
      <c r="AG404" s="5">
        <v>1</v>
      </c>
      <c r="AH404" s="5">
        <v>1</v>
      </c>
      <c r="AI404" s="5">
        <v>1</v>
      </c>
      <c r="AJ404" s="7" t="s">
        <v>1855</v>
      </c>
      <c r="AK404" s="5">
        <v>0</v>
      </c>
      <c r="AL404" s="5">
        <v>0</v>
      </c>
      <c r="AM404" s="4">
        <v>2022</v>
      </c>
      <c r="AN404" s="5">
        <v>0</v>
      </c>
      <c r="AO404" s="5">
        <v>3</v>
      </c>
      <c r="AP404" s="8"/>
      <c r="AQ404" s="8"/>
      <c r="AR404" s="8">
        <f t="shared" si="57"/>
        <v>0</v>
      </c>
      <c r="AS404" s="8">
        <f t="shared" si="58"/>
        <v>390000</v>
      </c>
      <c r="AT404" s="8">
        <f t="shared" si="59"/>
        <v>25900000</v>
      </c>
      <c r="AU404" s="8">
        <f t="shared" si="60"/>
        <v>9100000</v>
      </c>
      <c r="AV404" s="4" t="s">
        <v>1852</v>
      </c>
      <c r="AW404" s="7" t="s">
        <v>1855</v>
      </c>
      <c r="AX404" s="5">
        <v>60000000</v>
      </c>
      <c r="AY404">
        <f t="shared" si="61"/>
        <v>3500000</v>
      </c>
      <c r="AZ404">
        <f t="shared" si="62"/>
        <v>5600000</v>
      </c>
      <c r="BA404" s="5">
        <v>95000000</v>
      </c>
      <c r="BB404" s="5">
        <v>0</v>
      </c>
      <c r="BC404" s="4" t="s">
        <v>49</v>
      </c>
      <c r="BD404" s="4">
        <v>47112</v>
      </c>
      <c r="BE404" t="s">
        <v>54</v>
      </c>
    </row>
    <row r="405" spans="1:57" ht="270.75" thickBot="1" x14ac:dyDescent="0.3">
      <c r="A405" s="4" t="s">
        <v>1856</v>
      </c>
      <c r="B405" s="4">
        <v>1106</v>
      </c>
      <c r="C405" s="5">
        <v>2</v>
      </c>
      <c r="D405" s="4" t="s">
        <v>60</v>
      </c>
      <c r="E405" s="6">
        <v>46313.139066550924</v>
      </c>
      <c r="F405" s="4" t="s">
        <v>1857</v>
      </c>
      <c r="G405" s="4" t="s">
        <v>46</v>
      </c>
      <c r="H405" s="4">
        <v>53</v>
      </c>
      <c r="I405" s="4" t="s">
        <v>47</v>
      </c>
      <c r="J405" s="4">
        <v>5309</v>
      </c>
      <c r="K405" s="4" t="s">
        <v>48</v>
      </c>
      <c r="L405" s="4">
        <v>5309070</v>
      </c>
      <c r="M405" s="4">
        <v>5309070001</v>
      </c>
      <c r="N405" s="4" t="s">
        <v>49</v>
      </c>
      <c r="O405" s="4">
        <v>47112</v>
      </c>
      <c r="P405" s="4" t="s">
        <v>1858</v>
      </c>
      <c r="Q405" s="5">
        <v>1</v>
      </c>
      <c r="R405" s="5">
        <v>0</v>
      </c>
      <c r="S405" s="5">
        <v>9000000</v>
      </c>
      <c r="T405" s="5">
        <v>0</v>
      </c>
      <c r="U405" s="5">
        <v>300000</v>
      </c>
      <c r="V405" s="5">
        <v>0</v>
      </c>
      <c r="W405" s="5">
        <v>9300000</v>
      </c>
      <c r="X405" s="5">
        <v>15600000</v>
      </c>
      <c r="Y405" s="5">
        <v>0</v>
      </c>
      <c r="Z405" s="5">
        <f t="shared" si="54"/>
        <v>6300000</v>
      </c>
      <c r="AA405" s="5">
        <v>15500000</v>
      </c>
      <c r="AB405" s="5">
        <f t="shared" si="55"/>
        <v>15600000</v>
      </c>
      <c r="AC405" s="5">
        <v>0</v>
      </c>
      <c r="AD405" s="4" t="s">
        <v>51</v>
      </c>
      <c r="AE405" s="5">
        <f t="shared" si="56"/>
        <v>0.40384615384615385</v>
      </c>
      <c r="AF405" s="5">
        <v>15600000</v>
      </c>
      <c r="AG405" s="5">
        <v>1</v>
      </c>
      <c r="AH405" s="5">
        <v>1</v>
      </c>
      <c r="AI405" s="5">
        <v>1</v>
      </c>
      <c r="AJ405" s="7" t="s">
        <v>1859</v>
      </c>
      <c r="AK405" s="5">
        <v>0</v>
      </c>
      <c r="AL405" s="5">
        <v>0</v>
      </c>
      <c r="AM405" s="4">
        <v>2024</v>
      </c>
      <c r="AN405" s="5">
        <v>0</v>
      </c>
      <c r="AO405" s="5">
        <v>1</v>
      </c>
      <c r="AP405" s="8"/>
      <c r="AQ405" s="8"/>
      <c r="AR405" s="8">
        <f t="shared" si="57"/>
        <v>0</v>
      </c>
      <c r="AS405" s="8">
        <f t="shared" si="58"/>
        <v>9300000</v>
      </c>
      <c r="AT405" s="8">
        <f t="shared" si="59"/>
        <v>6300000</v>
      </c>
      <c r="AU405" s="8">
        <f t="shared" si="60"/>
        <v>9300000</v>
      </c>
      <c r="AV405" s="4" t="s">
        <v>1858</v>
      </c>
      <c r="AW405" s="7" t="s">
        <v>1859</v>
      </c>
      <c r="AX405" s="5">
        <v>0</v>
      </c>
      <c r="AY405">
        <f t="shared" si="61"/>
        <v>9000000</v>
      </c>
      <c r="AZ405">
        <f t="shared" si="62"/>
        <v>300000</v>
      </c>
      <c r="BA405" s="5">
        <v>15600000</v>
      </c>
      <c r="BB405" s="5">
        <v>0</v>
      </c>
      <c r="BC405" s="4" t="s">
        <v>49</v>
      </c>
      <c r="BD405" s="4">
        <v>47112</v>
      </c>
      <c r="BE405" t="s">
        <v>54</v>
      </c>
    </row>
    <row r="406" spans="1:57" ht="270.75" thickBot="1" x14ac:dyDescent="0.3">
      <c r="A406" s="4" t="s">
        <v>1860</v>
      </c>
      <c r="B406" s="4">
        <v>1</v>
      </c>
      <c r="C406" s="5">
        <v>2</v>
      </c>
      <c r="D406" s="4" t="s">
        <v>44</v>
      </c>
      <c r="E406" s="6">
        <v>46208.57244650463</v>
      </c>
      <c r="F406" s="4" t="s">
        <v>1861</v>
      </c>
      <c r="G406" s="4" t="s">
        <v>46</v>
      </c>
      <c r="H406" s="4">
        <v>53</v>
      </c>
      <c r="I406" s="4" t="s">
        <v>47</v>
      </c>
      <c r="J406" s="4">
        <v>5309</v>
      </c>
      <c r="K406" s="4" t="s">
        <v>48</v>
      </c>
      <c r="L406" s="4">
        <v>5309011</v>
      </c>
      <c r="M406" s="4">
        <v>5309011011</v>
      </c>
      <c r="N406" s="4" t="s">
        <v>49</v>
      </c>
      <c r="O406" s="4">
        <v>47112</v>
      </c>
      <c r="P406" s="4" t="s">
        <v>1862</v>
      </c>
      <c r="Q406" s="5">
        <v>2</v>
      </c>
      <c r="R406" s="5">
        <v>0</v>
      </c>
      <c r="S406" s="5">
        <v>0</v>
      </c>
      <c r="T406" s="5">
        <v>9000000</v>
      </c>
      <c r="U406" s="5">
        <v>0</v>
      </c>
      <c r="V406" s="5">
        <v>0</v>
      </c>
      <c r="W406" s="5">
        <v>9000000</v>
      </c>
      <c r="X406" s="5">
        <v>11400000</v>
      </c>
      <c r="Y406" s="5">
        <v>0</v>
      </c>
      <c r="Z406" s="5">
        <f t="shared" si="54"/>
        <v>2400000</v>
      </c>
      <c r="AA406" s="5">
        <v>2350000</v>
      </c>
      <c r="AB406" s="5">
        <f t="shared" si="55"/>
        <v>2400000</v>
      </c>
      <c r="AC406" s="5" t="s">
        <v>1016</v>
      </c>
      <c r="AD406" s="4" t="s">
        <v>51</v>
      </c>
      <c r="AE406" s="5">
        <f t="shared" si="56"/>
        <v>1</v>
      </c>
      <c r="AF406" s="5">
        <v>1200000</v>
      </c>
      <c r="AG406" s="5">
        <v>1</v>
      </c>
      <c r="AH406" s="5">
        <v>1</v>
      </c>
      <c r="AI406" s="5">
        <v>1</v>
      </c>
      <c r="AJ406" s="7" t="s">
        <v>1863</v>
      </c>
      <c r="AK406" s="5">
        <v>0</v>
      </c>
      <c r="AL406" s="5">
        <v>0</v>
      </c>
      <c r="AM406" s="4">
        <v>2019</v>
      </c>
      <c r="AN406" s="5">
        <v>0</v>
      </c>
      <c r="AO406" s="5">
        <v>2</v>
      </c>
      <c r="AP406" s="8"/>
      <c r="AQ406" s="8"/>
      <c r="AR406" s="8">
        <f t="shared" si="57"/>
        <v>0</v>
      </c>
      <c r="AS406" s="8">
        <f t="shared" si="58"/>
        <v>0</v>
      </c>
      <c r="AT406" s="8">
        <f t="shared" si="59"/>
        <v>1776000</v>
      </c>
      <c r="AU406" s="8">
        <f t="shared" si="60"/>
        <v>624000</v>
      </c>
      <c r="AV406" s="4" t="s">
        <v>1862</v>
      </c>
      <c r="AW406" s="7" t="s">
        <v>1863</v>
      </c>
      <c r="AX406" s="5">
        <v>9000000</v>
      </c>
      <c r="AY406" t="e">
        <f t="shared" si="61"/>
        <v>#DIV/0!</v>
      </c>
      <c r="AZ406" t="e">
        <f t="shared" si="62"/>
        <v>#DIV/0!</v>
      </c>
      <c r="BA406" s="5">
        <v>11400000</v>
      </c>
      <c r="BB406" s="5">
        <v>0</v>
      </c>
      <c r="BC406" s="4" t="s">
        <v>49</v>
      </c>
      <c r="BD406" s="4">
        <v>47112</v>
      </c>
      <c r="BE406" t="s">
        <v>54</v>
      </c>
    </row>
    <row r="407" spans="1:57" ht="270.75" thickBot="1" x14ac:dyDescent="0.3">
      <c r="A407" s="4" t="s">
        <v>1864</v>
      </c>
      <c r="B407" s="4">
        <v>1002</v>
      </c>
      <c r="C407" s="5">
        <v>2</v>
      </c>
      <c r="D407" s="4" t="s">
        <v>44</v>
      </c>
      <c r="E407" s="6">
        <v>46241.886490868055</v>
      </c>
      <c r="F407" s="4" t="s">
        <v>1865</v>
      </c>
      <c r="G407" s="4" t="s">
        <v>46</v>
      </c>
      <c r="H407" s="4">
        <v>53</v>
      </c>
      <c r="I407" s="4" t="s">
        <v>47</v>
      </c>
      <c r="J407" s="4">
        <v>5309</v>
      </c>
      <c r="K407" s="4" t="s">
        <v>48</v>
      </c>
      <c r="L407" s="4">
        <v>5309071</v>
      </c>
      <c r="M407" s="4">
        <v>5309071006</v>
      </c>
      <c r="N407" s="4" t="s">
        <v>49</v>
      </c>
      <c r="O407" s="4">
        <v>47112</v>
      </c>
      <c r="P407" s="4" t="s">
        <v>1866</v>
      </c>
      <c r="Q407" s="5">
        <v>1</v>
      </c>
      <c r="R407" s="5">
        <v>0</v>
      </c>
      <c r="S407" s="5">
        <v>0</v>
      </c>
      <c r="T407" s="5">
        <v>2000000</v>
      </c>
      <c r="U407" s="5">
        <v>200000</v>
      </c>
      <c r="V407" s="5">
        <v>0</v>
      </c>
      <c r="W407" s="5">
        <v>2200000</v>
      </c>
      <c r="X407" s="5">
        <v>3000000</v>
      </c>
      <c r="Y407" s="5">
        <v>0</v>
      </c>
      <c r="Z407" s="5">
        <f t="shared" si="54"/>
        <v>800000</v>
      </c>
      <c r="AA407" s="5">
        <v>15300000</v>
      </c>
      <c r="AB407" s="5">
        <f t="shared" si="55"/>
        <v>1000000</v>
      </c>
      <c r="AC407" s="5" t="s">
        <v>102</v>
      </c>
      <c r="AD407" s="4" t="s">
        <v>51</v>
      </c>
      <c r="AE407" s="5">
        <f t="shared" si="56"/>
        <v>0.8</v>
      </c>
      <c r="AF407" s="5">
        <v>1000000</v>
      </c>
      <c r="AG407" s="5">
        <v>1</v>
      </c>
      <c r="AH407" s="5">
        <v>1</v>
      </c>
      <c r="AI407" s="5">
        <v>1</v>
      </c>
      <c r="AJ407" s="7" t="s">
        <v>1867</v>
      </c>
      <c r="AK407" s="5">
        <v>0</v>
      </c>
      <c r="AL407" s="5">
        <v>0</v>
      </c>
      <c r="AM407" s="4">
        <v>2010</v>
      </c>
      <c r="AN407" s="5">
        <v>0</v>
      </c>
      <c r="AO407" s="5">
        <v>1</v>
      </c>
      <c r="AP407" s="8"/>
      <c r="AQ407" s="8"/>
      <c r="AR407" s="8">
        <f t="shared" si="57"/>
        <v>0</v>
      </c>
      <c r="AS407" s="8">
        <f t="shared" si="58"/>
        <v>200000</v>
      </c>
      <c r="AT407" s="8">
        <f t="shared" si="59"/>
        <v>740000</v>
      </c>
      <c r="AU407" s="8">
        <f t="shared" si="60"/>
        <v>260000</v>
      </c>
      <c r="AV407" s="4" t="s">
        <v>1866</v>
      </c>
      <c r="AW407" s="7" t="s">
        <v>1867</v>
      </c>
      <c r="AX407" s="5">
        <v>2000000</v>
      </c>
      <c r="AY407">
        <f t="shared" si="61"/>
        <v>0</v>
      </c>
      <c r="AZ407">
        <f t="shared" si="62"/>
        <v>260000</v>
      </c>
      <c r="BA407" s="5">
        <v>3000000</v>
      </c>
      <c r="BB407" s="5">
        <v>0</v>
      </c>
      <c r="BC407" s="4" t="s">
        <v>49</v>
      </c>
      <c r="BD407" s="4">
        <v>47112</v>
      </c>
      <c r="BE407" t="s">
        <v>54</v>
      </c>
    </row>
    <row r="408" spans="1:57" ht="270.75" thickBot="1" x14ac:dyDescent="0.3">
      <c r="A408" s="4" t="s">
        <v>1868</v>
      </c>
      <c r="B408" s="4">
        <v>2001</v>
      </c>
      <c r="C408" s="5">
        <v>2</v>
      </c>
      <c r="D408" s="4" t="s">
        <v>44</v>
      </c>
      <c r="E408" s="6">
        <v>46264.307521516203</v>
      </c>
      <c r="F408" s="4" t="s">
        <v>1869</v>
      </c>
      <c r="G408" s="4" t="s">
        <v>46</v>
      </c>
      <c r="H408" s="4">
        <v>53</v>
      </c>
      <c r="I408" s="4" t="s">
        <v>47</v>
      </c>
      <c r="J408" s="4">
        <v>5309</v>
      </c>
      <c r="K408" s="4" t="s">
        <v>48</v>
      </c>
      <c r="L408" s="4">
        <v>5309061</v>
      </c>
      <c r="M408" s="4">
        <v>5309061010</v>
      </c>
      <c r="N408" s="4" t="s">
        <v>49</v>
      </c>
      <c r="O408" s="4">
        <v>47112</v>
      </c>
      <c r="P408" s="4" t="s">
        <v>1870</v>
      </c>
      <c r="Q408" s="5">
        <v>1</v>
      </c>
      <c r="R408" s="5">
        <v>0</v>
      </c>
      <c r="S408" s="5">
        <v>1000000</v>
      </c>
      <c r="T408" s="5">
        <v>12000000</v>
      </c>
      <c r="U408" s="5">
        <v>1000000</v>
      </c>
      <c r="V408" s="5">
        <v>0</v>
      </c>
      <c r="W408" s="5">
        <v>14000000</v>
      </c>
      <c r="X408" s="5">
        <v>24000000</v>
      </c>
      <c r="Y408" s="5">
        <v>0</v>
      </c>
      <c r="Z408" s="5">
        <f t="shared" si="54"/>
        <v>10000000</v>
      </c>
      <c r="AA408" s="5">
        <v>500000</v>
      </c>
      <c r="AB408" s="5">
        <f t="shared" si="55"/>
        <v>12000000</v>
      </c>
      <c r="AC408" s="5" t="s">
        <v>93</v>
      </c>
      <c r="AD408" s="4" t="s">
        <v>51</v>
      </c>
      <c r="AE408" s="5">
        <f t="shared" si="56"/>
        <v>0.83333333333333337</v>
      </c>
      <c r="AF408" s="5">
        <v>12000000</v>
      </c>
      <c r="AG408" s="5">
        <v>1</v>
      </c>
      <c r="AH408" s="5">
        <v>1</v>
      </c>
      <c r="AI408" s="5">
        <v>1</v>
      </c>
      <c r="AJ408" s="7" t="s">
        <v>1871</v>
      </c>
      <c r="AK408" s="5">
        <v>0</v>
      </c>
      <c r="AL408" s="5">
        <v>0</v>
      </c>
      <c r="AM408" s="4">
        <v>2012</v>
      </c>
      <c r="AN408" s="5">
        <v>0</v>
      </c>
      <c r="AO408" s="5">
        <v>1</v>
      </c>
      <c r="AP408" s="8"/>
      <c r="AQ408" s="8"/>
      <c r="AR408" s="8">
        <f t="shared" si="57"/>
        <v>0</v>
      </c>
      <c r="AS408" s="8">
        <f t="shared" si="58"/>
        <v>2000000</v>
      </c>
      <c r="AT408" s="8">
        <f t="shared" si="59"/>
        <v>8880000</v>
      </c>
      <c r="AU408" s="8">
        <f t="shared" si="60"/>
        <v>3120000</v>
      </c>
      <c r="AV408" s="4" t="s">
        <v>1870</v>
      </c>
      <c r="AW408" s="7" t="s">
        <v>1871</v>
      </c>
      <c r="AX408" s="5">
        <v>12000000</v>
      </c>
      <c r="AY408">
        <f t="shared" si="61"/>
        <v>1560000</v>
      </c>
      <c r="AZ408">
        <f t="shared" si="62"/>
        <v>1560000</v>
      </c>
      <c r="BA408" s="5">
        <v>24000000</v>
      </c>
      <c r="BB408" s="5">
        <v>0</v>
      </c>
      <c r="BC408" s="4" t="s">
        <v>49</v>
      </c>
      <c r="BD408" s="4">
        <v>47112</v>
      </c>
      <c r="BE408" t="s">
        <v>54</v>
      </c>
    </row>
    <row r="409" spans="1:57" ht="270.75" thickBot="1" x14ac:dyDescent="0.3">
      <c r="A409" s="4" t="s">
        <v>1872</v>
      </c>
      <c r="B409" s="4">
        <v>1001</v>
      </c>
      <c r="C409" s="5">
        <v>2</v>
      </c>
      <c r="D409" s="4" t="s">
        <v>44</v>
      </c>
      <c r="E409" s="6">
        <v>46278.862731550929</v>
      </c>
      <c r="F409" s="4" t="s">
        <v>1873</v>
      </c>
      <c r="G409" s="4" t="s">
        <v>46</v>
      </c>
      <c r="H409" s="4">
        <v>53</v>
      </c>
      <c r="I409" s="4" t="s">
        <v>47</v>
      </c>
      <c r="J409" s="4">
        <v>5309</v>
      </c>
      <c r="K409" s="4" t="s">
        <v>48</v>
      </c>
      <c r="L409" s="4">
        <v>5309030</v>
      </c>
      <c r="M409" s="4">
        <v>5309030011</v>
      </c>
      <c r="N409" s="4" t="s">
        <v>49</v>
      </c>
      <c r="O409" s="4">
        <v>47112</v>
      </c>
      <c r="P409" s="4" t="s">
        <v>1874</v>
      </c>
      <c r="Q409" s="5">
        <v>1</v>
      </c>
      <c r="R409" s="5">
        <v>0</v>
      </c>
      <c r="S409" s="5">
        <v>4500000</v>
      </c>
      <c r="T409" s="5">
        <v>3000000</v>
      </c>
      <c r="U409" s="5">
        <v>400000</v>
      </c>
      <c r="V409" s="5">
        <v>0</v>
      </c>
      <c r="W409" s="5">
        <v>7900000</v>
      </c>
      <c r="X409" s="5">
        <v>15450000</v>
      </c>
      <c r="Y409" s="5">
        <v>0</v>
      </c>
      <c r="Z409" s="5">
        <f t="shared" si="54"/>
        <v>7550000</v>
      </c>
      <c r="AA409" s="5">
        <v>128500000</v>
      </c>
      <c r="AB409" s="5">
        <f t="shared" si="55"/>
        <v>12450000</v>
      </c>
      <c r="AC409" s="5" t="s">
        <v>1875</v>
      </c>
      <c r="AD409" s="4" t="s">
        <v>51</v>
      </c>
      <c r="AE409" s="5">
        <f t="shared" si="56"/>
        <v>0.60642570281124497</v>
      </c>
      <c r="AF409" s="5">
        <v>12450000</v>
      </c>
      <c r="AG409" s="5">
        <v>1</v>
      </c>
      <c r="AH409" s="5">
        <v>1</v>
      </c>
      <c r="AI409" s="5">
        <v>1</v>
      </c>
      <c r="AJ409" s="7" t="s">
        <v>1876</v>
      </c>
      <c r="AK409" s="5">
        <v>0</v>
      </c>
      <c r="AL409" s="5">
        <v>0</v>
      </c>
      <c r="AM409" s="4">
        <v>2015</v>
      </c>
      <c r="AN409" s="5">
        <v>0</v>
      </c>
      <c r="AO409" s="5">
        <v>1</v>
      </c>
      <c r="AP409" s="8"/>
      <c r="AQ409" s="8"/>
      <c r="AR409" s="8">
        <f t="shared" si="57"/>
        <v>0</v>
      </c>
      <c r="AS409" s="8">
        <f t="shared" si="58"/>
        <v>4900000</v>
      </c>
      <c r="AT409" s="8">
        <f t="shared" si="59"/>
        <v>7550000</v>
      </c>
      <c r="AU409" s="8">
        <f t="shared" si="60"/>
        <v>4900000</v>
      </c>
      <c r="AV409" s="4" t="s">
        <v>1874</v>
      </c>
      <c r="AW409" s="7" t="s">
        <v>1876</v>
      </c>
      <c r="AX409" s="5">
        <v>3000000</v>
      </c>
      <c r="AY409">
        <f t="shared" si="61"/>
        <v>4500000</v>
      </c>
      <c r="AZ409">
        <f t="shared" si="62"/>
        <v>400000</v>
      </c>
      <c r="BA409" s="5">
        <v>15450000</v>
      </c>
      <c r="BB409" s="5">
        <v>0</v>
      </c>
      <c r="BC409" s="4" t="s">
        <v>49</v>
      </c>
      <c r="BD409" s="4">
        <v>47112</v>
      </c>
      <c r="BE409" t="s">
        <v>54</v>
      </c>
    </row>
    <row r="410" spans="1:57" ht="270.75" thickBot="1" x14ac:dyDescent="0.3">
      <c r="A410" s="4" t="s">
        <v>1877</v>
      </c>
      <c r="B410" s="4">
        <v>3001</v>
      </c>
      <c r="C410" s="5">
        <v>2</v>
      </c>
      <c r="D410" s="4" t="s">
        <v>56</v>
      </c>
      <c r="E410" s="6">
        <v>46225.881095891207</v>
      </c>
      <c r="F410" s="4" t="s">
        <v>1878</v>
      </c>
      <c r="G410" s="4" t="s">
        <v>46</v>
      </c>
      <c r="H410" s="4">
        <v>53</v>
      </c>
      <c r="I410" s="4" t="s">
        <v>47</v>
      </c>
      <c r="J410" s="4">
        <v>5309</v>
      </c>
      <c r="K410" s="4" t="s">
        <v>48</v>
      </c>
      <c r="L410" s="4">
        <v>5309032</v>
      </c>
      <c r="M410" s="4">
        <v>5309032001</v>
      </c>
      <c r="N410" s="4" t="s">
        <v>49</v>
      </c>
      <c r="O410" s="4">
        <v>47112</v>
      </c>
      <c r="P410" s="4" t="s">
        <v>1879</v>
      </c>
      <c r="Q410" s="5">
        <v>2</v>
      </c>
      <c r="R410" s="5">
        <v>0</v>
      </c>
      <c r="S410" s="5">
        <v>5000000</v>
      </c>
      <c r="T410" s="5">
        <v>5500000</v>
      </c>
      <c r="U410" s="5">
        <v>250000</v>
      </c>
      <c r="V410" s="5">
        <v>80000</v>
      </c>
      <c r="W410" s="5">
        <v>10830000</v>
      </c>
      <c r="X410" s="5">
        <v>14250000</v>
      </c>
      <c r="Y410" s="5">
        <v>0</v>
      </c>
      <c r="Z410" s="5">
        <f t="shared" si="54"/>
        <v>3500000</v>
      </c>
      <c r="AA410" s="5">
        <v>9000000</v>
      </c>
      <c r="AB410" s="5">
        <f t="shared" si="55"/>
        <v>8750000</v>
      </c>
      <c r="AC410" s="5" t="s">
        <v>1880</v>
      </c>
      <c r="AD410" s="4" t="s">
        <v>51</v>
      </c>
      <c r="AE410" s="5">
        <f t="shared" si="56"/>
        <v>0.4</v>
      </c>
      <c r="AF410" s="5">
        <v>4375000</v>
      </c>
      <c r="AG410" s="5">
        <v>1</v>
      </c>
      <c r="AH410" s="5">
        <v>1</v>
      </c>
      <c r="AI410" s="5">
        <v>1</v>
      </c>
      <c r="AJ410" s="7" t="s">
        <v>1881</v>
      </c>
      <c r="AK410" s="5">
        <v>0</v>
      </c>
      <c r="AL410" s="5">
        <v>0</v>
      </c>
      <c r="AM410" s="4">
        <v>2024</v>
      </c>
      <c r="AN410" s="5">
        <v>0</v>
      </c>
      <c r="AO410" s="5">
        <v>2</v>
      </c>
      <c r="AP410" s="8"/>
      <c r="AQ410" s="8"/>
      <c r="AR410" s="8">
        <f t="shared" si="57"/>
        <v>0</v>
      </c>
      <c r="AS410" s="8">
        <f t="shared" si="58"/>
        <v>5250000</v>
      </c>
      <c r="AT410" s="8">
        <f t="shared" si="59"/>
        <v>3500000</v>
      </c>
      <c r="AU410" s="8">
        <f t="shared" si="60"/>
        <v>5250000</v>
      </c>
      <c r="AV410" s="4" t="s">
        <v>1879</v>
      </c>
      <c r="AW410" s="7" t="s">
        <v>1881</v>
      </c>
      <c r="AX410" s="5">
        <v>5500000</v>
      </c>
      <c r="AY410">
        <f t="shared" si="61"/>
        <v>5000000</v>
      </c>
      <c r="AZ410">
        <f t="shared" si="62"/>
        <v>250000</v>
      </c>
      <c r="BA410" s="5">
        <v>14250000</v>
      </c>
      <c r="BB410" s="5">
        <v>0</v>
      </c>
      <c r="BC410" s="4" t="s">
        <v>49</v>
      </c>
      <c r="BD410" s="4">
        <v>47112</v>
      </c>
      <c r="BE410" t="s">
        <v>54</v>
      </c>
    </row>
    <row r="411" spans="1:57" ht="270.75" thickBot="1" x14ac:dyDescent="0.3">
      <c r="A411" s="4" t="s">
        <v>1882</v>
      </c>
      <c r="B411" s="4">
        <v>2001</v>
      </c>
      <c r="C411" s="5">
        <v>2</v>
      </c>
      <c r="D411" s="4" t="s">
        <v>44</v>
      </c>
      <c r="E411" s="6">
        <v>46253.354462488423</v>
      </c>
      <c r="F411" s="4" t="s">
        <v>1883</v>
      </c>
      <c r="G411" s="4" t="s">
        <v>46</v>
      </c>
      <c r="H411" s="4">
        <v>53</v>
      </c>
      <c r="I411" s="4" t="s">
        <v>47</v>
      </c>
      <c r="J411" s="4">
        <v>5309</v>
      </c>
      <c r="K411" s="4" t="s">
        <v>48</v>
      </c>
      <c r="L411" s="4">
        <v>5309060</v>
      </c>
      <c r="M411" s="4">
        <v>5309060020</v>
      </c>
      <c r="N411" s="4" t="s">
        <v>49</v>
      </c>
      <c r="O411" s="4">
        <v>47112</v>
      </c>
      <c r="P411" s="4" t="s">
        <v>1884</v>
      </c>
      <c r="Q411" s="5">
        <v>2</v>
      </c>
      <c r="R411" s="5">
        <v>0</v>
      </c>
      <c r="S411" s="5">
        <v>0</v>
      </c>
      <c r="T411" s="5">
        <v>72000000</v>
      </c>
      <c r="U411" s="5">
        <v>4800000</v>
      </c>
      <c r="V411" s="5">
        <v>0</v>
      </c>
      <c r="W411" s="5">
        <v>76800000</v>
      </c>
      <c r="X411" s="5">
        <v>96000000</v>
      </c>
      <c r="Y411" s="5">
        <v>0</v>
      </c>
      <c r="Z411" s="5">
        <f t="shared" si="54"/>
        <v>19200000</v>
      </c>
      <c r="AA411" s="5">
        <v>0</v>
      </c>
      <c r="AB411" s="5">
        <f t="shared" si="55"/>
        <v>24000000</v>
      </c>
      <c r="AC411" s="5" t="s">
        <v>255</v>
      </c>
      <c r="AD411" s="4" t="s">
        <v>51</v>
      </c>
      <c r="AE411" s="5">
        <f t="shared" si="56"/>
        <v>0.8</v>
      </c>
      <c r="AF411" s="5">
        <v>12000000</v>
      </c>
      <c r="AG411" s="4"/>
      <c r="AH411" s="5">
        <v>1</v>
      </c>
      <c r="AI411" s="5">
        <v>1</v>
      </c>
      <c r="AJ411" s="7" t="s">
        <v>1885</v>
      </c>
      <c r="AK411" s="5">
        <v>0</v>
      </c>
      <c r="AL411" s="5">
        <v>0</v>
      </c>
      <c r="AM411" s="4">
        <v>2026</v>
      </c>
      <c r="AN411" s="5">
        <v>0</v>
      </c>
      <c r="AO411" s="5">
        <v>2</v>
      </c>
      <c r="AP411" s="8"/>
      <c r="AQ411" s="8"/>
      <c r="AR411" s="8">
        <f t="shared" si="57"/>
        <v>0</v>
      </c>
      <c r="AS411" s="8">
        <f t="shared" si="58"/>
        <v>4800000</v>
      </c>
      <c r="AT411" s="8">
        <f t="shared" si="59"/>
        <v>17760000</v>
      </c>
      <c r="AU411" s="8">
        <f t="shared" si="60"/>
        <v>6240000</v>
      </c>
      <c r="AV411" s="4" t="s">
        <v>1884</v>
      </c>
      <c r="AW411" s="7" t="s">
        <v>1885</v>
      </c>
      <c r="AX411" s="5">
        <v>72000000</v>
      </c>
      <c r="AY411">
        <f t="shared" si="61"/>
        <v>0</v>
      </c>
      <c r="AZ411">
        <f t="shared" si="62"/>
        <v>6240000</v>
      </c>
      <c r="BA411" s="5">
        <v>96000000</v>
      </c>
      <c r="BB411" s="5">
        <v>0</v>
      </c>
      <c r="BC411" s="4" t="s">
        <v>49</v>
      </c>
      <c r="BD411" s="4">
        <v>47112</v>
      </c>
      <c r="BE411" t="s">
        <v>54</v>
      </c>
    </row>
    <row r="412" spans="1:57" ht="270.75" thickBot="1" x14ac:dyDescent="0.3">
      <c r="A412" s="4" t="s">
        <v>1886</v>
      </c>
      <c r="B412" s="4">
        <v>2001</v>
      </c>
      <c r="C412" s="5">
        <v>2</v>
      </c>
      <c r="D412" s="4" t="s">
        <v>44</v>
      </c>
      <c r="E412" s="6">
        <v>46246.081465069445</v>
      </c>
      <c r="F412" s="4" t="s">
        <v>1887</v>
      </c>
      <c r="G412" s="4" t="s">
        <v>46</v>
      </c>
      <c r="H412" s="4">
        <v>53</v>
      </c>
      <c r="I412" s="4" t="s">
        <v>47</v>
      </c>
      <c r="J412" s="4">
        <v>5309</v>
      </c>
      <c r="K412" s="4" t="s">
        <v>48</v>
      </c>
      <c r="L412" s="4">
        <v>5309031</v>
      </c>
      <c r="M412" s="4">
        <v>5309031006</v>
      </c>
      <c r="N412" s="4" t="s">
        <v>49</v>
      </c>
      <c r="O412" s="4">
        <v>47112</v>
      </c>
      <c r="P412" s="4" t="s">
        <v>1888</v>
      </c>
      <c r="Q412" s="5">
        <v>1</v>
      </c>
      <c r="R412" s="5">
        <v>0</v>
      </c>
      <c r="S412" s="5">
        <v>100000</v>
      </c>
      <c r="T412" s="5">
        <v>10000000</v>
      </c>
      <c r="U412" s="5">
        <v>105000</v>
      </c>
      <c r="V412" s="5">
        <v>16000</v>
      </c>
      <c r="W412" s="5">
        <v>10221000</v>
      </c>
      <c r="X412" s="5">
        <v>25000000</v>
      </c>
      <c r="Y412" s="5">
        <v>0</v>
      </c>
      <c r="Z412" s="5">
        <f t="shared" si="54"/>
        <v>14795000</v>
      </c>
      <c r="AA412" s="5">
        <v>24000000</v>
      </c>
      <c r="AB412" s="5">
        <f t="shared" si="55"/>
        <v>15000000</v>
      </c>
      <c r="AC412" s="5" t="s">
        <v>167</v>
      </c>
      <c r="AD412" s="4" t="s">
        <v>51</v>
      </c>
      <c r="AE412" s="5">
        <f t="shared" si="56"/>
        <v>0.98633333333333328</v>
      </c>
      <c r="AF412" s="5">
        <v>15000000</v>
      </c>
      <c r="AG412" s="5">
        <v>1</v>
      </c>
      <c r="AH412" s="5">
        <v>1</v>
      </c>
      <c r="AI412" s="5">
        <v>1</v>
      </c>
      <c r="AJ412" s="7" t="s">
        <v>1889</v>
      </c>
      <c r="AK412" s="5">
        <v>0</v>
      </c>
      <c r="AL412" s="5">
        <v>0</v>
      </c>
      <c r="AM412" s="4">
        <v>2024</v>
      </c>
      <c r="AN412" s="5">
        <v>0</v>
      </c>
      <c r="AO412" s="5">
        <v>1</v>
      </c>
      <c r="AP412" s="8"/>
      <c r="AQ412" s="8"/>
      <c r="AR412" s="8">
        <f t="shared" si="57"/>
        <v>0</v>
      </c>
      <c r="AS412" s="8">
        <f t="shared" si="58"/>
        <v>205000</v>
      </c>
      <c r="AT412" s="8">
        <f t="shared" si="59"/>
        <v>11100000</v>
      </c>
      <c r="AU412" s="8">
        <f t="shared" si="60"/>
        <v>3900000</v>
      </c>
      <c r="AV412" s="4" t="s">
        <v>1888</v>
      </c>
      <c r="AW412" s="7" t="s">
        <v>1889</v>
      </c>
      <c r="AX412" s="5">
        <v>10000000</v>
      </c>
      <c r="AY412">
        <f t="shared" si="61"/>
        <v>1902439.0243902439</v>
      </c>
      <c r="AZ412">
        <f t="shared" si="62"/>
        <v>1997560.9756097561</v>
      </c>
      <c r="BA412" s="5">
        <v>25000000</v>
      </c>
      <c r="BB412" s="5">
        <v>0</v>
      </c>
      <c r="BC412" s="4" t="s">
        <v>49</v>
      </c>
      <c r="BD412" s="4">
        <v>47112</v>
      </c>
      <c r="BE412" t="s">
        <v>54</v>
      </c>
    </row>
    <row r="413" spans="1:57" ht="270.75" thickBot="1" x14ac:dyDescent="0.3">
      <c r="A413" s="4" t="s">
        <v>1890</v>
      </c>
      <c r="B413" s="4">
        <v>1001</v>
      </c>
      <c r="C413" s="5">
        <v>2</v>
      </c>
      <c r="D413" s="4" t="s">
        <v>44</v>
      </c>
      <c r="E413" s="6">
        <v>46266.607659502311</v>
      </c>
      <c r="F413" s="4" t="s">
        <v>1891</v>
      </c>
      <c r="G413" s="4" t="s">
        <v>46</v>
      </c>
      <c r="H413" s="4">
        <v>53</v>
      </c>
      <c r="I413" s="4" t="s">
        <v>47</v>
      </c>
      <c r="J413" s="4">
        <v>5309</v>
      </c>
      <c r="K413" s="4" t="s">
        <v>48</v>
      </c>
      <c r="L413" s="4">
        <v>5309074</v>
      </c>
      <c r="M413" s="4">
        <v>5309074004</v>
      </c>
      <c r="N413" s="4" t="s">
        <v>49</v>
      </c>
      <c r="O413" s="4">
        <v>47112</v>
      </c>
      <c r="P413" s="4" t="s">
        <v>1892</v>
      </c>
      <c r="Q413" s="5">
        <v>1</v>
      </c>
      <c r="R413" s="5">
        <v>0</v>
      </c>
      <c r="S413" s="5">
        <v>650000</v>
      </c>
      <c r="T413" s="5">
        <v>15000000</v>
      </c>
      <c r="U413" s="5">
        <v>500000</v>
      </c>
      <c r="V413" s="5">
        <v>0</v>
      </c>
      <c r="W413" s="5">
        <v>16150000</v>
      </c>
      <c r="X413" s="5">
        <v>25000000</v>
      </c>
      <c r="Y413" s="5">
        <v>0</v>
      </c>
      <c r="Z413" s="5">
        <f t="shared" si="54"/>
        <v>8850000</v>
      </c>
      <c r="AA413" s="5">
        <v>5500000</v>
      </c>
      <c r="AB413" s="5">
        <f t="shared" si="55"/>
        <v>10000000</v>
      </c>
      <c r="AC413" s="5" t="s">
        <v>100</v>
      </c>
      <c r="AD413" s="4" t="s">
        <v>51</v>
      </c>
      <c r="AE413" s="5">
        <f t="shared" si="56"/>
        <v>0.88500000000000001</v>
      </c>
      <c r="AF413" s="5">
        <v>10000000</v>
      </c>
      <c r="AG413" s="5">
        <v>1</v>
      </c>
      <c r="AH413" s="5">
        <v>1</v>
      </c>
      <c r="AI413" s="5">
        <v>1</v>
      </c>
      <c r="AJ413" s="7" t="s">
        <v>1893</v>
      </c>
      <c r="AK413" s="5">
        <v>0</v>
      </c>
      <c r="AL413" s="5">
        <v>0</v>
      </c>
      <c r="AM413" s="4">
        <v>2023</v>
      </c>
      <c r="AN413" s="5">
        <v>0</v>
      </c>
      <c r="AO413" s="5">
        <v>1</v>
      </c>
      <c r="AP413" s="8"/>
      <c r="AQ413" s="8"/>
      <c r="AR413" s="8">
        <f t="shared" si="57"/>
        <v>0</v>
      </c>
      <c r="AS413" s="8">
        <f t="shared" si="58"/>
        <v>1150000</v>
      </c>
      <c r="AT413" s="8">
        <f t="shared" si="59"/>
        <v>7400000</v>
      </c>
      <c r="AU413" s="8">
        <f t="shared" si="60"/>
        <v>2600000</v>
      </c>
      <c r="AV413" s="4" t="s">
        <v>1892</v>
      </c>
      <c r="AW413" s="7" t="s">
        <v>1893</v>
      </c>
      <c r="AX413" s="5">
        <v>15000000</v>
      </c>
      <c r="AY413">
        <f t="shared" si="61"/>
        <v>1469565.2173913044</v>
      </c>
      <c r="AZ413">
        <f t="shared" si="62"/>
        <v>1130434.7826086956</v>
      </c>
      <c r="BA413" s="5">
        <v>25000000</v>
      </c>
      <c r="BB413" s="5">
        <v>0</v>
      </c>
      <c r="BC413" s="4" t="s">
        <v>49</v>
      </c>
      <c r="BD413" s="4">
        <v>47112</v>
      </c>
      <c r="BE413" t="s">
        <v>54</v>
      </c>
    </row>
    <row r="414" spans="1:57" ht="270.75" thickBot="1" x14ac:dyDescent="0.3">
      <c r="A414" s="4" t="s">
        <v>1894</v>
      </c>
      <c r="B414" s="4">
        <v>1001</v>
      </c>
      <c r="C414" s="5">
        <v>2</v>
      </c>
      <c r="D414" s="4" t="s">
        <v>44</v>
      </c>
      <c r="E414" s="6">
        <v>46255.890576990743</v>
      </c>
      <c r="F414" s="4" t="s">
        <v>1895</v>
      </c>
      <c r="G414" s="4" t="s">
        <v>46</v>
      </c>
      <c r="H414" s="4">
        <v>53</v>
      </c>
      <c r="I414" s="4" t="s">
        <v>47</v>
      </c>
      <c r="J414" s="4">
        <v>5309</v>
      </c>
      <c r="K414" s="4" t="s">
        <v>48</v>
      </c>
      <c r="L414" s="4">
        <v>5309041</v>
      </c>
      <c r="M414" s="4">
        <v>5309041001</v>
      </c>
      <c r="N414" s="4" t="s">
        <v>49</v>
      </c>
      <c r="O414" s="4">
        <v>47112</v>
      </c>
      <c r="P414" s="4" t="s">
        <v>1896</v>
      </c>
      <c r="Q414" s="5">
        <v>7</v>
      </c>
      <c r="R414" s="5">
        <v>108000000</v>
      </c>
      <c r="S414" s="5">
        <v>3000000</v>
      </c>
      <c r="T414" s="5">
        <v>75000000</v>
      </c>
      <c r="U414" s="5">
        <v>20000000</v>
      </c>
      <c r="V414" s="5">
        <v>250000</v>
      </c>
      <c r="W414" s="5">
        <v>206250000</v>
      </c>
      <c r="X414" s="5">
        <v>260000000</v>
      </c>
      <c r="Y414" s="5">
        <v>0</v>
      </c>
      <c r="Z414" s="5">
        <f t="shared" si="54"/>
        <v>162000000</v>
      </c>
      <c r="AA414" s="5">
        <v>250000000</v>
      </c>
      <c r="AB414" s="5">
        <f t="shared" si="55"/>
        <v>185000000</v>
      </c>
      <c r="AC414" s="5" t="s">
        <v>1897</v>
      </c>
      <c r="AD414" s="4" t="s">
        <v>51</v>
      </c>
      <c r="AE414" s="5">
        <f t="shared" si="56"/>
        <v>0.87567567567567572</v>
      </c>
      <c r="AF414" s="5" t="s">
        <v>1898</v>
      </c>
      <c r="AG414" s="5">
        <v>1</v>
      </c>
      <c r="AH414" s="5">
        <v>1</v>
      </c>
      <c r="AI414" s="5">
        <v>1</v>
      </c>
      <c r="AJ414" s="7" t="s">
        <v>1899</v>
      </c>
      <c r="AK414" s="5">
        <v>0</v>
      </c>
      <c r="AL414" s="5">
        <v>0</v>
      </c>
      <c r="AM414" s="4">
        <v>2017</v>
      </c>
      <c r="AN414" s="5">
        <v>6</v>
      </c>
      <c r="AO414" s="5">
        <v>1</v>
      </c>
      <c r="AP414" s="8"/>
      <c r="AQ414" s="8"/>
      <c r="AR414" s="8">
        <f t="shared" si="57"/>
        <v>0</v>
      </c>
      <c r="AS414" s="8">
        <f t="shared" si="58"/>
        <v>23000000</v>
      </c>
      <c r="AT414" s="8">
        <f t="shared" si="59"/>
        <v>136900000</v>
      </c>
      <c r="AU414" s="8">
        <f t="shared" si="60"/>
        <v>48100000</v>
      </c>
      <c r="AV414" s="4" t="s">
        <v>1896</v>
      </c>
      <c r="AW414" s="7" t="s">
        <v>1899</v>
      </c>
      <c r="AX414" s="5">
        <v>75000000</v>
      </c>
      <c r="AY414">
        <f t="shared" si="61"/>
        <v>6273913.043478258</v>
      </c>
      <c r="AZ414">
        <f t="shared" si="62"/>
        <v>41826086.956521742</v>
      </c>
      <c r="BA414" s="5">
        <v>260000000</v>
      </c>
      <c r="BB414" s="5">
        <v>0</v>
      </c>
      <c r="BC414" s="4" t="s">
        <v>49</v>
      </c>
      <c r="BD414" s="4">
        <v>47112</v>
      </c>
      <c r="BE414" t="s">
        <v>54</v>
      </c>
    </row>
    <row r="415" spans="1:57" ht="270.75" thickBot="1" x14ac:dyDescent="0.3">
      <c r="A415" s="4" t="s">
        <v>1900</v>
      </c>
      <c r="B415" s="4">
        <v>1</v>
      </c>
      <c r="C415" s="5">
        <v>2</v>
      </c>
      <c r="D415" s="4" t="s">
        <v>44</v>
      </c>
      <c r="E415" s="9">
        <v>46240.185243055559</v>
      </c>
      <c r="F415" s="4" t="s">
        <v>1901</v>
      </c>
      <c r="G415" s="4" t="s">
        <v>46</v>
      </c>
      <c r="H415" s="4">
        <v>53</v>
      </c>
      <c r="I415" s="4" t="s">
        <v>47</v>
      </c>
      <c r="J415" s="4">
        <v>5309</v>
      </c>
      <c r="K415" s="4" t="s">
        <v>48</v>
      </c>
      <c r="L415" s="4">
        <v>5309074</v>
      </c>
      <c r="M415" s="4">
        <v>5309074004</v>
      </c>
      <c r="N415" s="4" t="s">
        <v>49</v>
      </c>
      <c r="O415" s="4">
        <v>47112</v>
      </c>
      <c r="P415" s="4" t="s">
        <v>1902</v>
      </c>
      <c r="Q415" s="5">
        <v>1</v>
      </c>
      <c r="R415" s="5">
        <v>0</v>
      </c>
      <c r="S415" s="5">
        <v>5000000</v>
      </c>
      <c r="T415" s="5">
        <v>20000000</v>
      </c>
      <c r="U415" s="5">
        <v>300000</v>
      </c>
      <c r="V415" s="5">
        <v>500000</v>
      </c>
      <c r="W415" s="5">
        <v>25800000</v>
      </c>
      <c r="X415" s="5">
        <v>30000000</v>
      </c>
      <c r="Y415" s="5">
        <v>0</v>
      </c>
      <c r="Z415" s="5">
        <f t="shared" si="54"/>
        <v>4700000</v>
      </c>
      <c r="AA415" s="5">
        <v>18000000</v>
      </c>
      <c r="AB415" s="5">
        <f t="shared" si="55"/>
        <v>10000000</v>
      </c>
      <c r="AC415" s="5" t="s">
        <v>102</v>
      </c>
      <c r="AD415" s="4" t="s">
        <v>51</v>
      </c>
      <c r="AE415" s="5">
        <f t="shared" si="56"/>
        <v>0.47</v>
      </c>
      <c r="AF415" s="5">
        <v>10000000</v>
      </c>
      <c r="AG415" s="5">
        <v>1</v>
      </c>
      <c r="AH415" s="5">
        <v>1</v>
      </c>
      <c r="AI415" s="5">
        <v>1</v>
      </c>
      <c r="AJ415" s="7" t="s">
        <v>1903</v>
      </c>
      <c r="AK415" s="5">
        <v>0</v>
      </c>
      <c r="AL415" s="5">
        <v>0</v>
      </c>
      <c r="AM415" s="4">
        <v>2014</v>
      </c>
      <c r="AN415" s="5">
        <v>0</v>
      </c>
      <c r="AO415" s="5">
        <v>1</v>
      </c>
      <c r="AP415" s="8"/>
      <c r="AQ415" s="8"/>
      <c r="AR415" s="8">
        <f t="shared" si="57"/>
        <v>0</v>
      </c>
      <c r="AS415" s="8">
        <f t="shared" si="58"/>
        <v>5300000</v>
      </c>
      <c r="AT415" s="8">
        <f t="shared" si="59"/>
        <v>4700000</v>
      </c>
      <c r="AU415" s="8">
        <f t="shared" si="60"/>
        <v>5300000</v>
      </c>
      <c r="AV415" s="4" t="s">
        <v>1902</v>
      </c>
      <c r="AW415" s="7" t="s">
        <v>1903</v>
      </c>
      <c r="AX415" s="5">
        <v>20000000</v>
      </c>
      <c r="AY415">
        <f t="shared" si="61"/>
        <v>5000000</v>
      </c>
      <c r="AZ415">
        <f t="shared" si="62"/>
        <v>300000</v>
      </c>
      <c r="BA415" s="5">
        <v>30000000</v>
      </c>
      <c r="BB415" s="5">
        <v>0</v>
      </c>
      <c r="BC415" s="4" t="s">
        <v>49</v>
      </c>
      <c r="BD415" s="4">
        <v>47112</v>
      </c>
      <c r="BE415" t="s">
        <v>54</v>
      </c>
    </row>
    <row r="416" spans="1:57" ht="270.75" thickBot="1" x14ac:dyDescent="0.3">
      <c r="A416" s="4" t="s">
        <v>1904</v>
      </c>
      <c r="B416" s="4">
        <v>3001</v>
      </c>
      <c r="C416" s="5">
        <v>2</v>
      </c>
      <c r="D416" s="4" t="s">
        <v>44</v>
      </c>
      <c r="E416" s="6">
        <v>46279.665849421297</v>
      </c>
      <c r="F416" s="4" t="s">
        <v>1905</v>
      </c>
      <c r="G416" s="4" t="s">
        <v>46</v>
      </c>
      <c r="H416" s="4">
        <v>53</v>
      </c>
      <c r="I416" s="4" t="s">
        <v>47</v>
      </c>
      <c r="J416" s="4">
        <v>5309</v>
      </c>
      <c r="K416" s="4" t="s">
        <v>48</v>
      </c>
      <c r="L416" s="4">
        <v>5309071</v>
      </c>
      <c r="M416" s="4">
        <v>5309071009</v>
      </c>
      <c r="N416" s="4" t="s">
        <v>49</v>
      </c>
      <c r="O416" s="4">
        <v>47112</v>
      </c>
      <c r="P416" s="4" t="s">
        <v>1906</v>
      </c>
      <c r="Q416" s="5">
        <v>1</v>
      </c>
      <c r="R416" s="5">
        <v>0</v>
      </c>
      <c r="S416" s="5">
        <v>1000000</v>
      </c>
      <c r="T416" s="5">
        <v>12000000</v>
      </c>
      <c r="U416" s="5">
        <v>2500000</v>
      </c>
      <c r="V416" s="5">
        <v>0</v>
      </c>
      <c r="W416" s="5">
        <v>15500000</v>
      </c>
      <c r="X416" s="5">
        <v>18000000</v>
      </c>
      <c r="Y416" s="5">
        <v>0</v>
      </c>
      <c r="Z416" s="5">
        <f t="shared" si="54"/>
        <v>2500000</v>
      </c>
      <c r="AA416" s="5">
        <v>57500000</v>
      </c>
      <c r="AB416" s="5">
        <f t="shared" si="55"/>
        <v>6000000</v>
      </c>
      <c r="AC416" s="5" t="s">
        <v>102</v>
      </c>
      <c r="AD416" s="4" t="s">
        <v>51</v>
      </c>
      <c r="AE416" s="5">
        <f t="shared" si="56"/>
        <v>0.41666666666666669</v>
      </c>
      <c r="AF416" s="5">
        <v>6000000</v>
      </c>
      <c r="AG416" s="5">
        <v>1</v>
      </c>
      <c r="AH416" s="5">
        <v>1</v>
      </c>
      <c r="AI416" s="5">
        <v>1</v>
      </c>
      <c r="AJ416" s="7" t="s">
        <v>1907</v>
      </c>
      <c r="AK416" s="5">
        <v>0</v>
      </c>
      <c r="AL416" s="5">
        <v>0</v>
      </c>
      <c r="AM416" s="4">
        <v>2010</v>
      </c>
      <c r="AN416" s="5">
        <v>0</v>
      </c>
      <c r="AO416" s="5">
        <v>1</v>
      </c>
      <c r="AP416" s="8"/>
      <c r="AQ416" s="8"/>
      <c r="AR416" s="8">
        <f t="shared" si="57"/>
        <v>0</v>
      </c>
      <c r="AS416" s="8">
        <f t="shared" si="58"/>
        <v>3500000</v>
      </c>
      <c r="AT416" s="8">
        <f t="shared" si="59"/>
        <v>2500000</v>
      </c>
      <c r="AU416" s="8">
        <f t="shared" si="60"/>
        <v>3500000</v>
      </c>
      <c r="AV416" s="4" t="s">
        <v>1906</v>
      </c>
      <c r="AW416" s="7" t="s">
        <v>1907</v>
      </c>
      <c r="AX416" s="5">
        <v>12000000</v>
      </c>
      <c r="AY416">
        <f t="shared" si="61"/>
        <v>1000000</v>
      </c>
      <c r="AZ416">
        <f t="shared" si="62"/>
        <v>2500000</v>
      </c>
      <c r="BA416" s="5">
        <v>18000000</v>
      </c>
      <c r="BB416" s="5">
        <v>0</v>
      </c>
      <c r="BC416" s="4" t="s">
        <v>49</v>
      </c>
      <c r="BD416" s="4">
        <v>47112</v>
      </c>
      <c r="BE416" t="s">
        <v>54</v>
      </c>
    </row>
    <row r="417" spans="1:57" ht="270.75" thickBot="1" x14ac:dyDescent="0.3">
      <c r="A417" s="4" t="s">
        <v>1908</v>
      </c>
      <c r="B417" s="4">
        <v>1002</v>
      </c>
      <c r="C417" s="5">
        <v>2</v>
      </c>
      <c r="D417" s="4" t="s">
        <v>44</v>
      </c>
      <c r="E417" s="6">
        <v>46280.119184317133</v>
      </c>
      <c r="F417" s="4" t="s">
        <v>1909</v>
      </c>
      <c r="G417" s="4" t="s">
        <v>46</v>
      </c>
      <c r="H417" s="4">
        <v>53</v>
      </c>
      <c r="I417" s="4" t="s">
        <v>47</v>
      </c>
      <c r="J417" s="4">
        <v>5309</v>
      </c>
      <c r="K417" s="4" t="s">
        <v>48</v>
      </c>
      <c r="L417" s="4">
        <v>5309070</v>
      </c>
      <c r="M417" s="4">
        <v>5309070006</v>
      </c>
      <c r="N417" s="4" t="s">
        <v>49</v>
      </c>
      <c r="O417" s="4">
        <v>47112</v>
      </c>
      <c r="P417" s="4" t="s">
        <v>1910</v>
      </c>
      <c r="Q417" s="5">
        <v>2</v>
      </c>
      <c r="R417" s="5">
        <v>0</v>
      </c>
      <c r="S417" s="5">
        <v>780000</v>
      </c>
      <c r="T417" s="5">
        <v>28800000</v>
      </c>
      <c r="U417" s="5">
        <v>0</v>
      </c>
      <c r="V417" s="5">
        <v>0</v>
      </c>
      <c r="W417" s="5">
        <v>29580000</v>
      </c>
      <c r="X417" s="5">
        <v>48000000</v>
      </c>
      <c r="Y417" s="5">
        <v>0</v>
      </c>
      <c r="Z417" s="5">
        <f t="shared" si="54"/>
        <v>18420000</v>
      </c>
      <c r="AA417" s="5">
        <v>9000000</v>
      </c>
      <c r="AB417" s="5">
        <f t="shared" si="55"/>
        <v>19200000</v>
      </c>
      <c r="AC417" s="5" t="s">
        <v>100</v>
      </c>
      <c r="AD417" s="4" t="s">
        <v>51</v>
      </c>
      <c r="AE417" s="5">
        <f t="shared" si="56"/>
        <v>0.95937499999999998</v>
      </c>
      <c r="AF417" s="5">
        <v>9600000</v>
      </c>
      <c r="AG417" s="5">
        <v>1</v>
      </c>
      <c r="AH417" s="5">
        <v>1</v>
      </c>
      <c r="AI417" s="5">
        <v>1</v>
      </c>
      <c r="AJ417" s="7" t="s">
        <v>1911</v>
      </c>
      <c r="AK417" s="5">
        <v>0</v>
      </c>
      <c r="AL417" s="5">
        <v>0</v>
      </c>
      <c r="AM417" s="4">
        <v>2018</v>
      </c>
      <c r="AN417" s="5">
        <v>0</v>
      </c>
      <c r="AO417" s="5">
        <v>2</v>
      </c>
      <c r="AP417" s="8"/>
      <c r="AQ417" s="8"/>
      <c r="AR417" s="8">
        <f t="shared" si="57"/>
        <v>0</v>
      </c>
      <c r="AS417" s="8">
        <f t="shared" si="58"/>
        <v>780000</v>
      </c>
      <c r="AT417" s="8">
        <f t="shared" si="59"/>
        <v>14208000</v>
      </c>
      <c r="AU417" s="8">
        <f t="shared" si="60"/>
        <v>4992000</v>
      </c>
      <c r="AV417" s="4" t="s">
        <v>1910</v>
      </c>
      <c r="AW417" s="7" t="s">
        <v>1911</v>
      </c>
      <c r="AX417" s="5">
        <v>28800000</v>
      </c>
      <c r="AY417">
        <f t="shared" si="61"/>
        <v>4992000</v>
      </c>
      <c r="AZ417">
        <f t="shared" si="62"/>
        <v>0</v>
      </c>
      <c r="BA417" s="5">
        <v>48000000</v>
      </c>
      <c r="BB417" s="5">
        <v>0</v>
      </c>
      <c r="BC417" s="4" t="s">
        <v>49</v>
      </c>
      <c r="BD417" s="4">
        <v>47112</v>
      </c>
      <c r="BE417" t="s">
        <v>54</v>
      </c>
    </row>
    <row r="418" spans="1:57" ht="270.75" thickBot="1" x14ac:dyDescent="0.3">
      <c r="A418" s="4" t="s">
        <v>1912</v>
      </c>
      <c r="B418" s="4">
        <v>1004</v>
      </c>
      <c r="C418" s="5">
        <v>2</v>
      </c>
      <c r="D418" s="4" t="s">
        <v>44</v>
      </c>
      <c r="E418" s="6">
        <v>46293.103475138887</v>
      </c>
      <c r="F418" s="4" t="s">
        <v>1913</v>
      </c>
      <c r="G418" s="4" t="s">
        <v>46</v>
      </c>
      <c r="H418" s="4">
        <v>53</v>
      </c>
      <c r="I418" s="4" t="s">
        <v>47</v>
      </c>
      <c r="J418" s="4">
        <v>5309</v>
      </c>
      <c r="K418" s="4" t="s">
        <v>48</v>
      </c>
      <c r="L418" s="4">
        <v>5309021</v>
      </c>
      <c r="M418" s="4">
        <v>5309021007</v>
      </c>
      <c r="N418" s="4" t="s">
        <v>49</v>
      </c>
      <c r="O418" s="4">
        <v>47112</v>
      </c>
      <c r="P418" s="4" t="s">
        <v>1914</v>
      </c>
      <c r="Q418" s="5">
        <v>1</v>
      </c>
      <c r="R418" s="5">
        <v>0</v>
      </c>
      <c r="S418" s="5">
        <v>100</v>
      </c>
      <c r="T418" s="5">
        <v>1000000</v>
      </c>
      <c r="U418" s="5">
        <v>0</v>
      </c>
      <c r="V418" s="5">
        <v>0</v>
      </c>
      <c r="W418" s="5">
        <v>1000100</v>
      </c>
      <c r="X418" s="5">
        <v>1500000</v>
      </c>
      <c r="Y418" s="5">
        <v>0</v>
      </c>
      <c r="Z418" s="5">
        <f t="shared" si="54"/>
        <v>499900</v>
      </c>
      <c r="AA418" s="5">
        <v>120000000</v>
      </c>
      <c r="AB418" s="5">
        <f t="shared" si="55"/>
        <v>500000</v>
      </c>
      <c r="AC418" s="5" t="s">
        <v>102</v>
      </c>
      <c r="AD418" s="4" t="s">
        <v>51</v>
      </c>
      <c r="AE418" s="5">
        <f t="shared" si="56"/>
        <v>0.99980000000000002</v>
      </c>
      <c r="AF418" s="5">
        <v>500000</v>
      </c>
      <c r="AG418" s="5">
        <v>1</v>
      </c>
      <c r="AH418" s="5">
        <v>1</v>
      </c>
      <c r="AI418" s="5">
        <v>1</v>
      </c>
      <c r="AJ418" s="7" t="s">
        <v>1915</v>
      </c>
      <c r="AK418" s="5">
        <v>0</v>
      </c>
      <c r="AL418" s="5">
        <v>0</v>
      </c>
      <c r="AM418" s="4">
        <v>2025</v>
      </c>
      <c r="AN418" s="5">
        <v>0</v>
      </c>
      <c r="AO418" s="5">
        <v>1</v>
      </c>
      <c r="AP418" s="8"/>
      <c r="AQ418" s="8"/>
      <c r="AR418" s="8">
        <f t="shared" si="57"/>
        <v>0</v>
      </c>
      <c r="AS418" s="8">
        <f t="shared" si="58"/>
        <v>100</v>
      </c>
      <c r="AT418" s="8">
        <f t="shared" si="59"/>
        <v>370000</v>
      </c>
      <c r="AU418" s="8">
        <f t="shared" si="60"/>
        <v>130000</v>
      </c>
      <c r="AV418" s="4" t="s">
        <v>1914</v>
      </c>
      <c r="AW418" s="7" t="s">
        <v>1915</v>
      </c>
      <c r="AX418" s="5">
        <v>1000000</v>
      </c>
      <c r="AY418">
        <f t="shared" si="61"/>
        <v>130000</v>
      </c>
      <c r="AZ418">
        <f t="shared" si="62"/>
        <v>0</v>
      </c>
      <c r="BA418" s="5">
        <v>1500000</v>
      </c>
      <c r="BB418" s="5">
        <v>0</v>
      </c>
      <c r="BC418" s="4" t="s">
        <v>49</v>
      </c>
      <c r="BD418" s="4">
        <v>47112</v>
      </c>
      <c r="BE418" t="s">
        <v>54</v>
      </c>
    </row>
    <row r="419" spans="1:57" ht="270.75" thickBot="1" x14ac:dyDescent="0.3">
      <c r="A419" s="4" t="s">
        <v>1916</v>
      </c>
      <c r="B419" s="4">
        <v>1001</v>
      </c>
      <c r="C419" s="5">
        <v>2</v>
      </c>
      <c r="D419" s="4" t="s">
        <v>44</v>
      </c>
      <c r="E419" s="6">
        <v>46290.92584851852</v>
      </c>
      <c r="F419" s="4" t="s">
        <v>1917</v>
      </c>
      <c r="G419" s="4" t="s">
        <v>46</v>
      </c>
      <c r="H419" s="4">
        <v>53</v>
      </c>
      <c r="I419" s="4" t="s">
        <v>47</v>
      </c>
      <c r="J419" s="4">
        <v>5309</v>
      </c>
      <c r="K419" s="4" t="s">
        <v>48</v>
      </c>
      <c r="L419" s="4">
        <v>5309030</v>
      </c>
      <c r="M419" s="4">
        <v>5309030021</v>
      </c>
      <c r="N419" s="4" t="s">
        <v>49</v>
      </c>
      <c r="O419" s="4">
        <v>47112</v>
      </c>
      <c r="P419" s="4" t="s">
        <v>1918</v>
      </c>
      <c r="Q419" s="5">
        <v>1</v>
      </c>
      <c r="R419" s="5">
        <v>0</v>
      </c>
      <c r="S419" s="5">
        <v>720000</v>
      </c>
      <c r="T419" s="5">
        <v>12000000</v>
      </c>
      <c r="U419" s="5">
        <v>600000</v>
      </c>
      <c r="V419" s="5">
        <v>0</v>
      </c>
      <c r="W419" s="5">
        <v>13320000</v>
      </c>
      <c r="X419" s="5">
        <v>28920000</v>
      </c>
      <c r="Y419" s="5">
        <v>0</v>
      </c>
      <c r="Z419" s="5">
        <f t="shared" si="54"/>
        <v>15600000</v>
      </c>
      <c r="AA419" s="5">
        <v>10000000</v>
      </c>
      <c r="AB419" s="5">
        <f t="shared" si="55"/>
        <v>16920000</v>
      </c>
      <c r="AC419" s="5" t="s">
        <v>1919</v>
      </c>
      <c r="AD419" s="4" t="s">
        <v>51</v>
      </c>
      <c r="AE419" s="5">
        <f t="shared" si="56"/>
        <v>0.92198581560283688</v>
      </c>
      <c r="AF419" s="5">
        <v>16920000</v>
      </c>
      <c r="AG419" s="5">
        <v>1</v>
      </c>
      <c r="AH419" s="5">
        <v>1</v>
      </c>
      <c r="AI419" s="5">
        <v>1</v>
      </c>
      <c r="AJ419" s="7" t="s">
        <v>1920</v>
      </c>
      <c r="AK419" s="5">
        <v>0</v>
      </c>
      <c r="AL419" s="5">
        <v>0</v>
      </c>
      <c r="AM419" s="4">
        <v>2019</v>
      </c>
      <c r="AN419" s="5">
        <v>0</v>
      </c>
      <c r="AO419" s="5">
        <v>1</v>
      </c>
      <c r="AP419" s="8"/>
      <c r="AQ419" s="8"/>
      <c r="AR419" s="8">
        <f t="shared" si="57"/>
        <v>0</v>
      </c>
      <c r="AS419" s="8">
        <f t="shared" si="58"/>
        <v>1320000</v>
      </c>
      <c r="AT419" s="8">
        <f t="shared" si="59"/>
        <v>12520800</v>
      </c>
      <c r="AU419" s="8">
        <f t="shared" si="60"/>
        <v>4399200</v>
      </c>
      <c r="AV419" s="4" t="s">
        <v>1918</v>
      </c>
      <c r="AW419" s="7" t="s">
        <v>1920</v>
      </c>
      <c r="AX419" s="5">
        <v>12000000</v>
      </c>
      <c r="AY419">
        <f t="shared" si="61"/>
        <v>2399563.6363636367</v>
      </c>
      <c r="AZ419">
        <f t="shared" si="62"/>
        <v>1999636.3636363635</v>
      </c>
      <c r="BA419" s="5">
        <v>28920000</v>
      </c>
      <c r="BB419" s="5">
        <v>0</v>
      </c>
      <c r="BC419" s="4" t="s">
        <v>49</v>
      </c>
      <c r="BD419" s="4">
        <v>47112</v>
      </c>
      <c r="BE419" t="s">
        <v>54</v>
      </c>
    </row>
    <row r="420" spans="1:57" ht="270.75" thickBot="1" x14ac:dyDescent="0.3">
      <c r="A420" s="4" t="s">
        <v>1921</v>
      </c>
      <c r="B420" s="4">
        <v>3001</v>
      </c>
      <c r="C420" s="5">
        <v>2</v>
      </c>
      <c r="D420" s="4" t="s">
        <v>44</v>
      </c>
      <c r="E420" s="6">
        <v>46275.3450921412</v>
      </c>
      <c r="F420" s="4" t="s">
        <v>1922</v>
      </c>
      <c r="G420" s="4" t="s">
        <v>46</v>
      </c>
      <c r="H420" s="4">
        <v>53</v>
      </c>
      <c r="I420" s="4" t="s">
        <v>47</v>
      </c>
      <c r="J420" s="4">
        <v>5309</v>
      </c>
      <c r="K420" s="4" t="s">
        <v>48</v>
      </c>
      <c r="L420" s="4">
        <v>5309070</v>
      </c>
      <c r="M420" s="4">
        <v>5309070009</v>
      </c>
      <c r="N420" s="4" t="s">
        <v>49</v>
      </c>
      <c r="O420" s="4">
        <v>47112</v>
      </c>
      <c r="P420" s="4" t="s">
        <v>1923</v>
      </c>
      <c r="Q420" s="5">
        <v>1</v>
      </c>
      <c r="R420" s="5">
        <v>0</v>
      </c>
      <c r="S420" s="5">
        <v>800000</v>
      </c>
      <c r="T420" s="5">
        <v>26300000</v>
      </c>
      <c r="U420" s="5">
        <v>1500000</v>
      </c>
      <c r="V420" s="5">
        <v>0</v>
      </c>
      <c r="W420" s="5">
        <v>28600000</v>
      </c>
      <c r="X420" s="5">
        <v>43000000</v>
      </c>
      <c r="Y420" s="5">
        <v>0</v>
      </c>
      <c r="Z420" s="5">
        <f t="shared" si="54"/>
        <v>14400000</v>
      </c>
      <c r="AA420" s="5">
        <v>3600000</v>
      </c>
      <c r="AB420" s="5">
        <f t="shared" si="55"/>
        <v>16700000</v>
      </c>
      <c r="AC420" s="5" t="s">
        <v>1924</v>
      </c>
      <c r="AD420" s="4" t="s">
        <v>51</v>
      </c>
      <c r="AE420" s="5">
        <f t="shared" si="56"/>
        <v>0.86227544910179643</v>
      </c>
      <c r="AF420" s="5">
        <v>16700000</v>
      </c>
      <c r="AG420" s="5">
        <v>1</v>
      </c>
      <c r="AH420" s="5">
        <v>1</v>
      </c>
      <c r="AI420" s="5">
        <v>1</v>
      </c>
      <c r="AJ420" s="7" t="s">
        <v>1925</v>
      </c>
      <c r="AK420" s="5">
        <v>0</v>
      </c>
      <c r="AL420" s="5">
        <v>0</v>
      </c>
      <c r="AM420" s="4">
        <v>2020</v>
      </c>
      <c r="AN420" s="5">
        <v>0</v>
      </c>
      <c r="AO420" s="5">
        <v>1</v>
      </c>
      <c r="AP420" s="8"/>
      <c r="AQ420" s="8"/>
      <c r="AR420" s="8">
        <f t="shared" si="57"/>
        <v>0</v>
      </c>
      <c r="AS420" s="8">
        <f t="shared" si="58"/>
        <v>2300000</v>
      </c>
      <c r="AT420" s="8">
        <f t="shared" si="59"/>
        <v>12358000</v>
      </c>
      <c r="AU420" s="8">
        <f t="shared" si="60"/>
        <v>4342000</v>
      </c>
      <c r="AV420" s="4" t="s">
        <v>1923</v>
      </c>
      <c r="AW420" s="7" t="s">
        <v>1925</v>
      </c>
      <c r="AX420" s="5">
        <v>26300000</v>
      </c>
      <c r="AY420">
        <f t="shared" si="61"/>
        <v>1510260.8695652173</v>
      </c>
      <c r="AZ420">
        <f t="shared" si="62"/>
        <v>2831739.1304347827</v>
      </c>
      <c r="BA420" s="5">
        <v>43000000</v>
      </c>
      <c r="BB420" s="5">
        <v>0</v>
      </c>
      <c r="BC420" s="4" t="s">
        <v>49</v>
      </c>
      <c r="BD420" s="4">
        <v>47112</v>
      </c>
      <c r="BE420" t="s">
        <v>54</v>
      </c>
    </row>
    <row r="421" spans="1:57" ht="270.75" thickBot="1" x14ac:dyDescent="0.3">
      <c r="A421" s="4" t="s">
        <v>1926</v>
      </c>
      <c r="B421" s="4">
        <v>3001</v>
      </c>
      <c r="C421" s="5">
        <v>2</v>
      </c>
      <c r="D421" s="4" t="s">
        <v>44</v>
      </c>
      <c r="E421" s="6">
        <v>46271.441248298608</v>
      </c>
      <c r="F421" s="4" t="s">
        <v>1927</v>
      </c>
      <c r="G421" s="4" t="s">
        <v>46</v>
      </c>
      <c r="H421" s="4">
        <v>53</v>
      </c>
      <c r="I421" s="4" t="s">
        <v>47</v>
      </c>
      <c r="J421" s="4">
        <v>5309</v>
      </c>
      <c r="K421" s="4" t="s">
        <v>48</v>
      </c>
      <c r="L421" s="4">
        <v>5309070</v>
      </c>
      <c r="M421" s="4">
        <v>5309070007</v>
      </c>
      <c r="N421" s="4" t="s">
        <v>49</v>
      </c>
      <c r="O421" s="4">
        <v>47112</v>
      </c>
      <c r="P421" s="4" t="s">
        <v>1928</v>
      </c>
      <c r="Q421" s="5">
        <v>3</v>
      </c>
      <c r="R421" s="5">
        <v>1200000</v>
      </c>
      <c r="S421" s="5">
        <v>650000</v>
      </c>
      <c r="T421" s="5">
        <v>180000000</v>
      </c>
      <c r="U421" s="5">
        <v>2820000</v>
      </c>
      <c r="V421" s="5">
        <v>0</v>
      </c>
      <c r="W421" s="5">
        <v>184670000</v>
      </c>
      <c r="X421" s="5">
        <v>288000000</v>
      </c>
      <c r="Y421" s="5">
        <v>0</v>
      </c>
      <c r="Z421" s="5">
        <f t="shared" si="54"/>
        <v>104530000</v>
      </c>
      <c r="AA421" s="5">
        <v>23000000</v>
      </c>
      <c r="AB421" s="5">
        <f t="shared" si="55"/>
        <v>108000000</v>
      </c>
      <c r="AC421" s="5" t="s">
        <v>90</v>
      </c>
      <c r="AD421" s="4" t="s">
        <v>51</v>
      </c>
      <c r="AE421" s="5">
        <f t="shared" si="56"/>
        <v>0.96787037037037038</v>
      </c>
      <c r="AF421" s="5">
        <v>36000000</v>
      </c>
      <c r="AG421" s="5">
        <v>1</v>
      </c>
      <c r="AH421" s="5">
        <v>1</v>
      </c>
      <c r="AI421" s="5">
        <v>1</v>
      </c>
      <c r="AJ421" s="7" t="s">
        <v>1929</v>
      </c>
      <c r="AK421" s="5">
        <v>0</v>
      </c>
      <c r="AL421" s="5">
        <v>0</v>
      </c>
      <c r="AM421" s="4">
        <v>2020</v>
      </c>
      <c r="AN421" s="5">
        <v>1</v>
      </c>
      <c r="AO421" s="5">
        <v>2</v>
      </c>
      <c r="AP421" s="8"/>
      <c r="AQ421" s="8"/>
      <c r="AR421" s="8">
        <f t="shared" si="57"/>
        <v>0</v>
      </c>
      <c r="AS421" s="8">
        <f t="shared" si="58"/>
        <v>3470000</v>
      </c>
      <c r="AT421" s="8">
        <f t="shared" si="59"/>
        <v>79920000</v>
      </c>
      <c r="AU421" s="8">
        <f t="shared" si="60"/>
        <v>28080000</v>
      </c>
      <c r="AV421" s="4" t="s">
        <v>1928</v>
      </c>
      <c r="AW421" s="7" t="s">
        <v>1929</v>
      </c>
      <c r="AX421" s="5">
        <v>180000000</v>
      </c>
      <c r="AY421">
        <f t="shared" si="61"/>
        <v>5259942.3631123938</v>
      </c>
      <c r="AZ421">
        <f t="shared" si="62"/>
        <v>22820057.636887606</v>
      </c>
      <c r="BA421" s="5">
        <v>288000000</v>
      </c>
      <c r="BB421" s="5">
        <v>0</v>
      </c>
      <c r="BC421" s="4" t="s">
        <v>49</v>
      </c>
      <c r="BD421" s="4">
        <v>47112</v>
      </c>
      <c r="BE421" t="s">
        <v>54</v>
      </c>
    </row>
    <row r="422" spans="1:57" ht="270.75" thickBot="1" x14ac:dyDescent="0.3">
      <c r="A422" s="4" t="s">
        <v>1930</v>
      </c>
      <c r="B422" s="4">
        <v>1001</v>
      </c>
      <c r="C422" s="5">
        <v>2</v>
      </c>
      <c r="D422" s="4" t="s">
        <v>44</v>
      </c>
      <c r="E422" s="6">
        <v>46268.908483368054</v>
      </c>
      <c r="F422" s="4" t="s">
        <v>1931</v>
      </c>
      <c r="G422" s="4" t="s">
        <v>46</v>
      </c>
      <c r="H422" s="4">
        <v>53</v>
      </c>
      <c r="I422" s="4" t="s">
        <v>47</v>
      </c>
      <c r="J422" s="4">
        <v>5309</v>
      </c>
      <c r="K422" s="4" t="s">
        <v>48</v>
      </c>
      <c r="L422" s="4">
        <v>5309070</v>
      </c>
      <c r="M422" s="4">
        <v>5309070010</v>
      </c>
      <c r="N422" s="4" t="s">
        <v>49</v>
      </c>
      <c r="O422" s="4">
        <v>47112</v>
      </c>
      <c r="P422" s="4" t="s">
        <v>1932</v>
      </c>
      <c r="Q422" s="5">
        <v>1</v>
      </c>
      <c r="R422" s="5">
        <v>0</v>
      </c>
      <c r="S422" s="5">
        <v>300000</v>
      </c>
      <c r="T422" s="5">
        <v>27600000</v>
      </c>
      <c r="U422" s="5">
        <v>300000</v>
      </c>
      <c r="V422" s="5">
        <v>0</v>
      </c>
      <c r="W422" s="5">
        <v>28200000</v>
      </c>
      <c r="X422" s="5">
        <v>31600000</v>
      </c>
      <c r="Y422" s="5">
        <v>0</v>
      </c>
      <c r="Z422" s="5">
        <f t="shared" si="54"/>
        <v>3400000</v>
      </c>
      <c r="AA422" s="5">
        <v>600000</v>
      </c>
      <c r="AB422" s="5">
        <f t="shared" si="55"/>
        <v>4000000</v>
      </c>
      <c r="AC422" s="5" t="s">
        <v>1933</v>
      </c>
      <c r="AD422" s="4" t="s">
        <v>51</v>
      </c>
      <c r="AE422" s="5">
        <f t="shared" si="56"/>
        <v>0.85</v>
      </c>
      <c r="AF422" s="5">
        <v>4000000</v>
      </c>
      <c r="AG422" s="5">
        <v>1</v>
      </c>
      <c r="AH422" s="5">
        <v>1</v>
      </c>
      <c r="AI422" s="5">
        <v>1</v>
      </c>
      <c r="AJ422" s="7" t="s">
        <v>1934</v>
      </c>
      <c r="AK422" s="5">
        <v>0</v>
      </c>
      <c r="AL422" s="5">
        <v>0</v>
      </c>
      <c r="AM422" s="4">
        <v>2024</v>
      </c>
      <c r="AN422" s="5">
        <v>0</v>
      </c>
      <c r="AO422" s="5">
        <v>1</v>
      </c>
      <c r="AP422" s="8"/>
      <c r="AQ422" s="8"/>
      <c r="AR422" s="8">
        <f t="shared" si="57"/>
        <v>0</v>
      </c>
      <c r="AS422" s="8">
        <f t="shared" si="58"/>
        <v>600000</v>
      </c>
      <c r="AT422" s="8">
        <f t="shared" si="59"/>
        <v>2960000</v>
      </c>
      <c r="AU422" s="8">
        <f t="shared" si="60"/>
        <v>1040000</v>
      </c>
      <c r="AV422" s="4" t="s">
        <v>1932</v>
      </c>
      <c r="AW422" s="7" t="s">
        <v>1934</v>
      </c>
      <c r="AX422" s="5">
        <v>27600000</v>
      </c>
      <c r="AY422">
        <f t="shared" si="61"/>
        <v>520000</v>
      </c>
      <c r="AZ422">
        <f t="shared" si="62"/>
        <v>520000</v>
      </c>
      <c r="BA422" s="5">
        <v>31600000</v>
      </c>
      <c r="BB422" s="5">
        <v>0</v>
      </c>
      <c r="BC422" s="4" t="s">
        <v>49</v>
      </c>
      <c r="BD422" s="4">
        <v>47112</v>
      </c>
      <c r="BE422" t="s">
        <v>54</v>
      </c>
    </row>
    <row r="423" spans="1:57" ht="255.75" thickBot="1" x14ac:dyDescent="0.3">
      <c r="A423" s="4" t="s">
        <v>1935</v>
      </c>
      <c r="B423" s="4">
        <v>3004</v>
      </c>
      <c r="C423" s="5">
        <v>2</v>
      </c>
      <c r="D423" s="4" t="s">
        <v>44</v>
      </c>
      <c r="E423" s="6">
        <v>46229.885540393516</v>
      </c>
      <c r="F423" s="4" t="s">
        <v>1936</v>
      </c>
      <c r="G423" s="4" t="s">
        <v>46</v>
      </c>
      <c r="H423" s="4">
        <v>53</v>
      </c>
      <c r="I423" s="4" t="s">
        <v>47</v>
      </c>
      <c r="J423" s="4">
        <v>5309</v>
      </c>
      <c r="K423" s="4" t="s">
        <v>48</v>
      </c>
      <c r="L423" s="4">
        <v>5309020</v>
      </c>
      <c r="M423" s="4">
        <v>5309020022</v>
      </c>
      <c r="N423" s="4" t="s">
        <v>49</v>
      </c>
      <c r="O423" s="4">
        <v>47112</v>
      </c>
      <c r="P423" s="4" t="s">
        <v>1937</v>
      </c>
      <c r="Q423" s="5">
        <v>3</v>
      </c>
      <c r="R423" s="5">
        <v>0</v>
      </c>
      <c r="S423" s="5">
        <v>3500000</v>
      </c>
      <c r="T423" s="5">
        <v>3000000</v>
      </c>
      <c r="U423" s="5">
        <v>70000</v>
      </c>
      <c r="V423" s="5">
        <v>5000</v>
      </c>
      <c r="W423" s="5">
        <v>6575000</v>
      </c>
      <c r="X423" s="5">
        <v>7950000</v>
      </c>
      <c r="Y423" s="5">
        <v>300000</v>
      </c>
      <c r="Z423" s="5">
        <f t="shared" si="54"/>
        <v>1380000</v>
      </c>
      <c r="AA423" s="5">
        <v>5250000</v>
      </c>
      <c r="AB423" s="5">
        <f t="shared" si="55"/>
        <v>4950000</v>
      </c>
      <c r="AC423" s="5" t="s">
        <v>1938</v>
      </c>
      <c r="AD423" s="4" t="s">
        <v>51</v>
      </c>
      <c r="AE423" s="5">
        <f t="shared" si="56"/>
        <v>0.27878787878787881</v>
      </c>
      <c r="AF423" s="5">
        <v>1650000</v>
      </c>
      <c r="AG423" s="5">
        <v>1</v>
      </c>
      <c r="AH423" s="5">
        <v>1</v>
      </c>
      <c r="AI423" s="5">
        <v>1</v>
      </c>
      <c r="AJ423" s="7" t="s">
        <v>1939</v>
      </c>
      <c r="AK423" s="5">
        <v>0</v>
      </c>
      <c r="AL423" s="5">
        <v>0</v>
      </c>
      <c r="AM423" s="4">
        <v>2015</v>
      </c>
      <c r="AN423" s="5">
        <v>0</v>
      </c>
      <c r="AO423" s="5">
        <v>3</v>
      </c>
      <c r="AP423" s="8"/>
      <c r="AQ423" s="8"/>
      <c r="AR423" s="8">
        <f t="shared" si="57"/>
        <v>0</v>
      </c>
      <c r="AS423" s="8">
        <f t="shared" si="58"/>
        <v>3570000</v>
      </c>
      <c r="AT423" s="8">
        <f t="shared" si="59"/>
        <v>1380000</v>
      </c>
      <c r="AU423" s="8">
        <f t="shared" si="60"/>
        <v>3570000</v>
      </c>
      <c r="AV423" s="4" t="s">
        <v>1937</v>
      </c>
      <c r="AW423" s="7" t="s">
        <v>1939</v>
      </c>
      <c r="AX423" s="5">
        <v>3000000</v>
      </c>
      <c r="AY423">
        <f t="shared" si="61"/>
        <v>3500000</v>
      </c>
      <c r="AZ423">
        <f t="shared" si="62"/>
        <v>70000</v>
      </c>
      <c r="BA423" s="5">
        <v>7950000</v>
      </c>
      <c r="BB423" s="5">
        <v>300000</v>
      </c>
      <c r="BC423" s="4" t="s">
        <v>49</v>
      </c>
      <c r="BD423" s="4">
        <v>47112</v>
      </c>
      <c r="BE423" t="s">
        <v>54</v>
      </c>
    </row>
    <row r="424" spans="1:57" ht="270.75" thickBot="1" x14ac:dyDescent="0.3">
      <c r="A424" s="4" t="s">
        <v>1940</v>
      </c>
      <c r="B424" s="4">
        <v>1002</v>
      </c>
      <c r="C424" s="5">
        <v>2</v>
      </c>
      <c r="D424" s="4" t="s">
        <v>44</v>
      </c>
      <c r="E424" s="6">
        <v>46266.41920715278</v>
      </c>
      <c r="F424" s="4" t="s">
        <v>1941</v>
      </c>
      <c r="G424" s="4" t="s">
        <v>46</v>
      </c>
      <c r="H424" s="4">
        <v>53</v>
      </c>
      <c r="I424" s="4" t="s">
        <v>47</v>
      </c>
      <c r="J424" s="4">
        <v>5309</v>
      </c>
      <c r="K424" s="4" t="s">
        <v>48</v>
      </c>
      <c r="L424" s="4">
        <v>5309050</v>
      </c>
      <c r="M424" s="4">
        <v>5309050016</v>
      </c>
      <c r="N424" s="4" t="s">
        <v>49</v>
      </c>
      <c r="O424" s="4">
        <v>47112</v>
      </c>
      <c r="P424" s="4" t="s">
        <v>1942</v>
      </c>
      <c r="Q424" s="5">
        <v>1</v>
      </c>
      <c r="R424" s="5">
        <v>0</v>
      </c>
      <c r="S424" s="5">
        <v>0</v>
      </c>
      <c r="T424" s="5">
        <v>2000000</v>
      </c>
      <c r="U424" s="5">
        <v>1500000</v>
      </c>
      <c r="V424" s="5">
        <v>0</v>
      </c>
      <c r="W424" s="5">
        <v>3500000</v>
      </c>
      <c r="X424" s="5">
        <v>9500000</v>
      </c>
      <c r="Y424" s="5">
        <v>0</v>
      </c>
      <c r="Z424" s="5">
        <f t="shared" si="54"/>
        <v>6000000</v>
      </c>
      <c r="AA424" s="5">
        <v>300000</v>
      </c>
      <c r="AB424" s="5">
        <f t="shared" si="55"/>
        <v>7500000</v>
      </c>
      <c r="AC424" s="5" t="s">
        <v>1551</v>
      </c>
      <c r="AD424" s="4" t="s">
        <v>51</v>
      </c>
      <c r="AE424" s="5">
        <f t="shared" si="56"/>
        <v>0.8</v>
      </c>
      <c r="AF424" s="5">
        <v>7500000</v>
      </c>
      <c r="AG424" s="5">
        <v>1</v>
      </c>
      <c r="AH424" s="5">
        <v>1</v>
      </c>
      <c r="AI424" s="5">
        <v>1</v>
      </c>
      <c r="AJ424" s="7" t="s">
        <v>1943</v>
      </c>
      <c r="AK424" s="5">
        <v>0</v>
      </c>
      <c r="AL424" s="5">
        <v>0</v>
      </c>
      <c r="AM424" s="4">
        <v>2010</v>
      </c>
      <c r="AN424" s="5">
        <v>0</v>
      </c>
      <c r="AO424" s="5">
        <v>1</v>
      </c>
      <c r="AP424" s="8"/>
      <c r="AQ424" s="8"/>
      <c r="AR424" s="8">
        <f t="shared" si="57"/>
        <v>0</v>
      </c>
      <c r="AS424" s="8">
        <f t="shared" si="58"/>
        <v>1500000</v>
      </c>
      <c r="AT424" s="8">
        <f t="shared" si="59"/>
        <v>5550000</v>
      </c>
      <c r="AU424" s="8">
        <f t="shared" si="60"/>
        <v>1950000</v>
      </c>
      <c r="AV424" s="4" t="s">
        <v>1942</v>
      </c>
      <c r="AW424" s="7" t="s">
        <v>1943</v>
      </c>
      <c r="AX424" s="5">
        <v>2000000</v>
      </c>
      <c r="AY424">
        <f t="shared" si="61"/>
        <v>0</v>
      </c>
      <c r="AZ424">
        <f t="shared" si="62"/>
        <v>1950000</v>
      </c>
      <c r="BA424" s="5">
        <v>9500000</v>
      </c>
      <c r="BB424" s="5">
        <v>0</v>
      </c>
      <c r="BC424" s="4" t="s">
        <v>49</v>
      </c>
      <c r="BD424" s="4">
        <v>47112</v>
      </c>
      <c r="BE424" t="s">
        <v>54</v>
      </c>
    </row>
    <row r="425" spans="1:57" ht="270.75" thickBot="1" x14ac:dyDescent="0.3">
      <c r="A425" s="4" t="s">
        <v>1944</v>
      </c>
      <c r="B425" s="4">
        <v>1002</v>
      </c>
      <c r="C425" s="5">
        <v>2</v>
      </c>
      <c r="D425" s="4" t="s">
        <v>44</v>
      </c>
      <c r="E425" s="6">
        <v>46273.272828055553</v>
      </c>
      <c r="F425" s="4" t="s">
        <v>1945</v>
      </c>
      <c r="G425" s="4" t="s">
        <v>46</v>
      </c>
      <c r="H425" s="4">
        <v>53</v>
      </c>
      <c r="I425" s="4" t="s">
        <v>47</v>
      </c>
      <c r="J425" s="4">
        <v>5309</v>
      </c>
      <c r="K425" s="4" t="s">
        <v>48</v>
      </c>
      <c r="L425" s="4">
        <v>5309070</v>
      </c>
      <c r="M425" s="4">
        <v>5309070006</v>
      </c>
      <c r="N425" s="4" t="s">
        <v>49</v>
      </c>
      <c r="O425" s="4">
        <v>47112</v>
      </c>
      <c r="P425" s="4" t="s">
        <v>1946</v>
      </c>
      <c r="Q425" s="5">
        <v>1</v>
      </c>
      <c r="R425" s="5">
        <v>0</v>
      </c>
      <c r="S425" s="5">
        <v>100000</v>
      </c>
      <c r="T425" s="5">
        <v>2000000</v>
      </c>
      <c r="U425" s="5">
        <v>100000</v>
      </c>
      <c r="V425" s="5">
        <v>0</v>
      </c>
      <c r="W425" s="5">
        <v>2200000</v>
      </c>
      <c r="X425" s="5">
        <v>6000000</v>
      </c>
      <c r="Y425" s="5">
        <v>0</v>
      </c>
      <c r="Z425" s="5">
        <f t="shared" si="54"/>
        <v>3800000</v>
      </c>
      <c r="AA425" s="5">
        <v>2500000</v>
      </c>
      <c r="AB425" s="5">
        <f t="shared" si="55"/>
        <v>4000000</v>
      </c>
      <c r="AC425" s="5" t="s">
        <v>172</v>
      </c>
      <c r="AD425" s="4" t="s">
        <v>51</v>
      </c>
      <c r="AE425" s="5">
        <f t="shared" si="56"/>
        <v>0.95</v>
      </c>
      <c r="AF425" s="5">
        <v>4000000</v>
      </c>
      <c r="AG425" s="5">
        <v>1</v>
      </c>
      <c r="AH425" s="5">
        <v>1</v>
      </c>
      <c r="AI425" s="5">
        <v>1</v>
      </c>
      <c r="AJ425" s="7" t="s">
        <v>1947</v>
      </c>
      <c r="AK425" s="5">
        <v>0</v>
      </c>
      <c r="AL425" s="5">
        <v>0</v>
      </c>
      <c r="AM425" s="4">
        <v>2020</v>
      </c>
      <c r="AN425" s="5">
        <v>0</v>
      </c>
      <c r="AO425" s="5">
        <v>1</v>
      </c>
      <c r="AP425" s="8"/>
      <c r="AQ425" s="8"/>
      <c r="AR425" s="8">
        <f t="shared" si="57"/>
        <v>0</v>
      </c>
      <c r="AS425" s="8">
        <f t="shared" si="58"/>
        <v>200000</v>
      </c>
      <c r="AT425" s="8">
        <f t="shared" si="59"/>
        <v>2960000</v>
      </c>
      <c r="AU425" s="8">
        <f t="shared" si="60"/>
        <v>1040000</v>
      </c>
      <c r="AV425" s="4" t="s">
        <v>1946</v>
      </c>
      <c r="AW425" s="7" t="s">
        <v>1947</v>
      </c>
      <c r="AX425" s="5">
        <v>2000000</v>
      </c>
      <c r="AY425">
        <f t="shared" si="61"/>
        <v>520000</v>
      </c>
      <c r="AZ425">
        <f t="shared" si="62"/>
        <v>520000</v>
      </c>
      <c r="BA425" s="5">
        <v>6000000</v>
      </c>
      <c r="BB425" s="5">
        <v>0</v>
      </c>
      <c r="BC425" s="4" t="s">
        <v>49</v>
      </c>
      <c r="BD425" s="4">
        <v>47112</v>
      </c>
      <c r="BE425" t="s">
        <v>54</v>
      </c>
    </row>
    <row r="426" spans="1:57" ht="270.75" thickBot="1" x14ac:dyDescent="0.3">
      <c r="A426" s="4" t="s">
        <v>1948</v>
      </c>
      <c r="B426" s="4">
        <v>3001</v>
      </c>
      <c r="C426" s="5">
        <v>2</v>
      </c>
      <c r="D426" s="4" t="s">
        <v>44</v>
      </c>
      <c r="E426" s="6">
        <v>46274.595101990744</v>
      </c>
      <c r="F426" s="4" t="s">
        <v>1949</v>
      </c>
      <c r="G426" s="4" t="s">
        <v>46</v>
      </c>
      <c r="H426" s="4">
        <v>53</v>
      </c>
      <c r="I426" s="4" t="s">
        <v>47</v>
      </c>
      <c r="J426" s="4">
        <v>5309</v>
      </c>
      <c r="K426" s="4" t="s">
        <v>48</v>
      </c>
      <c r="L426" s="4">
        <v>5309070</v>
      </c>
      <c r="M426" s="4">
        <v>5309070010</v>
      </c>
      <c r="N426" s="4" t="s">
        <v>49</v>
      </c>
      <c r="O426" s="4">
        <v>47112</v>
      </c>
      <c r="P426" s="4" t="s">
        <v>1950</v>
      </c>
      <c r="Q426" s="5">
        <v>2</v>
      </c>
      <c r="R426" s="5">
        <v>0</v>
      </c>
      <c r="S426" s="5">
        <v>350000</v>
      </c>
      <c r="T426" s="5">
        <v>48000000</v>
      </c>
      <c r="U426" s="5">
        <v>200000</v>
      </c>
      <c r="V426" s="5">
        <v>0</v>
      </c>
      <c r="W426" s="5">
        <v>48550000</v>
      </c>
      <c r="X426" s="5">
        <v>55200000</v>
      </c>
      <c r="Y426" s="5">
        <v>0</v>
      </c>
      <c r="Z426" s="5">
        <f t="shared" si="54"/>
        <v>6650000</v>
      </c>
      <c r="AA426" s="5">
        <v>3900000</v>
      </c>
      <c r="AB426" s="5">
        <f t="shared" si="55"/>
        <v>7200000</v>
      </c>
      <c r="AC426" s="5" t="s">
        <v>1428</v>
      </c>
      <c r="AD426" s="4" t="s">
        <v>51</v>
      </c>
      <c r="AE426" s="5">
        <f t="shared" si="56"/>
        <v>0.92361111111111116</v>
      </c>
      <c r="AF426" s="5">
        <v>3600000</v>
      </c>
      <c r="AG426" s="5">
        <v>1</v>
      </c>
      <c r="AH426" s="5">
        <v>1</v>
      </c>
      <c r="AI426" s="5">
        <v>1</v>
      </c>
      <c r="AJ426" s="7" t="s">
        <v>1951</v>
      </c>
      <c r="AK426" s="5">
        <v>0</v>
      </c>
      <c r="AL426" s="5">
        <v>0</v>
      </c>
      <c r="AM426" s="4">
        <v>2024</v>
      </c>
      <c r="AN426" s="5">
        <v>0</v>
      </c>
      <c r="AO426" s="5">
        <v>2</v>
      </c>
      <c r="AP426" s="8"/>
      <c r="AQ426" s="8"/>
      <c r="AR426" s="8">
        <f t="shared" si="57"/>
        <v>0</v>
      </c>
      <c r="AS426" s="8">
        <f t="shared" si="58"/>
        <v>550000</v>
      </c>
      <c r="AT426" s="8">
        <f t="shared" si="59"/>
        <v>5328000</v>
      </c>
      <c r="AU426" s="8">
        <f t="shared" si="60"/>
        <v>1872000</v>
      </c>
      <c r="AV426" s="4" t="s">
        <v>1950</v>
      </c>
      <c r="AW426" s="7" t="s">
        <v>1951</v>
      </c>
      <c r="AX426" s="5">
        <v>48000000</v>
      </c>
      <c r="AY426">
        <f t="shared" si="61"/>
        <v>1191272.7272727273</v>
      </c>
      <c r="AZ426">
        <f t="shared" si="62"/>
        <v>680727.27272727271</v>
      </c>
      <c r="BA426" s="5">
        <v>55200000</v>
      </c>
      <c r="BB426" s="5">
        <v>0</v>
      </c>
      <c r="BC426" s="4" t="s">
        <v>49</v>
      </c>
      <c r="BD426" s="4">
        <v>47112</v>
      </c>
      <c r="BE426" t="s">
        <v>54</v>
      </c>
    </row>
    <row r="427" spans="1:57" ht="270.75" thickBot="1" x14ac:dyDescent="0.3">
      <c r="A427" s="4" t="s">
        <v>1952</v>
      </c>
      <c r="B427" s="4">
        <v>1002</v>
      </c>
      <c r="C427" s="5">
        <v>2</v>
      </c>
      <c r="D427" s="4" t="s">
        <v>60</v>
      </c>
      <c r="E427" s="6">
        <v>46313.167219814815</v>
      </c>
      <c r="F427" s="4" t="s">
        <v>1953</v>
      </c>
      <c r="G427" s="4" t="s">
        <v>46</v>
      </c>
      <c r="H427" s="4">
        <v>53</v>
      </c>
      <c r="I427" s="4" t="s">
        <v>47</v>
      </c>
      <c r="J427" s="4">
        <v>5309</v>
      </c>
      <c r="K427" s="4" t="s">
        <v>48</v>
      </c>
      <c r="L427" s="4">
        <v>5309031</v>
      </c>
      <c r="M427" s="4">
        <v>5309031002</v>
      </c>
      <c r="N427" s="4" t="s">
        <v>49</v>
      </c>
      <c r="O427" s="4">
        <v>47112</v>
      </c>
      <c r="P427" s="4" t="s">
        <v>1954</v>
      </c>
      <c r="Q427" s="5">
        <v>2</v>
      </c>
      <c r="R427" s="5">
        <v>0</v>
      </c>
      <c r="S427" s="5">
        <v>1540000</v>
      </c>
      <c r="T427" s="5">
        <v>432000000</v>
      </c>
      <c r="U427" s="5">
        <v>3119999</v>
      </c>
      <c r="V427" s="5">
        <v>5000</v>
      </c>
      <c r="W427" s="5">
        <v>436664999</v>
      </c>
      <c r="X427" s="5">
        <v>453600000</v>
      </c>
      <c r="Y427" s="5">
        <v>0</v>
      </c>
      <c r="Z427" s="5">
        <f t="shared" si="54"/>
        <v>16940001</v>
      </c>
      <c r="AA427" s="5">
        <v>88500000</v>
      </c>
      <c r="AB427" s="5">
        <f t="shared" si="55"/>
        <v>21600000</v>
      </c>
      <c r="AC427" s="5" t="s">
        <v>962</v>
      </c>
      <c r="AD427" s="4" t="s">
        <v>51</v>
      </c>
      <c r="AE427" s="5">
        <f t="shared" si="56"/>
        <v>0.78425930555555556</v>
      </c>
      <c r="AF427" s="5">
        <v>10800000</v>
      </c>
      <c r="AG427" s="5">
        <v>0</v>
      </c>
      <c r="AH427" s="5">
        <v>1</v>
      </c>
      <c r="AI427" s="5">
        <v>1</v>
      </c>
      <c r="AJ427" s="7" t="s">
        <v>1955</v>
      </c>
      <c r="AK427" s="5">
        <v>0</v>
      </c>
      <c r="AL427" s="5">
        <v>0</v>
      </c>
      <c r="AM427" s="4">
        <v>2024</v>
      </c>
      <c r="AN427" s="5">
        <v>0</v>
      </c>
      <c r="AO427" s="5">
        <v>2</v>
      </c>
      <c r="AP427" s="8"/>
      <c r="AQ427" s="8"/>
      <c r="AR427" s="8">
        <f t="shared" si="57"/>
        <v>0</v>
      </c>
      <c r="AS427" s="8">
        <f t="shared" si="58"/>
        <v>4659999</v>
      </c>
      <c r="AT427" s="8">
        <f t="shared" si="59"/>
        <v>15984000</v>
      </c>
      <c r="AU427" s="8">
        <f t="shared" si="60"/>
        <v>5616000</v>
      </c>
      <c r="AV427" s="4" t="s">
        <v>1954</v>
      </c>
      <c r="AW427" s="7" t="s">
        <v>1955</v>
      </c>
      <c r="AX427" s="5">
        <v>432000000</v>
      </c>
      <c r="AY427">
        <f t="shared" si="61"/>
        <v>1855931.7287407145</v>
      </c>
      <c r="AZ427">
        <f t="shared" si="62"/>
        <v>3760068.2712592855</v>
      </c>
      <c r="BA427" s="5">
        <v>453600000</v>
      </c>
      <c r="BB427" s="5">
        <v>0</v>
      </c>
      <c r="BC427" s="4" t="s">
        <v>49</v>
      </c>
      <c r="BD427" s="4">
        <v>47112</v>
      </c>
      <c r="BE427" t="s">
        <v>54</v>
      </c>
    </row>
    <row r="428" spans="1:57" ht="255.75" thickBot="1" x14ac:dyDescent="0.3">
      <c r="A428" s="4" t="s">
        <v>1956</v>
      </c>
      <c r="B428" s="4">
        <v>1001</v>
      </c>
      <c r="C428" s="5">
        <v>2</v>
      </c>
      <c r="D428" s="4" t="s">
        <v>44</v>
      </c>
      <c r="E428" s="6">
        <v>46295.123648923611</v>
      </c>
      <c r="F428" s="4" t="s">
        <v>1957</v>
      </c>
      <c r="G428" s="4" t="s">
        <v>46</v>
      </c>
      <c r="H428" s="4">
        <v>53</v>
      </c>
      <c r="I428" s="4" t="s">
        <v>47</v>
      </c>
      <c r="J428" s="4">
        <v>5309</v>
      </c>
      <c r="K428" s="4" t="s">
        <v>48</v>
      </c>
      <c r="L428" s="4">
        <v>5309060</v>
      </c>
      <c r="M428" s="4">
        <v>5309060020</v>
      </c>
      <c r="N428" s="4" t="s">
        <v>49</v>
      </c>
      <c r="O428" s="4">
        <v>47112</v>
      </c>
      <c r="P428" s="4" t="s">
        <v>1958</v>
      </c>
      <c r="Q428" s="5">
        <v>1</v>
      </c>
      <c r="R428" s="5">
        <v>0</v>
      </c>
      <c r="S428" s="5">
        <v>0</v>
      </c>
      <c r="T428" s="5">
        <v>100000000</v>
      </c>
      <c r="U428" s="5">
        <v>12000000</v>
      </c>
      <c r="V428" s="5">
        <v>23000</v>
      </c>
      <c r="W428" s="5">
        <v>112023000</v>
      </c>
      <c r="X428" s="5">
        <v>162000000</v>
      </c>
      <c r="Y428" s="5">
        <v>0</v>
      </c>
      <c r="Z428" s="5">
        <f t="shared" si="54"/>
        <v>50000000</v>
      </c>
      <c r="AA428" s="5">
        <v>29500000</v>
      </c>
      <c r="AB428" s="5">
        <f t="shared" si="55"/>
        <v>62000000</v>
      </c>
      <c r="AC428" s="5" t="s">
        <v>1022</v>
      </c>
      <c r="AD428" s="4" t="s">
        <v>51</v>
      </c>
      <c r="AE428" s="5">
        <f t="shared" si="56"/>
        <v>0.80645161290322576</v>
      </c>
      <c r="AF428" s="5">
        <v>62000000</v>
      </c>
      <c r="AG428" s="5">
        <v>1</v>
      </c>
      <c r="AH428" s="5">
        <v>1</v>
      </c>
      <c r="AI428" s="5">
        <v>1</v>
      </c>
      <c r="AJ428" s="7" t="s">
        <v>1959</v>
      </c>
      <c r="AK428" s="5">
        <v>0</v>
      </c>
      <c r="AL428" s="5">
        <v>0</v>
      </c>
      <c r="AM428" s="4">
        <v>1989</v>
      </c>
      <c r="AN428" s="5">
        <v>0</v>
      </c>
      <c r="AO428" s="5">
        <v>1</v>
      </c>
      <c r="AP428" s="8"/>
      <c r="AQ428" s="8"/>
      <c r="AR428" s="8">
        <f t="shared" si="57"/>
        <v>0</v>
      </c>
      <c r="AS428" s="8">
        <f t="shared" si="58"/>
        <v>12000000</v>
      </c>
      <c r="AT428" s="8">
        <f t="shared" si="59"/>
        <v>45880000</v>
      </c>
      <c r="AU428" s="8">
        <f t="shared" si="60"/>
        <v>16120000</v>
      </c>
      <c r="AV428" s="4" t="s">
        <v>1958</v>
      </c>
      <c r="AW428" s="7" t="s">
        <v>1959</v>
      </c>
      <c r="AX428" s="5">
        <v>100000000</v>
      </c>
      <c r="AY428">
        <f t="shared" si="61"/>
        <v>0</v>
      </c>
      <c r="AZ428">
        <f t="shared" si="62"/>
        <v>16120000</v>
      </c>
      <c r="BA428" s="5">
        <v>162000000</v>
      </c>
      <c r="BB428" s="5">
        <v>0</v>
      </c>
      <c r="BC428" s="4" t="s">
        <v>49</v>
      </c>
      <c r="BD428" s="4">
        <v>47112</v>
      </c>
      <c r="BE428" t="s">
        <v>54</v>
      </c>
    </row>
    <row r="429" spans="1:57" ht="270.75" thickBot="1" x14ac:dyDescent="0.3">
      <c r="A429" s="4" t="s">
        <v>1960</v>
      </c>
      <c r="B429" s="4">
        <v>2001</v>
      </c>
      <c r="C429" s="5">
        <v>2</v>
      </c>
      <c r="D429" s="4" t="s">
        <v>60</v>
      </c>
      <c r="E429" s="6">
        <v>46283.377780625</v>
      </c>
      <c r="F429" s="4" t="s">
        <v>1961</v>
      </c>
      <c r="G429" s="4" t="s">
        <v>46</v>
      </c>
      <c r="H429" s="4">
        <v>53</v>
      </c>
      <c r="I429" s="4" t="s">
        <v>47</v>
      </c>
      <c r="J429" s="4">
        <v>5309</v>
      </c>
      <c r="K429" s="4" t="s">
        <v>48</v>
      </c>
      <c r="L429" s="4">
        <v>5309061</v>
      </c>
      <c r="M429" s="4">
        <v>5309061011</v>
      </c>
      <c r="N429" s="4" t="s">
        <v>49</v>
      </c>
      <c r="O429" s="4">
        <v>47112</v>
      </c>
      <c r="P429" s="4" t="s">
        <v>1962</v>
      </c>
      <c r="Q429" s="5">
        <v>1</v>
      </c>
      <c r="R429" s="5">
        <v>0</v>
      </c>
      <c r="S429" s="5">
        <v>0</v>
      </c>
      <c r="T429" s="5">
        <v>36000000</v>
      </c>
      <c r="U429" s="5">
        <v>5000000</v>
      </c>
      <c r="V429" s="5">
        <v>0</v>
      </c>
      <c r="W429" s="5">
        <v>360000000</v>
      </c>
      <c r="X429" s="5">
        <v>50400000</v>
      </c>
      <c r="Y429" s="5">
        <v>0</v>
      </c>
      <c r="Z429" s="5">
        <f t="shared" si="54"/>
        <v>9400000</v>
      </c>
      <c r="AA429" s="5">
        <v>0</v>
      </c>
      <c r="AB429" s="5">
        <f t="shared" si="55"/>
        <v>14400000</v>
      </c>
      <c r="AC429" s="10">
        <v>7142857</v>
      </c>
      <c r="AD429" s="4" t="s">
        <v>51</v>
      </c>
      <c r="AE429" s="5">
        <f t="shared" si="56"/>
        <v>0.65277777777777779</v>
      </c>
      <c r="AF429" s="5">
        <v>-309600000</v>
      </c>
      <c r="AG429" s="4"/>
      <c r="AH429" s="5">
        <v>1</v>
      </c>
      <c r="AI429" s="5">
        <v>1</v>
      </c>
      <c r="AJ429" s="7" t="s">
        <v>1963</v>
      </c>
      <c r="AK429" s="5">
        <v>0</v>
      </c>
      <c r="AL429" s="5">
        <v>0</v>
      </c>
      <c r="AM429" s="4">
        <v>2026</v>
      </c>
      <c r="AN429" s="5">
        <v>0</v>
      </c>
      <c r="AO429" s="5">
        <v>1</v>
      </c>
      <c r="AP429" s="8"/>
      <c r="AQ429" s="8"/>
      <c r="AR429" s="8">
        <f t="shared" si="57"/>
        <v>0</v>
      </c>
      <c r="AS429" s="8">
        <f t="shared" si="58"/>
        <v>5000000</v>
      </c>
      <c r="AT429" s="8">
        <f t="shared" si="59"/>
        <v>9400000</v>
      </c>
      <c r="AU429" s="8">
        <f t="shared" si="60"/>
        <v>5000000</v>
      </c>
      <c r="AV429" s="4" t="s">
        <v>1962</v>
      </c>
      <c r="AW429" s="7" t="s">
        <v>1963</v>
      </c>
      <c r="AX429" s="5">
        <v>36000000</v>
      </c>
      <c r="AY429">
        <f t="shared" si="61"/>
        <v>0</v>
      </c>
      <c r="AZ429">
        <f t="shared" si="62"/>
        <v>5000000</v>
      </c>
      <c r="BA429" s="5">
        <v>50400000</v>
      </c>
      <c r="BB429" s="5">
        <v>0</v>
      </c>
      <c r="BC429" s="4" t="s">
        <v>49</v>
      </c>
      <c r="BD429" s="4">
        <v>47112</v>
      </c>
      <c r="BE429" t="s">
        <v>54</v>
      </c>
    </row>
    <row r="430" spans="1:57" ht="270.75" thickBot="1" x14ac:dyDescent="0.3">
      <c r="A430" s="4" t="s">
        <v>1964</v>
      </c>
      <c r="B430" s="4">
        <v>1002</v>
      </c>
      <c r="C430" s="5">
        <v>2</v>
      </c>
      <c r="D430" s="4" t="s">
        <v>44</v>
      </c>
      <c r="E430" s="6">
        <v>46215.242774143517</v>
      </c>
      <c r="F430" s="4" t="s">
        <v>1965</v>
      </c>
      <c r="G430" s="4" t="s">
        <v>46</v>
      </c>
      <c r="H430" s="4">
        <v>53</v>
      </c>
      <c r="I430" s="4" t="s">
        <v>47</v>
      </c>
      <c r="J430" s="4">
        <v>5309</v>
      </c>
      <c r="K430" s="4" t="s">
        <v>48</v>
      </c>
      <c r="L430" s="4">
        <v>5309030</v>
      </c>
      <c r="M430" s="4">
        <v>5309030023</v>
      </c>
      <c r="N430" s="4" t="s">
        <v>49</v>
      </c>
      <c r="O430" s="4">
        <v>47112</v>
      </c>
      <c r="P430" s="4" t="s">
        <v>1966</v>
      </c>
      <c r="Q430" s="5">
        <v>1</v>
      </c>
      <c r="R430" s="5">
        <v>0</v>
      </c>
      <c r="S430" s="5">
        <v>0</v>
      </c>
      <c r="T430" s="5">
        <v>40000000</v>
      </c>
      <c r="U430" s="5">
        <v>5000000</v>
      </c>
      <c r="V430" s="5">
        <v>0</v>
      </c>
      <c r="W430" s="5">
        <v>45000000</v>
      </c>
      <c r="X430" s="5">
        <v>65000000</v>
      </c>
      <c r="Y430" s="5">
        <v>0</v>
      </c>
      <c r="Z430" s="5">
        <f t="shared" si="54"/>
        <v>20000000</v>
      </c>
      <c r="AA430" s="5">
        <v>0</v>
      </c>
      <c r="AB430" s="5">
        <f t="shared" si="55"/>
        <v>25000000</v>
      </c>
      <c r="AC430" s="5" t="s">
        <v>727</v>
      </c>
      <c r="AD430" s="4" t="s">
        <v>51</v>
      </c>
      <c r="AE430" s="5">
        <f t="shared" si="56"/>
        <v>0.8</v>
      </c>
      <c r="AF430" s="5">
        <v>25000000</v>
      </c>
      <c r="AG430" s="4"/>
      <c r="AH430" s="5">
        <v>1</v>
      </c>
      <c r="AI430" s="5">
        <v>1</v>
      </c>
      <c r="AJ430" s="7" t="s">
        <v>1967</v>
      </c>
      <c r="AK430" s="5">
        <v>0</v>
      </c>
      <c r="AL430" s="5">
        <v>0</v>
      </c>
      <c r="AM430" s="4">
        <v>2009</v>
      </c>
      <c r="AN430" s="5">
        <v>0</v>
      </c>
      <c r="AO430" s="5">
        <v>1</v>
      </c>
      <c r="AP430" s="8"/>
      <c r="AQ430" s="8"/>
      <c r="AR430" s="8">
        <f t="shared" si="57"/>
        <v>0</v>
      </c>
      <c r="AS430" s="8">
        <f t="shared" si="58"/>
        <v>5000000</v>
      </c>
      <c r="AT430" s="8">
        <f t="shared" si="59"/>
        <v>18500000</v>
      </c>
      <c r="AU430" s="8">
        <f t="shared" si="60"/>
        <v>6500000</v>
      </c>
      <c r="AV430" s="4" t="s">
        <v>1966</v>
      </c>
      <c r="AW430" s="7" t="s">
        <v>1967</v>
      </c>
      <c r="AX430" s="5">
        <v>40000000</v>
      </c>
      <c r="AY430">
        <f t="shared" si="61"/>
        <v>0</v>
      </c>
      <c r="AZ430">
        <f t="shared" si="62"/>
        <v>6500000</v>
      </c>
      <c r="BA430" s="5">
        <v>65000000</v>
      </c>
      <c r="BB430" s="5">
        <v>0</v>
      </c>
      <c r="BC430" s="4" t="s">
        <v>49</v>
      </c>
      <c r="BD430" s="4">
        <v>47112</v>
      </c>
      <c r="BE430" t="s">
        <v>54</v>
      </c>
    </row>
    <row r="431" spans="1:57" ht="270.75" thickBot="1" x14ac:dyDescent="0.3">
      <c r="A431" s="4" t="s">
        <v>1968</v>
      </c>
      <c r="B431" s="4">
        <v>1002</v>
      </c>
      <c r="C431" s="5">
        <v>2</v>
      </c>
      <c r="D431" s="4" t="s">
        <v>44</v>
      </c>
      <c r="E431" s="6">
        <v>46275.330197453703</v>
      </c>
      <c r="F431" s="4" t="s">
        <v>1969</v>
      </c>
      <c r="G431" s="4" t="s">
        <v>46</v>
      </c>
      <c r="H431" s="4">
        <v>53</v>
      </c>
      <c r="I431" s="4" t="s">
        <v>47</v>
      </c>
      <c r="J431" s="4">
        <v>5309</v>
      </c>
      <c r="K431" s="4" t="s">
        <v>48</v>
      </c>
      <c r="L431" s="4">
        <v>5309071</v>
      </c>
      <c r="M431" s="4">
        <v>5309071005</v>
      </c>
      <c r="N431" s="4" t="s">
        <v>49</v>
      </c>
      <c r="O431" s="4">
        <v>47112</v>
      </c>
      <c r="P431" s="4" t="s">
        <v>1970</v>
      </c>
      <c r="Q431" s="5">
        <v>2</v>
      </c>
      <c r="R431" s="5">
        <v>0</v>
      </c>
      <c r="S431" s="5">
        <v>0</v>
      </c>
      <c r="T431" s="5">
        <v>20000000</v>
      </c>
      <c r="U431" s="5">
        <v>520000</v>
      </c>
      <c r="V431" s="5">
        <v>0</v>
      </c>
      <c r="W431" s="5">
        <v>20520000</v>
      </c>
      <c r="X431" s="5">
        <v>32000000</v>
      </c>
      <c r="Y431" s="5">
        <v>0</v>
      </c>
      <c r="Z431" s="5">
        <f t="shared" si="54"/>
        <v>11480000</v>
      </c>
      <c r="AA431" s="5">
        <v>48000000</v>
      </c>
      <c r="AB431" s="5">
        <f t="shared" si="55"/>
        <v>12000000</v>
      </c>
      <c r="AC431" s="5" t="s">
        <v>90</v>
      </c>
      <c r="AD431" s="4" t="s">
        <v>51</v>
      </c>
      <c r="AE431" s="5">
        <f t="shared" si="56"/>
        <v>0.95666666666666667</v>
      </c>
      <c r="AF431" s="5">
        <v>6000000</v>
      </c>
      <c r="AG431" s="5">
        <v>0</v>
      </c>
      <c r="AH431" s="5">
        <v>1</v>
      </c>
      <c r="AI431" s="5">
        <v>1</v>
      </c>
      <c r="AJ431" s="7" t="s">
        <v>1971</v>
      </c>
      <c r="AK431" s="5">
        <v>0</v>
      </c>
      <c r="AL431" s="5">
        <v>0</v>
      </c>
      <c r="AM431" s="4">
        <v>2017</v>
      </c>
      <c r="AN431" s="5">
        <v>0</v>
      </c>
      <c r="AO431" s="5">
        <v>2</v>
      </c>
      <c r="AP431" s="8"/>
      <c r="AQ431" s="8"/>
      <c r="AR431" s="8">
        <f t="shared" si="57"/>
        <v>0</v>
      </c>
      <c r="AS431" s="8">
        <f t="shared" si="58"/>
        <v>520000</v>
      </c>
      <c r="AT431" s="8">
        <f t="shared" si="59"/>
        <v>8880000</v>
      </c>
      <c r="AU431" s="8">
        <f t="shared" si="60"/>
        <v>3120000</v>
      </c>
      <c r="AV431" s="4" t="s">
        <v>1970</v>
      </c>
      <c r="AW431" s="7" t="s">
        <v>1971</v>
      </c>
      <c r="AX431" s="5">
        <v>20000000</v>
      </c>
      <c r="AY431">
        <f t="shared" si="61"/>
        <v>0</v>
      </c>
      <c r="AZ431">
        <f t="shared" si="62"/>
        <v>3120000</v>
      </c>
      <c r="BA431" s="5">
        <v>32000000</v>
      </c>
      <c r="BB431" s="5">
        <v>0</v>
      </c>
      <c r="BC431" s="4" t="s">
        <v>49</v>
      </c>
      <c r="BD431" s="4">
        <v>47112</v>
      </c>
      <c r="BE431" t="s">
        <v>54</v>
      </c>
    </row>
    <row r="432" spans="1:57" ht="270.75" thickBot="1" x14ac:dyDescent="0.3">
      <c r="A432" s="4" t="s">
        <v>1972</v>
      </c>
      <c r="B432" s="4">
        <v>2001</v>
      </c>
      <c r="C432" s="5">
        <v>2</v>
      </c>
      <c r="D432" s="4" t="s">
        <v>44</v>
      </c>
      <c r="E432" s="6">
        <v>46259.607215439813</v>
      </c>
      <c r="F432" s="4" t="s">
        <v>1973</v>
      </c>
      <c r="G432" s="4" t="s">
        <v>46</v>
      </c>
      <c r="H432" s="4">
        <v>53</v>
      </c>
      <c r="I432" s="4" t="s">
        <v>47</v>
      </c>
      <c r="J432" s="4">
        <v>5309</v>
      </c>
      <c r="K432" s="4" t="s">
        <v>48</v>
      </c>
      <c r="L432" s="4">
        <v>5309031</v>
      </c>
      <c r="M432" s="4">
        <v>5309031008</v>
      </c>
      <c r="N432" s="4" t="s">
        <v>49</v>
      </c>
      <c r="O432" s="4">
        <v>47112</v>
      </c>
      <c r="P432" s="4" t="s">
        <v>1974</v>
      </c>
      <c r="Q432" s="5">
        <v>2</v>
      </c>
      <c r="R432" s="5">
        <v>0</v>
      </c>
      <c r="S432" s="5">
        <v>0</v>
      </c>
      <c r="T432" s="5">
        <v>24000000</v>
      </c>
      <c r="U432" s="5">
        <v>2400000</v>
      </c>
      <c r="V432" s="5">
        <v>0</v>
      </c>
      <c r="W432" s="5">
        <v>26400000</v>
      </c>
      <c r="X432" s="5">
        <v>28800000</v>
      </c>
      <c r="Y432" s="5">
        <v>0</v>
      </c>
      <c r="Z432" s="5">
        <f t="shared" si="54"/>
        <v>2400000</v>
      </c>
      <c r="AA432" s="5">
        <v>21500000</v>
      </c>
      <c r="AB432" s="5">
        <f t="shared" si="55"/>
        <v>4800000</v>
      </c>
      <c r="AC432" s="5" t="s">
        <v>192</v>
      </c>
      <c r="AD432" s="4" t="s">
        <v>51</v>
      </c>
      <c r="AE432" s="5">
        <f t="shared" si="56"/>
        <v>0.5</v>
      </c>
      <c r="AF432" s="5">
        <v>2400000</v>
      </c>
      <c r="AG432" s="5">
        <v>0</v>
      </c>
      <c r="AH432" s="5">
        <v>1</v>
      </c>
      <c r="AI432" s="5">
        <v>1</v>
      </c>
      <c r="AJ432" s="7" t="s">
        <v>1975</v>
      </c>
      <c r="AK432" s="5">
        <v>0</v>
      </c>
      <c r="AL432" s="5">
        <v>0</v>
      </c>
      <c r="AM432" s="4">
        <v>2024</v>
      </c>
      <c r="AN432" s="5">
        <v>0</v>
      </c>
      <c r="AO432" s="5">
        <v>2</v>
      </c>
      <c r="AP432" s="8"/>
      <c r="AQ432" s="8"/>
      <c r="AR432" s="8">
        <f t="shared" si="57"/>
        <v>0</v>
      </c>
      <c r="AS432" s="8">
        <f t="shared" si="58"/>
        <v>2400000</v>
      </c>
      <c r="AT432" s="8">
        <f t="shared" si="59"/>
        <v>2400000</v>
      </c>
      <c r="AU432" s="8">
        <f t="shared" si="60"/>
        <v>2400000</v>
      </c>
      <c r="AV432" s="4" t="s">
        <v>1974</v>
      </c>
      <c r="AW432" s="7" t="s">
        <v>1975</v>
      </c>
      <c r="AX432" s="5">
        <v>24000000</v>
      </c>
      <c r="AY432">
        <f t="shared" si="61"/>
        <v>0</v>
      </c>
      <c r="AZ432">
        <f t="shared" si="62"/>
        <v>2400000</v>
      </c>
      <c r="BA432" s="5">
        <v>28800000</v>
      </c>
      <c r="BB432" s="5">
        <v>0</v>
      </c>
      <c r="BC432" s="4" t="s">
        <v>49</v>
      </c>
      <c r="BD432" s="4">
        <v>47112</v>
      </c>
      <c r="BE432" t="s">
        <v>54</v>
      </c>
    </row>
    <row r="433" spans="1:57" ht="270.75" thickBot="1" x14ac:dyDescent="0.3">
      <c r="A433" s="4" t="s">
        <v>1976</v>
      </c>
      <c r="B433" s="4">
        <v>2001</v>
      </c>
      <c r="C433" s="5">
        <v>2</v>
      </c>
      <c r="D433" s="4" t="s">
        <v>44</v>
      </c>
      <c r="E433" s="6">
        <v>46257.424137789349</v>
      </c>
      <c r="F433" s="4" t="s">
        <v>1977</v>
      </c>
      <c r="G433" s="4" t="s">
        <v>46</v>
      </c>
      <c r="H433" s="4">
        <v>53</v>
      </c>
      <c r="I433" s="4" t="s">
        <v>47</v>
      </c>
      <c r="J433" s="4">
        <v>5309</v>
      </c>
      <c r="K433" s="4" t="s">
        <v>48</v>
      </c>
      <c r="L433" s="4">
        <v>5309071</v>
      </c>
      <c r="M433" s="4">
        <v>5309071002</v>
      </c>
      <c r="N433" s="4" t="s">
        <v>49</v>
      </c>
      <c r="O433" s="4">
        <v>47112</v>
      </c>
      <c r="P433" s="4" t="s">
        <v>1978</v>
      </c>
      <c r="Q433" s="5">
        <v>1</v>
      </c>
      <c r="R433" s="5">
        <v>0</v>
      </c>
      <c r="S433" s="5">
        <v>0</v>
      </c>
      <c r="T433" s="5">
        <v>36000000</v>
      </c>
      <c r="U433" s="5">
        <v>600000</v>
      </c>
      <c r="V433" s="5">
        <v>0</v>
      </c>
      <c r="W433" s="5">
        <v>36600000</v>
      </c>
      <c r="X433" s="5">
        <v>54000000</v>
      </c>
      <c r="Y433" s="5">
        <v>0</v>
      </c>
      <c r="Z433" s="5">
        <f t="shared" si="54"/>
        <v>17400000</v>
      </c>
      <c r="AA433" s="5">
        <v>50000000</v>
      </c>
      <c r="AB433" s="5">
        <f t="shared" si="55"/>
        <v>18000000</v>
      </c>
      <c r="AC433" s="5" t="s">
        <v>102</v>
      </c>
      <c r="AD433" s="4" t="s">
        <v>51</v>
      </c>
      <c r="AE433" s="5">
        <f t="shared" si="56"/>
        <v>0.96666666666666667</v>
      </c>
      <c r="AF433" s="5">
        <v>18000000</v>
      </c>
      <c r="AG433" s="5">
        <v>0</v>
      </c>
      <c r="AH433" s="5">
        <v>1</v>
      </c>
      <c r="AI433" s="5">
        <v>1</v>
      </c>
      <c r="AJ433" s="7" t="s">
        <v>1979</v>
      </c>
      <c r="AK433" s="5">
        <v>0</v>
      </c>
      <c r="AL433" s="5">
        <v>0</v>
      </c>
      <c r="AM433" s="4">
        <v>1995</v>
      </c>
      <c r="AN433" s="5">
        <v>0</v>
      </c>
      <c r="AO433" s="5">
        <v>1</v>
      </c>
      <c r="AP433" s="8"/>
      <c r="AQ433" s="8"/>
      <c r="AR433" s="8">
        <f t="shared" si="57"/>
        <v>0</v>
      </c>
      <c r="AS433" s="8">
        <f t="shared" si="58"/>
        <v>600000</v>
      </c>
      <c r="AT433" s="8">
        <f t="shared" si="59"/>
        <v>13320000</v>
      </c>
      <c r="AU433" s="8">
        <f t="shared" si="60"/>
        <v>4680000</v>
      </c>
      <c r="AV433" s="4" t="s">
        <v>1978</v>
      </c>
      <c r="AW433" s="7" t="s">
        <v>1979</v>
      </c>
      <c r="AX433" s="5">
        <v>36000000</v>
      </c>
      <c r="AY433">
        <f t="shared" si="61"/>
        <v>0</v>
      </c>
      <c r="AZ433">
        <f t="shared" si="62"/>
        <v>4680000</v>
      </c>
      <c r="BA433" s="5">
        <v>54000000</v>
      </c>
      <c r="BB433" s="5">
        <v>0</v>
      </c>
      <c r="BC433" s="4" t="s">
        <v>49</v>
      </c>
      <c r="BD433" s="4">
        <v>47112</v>
      </c>
      <c r="BE433" t="s">
        <v>54</v>
      </c>
    </row>
    <row r="434" spans="1:57" ht="270.75" thickBot="1" x14ac:dyDescent="0.3">
      <c r="A434" s="4" t="s">
        <v>1980</v>
      </c>
      <c r="B434" s="4">
        <v>1002</v>
      </c>
      <c r="C434" s="5">
        <v>2</v>
      </c>
      <c r="D434" s="4" t="s">
        <v>44</v>
      </c>
      <c r="E434" s="6">
        <v>46255.256200613425</v>
      </c>
      <c r="F434" s="4" t="s">
        <v>1981</v>
      </c>
      <c r="G434" s="4" t="s">
        <v>46</v>
      </c>
      <c r="H434" s="4">
        <v>53</v>
      </c>
      <c r="I434" s="4" t="s">
        <v>47</v>
      </c>
      <c r="J434" s="4">
        <v>5309</v>
      </c>
      <c r="K434" s="4" t="s">
        <v>48</v>
      </c>
      <c r="L434" s="4">
        <v>5309071</v>
      </c>
      <c r="M434" s="4">
        <v>5309071015</v>
      </c>
      <c r="N434" s="4" t="s">
        <v>49</v>
      </c>
      <c r="O434" s="4">
        <v>47112</v>
      </c>
      <c r="P434" s="4" t="s">
        <v>1982</v>
      </c>
      <c r="Q434" s="5">
        <v>1</v>
      </c>
      <c r="R434" s="5">
        <v>0</v>
      </c>
      <c r="S434" s="5">
        <v>0</v>
      </c>
      <c r="T434" s="5">
        <v>1500000</v>
      </c>
      <c r="U434" s="5">
        <v>500000</v>
      </c>
      <c r="V434" s="5">
        <v>570000</v>
      </c>
      <c r="W434" s="5">
        <v>2570000</v>
      </c>
      <c r="X434" s="5">
        <v>12600000</v>
      </c>
      <c r="Y434" s="5">
        <v>0</v>
      </c>
      <c r="Z434" s="5">
        <f t="shared" si="54"/>
        <v>10600000</v>
      </c>
      <c r="AA434" s="5">
        <v>15000000</v>
      </c>
      <c r="AB434" s="5">
        <f t="shared" si="55"/>
        <v>11100000</v>
      </c>
      <c r="AC434" s="5" t="s">
        <v>1983</v>
      </c>
      <c r="AD434" s="4" t="s">
        <v>51</v>
      </c>
      <c r="AE434" s="5">
        <f t="shared" si="56"/>
        <v>0.95495495495495497</v>
      </c>
      <c r="AF434" s="5">
        <v>11100000</v>
      </c>
      <c r="AG434" s="5">
        <v>1</v>
      </c>
      <c r="AH434" s="5">
        <v>1</v>
      </c>
      <c r="AI434" s="5">
        <v>1</v>
      </c>
      <c r="AJ434" s="7" t="s">
        <v>1984</v>
      </c>
      <c r="AK434" s="5">
        <v>0</v>
      </c>
      <c r="AL434" s="5">
        <v>0</v>
      </c>
      <c r="AM434" s="4">
        <v>2025</v>
      </c>
      <c r="AN434" s="5">
        <v>0</v>
      </c>
      <c r="AO434" s="5">
        <v>1</v>
      </c>
      <c r="AP434" s="8"/>
      <c r="AQ434" s="8"/>
      <c r="AR434" s="8">
        <f t="shared" si="57"/>
        <v>0</v>
      </c>
      <c r="AS434" s="8">
        <f t="shared" si="58"/>
        <v>500000</v>
      </c>
      <c r="AT434" s="8">
        <f t="shared" si="59"/>
        <v>8214000</v>
      </c>
      <c r="AU434" s="8">
        <f t="shared" si="60"/>
        <v>2886000</v>
      </c>
      <c r="AV434" s="4" t="s">
        <v>1982</v>
      </c>
      <c r="AW434" s="7" t="s">
        <v>1984</v>
      </c>
      <c r="AX434" s="5">
        <v>1500000</v>
      </c>
      <c r="AY434">
        <f t="shared" si="61"/>
        <v>0</v>
      </c>
      <c r="AZ434">
        <f t="shared" si="62"/>
        <v>2886000</v>
      </c>
      <c r="BA434" s="5">
        <v>12600000</v>
      </c>
      <c r="BB434" s="5">
        <v>0</v>
      </c>
      <c r="BC434" s="4" t="s">
        <v>49</v>
      </c>
      <c r="BD434" s="4">
        <v>47112</v>
      </c>
      <c r="BE434" t="s">
        <v>54</v>
      </c>
    </row>
    <row r="435" spans="1:57" ht="270.75" thickBot="1" x14ac:dyDescent="0.3">
      <c r="A435" s="4" t="s">
        <v>1985</v>
      </c>
      <c r="B435" s="4">
        <v>1</v>
      </c>
      <c r="C435" s="5">
        <v>2</v>
      </c>
      <c r="D435" s="4" t="s">
        <v>44</v>
      </c>
      <c r="E435" s="6">
        <v>46272.338351157407</v>
      </c>
      <c r="F435" s="4" t="s">
        <v>1986</v>
      </c>
      <c r="G435" s="4" t="s">
        <v>46</v>
      </c>
      <c r="H435" s="4">
        <v>53</v>
      </c>
      <c r="I435" s="4" t="s">
        <v>47</v>
      </c>
      <c r="J435" s="4">
        <v>5309</v>
      </c>
      <c r="K435" s="4" t="s">
        <v>48</v>
      </c>
      <c r="L435" s="4">
        <v>5309050</v>
      </c>
      <c r="M435" s="4">
        <v>5309050015</v>
      </c>
      <c r="N435" s="4" t="s">
        <v>49</v>
      </c>
      <c r="O435" s="4">
        <v>47112</v>
      </c>
      <c r="P435" s="4" t="s">
        <v>1987</v>
      </c>
      <c r="Q435" s="5">
        <v>2</v>
      </c>
      <c r="R435" s="5">
        <v>0</v>
      </c>
      <c r="S435" s="5">
        <v>0</v>
      </c>
      <c r="T435" s="5">
        <v>42000000</v>
      </c>
      <c r="U435" s="5">
        <v>1000000</v>
      </c>
      <c r="V435" s="5">
        <v>0</v>
      </c>
      <c r="W435" s="5">
        <v>43000000</v>
      </c>
      <c r="X435" s="5">
        <v>60000000</v>
      </c>
      <c r="Y435" s="5">
        <v>0</v>
      </c>
      <c r="Z435" s="5">
        <f t="shared" si="54"/>
        <v>17000000</v>
      </c>
      <c r="AA435" s="5">
        <v>26000000</v>
      </c>
      <c r="AB435" s="5">
        <f t="shared" si="55"/>
        <v>18000000</v>
      </c>
      <c r="AC435" s="5" t="s">
        <v>921</v>
      </c>
      <c r="AD435" s="4" t="s">
        <v>51</v>
      </c>
      <c r="AE435" s="5">
        <f t="shared" si="56"/>
        <v>0.94444444444444442</v>
      </c>
      <c r="AF435" s="5">
        <v>9000000</v>
      </c>
      <c r="AG435" s="5">
        <v>1</v>
      </c>
      <c r="AH435" s="5">
        <v>1</v>
      </c>
      <c r="AI435" s="5">
        <v>1</v>
      </c>
      <c r="AJ435" s="7" t="s">
        <v>1988</v>
      </c>
      <c r="AK435" s="5">
        <v>0</v>
      </c>
      <c r="AL435" s="5">
        <v>0</v>
      </c>
      <c r="AM435" s="4">
        <v>2019</v>
      </c>
      <c r="AN435" s="5">
        <v>0</v>
      </c>
      <c r="AO435" s="5">
        <v>2</v>
      </c>
      <c r="AP435" s="8"/>
      <c r="AQ435" s="8"/>
      <c r="AR435" s="8">
        <f t="shared" si="57"/>
        <v>0</v>
      </c>
      <c r="AS435" s="8">
        <f t="shared" si="58"/>
        <v>1000000</v>
      </c>
      <c r="AT435" s="8">
        <f t="shared" si="59"/>
        <v>13320000</v>
      </c>
      <c r="AU435" s="8">
        <f t="shared" si="60"/>
        <v>4680000</v>
      </c>
      <c r="AV435" s="4" t="s">
        <v>1987</v>
      </c>
      <c r="AW435" s="7" t="s">
        <v>1988</v>
      </c>
      <c r="AX435" s="5">
        <v>42000000</v>
      </c>
      <c r="AY435">
        <f t="shared" si="61"/>
        <v>0</v>
      </c>
      <c r="AZ435">
        <f t="shared" si="62"/>
        <v>4680000</v>
      </c>
      <c r="BA435" s="5">
        <v>60000000</v>
      </c>
      <c r="BB435" s="5">
        <v>0</v>
      </c>
      <c r="BC435" s="4" t="s">
        <v>49</v>
      </c>
      <c r="BD435" s="4">
        <v>47112</v>
      </c>
      <c r="BE435" t="s">
        <v>54</v>
      </c>
    </row>
    <row r="436" spans="1:57" ht="270.75" thickBot="1" x14ac:dyDescent="0.3">
      <c r="A436" s="4" t="s">
        <v>1989</v>
      </c>
      <c r="B436" s="4">
        <v>3</v>
      </c>
      <c r="C436" s="5">
        <v>2</v>
      </c>
      <c r="D436" s="4" t="s">
        <v>44</v>
      </c>
      <c r="E436" s="6">
        <v>46269.317410393516</v>
      </c>
      <c r="F436" s="4" t="s">
        <v>1990</v>
      </c>
      <c r="G436" s="4" t="s">
        <v>46</v>
      </c>
      <c r="H436" s="4">
        <v>53</v>
      </c>
      <c r="I436" s="4" t="s">
        <v>47</v>
      </c>
      <c r="J436" s="4">
        <v>5309</v>
      </c>
      <c r="K436" s="4" t="s">
        <v>48</v>
      </c>
      <c r="L436" s="4">
        <v>5309070</v>
      </c>
      <c r="M436" s="4">
        <v>5309070006</v>
      </c>
      <c r="N436" s="4" t="s">
        <v>49</v>
      </c>
      <c r="O436" s="4">
        <v>47112</v>
      </c>
      <c r="P436" s="4" t="s">
        <v>1991</v>
      </c>
      <c r="Q436" s="5">
        <v>2</v>
      </c>
      <c r="R436" s="5">
        <v>0</v>
      </c>
      <c r="S436" s="5">
        <v>500000</v>
      </c>
      <c r="T436" s="5">
        <v>3000000</v>
      </c>
      <c r="U436" s="5">
        <v>1500000</v>
      </c>
      <c r="V436" s="5">
        <v>500000</v>
      </c>
      <c r="W436" s="5">
        <v>5500000</v>
      </c>
      <c r="X436" s="5">
        <v>6000000</v>
      </c>
      <c r="Y436" s="5">
        <v>0</v>
      </c>
      <c r="Z436" s="5">
        <f t="shared" si="54"/>
        <v>1000000</v>
      </c>
      <c r="AA436" s="5">
        <v>1500000</v>
      </c>
      <c r="AB436" s="5">
        <f t="shared" si="55"/>
        <v>3000000</v>
      </c>
      <c r="AC436" s="5" t="s">
        <v>93</v>
      </c>
      <c r="AD436" s="4" t="s">
        <v>51</v>
      </c>
      <c r="AE436" s="5">
        <f t="shared" si="56"/>
        <v>0.33333333333333331</v>
      </c>
      <c r="AF436" s="5">
        <v>1500000</v>
      </c>
      <c r="AG436" s="5">
        <v>1</v>
      </c>
      <c r="AH436" s="5">
        <v>1</v>
      </c>
      <c r="AI436" s="5">
        <v>1</v>
      </c>
      <c r="AJ436" s="7" t="s">
        <v>1992</v>
      </c>
      <c r="AK436" s="5">
        <v>0</v>
      </c>
      <c r="AL436" s="5">
        <v>0</v>
      </c>
      <c r="AM436" s="4">
        <v>2018</v>
      </c>
      <c r="AN436" s="5">
        <v>0</v>
      </c>
      <c r="AO436" s="5">
        <v>2</v>
      </c>
      <c r="AP436" s="8"/>
      <c r="AQ436" s="8"/>
      <c r="AR436" s="8">
        <f t="shared" si="57"/>
        <v>0</v>
      </c>
      <c r="AS436" s="8">
        <f t="shared" si="58"/>
        <v>2000000</v>
      </c>
      <c r="AT436" s="8">
        <f t="shared" si="59"/>
        <v>1000000</v>
      </c>
      <c r="AU436" s="8">
        <f t="shared" si="60"/>
        <v>2000000</v>
      </c>
      <c r="AV436" s="4" t="s">
        <v>1991</v>
      </c>
      <c r="AW436" s="7" t="s">
        <v>1992</v>
      </c>
      <c r="AX436" s="5">
        <v>3000000</v>
      </c>
      <c r="AY436">
        <f t="shared" si="61"/>
        <v>500000</v>
      </c>
      <c r="AZ436">
        <f t="shared" si="62"/>
        <v>1500000</v>
      </c>
      <c r="BA436" s="5">
        <v>6000000</v>
      </c>
      <c r="BB436" s="5">
        <v>0</v>
      </c>
      <c r="BC436" s="4" t="s">
        <v>49</v>
      </c>
      <c r="BD436" s="4">
        <v>47112</v>
      </c>
      <c r="BE436" t="s">
        <v>54</v>
      </c>
    </row>
    <row r="437" spans="1:57" ht="270.75" thickBot="1" x14ac:dyDescent="0.3">
      <c r="A437" s="4" t="s">
        <v>1993</v>
      </c>
      <c r="B437" s="4">
        <v>3001</v>
      </c>
      <c r="C437" s="5">
        <v>2</v>
      </c>
      <c r="D437" s="4" t="s">
        <v>44</v>
      </c>
      <c r="E437" s="6">
        <v>46278.411302337961</v>
      </c>
      <c r="F437" s="4" t="s">
        <v>1994</v>
      </c>
      <c r="G437" s="4" t="s">
        <v>46</v>
      </c>
      <c r="H437" s="4">
        <v>53</v>
      </c>
      <c r="I437" s="4" t="s">
        <v>47</v>
      </c>
      <c r="J437" s="4">
        <v>5309</v>
      </c>
      <c r="K437" s="4" t="s">
        <v>48</v>
      </c>
      <c r="L437" s="4">
        <v>5309030</v>
      </c>
      <c r="M437" s="4">
        <v>5309030011</v>
      </c>
      <c r="N437" s="4" t="s">
        <v>49</v>
      </c>
      <c r="O437" s="4">
        <v>47112</v>
      </c>
      <c r="P437" s="4" t="s">
        <v>1995</v>
      </c>
      <c r="Q437" s="5">
        <v>1</v>
      </c>
      <c r="R437" s="5">
        <v>0</v>
      </c>
      <c r="S437" s="5">
        <v>1250000</v>
      </c>
      <c r="T437" s="5">
        <v>0</v>
      </c>
      <c r="U437" s="5">
        <v>200000</v>
      </c>
      <c r="V437" s="5">
        <v>0</v>
      </c>
      <c r="W437" s="5">
        <v>1450000</v>
      </c>
      <c r="X437" s="5">
        <v>3250000</v>
      </c>
      <c r="Y437" s="5">
        <v>0</v>
      </c>
      <c r="Z437" s="5">
        <f t="shared" si="54"/>
        <v>1800000</v>
      </c>
      <c r="AA437" s="5">
        <v>50000000</v>
      </c>
      <c r="AB437" s="5">
        <f t="shared" si="55"/>
        <v>3250000</v>
      </c>
      <c r="AC437" s="5">
        <v>0</v>
      </c>
      <c r="AD437" s="4" t="s">
        <v>51</v>
      </c>
      <c r="AE437" s="5">
        <f t="shared" si="56"/>
        <v>0.55384615384615388</v>
      </c>
      <c r="AF437" s="5">
        <v>3250000</v>
      </c>
      <c r="AG437" s="5">
        <v>1</v>
      </c>
      <c r="AH437" s="5">
        <v>1</v>
      </c>
      <c r="AI437" s="5">
        <v>1</v>
      </c>
      <c r="AJ437" s="7" t="s">
        <v>1996</v>
      </c>
      <c r="AK437" s="5">
        <v>0</v>
      </c>
      <c r="AL437" s="5">
        <v>0</v>
      </c>
      <c r="AM437" s="4">
        <v>2025</v>
      </c>
      <c r="AN437" s="5">
        <v>0</v>
      </c>
      <c r="AO437" s="5">
        <v>1</v>
      </c>
      <c r="AP437" s="8"/>
      <c r="AQ437" s="8"/>
      <c r="AR437" s="8">
        <f t="shared" si="57"/>
        <v>0</v>
      </c>
      <c r="AS437" s="8">
        <f t="shared" si="58"/>
        <v>1450000</v>
      </c>
      <c r="AT437" s="8">
        <f t="shared" si="59"/>
        <v>1800000</v>
      </c>
      <c r="AU437" s="8">
        <f t="shared" si="60"/>
        <v>1450000</v>
      </c>
      <c r="AV437" s="4" t="s">
        <v>1995</v>
      </c>
      <c r="AW437" s="7" t="s">
        <v>1996</v>
      </c>
      <c r="AX437" s="5">
        <v>0</v>
      </c>
      <c r="AY437">
        <f t="shared" si="61"/>
        <v>1250000</v>
      </c>
      <c r="AZ437">
        <f t="shared" si="62"/>
        <v>200000</v>
      </c>
      <c r="BA437" s="5">
        <v>3250000</v>
      </c>
      <c r="BB437" s="5">
        <v>0</v>
      </c>
      <c r="BC437" s="4" t="s">
        <v>49</v>
      </c>
      <c r="BD437" s="4">
        <v>47112</v>
      </c>
      <c r="BE437" t="s">
        <v>54</v>
      </c>
    </row>
    <row r="438" spans="1:57" ht="270.75" thickBot="1" x14ac:dyDescent="0.3">
      <c r="A438" s="4" t="s">
        <v>1997</v>
      </c>
      <c r="B438" s="4">
        <v>1001</v>
      </c>
      <c r="C438" s="5">
        <v>2</v>
      </c>
      <c r="D438" s="4" t="s">
        <v>44</v>
      </c>
      <c r="E438" s="6">
        <v>46290.9228153125</v>
      </c>
      <c r="F438" s="4" t="s">
        <v>1998</v>
      </c>
      <c r="G438" s="4" t="s">
        <v>46</v>
      </c>
      <c r="H438" s="4">
        <v>53</v>
      </c>
      <c r="I438" s="4" t="s">
        <v>47</v>
      </c>
      <c r="J438" s="4">
        <v>5309</v>
      </c>
      <c r="K438" s="4" t="s">
        <v>48</v>
      </c>
      <c r="L438" s="4">
        <v>5309030</v>
      </c>
      <c r="M438" s="4">
        <v>5309030014</v>
      </c>
      <c r="N438" s="4" t="s">
        <v>49</v>
      </c>
      <c r="O438" s="4">
        <v>47112</v>
      </c>
      <c r="P438" s="4" t="s">
        <v>1999</v>
      </c>
      <c r="Q438" s="5">
        <v>1</v>
      </c>
      <c r="R438" s="5">
        <v>0</v>
      </c>
      <c r="S438" s="5">
        <v>0</v>
      </c>
      <c r="T438" s="5">
        <v>1000000</v>
      </c>
      <c r="U438" s="5">
        <v>0</v>
      </c>
      <c r="V438" s="5">
        <v>0</v>
      </c>
      <c r="W438" s="5">
        <v>1000000</v>
      </c>
      <c r="X438" s="5">
        <v>3000000</v>
      </c>
      <c r="Y438" s="5">
        <v>0</v>
      </c>
      <c r="Z438" s="5">
        <f t="shared" si="54"/>
        <v>2000000</v>
      </c>
      <c r="AA438" s="5">
        <v>0</v>
      </c>
      <c r="AB438" s="5">
        <f t="shared" si="55"/>
        <v>2000000</v>
      </c>
      <c r="AC438" s="5" t="s">
        <v>172</v>
      </c>
      <c r="AD438" s="4" t="s">
        <v>51</v>
      </c>
      <c r="AE438" s="5">
        <f t="shared" si="56"/>
        <v>1</v>
      </c>
      <c r="AF438" s="5">
        <v>2000000</v>
      </c>
      <c r="AG438" s="4"/>
      <c r="AH438" s="5">
        <v>1</v>
      </c>
      <c r="AI438" s="5">
        <v>1</v>
      </c>
      <c r="AJ438" s="7" t="s">
        <v>2000</v>
      </c>
      <c r="AK438" s="5">
        <v>0</v>
      </c>
      <c r="AL438" s="5">
        <v>0</v>
      </c>
      <c r="AM438" s="4">
        <v>2010</v>
      </c>
      <c r="AN438" s="5">
        <v>0</v>
      </c>
      <c r="AO438" s="5">
        <v>1</v>
      </c>
      <c r="AP438" s="8"/>
      <c r="AQ438" s="8"/>
      <c r="AR438" s="8">
        <f t="shared" si="57"/>
        <v>0</v>
      </c>
      <c r="AS438" s="8">
        <f t="shared" si="58"/>
        <v>0</v>
      </c>
      <c r="AT438" s="8">
        <f t="shared" si="59"/>
        <v>1480000</v>
      </c>
      <c r="AU438" s="8">
        <f t="shared" si="60"/>
        <v>520000</v>
      </c>
      <c r="AV438" s="4" t="s">
        <v>1999</v>
      </c>
      <c r="AW438" s="7" t="s">
        <v>2000</v>
      </c>
      <c r="AX438" s="5">
        <v>1000000</v>
      </c>
      <c r="AY438" t="e">
        <f t="shared" si="61"/>
        <v>#DIV/0!</v>
      </c>
      <c r="AZ438" t="e">
        <f t="shared" si="62"/>
        <v>#DIV/0!</v>
      </c>
      <c r="BA438" s="5">
        <v>3000000</v>
      </c>
      <c r="BB438" s="5">
        <v>0</v>
      </c>
      <c r="BC438" s="4" t="s">
        <v>49</v>
      </c>
      <c r="BD438" s="4">
        <v>47112</v>
      </c>
      <c r="BE438" t="s">
        <v>54</v>
      </c>
    </row>
    <row r="439" spans="1:57" ht="270.75" thickBot="1" x14ac:dyDescent="0.3">
      <c r="A439" s="4" t="s">
        <v>2001</v>
      </c>
      <c r="B439" s="4">
        <v>1002</v>
      </c>
      <c r="C439" s="5">
        <v>2</v>
      </c>
      <c r="D439" s="4" t="s">
        <v>44</v>
      </c>
      <c r="E439" s="6">
        <v>46271.636921944446</v>
      </c>
      <c r="F439" s="4" t="s">
        <v>2002</v>
      </c>
      <c r="G439" s="4" t="s">
        <v>46</v>
      </c>
      <c r="H439" s="4">
        <v>53</v>
      </c>
      <c r="I439" s="4" t="s">
        <v>47</v>
      </c>
      <c r="J439" s="4">
        <v>5309</v>
      </c>
      <c r="K439" s="4" t="s">
        <v>48</v>
      </c>
      <c r="L439" s="4">
        <v>5309070</v>
      </c>
      <c r="M439" s="4">
        <v>5309070014</v>
      </c>
      <c r="N439" s="4" t="s">
        <v>49</v>
      </c>
      <c r="O439" s="4">
        <v>47112</v>
      </c>
      <c r="P439" s="4" t="s">
        <v>2003</v>
      </c>
      <c r="Q439" s="5">
        <v>1</v>
      </c>
      <c r="R439" s="5">
        <v>0</v>
      </c>
      <c r="S439" s="5">
        <v>250000</v>
      </c>
      <c r="T439" s="5">
        <v>12000000</v>
      </c>
      <c r="U439" s="5">
        <v>240000</v>
      </c>
      <c r="V439" s="5">
        <v>0</v>
      </c>
      <c r="W439" s="5">
        <v>12490000</v>
      </c>
      <c r="X439" s="5">
        <v>18000000</v>
      </c>
      <c r="Y439" s="5">
        <v>0</v>
      </c>
      <c r="Z439" s="5">
        <f t="shared" si="54"/>
        <v>5510000</v>
      </c>
      <c r="AA439" s="5">
        <v>1200000</v>
      </c>
      <c r="AB439" s="5">
        <f t="shared" si="55"/>
        <v>6000000</v>
      </c>
      <c r="AC439" s="5" t="s">
        <v>102</v>
      </c>
      <c r="AD439" s="4" t="s">
        <v>51</v>
      </c>
      <c r="AE439" s="5">
        <f t="shared" si="56"/>
        <v>0.91833333333333333</v>
      </c>
      <c r="AF439" s="5">
        <v>6000000</v>
      </c>
      <c r="AG439" s="5">
        <v>1</v>
      </c>
      <c r="AH439" s="5">
        <v>1</v>
      </c>
      <c r="AI439" s="5">
        <v>1</v>
      </c>
      <c r="AJ439" s="7" t="s">
        <v>2004</v>
      </c>
      <c r="AK439" s="5">
        <v>0</v>
      </c>
      <c r="AL439" s="5">
        <v>0</v>
      </c>
      <c r="AM439" s="4">
        <v>2024</v>
      </c>
      <c r="AN439" s="5">
        <v>0</v>
      </c>
      <c r="AO439" s="5">
        <v>1</v>
      </c>
      <c r="AP439" s="8"/>
      <c r="AQ439" s="8"/>
      <c r="AR439" s="8">
        <f t="shared" si="57"/>
        <v>0</v>
      </c>
      <c r="AS439" s="8">
        <f t="shared" si="58"/>
        <v>490000</v>
      </c>
      <c r="AT439" s="8">
        <f t="shared" si="59"/>
        <v>4440000</v>
      </c>
      <c r="AU439" s="8">
        <f t="shared" si="60"/>
        <v>1560000</v>
      </c>
      <c r="AV439" s="4" t="s">
        <v>2003</v>
      </c>
      <c r="AW439" s="7" t="s">
        <v>2004</v>
      </c>
      <c r="AX439" s="5">
        <v>12000000</v>
      </c>
      <c r="AY439">
        <f t="shared" si="61"/>
        <v>795918.36734693882</v>
      </c>
      <c r="AZ439">
        <f t="shared" si="62"/>
        <v>764081.63265306118</v>
      </c>
      <c r="BA439" s="5">
        <v>18000000</v>
      </c>
      <c r="BB439" s="5">
        <v>0</v>
      </c>
      <c r="BC439" s="4" t="s">
        <v>49</v>
      </c>
      <c r="BD439" s="4">
        <v>47112</v>
      </c>
      <c r="BE439" t="s">
        <v>54</v>
      </c>
    </row>
    <row r="440" spans="1:57" ht="270.75" thickBot="1" x14ac:dyDescent="0.3">
      <c r="A440" s="4" t="s">
        <v>2005</v>
      </c>
      <c r="B440" s="4">
        <v>1002</v>
      </c>
      <c r="C440" s="5">
        <v>2</v>
      </c>
      <c r="D440" s="4" t="s">
        <v>44</v>
      </c>
      <c r="E440" s="6">
        <v>46293.073895428242</v>
      </c>
      <c r="F440" s="4" t="s">
        <v>2006</v>
      </c>
      <c r="G440" s="4" t="s">
        <v>46</v>
      </c>
      <c r="H440" s="4">
        <v>53</v>
      </c>
      <c r="I440" s="4" t="s">
        <v>47</v>
      </c>
      <c r="J440" s="4">
        <v>5309</v>
      </c>
      <c r="K440" s="4" t="s">
        <v>48</v>
      </c>
      <c r="L440" s="4">
        <v>5309030</v>
      </c>
      <c r="M440" s="4">
        <v>5309030022</v>
      </c>
      <c r="N440" s="4" t="s">
        <v>49</v>
      </c>
      <c r="O440" s="4">
        <v>47112</v>
      </c>
      <c r="P440" s="4" t="s">
        <v>2007</v>
      </c>
      <c r="Q440" s="5">
        <v>1</v>
      </c>
      <c r="R440" s="5">
        <v>0</v>
      </c>
      <c r="S440" s="5">
        <v>0</v>
      </c>
      <c r="T440" s="5">
        <v>18000000</v>
      </c>
      <c r="U440" s="5">
        <v>1440000</v>
      </c>
      <c r="V440" s="5">
        <v>0</v>
      </c>
      <c r="W440" s="5">
        <v>19440000</v>
      </c>
      <c r="X440" s="5">
        <v>21600000</v>
      </c>
      <c r="Y440" s="5">
        <v>0</v>
      </c>
      <c r="Z440" s="5">
        <f t="shared" si="54"/>
        <v>2160000</v>
      </c>
      <c r="AA440" s="5">
        <v>0</v>
      </c>
      <c r="AB440" s="5">
        <f t="shared" si="55"/>
        <v>3600000</v>
      </c>
      <c r="AC440" s="5" t="s">
        <v>192</v>
      </c>
      <c r="AD440" s="4" t="s">
        <v>51</v>
      </c>
      <c r="AE440" s="5">
        <f t="shared" si="56"/>
        <v>0.6</v>
      </c>
      <c r="AF440" s="5">
        <v>3600000</v>
      </c>
      <c r="AG440" s="4"/>
      <c r="AH440" s="5">
        <v>1</v>
      </c>
      <c r="AI440" s="5">
        <v>1</v>
      </c>
      <c r="AJ440" s="7" t="s">
        <v>2008</v>
      </c>
      <c r="AK440" s="5">
        <v>0</v>
      </c>
      <c r="AL440" s="5">
        <v>0</v>
      </c>
      <c r="AM440" s="4">
        <v>2026</v>
      </c>
      <c r="AN440" s="5">
        <v>0</v>
      </c>
      <c r="AO440" s="5">
        <v>1</v>
      </c>
      <c r="AP440" s="8"/>
      <c r="AQ440" s="8"/>
      <c r="AR440" s="8">
        <f t="shared" si="57"/>
        <v>0</v>
      </c>
      <c r="AS440" s="8">
        <f t="shared" si="58"/>
        <v>1440000</v>
      </c>
      <c r="AT440" s="8">
        <f t="shared" si="59"/>
        <v>2160000</v>
      </c>
      <c r="AU440" s="8">
        <f t="shared" si="60"/>
        <v>1440000</v>
      </c>
      <c r="AV440" s="4" t="s">
        <v>2007</v>
      </c>
      <c r="AW440" s="7" t="s">
        <v>2008</v>
      </c>
      <c r="AX440" s="5">
        <v>18000000</v>
      </c>
      <c r="AY440">
        <f t="shared" si="61"/>
        <v>0</v>
      </c>
      <c r="AZ440">
        <f t="shared" si="62"/>
        <v>1440000</v>
      </c>
      <c r="BA440" s="5">
        <v>21600000</v>
      </c>
      <c r="BB440" s="5">
        <v>0</v>
      </c>
      <c r="BC440" s="4" t="s">
        <v>49</v>
      </c>
      <c r="BD440" s="4">
        <v>47112</v>
      </c>
      <c r="BE440" t="s">
        <v>54</v>
      </c>
    </row>
    <row r="441" spans="1:57" ht="270.75" thickBot="1" x14ac:dyDescent="0.3">
      <c r="A441" s="4" t="s">
        <v>2009</v>
      </c>
      <c r="B441" s="4">
        <v>2001</v>
      </c>
      <c r="C441" s="5">
        <v>2</v>
      </c>
      <c r="D441" s="4" t="s">
        <v>44</v>
      </c>
      <c r="E441" s="6">
        <v>46214.284558449071</v>
      </c>
      <c r="F441" s="4" t="s">
        <v>2010</v>
      </c>
      <c r="G441" s="4" t="s">
        <v>46</v>
      </c>
      <c r="H441" s="4">
        <v>53</v>
      </c>
      <c r="I441" s="4" t="s">
        <v>47</v>
      </c>
      <c r="J441" s="4">
        <v>5309</v>
      </c>
      <c r="K441" s="4" t="s">
        <v>48</v>
      </c>
      <c r="L441" s="4">
        <v>5309020</v>
      </c>
      <c r="M441" s="4">
        <v>5309020017</v>
      </c>
      <c r="N441" s="4" t="s">
        <v>49</v>
      </c>
      <c r="O441" s="4">
        <v>47112</v>
      </c>
      <c r="P441" s="4" t="s">
        <v>2011</v>
      </c>
      <c r="Q441" s="5">
        <v>2</v>
      </c>
      <c r="R441" s="5">
        <v>0</v>
      </c>
      <c r="S441" s="5">
        <v>5000000</v>
      </c>
      <c r="T441" s="5">
        <v>0</v>
      </c>
      <c r="U441" s="5">
        <v>500000</v>
      </c>
      <c r="V441" s="5">
        <v>0</v>
      </c>
      <c r="W441" s="5">
        <v>5500000</v>
      </c>
      <c r="X441" s="5">
        <v>8200000</v>
      </c>
      <c r="Y441" s="5">
        <v>0</v>
      </c>
      <c r="Z441" s="5">
        <f t="shared" si="54"/>
        <v>2700000</v>
      </c>
      <c r="AA441" s="5">
        <v>500000</v>
      </c>
      <c r="AB441" s="5">
        <f t="shared" si="55"/>
        <v>8200000</v>
      </c>
      <c r="AC441" s="5">
        <v>0</v>
      </c>
      <c r="AD441" s="4" t="s">
        <v>51</v>
      </c>
      <c r="AE441" s="5">
        <f t="shared" si="56"/>
        <v>0.32926829268292684</v>
      </c>
      <c r="AF441" s="5">
        <v>4100000</v>
      </c>
      <c r="AG441" s="5">
        <v>1</v>
      </c>
      <c r="AH441" s="5">
        <v>1</v>
      </c>
      <c r="AI441" s="5">
        <v>1</v>
      </c>
      <c r="AJ441" s="7" t="s">
        <v>2012</v>
      </c>
      <c r="AK441" s="5">
        <v>0</v>
      </c>
      <c r="AL441" s="5">
        <v>0</v>
      </c>
      <c r="AM441" s="4">
        <v>2014</v>
      </c>
      <c r="AN441" s="5">
        <v>0</v>
      </c>
      <c r="AO441" s="5">
        <v>2</v>
      </c>
      <c r="AP441" s="8"/>
      <c r="AQ441" s="8"/>
      <c r="AR441" s="8">
        <f t="shared" si="57"/>
        <v>0</v>
      </c>
      <c r="AS441" s="8">
        <f t="shared" si="58"/>
        <v>5500000</v>
      </c>
      <c r="AT441" s="8">
        <f t="shared" si="59"/>
        <v>2700000</v>
      </c>
      <c r="AU441" s="8">
        <f t="shared" si="60"/>
        <v>5500000</v>
      </c>
      <c r="AV441" s="4" t="s">
        <v>2011</v>
      </c>
      <c r="AW441" s="7" t="s">
        <v>2012</v>
      </c>
      <c r="AX441" s="5">
        <v>0</v>
      </c>
      <c r="AY441">
        <f t="shared" si="61"/>
        <v>5000000</v>
      </c>
      <c r="AZ441">
        <f t="shared" si="62"/>
        <v>500000</v>
      </c>
      <c r="BA441" s="5">
        <v>8200000</v>
      </c>
      <c r="BB441" s="5">
        <v>0</v>
      </c>
      <c r="BC441" s="4" t="s">
        <v>49</v>
      </c>
      <c r="BD441" s="4">
        <v>47112</v>
      </c>
      <c r="BE441" t="s">
        <v>54</v>
      </c>
    </row>
    <row r="442" spans="1:57" ht="270.75" thickBot="1" x14ac:dyDescent="0.3">
      <c r="A442" s="4" t="s">
        <v>2013</v>
      </c>
      <c r="B442" s="4">
        <v>1</v>
      </c>
      <c r="C442" s="5">
        <v>2</v>
      </c>
      <c r="D442" s="4" t="s">
        <v>44</v>
      </c>
      <c r="E442" s="6">
        <v>46225.019316111109</v>
      </c>
      <c r="F442" s="4" t="s">
        <v>2014</v>
      </c>
      <c r="G442" s="4" t="s">
        <v>46</v>
      </c>
      <c r="H442" s="4">
        <v>53</v>
      </c>
      <c r="I442" s="4" t="s">
        <v>47</v>
      </c>
      <c r="J442" s="4">
        <v>5309</v>
      </c>
      <c r="K442" s="4" t="s">
        <v>48</v>
      </c>
      <c r="L442" s="4">
        <v>5309061</v>
      </c>
      <c r="M442" s="4">
        <v>5309061008</v>
      </c>
      <c r="N442" s="4" t="s">
        <v>49</v>
      </c>
      <c r="O442" s="4">
        <v>47112</v>
      </c>
      <c r="P442" s="4" t="s">
        <v>2015</v>
      </c>
      <c r="Q442" s="5">
        <v>1</v>
      </c>
      <c r="R442" s="5">
        <v>0</v>
      </c>
      <c r="S442" s="5">
        <v>3500000</v>
      </c>
      <c r="T442" s="5">
        <v>1000000</v>
      </c>
      <c r="U442" s="5">
        <v>25000</v>
      </c>
      <c r="V442" s="5">
        <v>0</v>
      </c>
      <c r="W442" s="5">
        <v>4525000</v>
      </c>
      <c r="X442" s="5">
        <v>4800000</v>
      </c>
      <c r="Y442" s="5">
        <v>0</v>
      </c>
      <c r="Z442" s="5">
        <f t="shared" si="54"/>
        <v>275000</v>
      </c>
      <c r="AA442" s="5">
        <v>8200000</v>
      </c>
      <c r="AB442" s="5">
        <f t="shared" si="55"/>
        <v>3800000</v>
      </c>
      <c r="AC442" s="5" t="s">
        <v>1118</v>
      </c>
      <c r="AD442" s="4" t="s">
        <v>51</v>
      </c>
      <c r="AE442" s="5">
        <f t="shared" si="56"/>
        <v>7.2368421052631582E-2</v>
      </c>
      <c r="AF442" s="5">
        <v>3800000</v>
      </c>
      <c r="AG442" s="5">
        <v>1</v>
      </c>
      <c r="AH442" s="5">
        <v>1</v>
      </c>
      <c r="AI442" s="5">
        <v>1</v>
      </c>
      <c r="AJ442" s="7" t="s">
        <v>2016</v>
      </c>
      <c r="AK442" s="5">
        <v>0</v>
      </c>
      <c r="AL442" s="5">
        <v>0</v>
      </c>
      <c r="AM442" s="4">
        <v>2017</v>
      </c>
      <c r="AN442" s="5">
        <v>0</v>
      </c>
      <c r="AO442" s="5">
        <v>1</v>
      </c>
      <c r="AP442" s="8"/>
      <c r="AQ442" s="8"/>
      <c r="AR442" s="8">
        <f t="shared" si="57"/>
        <v>0</v>
      </c>
      <c r="AS442" s="8">
        <f t="shared" si="58"/>
        <v>3525000</v>
      </c>
      <c r="AT442" s="8">
        <f t="shared" si="59"/>
        <v>275000</v>
      </c>
      <c r="AU442" s="8">
        <f t="shared" si="60"/>
        <v>3525000</v>
      </c>
      <c r="AV442" s="4" t="s">
        <v>2015</v>
      </c>
      <c r="AW442" s="7" t="s">
        <v>2016</v>
      </c>
      <c r="AX442" s="5">
        <v>1000000</v>
      </c>
      <c r="AY442">
        <f t="shared" si="61"/>
        <v>3500000</v>
      </c>
      <c r="AZ442">
        <f t="shared" si="62"/>
        <v>25000</v>
      </c>
      <c r="BA442" s="5">
        <v>4800000</v>
      </c>
      <c r="BB442" s="5">
        <v>0</v>
      </c>
      <c r="BC442" s="4" t="s">
        <v>49</v>
      </c>
      <c r="BD442" s="4">
        <v>47112</v>
      </c>
      <c r="BE442" t="s">
        <v>54</v>
      </c>
    </row>
    <row r="443" spans="1:57" ht="270.75" thickBot="1" x14ac:dyDescent="0.3">
      <c r="A443" s="4" t="s">
        <v>2017</v>
      </c>
      <c r="B443" s="4">
        <v>1002</v>
      </c>
      <c r="C443" s="5">
        <v>2</v>
      </c>
      <c r="D443" s="4" t="s">
        <v>44</v>
      </c>
      <c r="E443" s="6">
        <v>46277.555605821763</v>
      </c>
      <c r="F443" s="4" t="s">
        <v>2018</v>
      </c>
      <c r="G443" s="4" t="s">
        <v>46</v>
      </c>
      <c r="H443" s="4">
        <v>53</v>
      </c>
      <c r="I443" s="4" t="s">
        <v>47</v>
      </c>
      <c r="J443" s="4">
        <v>5309</v>
      </c>
      <c r="K443" s="4" t="s">
        <v>48</v>
      </c>
      <c r="L443" s="4">
        <v>5309050</v>
      </c>
      <c r="M443" s="4">
        <v>5309050014</v>
      </c>
      <c r="N443" s="4" t="s">
        <v>49</v>
      </c>
      <c r="O443" s="4">
        <v>47112</v>
      </c>
      <c r="P443" s="4" t="s">
        <v>2019</v>
      </c>
      <c r="Q443" s="5">
        <v>2</v>
      </c>
      <c r="R443" s="5">
        <v>0</v>
      </c>
      <c r="S443" s="5">
        <v>0</v>
      </c>
      <c r="T443" s="5">
        <v>21000000</v>
      </c>
      <c r="U443" s="5">
        <v>600000</v>
      </c>
      <c r="V443" s="5">
        <v>0</v>
      </c>
      <c r="W443" s="5">
        <v>21600000</v>
      </c>
      <c r="X443" s="5">
        <v>28800000</v>
      </c>
      <c r="Y443" s="5">
        <v>0</v>
      </c>
      <c r="Z443" s="5">
        <f t="shared" si="54"/>
        <v>7200000</v>
      </c>
      <c r="AA443" s="5">
        <v>1700000</v>
      </c>
      <c r="AB443" s="5">
        <f t="shared" si="55"/>
        <v>7800000</v>
      </c>
      <c r="AC443" s="5" t="s">
        <v>2020</v>
      </c>
      <c r="AD443" s="4" t="s">
        <v>51</v>
      </c>
      <c r="AE443" s="5">
        <f t="shared" si="56"/>
        <v>0.92307692307692313</v>
      </c>
      <c r="AF443" s="5">
        <v>3900000</v>
      </c>
      <c r="AG443" s="5">
        <v>1</v>
      </c>
      <c r="AH443" s="5">
        <v>1</v>
      </c>
      <c r="AI443" s="5">
        <v>1</v>
      </c>
      <c r="AJ443" s="7" t="s">
        <v>2021</v>
      </c>
      <c r="AK443" s="5">
        <v>0</v>
      </c>
      <c r="AL443" s="5">
        <v>0</v>
      </c>
      <c r="AM443" s="4">
        <v>2021</v>
      </c>
      <c r="AN443" s="5">
        <v>0</v>
      </c>
      <c r="AO443" s="5">
        <v>2</v>
      </c>
      <c r="AP443" s="8"/>
      <c r="AQ443" s="8"/>
      <c r="AR443" s="8">
        <f t="shared" si="57"/>
        <v>0</v>
      </c>
      <c r="AS443" s="8">
        <f t="shared" si="58"/>
        <v>600000</v>
      </c>
      <c r="AT443" s="8">
        <f t="shared" si="59"/>
        <v>5772000</v>
      </c>
      <c r="AU443" s="8">
        <f t="shared" si="60"/>
        <v>2028000</v>
      </c>
      <c r="AV443" s="4" t="s">
        <v>2019</v>
      </c>
      <c r="AW443" s="7" t="s">
        <v>2021</v>
      </c>
      <c r="AX443" s="5">
        <v>21000000</v>
      </c>
      <c r="AY443">
        <f t="shared" si="61"/>
        <v>0</v>
      </c>
      <c r="AZ443">
        <f t="shared" si="62"/>
        <v>2028000</v>
      </c>
      <c r="BA443" s="5">
        <v>28800000</v>
      </c>
      <c r="BB443" s="5">
        <v>0</v>
      </c>
      <c r="BC443" s="4" t="s">
        <v>49</v>
      </c>
      <c r="BD443" s="4">
        <v>47112</v>
      </c>
      <c r="BE443" t="s">
        <v>54</v>
      </c>
    </row>
    <row r="444" spans="1:57" ht="270.75" thickBot="1" x14ac:dyDescent="0.3">
      <c r="A444" s="4" t="s">
        <v>2022</v>
      </c>
      <c r="B444" s="4">
        <v>2001</v>
      </c>
      <c r="C444" s="5">
        <v>2</v>
      </c>
      <c r="D444" s="4" t="s">
        <v>44</v>
      </c>
      <c r="E444" s="6">
        <v>46262.235372835647</v>
      </c>
      <c r="F444" s="4" t="s">
        <v>2023</v>
      </c>
      <c r="G444" s="4" t="s">
        <v>46</v>
      </c>
      <c r="H444" s="4">
        <v>53</v>
      </c>
      <c r="I444" s="4" t="s">
        <v>47</v>
      </c>
      <c r="J444" s="4">
        <v>5309</v>
      </c>
      <c r="K444" s="4" t="s">
        <v>48</v>
      </c>
      <c r="L444" s="4">
        <v>5309041</v>
      </c>
      <c r="M444" s="4">
        <v>5309041005</v>
      </c>
      <c r="N444" s="4" t="s">
        <v>49</v>
      </c>
      <c r="O444" s="4">
        <v>47112</v>
      </c>
      <c r="P444" s="4" t="s">
        <v>2024</v>
      </c>
      <c r="Q444" s="5">
        <v>1</v>
      </c>
      <c r="R444" s="5">
        <v>0</v>
      </c>
      <c r="S444" s="5">
        <v>130000</v>
      </c>
      <c r="T444" s="5">
        <v>12000000</v>
      </c>
      <c r="U444" s="5">
        <v>520000</v>
      </c>
      <c r="V444" s="5">
        <v>0</v>
      </c>
      <c r="W444" s="5">
        <v>12650000</v>
      </c>
      <c r="X444" s="5">
        <v>17180000</v>
      </c>
      <c r="Y444" s="5">
        <v>0</v>
      </c>
      <c r="Z444" s="5">
        <f t="shared" si="54"/>
        <v>4530000</v>
      </c>
      <c r="AA444" s="5">
        <v>600000</v>
      </c>
      <c r="AB444" s="5">
        <f t="shared" si="55"/>
        <v>5180000</v>
      </c>
      <c r="AC444" s="5" t="s">
        <v>2025</v>
      </c>
      <c r="AD444" s="4" t="s">
        <v>51</v>
      </c>
      <c r="AE444" s="5">
        <f t="shared" si="56"/>
        <v>0.87451737451737455</v>
      </c>
      <c r="AF444" s="5">
        <v>5180000</v>
      </c>
      <c r="AG444" s="5">
        <v>1</v>
      </c>
      <c r="AH444" s="5">
        <v>1</v>
      </c>
      <c r="AI444" s="5">
        <v>1</v>
      </c>
      <c r="AJ444" s="7" t="s">
        <v>2026</v>
      </c>
      <c r="AK444" s="5">
        <v>0</v>
      </c>
      <c r="AL444" s="5">
        <v>0</v>
      </c>
      <c r="AM444" s="4">
        <v>2023</v>
      </c>
      <c r="AN444" s="5">
        <v>0</v>
      </c>
      <c r="AO444" s="5">
        <v>1</v>
      </c>
      <c r="AP444" s="8"/>
      <c r="AQ444" s="8"/>
      <c r="AR444" s="8">
        <f t="shared" si="57"/>
        <v>0</v>
      </c>
      <c r="AS444" s="8">
        <f t="shared" si="58"/>
        <v>650000</v>
      </c>
      <c r="AT444" s="8">
        <f t="shared" si="59"/>
        <v>3833200</v>
      </c>
      <c r="AU444" s="8">
        <f t="shared" si="60"/>
        <v>1346800</v>
      </c>
      <c r="AV444" s="4" t="s">
        <v>2024</v>
      </c>
      <c r="AW444" s="7" t="s">
        <v>2026</v>
      </c>
      <c r="AX444" s="5">
        <v>12000000</v>
      </c>
      <c r="AY444">
        <f t="shared" si="61"/>
        <v>269360</v>
      </c>
      <c r="AZ444">
        <f t="shared" si="62"/>
        <v>1077440</v>
      </c>
      <c r="BA444" s="5">
        <v>17180000</v>
      </c>
      <c r="BB444" s="5">
        <v>0</v>
      </c>
      <c r="BC444" s="4" t="s">
        <v>49</v>
      </c>
      <c r="BD444" s="4">
        <v>47112</v>
      </c>
      <c r="BE444" t="s">
        <v>54</v>
      </c>
    </row>
    <row r="445" spans="1:57" ht="270.75" thickBot="1" x14ac:dyDescent="0.3">
      <c r="A445" s="4" t="s">
        <v>2027</v>
      </c>
      <c r="B445" s="4">
        <v>1002</v>
      </c>
      <c r="C445" s="5">
        <v>2</v>
      </c>
      <c r="D445" s="4" t="s">
        <v>44</v>
      </c>
      <c r="E445" s="6">
        <v>46263.390416261573</v>
      </c>
      <c r="F445" s="4" t="s">
        <v>2028</v>
      </c>
      <c r="G445" s="4" t="s">
        <v>46</v>
      </c>
      <c r="H445" s="4">
        <v>53</v>
      </c>
      <c r="I445" s="4" t="s">
        <v>47</v>
      </c>
      <c r="J445" s="4">
        <v>5309</v>
      </c>
      <c r="K445" s="4" t="s">
        <v>48</v>
      </c>
      <c r="L445" s="4">
        <v>5309074</v>
      </c>
      <c r="M445" s="4">
        <v>5309074006</v>
      </c>
      <c r="N445" s="4" t="s">
        <v>49</v>
      </c>
      <c r="O445" s="4">
        <v>47112</v>
      </c>
      <c r="P445" s="4" t="s">
        <v>1145</v>
      </c>
      <c r="Q445" s="5">
        <v>1</v>
      </c>
      <c r="R445" s="5">
        <v>0</v>
      </c>
      <c r="S445" s="5">
        <v>0</v>
      </c>
      <c r="T445" s="5">
        <v>5000000</v>
      </c>
      <c r="U445" s="5">
        <v>500000</v>
      </c>
      <c r="V445" s="5">
        <v>0</v>
      </c>
      <c r="W445" s="5">
        <v>5500000</v>
      </c>
      <c r="X445" s="5">
        <v>10000000</v>
      </c>
      <c r="Y445" s="5">
        <v>0</v>
      </c>
      <c r="Z445" s="5">
        <f t="shared" si="54"/>
        <v>4500000</v>
      </c>
      <c r="AA445" s="5">
        <v>3000000</v>
      </c>
      <c r="AB445" s="5">
        <f t="shared" si="55"/>
        <v>5000000</v>
      </c>
      <c r="AC445" s="5" t="s">
        <v>93</v>
      </c>
      <c r="AD445" s="4" t="s">
        <v>51</v>
      </c>
      <c r="AE445" s="5">
        <f t="shared" si="56"/>
        <v>0.9</v>
      </c>
      <c r="AF445" s="5">
        <v>5000000</v>
      </c>
      <c r="AG445" s="5">
        <v>1</v>
      </c>
      <c r="AH445" s="5">
        <v>1</v>
      </c>
      <c r="AI445" s="5">
        <v>1</v>
      </c>
      <c r="AJ445" s="7" t="s">
        <v>2029</v>
      </c>
      <c r="AK445" s="5">
        <v>0</v>
      </c>
      <c r="AL445" s="5">
        <v>0</v>
      </c>
      <c r="AM445" s="4">
        <v>2023</v>
      </c>
      <c r="AN445" s="5">
        <v>0</v>
      </c>
      <c r="AO445" s="5">
        <v>1</v>
      </c>
      <c r="AP445" s="8"/>
      <c r="AQ445" s="8"/>
      <c r="AR445" s="8">
        <f t="shared" si="57"/>
        <v>0</v>
      </c>
      <c r="AS445" s="8">
        <f t="shared" si="58"/>
        <v>500000</v>
      </c>
      <c r="AT445" s="8">
        <f t="shared" si="59"/>
        <v>3700000</v>
      </c>
      <c r="AU445" s="8">
        <f t="shared" si="60"/>
        <v>1300000</v>
      </c>
      <c r="AV445" s="4" t="s">
        <v>1145</v>
      </c>
      <c r="AW445" s="7" t="s">
        <v>2029</v>
      </c>
      <c r="AX445" s="5">
        <v>5000000</v>
      </c>
      <c r="AY445">
        <f t="shared" si="61"/>
        <v>0</v>
      </c>
      <c r="AZ445">
        <f t="shared" si="62"/>
        <v>1300000</v>
      </c>
      <c r="BA445" s="5">
        <v>10000000</v>
      </c>
      <c r="BB445" s="5">
        <v>0</v>
      </c>
      <c r="BC445" s="4" t="s">
        <v>49</v>
      </c>
      <c r="BD445" s="4">
        <v>47112</v>
      </c>
      <c r="BE445" t="s">
        <v>54</v>
      </c>
    </row>
    <row r="446" spans="1:57" ht="270.75" thickBot="1" x14ac:dyDescent="0.3">
      <c r="A446" s="4" t="s">
        <v>2030</v>
      </c>
      <c r="B446" s="4">
        <v>1001</v>
      </c>
      <c r="C446" s="5">
        <v>2</v>
      </c>
      <c r="D446" s="4" t="s">
        <v>44</v>
      </c>
      <c r="E446" s="6">
        <v>46266.895270462963</v>
      </c>
      <c r="F446" s="4" t="s">
        <v>2031</v>
      </c>
      <c r="G446" s="4" t="s">
        <v>46</v>
      </c>
      <c r="H446" s="4">
        <v>53</v>
      </c>
      <c r="I446" s="4" t="s">
        <v>47</v>
      </c>
      <c r="J446" s="4">
        <v>5309</v>
      </c>
      <c r="K446" s="4" t="s">
        <v>48</v>
      </c>
      <c r="L446" s="4">
        <v>5309073</v>
      </c>
      <c r="M446" s="4">
        <v>5309073005</v>
      </c>
      <c r="N446" s="4" t="s">
        <v>49</v>
      </c>
      <c r="O446" s="4">
        <v>47112</v>
      </c>
      <c r="P446" s="4" t="s">
        <v>2032</v>
      </c>
      <c r="Q446" s="5">
        <v>1</v>
      </c>
      <c r="R446" s="5">
        <v>0</v>
      </c>
      <c r="S446" s="5">
        <v>0</v>
      </c>
      <c r="T446" s="5">
        <v>300000</v>
      </c>
      <c r="U446" s="5">
        <v>0</v>
      </c>
      <c r="V446" s="5">
        <v>0</v>
      </c>
      <c r="W446" s="5">
        <v>300000</v>
      </c>
      <c r="X446" s="5">
        <v>700000</v>
      </c>
      <c r="Y446" s="5">
        <v>0</v>
      </c>
      <c r="Z446" s="5">
        <f t="shared" si="54"/>
        <v>400000</v>
      </c>
      <c r="AA446" s="5">
        <v>500000</v>
      </c>
      <c r="AB446" s="5">
        <f t="shared" si="55"/>
        <v>400000</v>
      </c>
      <c r="AC446" s="5" t="s">
        <v>296</v>
      </c>
      <c r="AD446" s="4" t="s">
        <v>51</v>
      </c>
      <c r="AE446" s="5">
        <f t="shared" si="56"/>
        <v>1</v>
      </c>
      <c r="AF446" s="5">
        <v>400000</v>
      </c>
      <c r="AG446" s="5">
        <v>1</v>
      </c>
      <c r="AH446" s="5">
        <v>1</v>
      </c>
      <c r="AI446" s="5">
        <v>1</v>
      </c>
      <c r="AJ446" s="7" t="s">
        <v>2033</v>
      </c>
      <c r="AK446" s="5">
        <v>0</v>
      </c>
      <c r="AL446" s="5">
        <v>0</v>
      </c>
      <c r="AM446" s="4">
        <v>2020</v>
      </c>
      <c r="AN446" s="5">
        <v>0</v>
      </c>
      <c r="AO446" s="5">
        <v>1</v>
      </c>
      <c r="AP446" s="8"/>
      <c r="AQ446" s="8"/>
      <c r="AR446" s="8">
        <f t="shared" si="57"/>
        <v>0</v>
      </c>
      <c r="AS446" s="8">
        <f t="shared" si="58"/>
        <v>0</v>
      </c>
      <c r="AT446" s="8">
        <f t="shared" si="59"/>
        <v>296000</v>
      </c>
      <c r="AU446" s="8">
        <f t="shared" si="60"/>
        <v>104000</v>
      </c>
      <c r="AV446" s="4" t="s">
        <v>2032</v>
      </c>
      <c r="AW446" s="7" t="s">
        <v>2033</v>
      </c>
      <c r="AX446" s="5">
        <v>300000</v>
      </c>
      <c r="AY446" t="e">
        <f t="shared" si="61"/>
        <v>#DIV/0!</v>
      </c>
      <c r="AZ446" t="e">
        <f t="shared" si="62"/>
        <v>#DIV/0!</v>
      </c>
      <c r="BA446" s="5">
        <v>700000</v>
      </c>
      <c r="BB446" s="5">
        <v>0</v>
      </c>
      <c r="BC446" s="4" t="s">
        <v>49</v>
      </c>
      <c r="BD446" s="4">
        <v>47112</v>
      </c>
      <c r="BE446" t="s">
        <v>54</v>
      </c>
    </row>
    <row r="447" spans="1:57" ht="270.75" thickBot="1" x14ac:dyDescent="0.3">
      <c r="A447" s="4" t="s">
        <v>2034</v>
      </c>
      <c r="B447" s="4">
        <v>1003</v>
      </c>
      <c r="C447" s="5">
        <v>2</v>
      </c>
      <c r="D447" s="4" t="s">
        <v>44</v>
      </c>
      <c r="E447" s="6">
        <v>46265.146284780094</v>
      </c>
      <c r="F447" s="4" t="s">
        <v>2035</v>
      </c>
      <c r="G447" s="4" t="s">
        <v>46</v>
      </c>
      <c r="H447" s="4">
        <v>53</v>
      </c>
      <c r="I447" s="4" t="s">
        <v>47</v>
      </c>
      <c r="J447" s="4">
        <v>5309</v>
      </c>
      <c r="K447" s="4" t="s">
        <v>48</v>
      </c>
      <c r="L447" s="4">
        <v>5309050</v>
      </c>
      <c r="M447" s="4">
        <v>5309050016</v>
      </c>
      <c r="N447" s="4" t="s">
        <v>49</v>
      </c>
      <c r="O447" s="4">
        <v>47112</v>
      </c>
      <c r="P447" s="4" t="s">
        <v>2036</v>
      </c>
      <c r="Q447" s="5">
        <v>2</v>
      </c>
      <c r="R447" s="5">
        <v>6000000</v>
      </c>
      <c r="S447" s="5">
        <v>0</v>
      </c>
      <c r="T447" s="5">
        <v>80000000</v>
      </c>
      <c r="U447" s="5">
        <v>2000000</v>
      </c>
      <c r="V447" s="5">
        <v>0</v>
      </c>
      <c r="W447" s="5">
        <v>88000000</v>
      </c>
      <c r="X447" s="5">
        <v>112000000</v>
      </c>
      <c r="Y447" s="5">
        <v>0</v>
      </c>
      <c r="Z447" s="5">
        <f t="shared" si="54"/>
        <v>30000000</v>
      </c>
      <c r="AA447" s="5">
        <v>30700000</v>
      </c>
      <c r="AB447" s="5">
        <f t="shared" si="55"/>
        <v>32000000</v>
      </c>
      <c r="AC447" s="5" t="s">
        <v>454</v>
      </c>
      <c r="AD447" s="4" t="s">
        <v>51</v>
      </c>
      <c r="AE447" s="5">
        <f t="shared" si="56"/>
        <v>0.9375</v>
      </c>
      <c r="AF447" s="5">
        <v>16000000</v>
      </c>
      <c r="AG447" s="5">
        <v>1</v>
      </c>
      <c r="AH447" s="5">
        <v>1</v>
      </c>
      <c r="AI447" s="5">
        <v>1</v>
      </c>
      <c r="AJ447" s="7" t="s">
        <v>2037</v>
      </c>
      <c r="AK447" s="5">
        <v>0</v>
      </c>
      <c r="AL447" s="5">
        <v>0</v>
      </c>
      <c r="AM447" s="4">
        <v>2015</v>
      </c>
      <c r="AN447" s="5">
        <v>1</v>
      </c>
      <c r="AO447" s="5">
        <v>1</v>
      </c>
      <c r="AP447" s="8"/>
      <c r="AQ447" s="8"/>
      <c r="AR447" s="8">
        <f t="shared" si="57"/>
        <v>0</v>
      </c>
      <c r="AS447" s="8">
        <f t="shared" si="58"/>
        <v>2000000</v>
      </c>
      <c r="AT447" s="8">
        <f t="shared" si="59"/>
        <v>23680000</v>
      </c>
      <c r="AU447" s="8">
        <f t="shared" si="60"/>
        <v>8320000</v>
      </c>
      <c r="AV447" s="4" t="s">
        <v>2036</v>
      </c>
      <c r="AW447" s="7" t="s">
        <v>2037</v>
      </c>
      <c r="AX447" s="5">
        <v>80000000</v>
      </c>
      <c r="AY447">
        <f t="shared" si="61"/>
        <v>0</v>
      </c>
      <c r="AZ447">
        <f t="shared" si="62"/>
        <v>8320000</v>
      </c>
      <c r="BA447" s="5">
        <v>112000000</v>
      </c>
      <c r="BB447" s="5">
        <v>0</v>
      </c>
      <c r="BC447" s="4" t="s">
        <v>49</v>
      </c>
      <c r="BD447" s="4">
        <v>47112</v>
      </c>
      <c r="BE447" t="s">
        <v>54</v>
      </c>
    </row>
    <row r="448" spans="1:57" ht="270.75" thickBot="1" x14ac:dyDescent="0.3">
      <c r="A448" s="4" t="s">
        <v>2038</v>
      </c>
      <c r="B448" s="4">
        <v>1003</v>
      </c>
      <c r="C448" s="5">
        <v>2</v>
      </c>
      <c r="D448" s="4" t="s">
        <v>56</v>
      </c>
      <c r="E448" s="6">
        <v>46314.501055624998</v>
      </c>
      <c r="F448" s="4" t="s">
        <v>2039</v>
      </c>
      <c r="G448" s="4" t="s">
        <v>46</v>
      </c>
      <c r="H448" s="4">
        <v>53</v>
      </c>
      <c r="I448" s="4" t="s">
        <v>47</v>
      </c>
      <c r="J448" s="4">
        <v>5309</v>
      </c>
      <c r="K448" s="4" t="s">
        <v>48</v>
      </c>
      <c r="L448" s="4">
        <v>5309060</v>
      </c>
      <c r="M448" s="4">
        <v>5309060017</v>
      </c>
      <c r="N448" s="4" t="s">
        <v>49</v>
      </c>
      <c r="O448" s="4">
        <v>47112</v>
      </c>
      <c r="P448" s="4" t="s">
        <v>449</v>
      </c>
      <c r="Q448" s="5">
        <v>1</v>
      </c>
      <c r="R448" s="5">
        <v>0</v>
      </c>
      <c r="S448" s="5">
        <v>0</v>
      </c>
      <c r="T448" s="5">
        <v>6000000</v>
      </c>
      <c r="U448" s="5">
        <v>300000</v>
      </c>
      <c r="V448" s="5">
        <v>0</v>
      </c>
      <c r="W448" s="5">
        <v>6300000</v>
      </c>
      <c r="X448" s="5">
        <v>9600000</v>
      </c>
      <c r="Y448" s="5">
        <v>0</v>
      </c>
      <c r="Z448" s="5">
        <f t="shared" si="54"/>
        <v>3300000</v>
      </c>
      <c r="AA448" s="5">
        <v>0</v>
      </c>
      <c r="AB448" s="5">
        <f t="shared" si="55"/>
        <v>3600000</v>
      </c>
      <c r="AC448" s="5" t="s">
        <v>90</v>
      </c>
      <c r="AD448" s="4" t="s">
        <v>51</v>
      </c>
      <c r="AE448" s="5">
        <f t="shared" si="56"/>
        <v>0.91666666666666663</v>
      </c>
      <c r="AF448" s="5">
        <v>3600000</v>
      </c>
      <c r="AG448" s="4"/>
      <c r="AH448" s="5">
        <v>1</v>
      </c>
      <c r="AI448" s="5">
        <v>1</v>
      </c>
      <c r="AJ448" s="7" t="s">
        <v>2040</v>
      </c>
      <c r="AK448" s="5">
        <v>0</v>
      </c>
      <c r="AL448" s="5">
        <v>0</v>
      </c>
      <c r="AM448" s="4">
        <v>2025</v>
      </c>
      <c r="AN448" s="5">
        <v>0</v>
      </c>
      <c r="AO448" s="5">
        <v>1</v>
      </c>
      <c r="AP448" s="8"/>
      <c r="AQ448" s="8"/>
      <c r="AR448" s="8">
        <f t="shared" si="57"/>
        <v>0</v>
      </c>
      <c r="AS448" s="8">
        <f t="shared" si="58"/>
        <v>300000</v>
      </c>
      <c r="AT448" s="8">
        <f t="shared" si="59"/>
        <v>2664000</v>
      </c>
      <c r="AU448" s="8">
        <f t="shared" si="60"/>
        <v>936000</v>
      </c>
      <c r="AV448" s="4" t="s">
        <v>449</v>
      </c>
      <c r="AW448" s="7" t="s">
        <v>2040</v>
      </c>
      <c r="AX448" s="5">
        <v>6000000</v>
      </c>
      <c r="AY448">
        <f t="shared" si="61"/>
        <v>0</v>
      </c>
      <c r="AZ448">
        <f t="shared" si="62"/>
        <v>936000</v>
      </c>
      <c r="BA448" s="5">
        <v>9600000</v>
      </c>
      <c r="BB448" s="5">
        <v>0</v>
      </c>
      <c r="BC448" s="4" t="s">
        <v>49</v>
      </c>
      <c r="BD448" s="4">
        <v>47112</v>
      </c>
      <c r="BE448" t="s">
        <v>54</v>
      </c>
    </row>
    <row r="449" spans="1:57" ht="270.75" thickBot="1" x14ac:dyDescent="0.3">
      <c r="A449" s="4" t="s">
        <v>2041</v>
      </c>
      <c r="B449" s="4">
        <v>1</v>
      </c>
      <c r="C449" s="5">
        <v>2</v>
      </c>
      <c r="D449" s="4" t="s">
        <v>44</v>
      </c>
      <c r="E449" s="6">
        <v>46249.935590486108</v>
      </c>
      <c r="F449" s="4" t="s">
        <v>2042</v>
      </c>
      <c r="G449" s="4" t="s">
        <v>46</v>
      </c>
      <c r="H449" s="4">
        <v>53</v>
      </c>
      <c r="I449" s="4" t="s">
        <v>47</v>
      </c>
      <c r="J449" s="4">
        <v>5309</v>
      </c>
      <c r="K449" s="4" t="s">
        <v>48</v>
      </c>
      <c r="L449" s="4">
        <v>5309040</v>
      </c>
      <c r="M449" s="4">
        <v>5309040011</v>
      </c>
      <c r="N449" s="4" t="s">
        <v>49</v>
      </c>
      <c r="O449" s="4">
        <v>47112</v>
      </c>
      <c r="P449" s="4" t="s">
        <v>2043</v>
      </c>
      <c r="Q449" s="5">
        <v>1</v>
      </c>
      <c r="R449" s="5">
        <v>0</v>
      </c>
      <c r="S449" s="5">
        <v>0</v>
      </c>
      <c r="T449" s="5">
        <v>102000000</v>
      </c>
      <c r="U449" s="5">
        <v>2400000</v>
      </c>
      <c r="V449" s="5">
        <v>0</v>
      </c>
      <c r="W449" s="5">
        <v>104400000</v>
      </c>
      <c r="X449" s="5">
        <v>152500000</v>
      </c>
      <c r="Y449" s="5">
        <v>0</v>
      </c>
      <c r="Z449" s="5">
        <f t="shared" si="54"/>
        <v>48100000</v>
      </c>
      <c r="AA449" s="5">
        <v>8100000</v>
      </c>
      <c r="AB449" s="5">
        <f t="shared" si="55"/>
        <v>50500000</v>
      </c>
      <c r="AC449" s="5" t="s">
        <v>2044</v>
      </c>
      <c r="AD449" s="4" t="s">
        <v>51</v>
      </c>
      <c r="AE449" s="5">
        <f t="shared" si="56"/>
        <v>0.95247524752475243</v>
      </c>
      <c r="AF449" s="5">
        <v>50500000</v>
      </c>
      <c r="AG449" s="5">
        <v>1</v>
      </c>
      <c r="AH449" s="5">
        <v>1</v>
      </c>
      <c r="AI449" s="5">
        <v>1</v>
      </c>
      <c r="AJ449" s="7" t="s">
        <v>2045</v>
      </c>
      <c r="AK449" s="5">
        <v>0</v>
      </c>
      <c r="AL449" s="5">
        <v>0</v>
      </c>
      <c r="AM449" s="4">
        <v>2016</v>
      </c>
      <c r="AN449" s="5">
        <v>0</v>
      </c>
      <c r="AO449" s="5">
        <v>1</v>
      </c>
      <c r="AP449" s="8"/>
      <c r="AQ449" s="8"/>
      <c r="AR449" s="8">
        <f t="shared" si="57"/>
        <v>0</v>
      </c>
      <c r="AS449" s="8">
        <f t="shared" si="58"/>
        <v>2400000</v>
      </c>
      <c r="AT449" s="8">
        <f t="shared" si="59"/>
        <v>37370000</v>
      </c>
      <c r="AU449" s="8">
        <f t="shared" si="60"/>
        <v>13130000</v>
      </c>
      <c r="AV449" s="4" t="s">
        <v>2043</v>
      </c>
      <c r="AW449" s="7" t="s">
        <v>2045</v>
      </c>
      <c r="AX449" s="5">
        <v>102000000</v>
      </c>
      <c r="AY449">
        <f t="shared" si="61"/>
        <v>0</v>
      </c>
      <c r="AZ449">
        <f t="shared" si="62"/>
        <v>13130000</v>
      </c>
      <c r="BA449" s="5">
        <v>152500000</v>
      </c>
      <c r="BB449" s="5">
        <v>0</v>
      </c>
      <c r="BC449" s="4" t="s">
        <v>49</v>
      </c>
      <c r="BD449" s="4">
        <v>47112</v>
      </c>
      <c r="BE449" t="s">
        <v>54</v>
      </c>
    </row>
    <row r="450" spans="1:57" ht="255.75" thickBot="1" x14ac:dyDescent="0.3">
      <c r="A450" s="4" t="s">
        <v>2046</v>
      </c>
      <c r="B450" s="4">
        <v>1002</v>
      </c>
      <c r="C450" s="5">
        <v>2</v>
      </c>
      <c r="D450" s="4" t="s">
        <v>44</v>
      </c>
      <c r="E450" s="6">
        <v>46290.922848182869</v>
      </c>
      <c r="F450" s="4" t="s">
        <v>2047</v>
      </c>
      <c r="G450" s="4" t="s">
        <v>46</v>
      </c>
      <c r="H450" s="4">
        <v>53</v>
      </c>
      <c r="I450" s="4" t="s">
        <v>47</v>
      </c>
      <c r="J450" s="4">
        <v>5309</v>
      </c>
      <c r="K450" s="4" t="s">
        <v>48</v>
      </c>
      <c r="L450" s="4">
        <v>5309030</v>
      </c>
      <c r="M450" s="4">
        <v>5309030022</v>
      </c>
      <c r="N450" s="4" t="s">
        <v>49</v>
      </c>
      <c r="O450" s="4">
        <v>47112</v>
      </c>
      <c r="P450" s="4" t="s">
        <v>2048</v>
      </c>
      <c r="Q450" s="5">
        <v>2</v>
      </c>
      <c r="R450" s="5">
        <v>0</v>
      </c>
      <c r="S450" s="5">
        <v>150000</v>
      </c>
      <c r="T450" s="5">
        <v>18000000</v>
      </c>
      <c r="U450" s="5">
        <v>340000</v>
      </c>
      <c r="V450" s="5">
        <v>0</v>
      </c>
      <c r="W450" s="5">
        <v>18490000</v>
      </c>
      <c r="X450" s="5">
        <v>36000000</v>
      </c>
      <c r="Y450" s="5">
        <v>0</v>
      </c>
      <c r="Z450" s="5">
        <f t="shared" si="54"/>
        <v>17510000</v>
      </c>
      <c r="AA450" s="5">
        <v>3000000</v>
      </c>
      <c r="AB450" s="5">
        <f t="shared" si="55"/>
        <v>18000000</v>
      </c>
      <c r="AC450" s="5" t="s">
        <v>93</v>
      </c>
      <c r="AD450" s="4" t="s">
        <v>51</v>
      </c>
      <c r="AE450" s="5">
        <f t="shared" si="56"/>
        <v>0.97277777777777774</v>
      </c>
      <c r="AF450" s="5">
        <v>9000000</v>
      </c>
      <c r="AG450" s="5">
        <v>1</v>
      </c>
      <c r="AH450" s="5">
        <v>1</v>
      </c>
      <c r="AI450" s="5">
        <v>1</v>
      </c>
      <c r="AJ450" s="7" t="s">
        <v>2049</v>
      </c>
      <c r="AK450" s="5">
        <v>0</v>
      </c>
      <c r="AL450" s="5">
        <v>0</v>
      </c>
      <c r="AM450" s="4">
        <v>2024</v>
      </c>
      <c r="AN450" s="5">
        <v>0</v>
      </c>
      <c r="AO450" s="5">
        <v>2</v>
      </c>
      <c r="AP450" s="8"/>
      <c r="AQ450" s="8"/>
      <c r="AR450" s="8">
        <f t="shared" si="57"/>
        <v>0</v>
      </c>
      <c r="AS450" s="8">
        <f t="shared" si="58"/>
        <v>490000</v>
      </c>
      <c r="AT450" s="8">
        <f t="shared" si="59"/>
        <v>13320000</v>
      </c>
      <c r="AU450" s="8">
        <f t="shared" si="60"/>
        <v>4680000</v>
      </c>
      <c r="AV450" s="4" t="s">
        <v>2048</v>
      </c>
      <c r="AW450" s="7" t="s">
        <v>2049</v>
      </c>
      <c r="AX450" s="5">
        <v>18000000</v>
      </c>
      <c r="AY450">
        <f t="shared" si="61"/>
        <v>1432653.0612244899</v>
      </c>
      <c r="AZ450">
        <f t="shared" si="62"/>
        <v>3247346.9387755101</v>
      </c>
      <c r="BA450" s="5">
        <v>36000000</v>
      </c>
      <c r="BB450" s="5">
        <v>0</v>
      </c>
      <c r="BC450" s="4" t="s">
        <v>49</v>
      </c>
      <c r="BD450" s="4">
        <v>47112</v>
      </c>
      <c r="BE450" t="s">
        <v>54</v>
      </c>
    </row>
    <row r="451" spans="1:57" ht="270.75" thickBot="1" x14ac:dyDescent="0.3">
      <c r="A451" s="4" t="s">
        <v>2050</v>
      </c>
      <c r="B451" s="4">
        <v>3001</v>
      </c>
      <c r="C451" s="5">
        <v>2</v>
      </c>
      <c r="D451" s="4" t="s">
        <v>44</v>
      </c>
      <c r="E451" s="6">
        <v>46240.833650567132</v>
      </c>
      <c r="F451" s="4" t="s">
        <v>2051</v>
      </c>
      <c r="G451" s="4" t="s">
        <v>46</v>
      </c>
      <c r="H451" s="4">
        <v>53</v>
      </c>
      <c r="I451" s="4" t="s">
        <v>47</v>
      </c>
      <c r="J451" s="4">
        <v>5309</v>
      </c>
      <c r="K451" s="4" t="s">
        <v>48</v>
      </c>
      <c r="L451" s="4">
        <v>5309041</v>
      </c>
      <c r="M451" s="4">
        <v>5309041003</v>
      </c>
      <c r="N451" s="4" t="s">
        <v>49</v>
      </c>
      <c r="O451" s="4">
        <v>47112</v>
      </c>
      <c r="P451" s="4" t="s">
        <v>2052</v>
      </c>
      <c r="Q451" s="5">
        <v>2</v>
      </c>
      <c r="R451" s="5">
        <v>0</v>
      </c>
      <c r="S451" s="5">
        <v>25000</v>
      </c>
      <c r="T451" s="5">
        <v>3000000</v>
      </c>
      <c r="U451" s="5">
        <v>250000</v>
      </c>
      <c r="V451" s="5">
        <v>0</v>
      </c>
      <c r="W451" s="5">
        <v>3275000</v>
      </c>
      <c r="X451" s="5">
        <v>6500000</v>
      </c>
      <c r="Y451" s="5">
        <v>0</v>
      </c>
      <c r="Z451" s="5">
        <f t="shared" ref="Z451:Z514" si="63">X451-SUM(S451:U451)</f>
        <v>3225000</v>
      </c>
      <c r="AA451" s="5">
        <v>0</v>
      </c>
      <c r="AB451" s="5">
        <f t="shared" ref="AB451:AB514" si="64">X451-T451</f>
        <v>3500000</v>
      </c>
      <c r="AC451" s="5" t="s">
        <v>1790</v>
      </c>
      <c r="AD451" s="4" t="s">
        <v>51</v>
      </c>
      <c r="AE451" s="5">
        <f t="shared" ref="AE451:AE514" si="65">Z451/AB451</f>
        <v>0.92142857142857137</v>
      </c>
      <c r="AF451" s="5">
        <v>1750000</v>
      </c>
      <c r="AG451" s="4"/>
      <c r="AH451" s="5">
        <v>1</v>
      </c>
      <c r="AI451" s="5">
        <v>1</v>
      </c>
      <c r="AJ451" s="7" t="s">
        <v>2053</v>
      </c>
      <c r="AK451" s="5">
        <v>0</v>
      </c>
      <c r="AL451" s="5">
        <v>0</v>
      </c>
      <c r="AM451" s="4">
        <v>2025</v>
      </c>
      <c r="AN451" s="5">
        <v>0</v>
      </c>
      <c r="AO451" s="5">
        <v>2</v>
      </c>
      <c r="AP451" s="8"/>
      <c r="AQ451" s="8"/>
      <c r="AR451" s="8">
        <f t="shared" ref="AR451:AR514" si="66">IF(Z451&lt;=0,1,0)</f>
        <v>0</v>
      </c>
      <c r="AS451" s="8">
        <f t="shared" ref="AS451:AS514" si="67">AB451-Z451</f>
        <v>275000</v>
      </c>
      <c r="AT451" s="8">
        <f t="shared" ref="AT451:AT514" si="68">IF(AE451&gt;0.78,(Z451*0.74/AE451),IF(Z451&lt;0.64,(Z451*0.68/AE451),Z451))</f>
        <v>2590000</v>
      </c>
      <c r="AU451" s="8">
        <f t="shared" ref="AU451:AU514" si="69">AB451-AT451</f>
        <v>910000</v>
      </c>
      <c r="AV451" s="4" t="s">
        <v>2052</v>
      </c>
      <c r="AW451" s="7" t="s">
        <v>2053</v>
      </c>
      <c r="AX451" s="5">
        <v>3000000</v>
      </c>
      <c r="AY451">
        <f t="shared" ref="AY451:AY514" si="70">AU451-AZ451</f>
        <v>82727.272727272706</v>
      </c>
      <c r="AZ451">
        <f t="shared" ref="AZ451:AZ514" si="71">U451*AU451/AS451</f>
        <v>827272.72727272729</v>
      </c>
      <c r="BA451" s="5">
        <v>6500000</v>
      </c>
      <c r="BB451" s="5">
        <v>0</v>
      </c>
      <c r="BC451" s="4" t="s">
        <v>49</v>
      </c>
      <c r="BD451" s="4">
        <v>47112</v>
      </c>
      <c r="BE451" t="s">
        <v>54</v>
      </c>
    </row>
    <row r="452" spans="1:57" ht="270.75" thickBot="1" x14ac:dyDescent="0.3">
      <c r="A452" s="4" t="s">
        <v>2054</v>
      </c>
      <c r="B452" s="4">
        <v>2001</v>
      </c>
      <c r="C452" s="5">
        <v>2</v>
      </c>
      <c r="D452" s="4" t="s">
        <v>44</v>
      </c>
      <c r="E452" s="6">
        <v>46262.012480532409</v>
      </c>
      <c r="F452" s="4" t="s">
        <v>2055</v>
      </c>
      <c r="G452" s="4" t="s">
        <v>46</v>
      </c>
      <c r="H452" s="4">
        <v>53</v>
      </c>
      <c r="I452" s="4" t="s">
        <v>47</v>
      </c>
      <c r="J452" s="4">
        <v>5309</v>
      </c>
      <c r="K452" s="4" t="s">
        <v>48</v>
      </c>
      <c r="L452" s="4">
        <v>5309031</v>
      </c>
      <c r="M452" s="4">
        <v>5309031005</v>
      </c>
      <c r="N452" s="4" t="s">
        <v>49</v>
      </c>
      <c r="O452" s="4">
        <v>47112</v>
      </c>
      <c r="P452" s="4" t="s">
        <v>2056</v>
      </c>
      <c r="Q452" s="5">
        <v>1</v>
      </c>
      <c r="R452" s="5">
        <v>0</v>
      </c>
      <c r="S452" s="5">
        <v>150000</v>
      </c>
      <c r="T452" s="5">
        <v>5000000</v>
      </c>
      <c r="U452" s="5">
        <v>0</v>
      </c>
      <c r="V452" s="5">
        <v>10000</v>
      </c>
      <c r="W452" s="5">
        <v>5160000</v>
      </c>
      <c r="X452" s="5">
        <v>8000000</v>
      </c>
      <c r="Y452" s="5">
        <v>0</v>
      </c>
      <c r="Z452" s="5">
        <f t="shared" si="63"/>
        <v>2850000</v>
      </c>
      <c r="AA452" s="5">
        <v>31000000</v>
      </c>
      <c r="AB452" s="5">
        <f t="shared" si="64"/>
        <v>3000000</v>
      </c>
      <c r="AC452" s="5" t="s">
        <v>90</v>
      </c>
      <c r="AD452" s="4" t="s">
        <v>51</v>
      </c>
      <c r="AE452" s="5">
        <f t="shared" si="65"/>
        <v>0.95</v>
      </c>
      <c r="AF452" s="5">
        <v>3000000</v>
      </c>
      <c r="AG452" s="5">
        <v>1</v>
      </c>
      <c r="AH452" s="5">
        <v>1</v>
      </c>
      <c r="AI452" s="5">
        <v>1</v>
      </c>
      <c r="AJ452" s="7" t="s">
        <v>2057</v>
      </c>
      <c r="AK452" s="5">
        <v>0</v>
      </c>
      <c r="AL452" s="5">
        <v>0</v>
      </c>
      <c r="AM452" s="4">
        <v>2023</v>
      </c>
      <c r="AN452" s="5">
        <v>0</v>
      </c>
      <c r="AO452" s="5">
        <v>1</v>
      </c>
      <c r="AP452" s="8"/>
      <c r="AQ452" s="8"/>
      <c r="AR452" s="8">
        <f t="shared" si="66"/>
        <v>0</v>
      </c>
      <c r="AS452" s="8">
        <f t="shared" si="67"/>
        <v>150000</v>
      </c>
      <c r="AT452" s="8">
        <f t="shared" si="68"/>
        <v>2220000</v>
      </c>
      <c r="AU452" s="8">
        <f t="shared" si="69"/>
        <v>780000</v>
      </c>
      <c r="AV452" s="4" t="s">
        <v>2056</v>
      </c>
      <c r="AW452" s="7" t="s">
        <v>2057</v>
      </c>
      <c r="AX452" s="5">
        <v>5000000</v>
      </c>
      <c r="AY452">
        <f t="shared" si="70"/>
        <v>780000</v>
      </c>
      <c r="AZ452">
        <f t="shared" si="71"/>
        <v>0</v>
      </c>
      <c r="BA452" s="5">
        <v>8000000</v>
      </c>
      <c r="BB452" s="5">
        <v>0</v>
      </c>
      <c r="BC452" s="4" t="s">
        <v>49</v>
      </c>
      <c r="BD452" s="4">
        <v>47112</v>
      </c>
      <c r="BE452" t="s">
        <v>54</v>
      </c>
    </row>
    <row r="453" spans="1:57" ht="270.75" thickBot="1" x14ac:dyDescent="0.3">
      <c r="A453" s="4" t="s">
        <v>2058</v>
      </c>
      <c r="B453" s="4">
        <v>2001</v>
      </c>
      <c r="C453" s="5">
        <v>2</v>
      </c>
      <c r="D453" s="4" t="s">
        <v>44</v>
      </c>
      <c r="E453" s="6">
        <v>46290.922817766201</v>
      </c>
      <c r="F453" s="4" t="s">
        <v>2059</v>
      </c>
      <c r="G453" s="4" t="s">
        <v>46</v>
      </c>
      <c r="H453" s="4">
        <v>53</v>
      </c>
      <c r="I453" s="4" t="s">
        <v>47</v>
      </c>
      <c r="J453" s="4">
        <v>5309</v>
      </c>
      <c r="K453" s="4" t="s">
        <v>48</v>
      </c>
      <c r="L453" s="4">
        <v>5309030</v>
      </c>
      <c r="M453" s="4">
        <v>5309030019</v>
      </c>
      <c r="N453" s="4" t="s">
        <v>49</v>
      </c>
      <c r="O453" s="4">
        <v>47112</v>
      </c>
      <c r="P453" s="4" t="s">
        <v>2060</v>
      </c>
      <c r="Q453" s="5">
        <v>1</v>
      </c>
      <c r="R453" s="5">
        <v>0</v>
      </c>
      <c r="S453" s="5">
        <v>0</v>
      </c>
      <c r="T453" s="5">
        <v>36000000</v>
      </c>
      <c r="U453" s="5">
        <v>0</v>
      </c>
      <c r="V453" s="5">
        <v>120000</v>
      </c>
      <c r="W453" s="5">
        <v>36120000</v>
      </c>
      <c r="X453" s="5">
        <v>48120000</v>
      </c>
      <c r="Y453" s="5">
        <v>0</v>
      </c>
      <c r="Z453" s="5">
        <f t="shared" si="63"/>
        <v>12120000</v>
      </c>
      <c r="AA453" s="5">
        <v>1000000</v>
      </c>
      <c r="AB453" s="5">
        <f t="shared" si="64"/>
        <v>12120000</v>
      </c>
      <c r="AC453" s="5" t="s">
        <v>2061</v>
      </c>
      <c r="AD453" s="4" t="s">
        <v>51</v>
      </c>
      <c r="AE453" s="5">
        <f t="shared" si="65"/>
        <v>1</v>
      </c>
      <c r="AF453" s="5">
        <v>12120000</v>
      </c>
      <c r="AG453" s="5">
        <v>1</v>
      </c>
      <c r="AH453" s="5">
        <v>1</v>
      </c>
      <c r="AI453" s="5">
        <v>1</v>
      </c>
      <c r="AJ453" s="7" t="s">
        <v>2062</v>
      </c>
      <c r="AK453" s="5">
        <v>0</v>
      </c>
      <c r="AL453" s="5">
        <v>0</v>
      </c>
      <c r="AM453" s="4">
        <v>2025</v>
      </c>
      <c r="AN453" s="5">
        <v>0</v>
      </c>
      <c r="AO453" s="5">
        <v>1</v>
      </c>
      <c r="AP453" s="8"/>
      <c r="AQ453" s="8"/>
      <c r="AR453" s="8">
        <f t="shared" si="66"/>
        <v>0</v>
      </c>
      <c r="AS453" s="8">
        <f t="shared" si="67"/>
        <v>0</v>
      </c>
      <c r="AT453" s="8">
        <f t="shared" si="68"/>
        <v>8968800</v>
      </c>
      <c r="AU453" s="8">
        <f t="shared" si="69"/>
        <v>3151200</v>
      </c>
      <c r="AV453" s="4" t="s">
        <v>2060</v>
      </c>
      <c r="AW453" s="7" t="s">
        <v>2062</v>
      </c>
      <c r="AX453" s="5">
        <v>36000000</v>
      </c>
      <c r="AY453" t="e">
        <f t="shared" si="70"/>
        <v>#DIV/0!</v>
      </c>
      <c r="AZ453" t="e">
        <f t="shared" si="71"/>
        <v>#DIV/0!</v>
      </c>
      <c r="BA453" s="5">
        <v>48120000</v>
      </c>
      <c r="BB453" s="5">
        <v>0</v>
      </c>
      <c r="BC453" s="4" t="s">
        <v>49</v>
      </c>
      <c r="BD453" s="4">
        <v>47112</v>
      </c>
      <c r="BE453" t="s">
        <v>54</v>
      </c>
    </row>
    <row r="454" spans="1:57" ht="270.75" thickBot="1" x14ac:dyDescent="0.3">
      <c r="A454" s="4" t="s">
        <v>2063</v>
      </c>
      <c r="B454" s="4">
        <v>2001</v>
      </c>
      <c r="C454" s="5">
        <v>2</v>
      </c>
      <c r="D454" s="4" t="s">
        <v>44</v>
      </c>
      <c r="E454" s="6">
        <v>46258.408615567132</v>
      </c>
      <c r="F454" s="4" t="s">
        <v>2064</v>
      </c>
      <c r="G454" s="4" t="s">
        <v>46</v>
      </c>
      <c r="H454" s="4">
        <v>53</v>
      </c>
      <c r="I454" s="4" t="s">
        <v>47</v>
      </c>
      <c r="J454" s="4">
        <v>5309</v>
      </c>
      <c r="K454" s="4" t="s">
        <v>48</v>
      </c>
      <c r="L454" s="4">
        <v>5309050</v>
      </c>
      <c r="M454" s="4">
        <v>5309050013</v>
      </c>
      <c r="N454" s="4" t="s">
        <v>49</v>
      </c>
      <c r="O454" s="4">
        <v>47112</v>
      </c>
      <c r="P454" s="4" t="s">
        <v>2065</v>
      </c>
      <c r="Q454" s="5">
        <v>2</v>
      </c>
      <c r="R454" s="5">
        <v>0</v>
      </c>
      <c r="S454" s="5">
        <v>0</v>
      </c>
      <c r="T454" s="5">
        <v>66000000</v>
      </c>
      <c r="U454" s="5">
        <v>2400000</v>
      </c>
      <c r="V454" s="5">
        <v>0</v>
      </c>
      <c r="W454" s="5">
        <v>68400000</v>
      </c>
      <c r="X454" s="5">
        <v>108000000</v>
      </c>
      <c r="Y454" s="5">
        <v>0</v>
      </c>
      <c r="Z454" s="5">
        <f t="shared" si="63"/>
        <v>39600000</v>
      </c>
      <c r="AA454" s="5">
        <v>4500000</v>
      </c>
      <c r="AB454" s="5">
        <f t="shared" si="64"/>
        <v>42000000</v>
      </c>
      <c r="AC454" s="5" t="s">
        <v>197</v>
      </c>
      <c r="AD454" s="4" t="s">
        <v>51</v>
      </c>
      <c r="AE454" s="5">
        <f t="shared" si="65"/>
        <v>0.94285714285714284</v>
      </c>
      <c r="AF454" s="5">
        <v>21000000</v>
      </c>
      <c r="AG454" s="5">
        <v>1</v>
      </c>
      <c r="AH454" s="5">
        <v>1</v>
      </c>
      <c r="AI454" s="5">
        <v>1</v>
      </c>
      <c r="AJ454" s="7" t="s">
        <v>2066</v>
      </c>
      <c r="AK454" s="5">
        <v>0</v>
      </c>
      <c r="AL454" s="5">
        <v>0</v>
      </c>
      <c r="AM454" s="4">
        <v>2024</v>
      </c>
      <c r="AN454" s="5">
        <v>0</v>
      </c>
      <c r="AO454" s="5">
        <v>2</v>
      </c>
      <c r="AP454" s="8"/>
      <c r="AQ454" s="8"/>
      <c r="AR454" s="8">
        <f t="shared" si="66"/>
        <v>0</v>
      </c>
      <c r="AS454" s="8">
        <f t="shared" si="67"/>
        <v>2400000</v>
      </c>
      <c r="AT454" s="8">
        <f t="shared" si="68"/>
        <v>31080000</v>
      </c>
      <c r="AU454" s="8">
        <f t="shared" si="69"/>
        <v>10920000</v>
      </c>
      <c r="AV454" s="4" t="s">
        <v>2065</v>
      </c>
      <c r="AW454" s="7" t="s">
        <v>2066</v>
      </c>
      <c r="AX454" s="5">
        <v>66000000</v>
      </c>
      <c r="AY454">
        <f t="shared" si="70"/>
        <v>0</v>
      </c>
      <c r="AZ454">
        <f t="shared" si="71"/>
        <v>10920000</v>
      </c>
      <c r="BA454" s="5">
        <v>108000000</v>
      </c>
      <c r="BB454" s="5">
        <v>0</v>
      </c>
      <c r="BC454" s="4" t="s">
        <v>49</v>
      </c>
      <c r="BD454" s="4">
        <v>47112</v>
      </c>
      <c r="BE454" t="s">
        <v>54</v>
      </c>
    </row>
    <row r="455" spans="1:57" ht="270.75" thickBot="1" x14ac:dyDescent="0.3">
      <c r="A455" s="4" t="s">
        <v>2067</v>
      </c>
      <c r="B455" s="4">
        <v>1</v>
      </c>
      <c r="C455" s="5">
        <v>2</v>
      </c>
      <c r="D455" s="4" t="s">
        <v>44</v>
      </c>
      <c r="E455" s="6">
        <v>46215.966598067127</v>
      </c>
      <c r="F455" s="4" t="s">
        <v>2068</v>
      </c>
      <c r="G455" s="4" t="s">
        <v>46</v>
      </c>
      <c r="H455" s="4">
        <v>53</v>
      </c>
      <c r="I455" s="4" t="s">
        <v>47</v>
      </c>
      <c r="J455" s="4">
        <v>5309</v>
      </c>
      <c r="K455" s="4" t="s">
        <v>48</v>
      </c>
      <c r="L455" s="4">
        <v>5309030</v>
      </c>
      <c r="M455" s="4">
        <v>5309030015</v>
      </c>
      <c r="N455" s="4" t="s">
        <v>49</v>
      </c>
      <c r="O455" s="4">
        <v>47112</v>
      </c>
      <c r="P455" s="4" t="s">
        <v>2069</v>
      </c>
      <c r="Q455" s="5">
        <v>1</v>
      </c>
      <c r="R455" s="5">
        <v>0</v>
      </c>
      <c r="S455" s="5">
        <v>0</v>
      </c>
      <c r="T455" s="5">
        <v>2000000</v>
      </c>
      <c r="U455" s="5">
        <v>50000</v>
      </c>
      <c r="V455" s="5">
        <v>0</v>
      </c>
      <c r="W455" s="5">
        <v>2050000</v>
      </c>
      <c r="X455" s="5">
        <v>2500000</v>
      </c>
      <c r="Y455" s="5">
        <v>0</v>
      </c>
      <c r="Z455" s="5">
        <f t="shared" si="63"/>
        <v>450000</v>
      </c>
      <c r="AA455" s="5">
        <v>500000</v>
      </c>
      <c r="AB455" s="5">
        <f t="shared" si="64"/>
        <v>500000</v>
      </c>
      <c r="AC455" s="5" t="s">
        <v>52</v>
      </c>
      <c r="AD455" s="4" t="s">
        <v>51</v>
      </c>
      <c r="AE455" s="5">
        <f t="shared" si="65"/>
        <v>0.9</v>
      </c>
      <c r="AF455" s="5">
        <v>500000</v>
      </c>
      <c r="AG455" s="5">
        <v>1</v>
      </c>
      <c r="AH455" s="5">
        <v>1</v>
      </c>
      <c r="AI455" s="5">
        <v>1</v>
      </c>
      <c r="AJ455" s="7" t="s">
        <v>2070</v>
      </c>
      <c r="AK455" s="5">
        <v>0</v>
      </c>
      <c r="AL455" s="5">
        <v>0</v>
      </c>
      <c r="AM455" s="4">
        <v>2012</v>
      </c>
      <c r="AN455" s="5">
        <v>0</v>
      </c>
      <c r="AO455" s="5">
        <v>1</v>
      </c>
      <c r="AP455" s="8"/>
      <c r="AQ455" s="8"/>
      <c r="AR455" s="8">
        <f t="shared" si="66"/>
        <v>0</v>
      </c>
      <c r="AS455" s="8">
        <f t="shared" si="67"/>
        <v>50000</v>
      </c>
      <c r="AT455" s="8">
        <f t="shared" si="68"/>
        <v>370000</v>
      </c>
      <c r="AU455" s="8">
        <f t="shared" si="69"/>
        <v>130000</v>
      </c>
      <c r="AV455" s="4" t="s">
        <v>2069</v>
      </c>
      <c r="AW455" s="7" t="s">
        <v>2070</v>
      </c>
      <c r="AX455" s="5">
        <v>2000000</v>
      </c>
      <c r="AY455">
        <f t="shared" si="70"/>
        <v>0</v>
      </c>
      <c r="AZ455">
        <f t="shared" si="71"/>
        <v>130000</v>
      </c>
      <c r="BA455" s="5">
        <v>2500000</v>
      </c>
      <c r="BB455" s="5">
        <v>0</v>
      </c>
      <c r="BC455" s="4" t="s">
        <v>49</v>
      </c>
      <c r="BD455" s="4">
        <v>47112</v>
      </c>
      <c r="BE455" t="s">
        <v>54</v>
      </c>
    </row>
    <row r="456" spans="1:57" ht="270.75" thickBot="1" x14ac:dyDescent="0.3">
      <c r="A456" s="4" t="s">
        <v>2071</v>
      </c>
      <c r="B456" s="4">
        <v>1</v>
      </c>
      <c r="C456" s="5">
        <v>2</v>
      </c>
      <c r="D456" s="4" t="s">
        <v>44</v>
      </c>
      <c r="E456" s="6">
        <v>46250.924452511572</v>
      </c>
      <c r="F456" s="4" t="s">
        <v>2072</v>
      </c>
      <c r="G456" s="4" t="s">
        <v>46</v>
      </c>
      <c r="H456" s="4">
        <v>53</v>
      </c>
      <c r="I456" s="4" t="s">
        <v>47</v>
      </c>
      <c r="J456" s="4">
        <v>5309</v>
      </c>
      <c r="K456" s="4" t="s">
        <v>48</v>
      </c>
      <c r="L456" s="4">
        <v>5309072</v>
      </c>
      <c r="M456" s="4">
        <v>5309072005</v>
      </c>
      <c r="N456" s="4" t="s">
        <v>49</v>
      </c>
      <c r="O456" s="4">
        <v>47112</v>
      </c>
      <c r="P456" s="4" t="s">
        <v>2073</v>
      </c>
      <c r="Q456" s="5">
        <v>1</v>
      </c>
      <c r="R456" s="5">
        <v>0</v>
      </c>
      <c r="S456" s="5">
        <v>0</v>
      </c>
      <c r="T456" s="5">
        <v>4000000</v>
      </c>
      <c r="U456" s="5">
        <v>0</v>
      </c>
      <c r="V456" s="5">
        <v>0</v>
      </c>
      <c r="W456" s="5">
        <v>4000000</v>
      </c>
      <c r="X456" s="5">
        <v>7000000</v>
      </c>
      <c r="Y456" s="5">
        <v>0</v>
      </c>
      <c r="Z456" s="5">
        <f t="shared" si="63"/>
        <v>3000000</v>
      </c>
      <c r="AA456" s="5">
        <v>0</v>
      </c>
      <c r="AB456" s="5">
        <f t="shared" si="64"/>
        <v>3000000</v>
      </c>
      <c r="AC456" s="5" t="s">
        <v>144</v>
      </c>
      <c r="AD456" s="4" t="s">
        <v>51</v>
      </c>
      <c r="AE456" s="5">
        <f t="shared" si="65"/>
        <v>1</v>
      </c>
      <c r="AF456" s="5">
        <v>3000000</v>
      </c>
      <c r="AG456" s="4"/>
      <c r="AH456" s="5">
        <v>1</v>
      </c>
      <c r="AI456" s="5">
        <v>1</v>
      </c>
      <c r="AJ456" s="7" t="s">
        <v>2074</v>
      </c>
      <c r="AK456" s="5">
        <v>0</v>
      </c>
      <c r="AL456" s="5">
        <v>0</v>
      </c>
      <c r="AM456" s="4">
        <v>2010</v>
      </c>
      <c r="AN456" s="5">
        <v>0</v>
      </c>
      <c r="AO456" s="5">
        <v>1</v>
      </c>
      <c r="AP456" s="8"/>
      <c r="AQ456" s="8"/>
      <c r="AR456" s="8">
        <f t="shared" si="66"/>
        <v>0</v>
      </c>
      <c r="AS456" s="8">
        <f t="shared" si="67"/>
        <v>0</v>
      </c>
      <c r="AT456" s="8">
        <f t="shared" si="68"/>
        <v>2220000</v>
      </c>
      <c r="AU456" s="8">
        <f t="shared" si="69"/>
        <v>780000</v>
      </c>
      <c r="AV456" s="4" t="s">
        <v>2073</v>
      </c>
      <c r="AW456" s="7" t="s">
        <v>2074</v>
      </c>
      <c r="AX456" s="5">
        <v>4000000</v>
      </c>
      <c r="AY456" t="e">
        <f t="shared" si="70"/>
        <v>#DIV/0!</v>
      </c>
      <c r="AZ456" t="e">
        <f t="shared" si="71"/>
        <v>#DIV/0!</v>
      </c>
      <c r="BA456" s="5">
        <v>7000000</v>
      </c>
      <c r="BB456" s="5">
        <v>0</v>
      </c>
      <c r="BC456" s="4" t="s">
        <v>49</v>
      </c>
      <c r="BD456" s="4">
        <v>47112</v>
      </c>
      <c r="BE456" t="s">
        <v>54</v>
      </c>
    </row>
    <row r="457" spans="1:57" ht="255.75" thickBot="1" x14ac:dyDescent="0.3">
      <c r="A457" s="4" t="s">
        <v>2075</v>
      </c>
      <c r="B457" s="4">
        <v>1002</v>
      </c>
      <c r="C457" s="5">
        <v>2</v>
      </c>
      <c r="D457" s="4" t="s">
        <v>44</v>
      </c>
      <c r="E457" s="6">
        <v>46270.320287349539</v>
      </c>
      <c r="F457" s="4" t="s">
        <v>2076</v>
      </c>
      <c r="G457" s="4" t="s">
        <v>46</v>
      </c>
      <c r="H457" s="4">
        <v>53</v>
      </c>
      <c r="I457" s="4" t="s">
        <v>47</v>
      </c>
      <c r="J457" s="4">
        <v>5309</v>
      </c>
      <c r="K457" s="4" t="s">
        <v>48</v>
      </c>
      <c r="L457" s="4">
        <v>5309070</v>
      </c>
      <c r="M457" s="4">
        <v>5309070007</v>
      </c>
      <c r="N457" s="4" t="s">
        <v>49</v>
      </c>
      <c r="O457" s="4">
        <v>47112</v>
      </c>
      <c r="P457" s="4" t="s">
        <v>2077</v>
      </c>
      <c r="Q457" s="5">
        <v>1</v>
      </c>
      <c r="R457" s="5">
        <v>0</v>
      </c>
      <c r="S457" s="5">
        <v>0</v>
      </c>
      <c r="T457" s="5">
        <v>108000000</v>
      </c>
      <c r="U457" s="5">
        <v>3000000</v>
      </c>
      <c r="V457" s="5">
        <v>0</v>
      </c>
      <c r="W457" s="5">
        <v>111000000</v>
      </c>
      <c r="X457" s="5">
        <v>129000000</v>
      </c>
      <c r="Y457" s="5">
        <v>0</v>
      </c>
      <c r="Z457" s="5">
        <f t="shared" si="63"/>
        <v>18000000</v>
      </c>
      <c r="AA457" s="5">
        <v>0</v>
      </c>
      <c r="AB457" s="5">
        <f t="shared" si="64"/>
        <v>21000000</v>
      </c>
      <c r="AC457" s="5" t="s">
        <v>2078</v>
      </c>
      <c r="AD457" s="4" t="s">
        <v>51</v>
      </c>
      <c r="AE457" s="5">
        <f t="shared" si="65"/>
        <v>0.8571428571428571</v>
      </c>
      <c r="AF457" s="5">
        <v>21000000</v>
      </c>
      <c r="AG457" s="4"/>
      <c r="AH457" s="5">
        <v>1</v>
      </c>
      <c r="AI457" s="5">
        <v>1</v>
      </c>
      <c r="AJ457" s="7" t="s">
        <v>2079</v>
      </c>
      <c r="AK457" s="5">
        <v>0</v>
      </c>
      <c r="AL457" s="5">
        <v>0</v>
      </c>
      <c r="AM457" s="4">
        <v>2026</v>
      </c>
      <c r="AN457" s="5">
        <v>0</v>
      </c>
      <c r="AO457" s="5">
        <v>1</v>
      </c>
      <c r="AP457" s="8"/>
      <c r="AQ457" s="8"/>
      <c r="AR457" s="8">
        <f t="shared" si="66"/>
        <v>0</v>
      </c>
      <c r="AS457" s="8">
        <f t="shared" si="67"/>
        <v>3000000</v>
      </c>
      <c r="AT457" s="8">
        <f t="shared" si="68"/>
        <v>15540000</v>
      </c>
      <c r="AU457" s="8">
        <f t="shared" si="69"/>
        <v>5460000</v>
      </c>
      <c r="AV457" s="4" t="s">
        <v>2077</v>
      </c>
      <c r="AW457" s="7" t="s">
        <v>2079</v>
      </c>
      <c r="AX457" s="5">
        <v>108000000</v>
      </c>
      <c r="AY457">
        <f t="shared" si="70"/>
        <v>0</v>
      </c>
      <c r="AZ457">
        <f t="shared" si="71"/>
        <v>5460000</v>
      </c>
      <c r="BA457" s="5">
        <v>129000000</v>
      </c>
      <c r="BB457" s="5">
        <v>0</v>
      </c>
      <c r="BC457" s="4" t="s">
        <v>49</v>
      </c>
      <c r="BD457" s="4">
        <v>47112</v>
      </c>
      <c r="BE457" t="s">
        <v>54</v>
      </c>
    </row>
    <row r="458" spans="1:57" ht="270.75" thickBot="1" x14ac:dyDescent="0.3">
      <c r="A458" s="4" t="s">
        <v>2080</v>
      </c>
      <c r="B458" s="4">
        <v>1001</v>
      </c>
      <c r="C458" s="5">
        <v>2</v>
      </c>
      <c r="D458" s="4" t="s">
        <v>44</v>
      </c>
      <c r="E458" s="6">
        <v>46242.116254050925</v>
      </c>
      <c r="F458" s="4" t="s">
        <v>2081</v>
      </c>
      <c r="G458" s="4" t="s">
        <v>46</v>
      </c>
      <c r="H458" s="4">
        <v>53</v>
      </c>
      <c r="I458" s="4" t="s">
        <v>47</v>
      </c>
      <c r="J458" s="4">
        <v>5309</v>
      </c>
      <c r="K458" s="4" t="s">
        <v>48</v>
      </c>
      <c r="L458" s="4">
        <v>5309020</v>
      </c>
      <c r="M458" s="4">
        <v>5309020018</v>
      </c>
      <c r="N458" s="4" t="s">
        <v>49</v>
      </c>
      <c r="O458" s="4">
        <v>47112</v>
      </c>
      <c r="P458" s="4" t="s">
        <v>2082</v>
      </c>
      <c r="Q458" s="5">
        <v>3</v>
      </c>
      <c r="R458" s="5">
        <v>0</v>
      </c>
      <c r="S458" s="5">
        <v>3500000</v>
      </c>
      <c r="T458" s="5">
        <v>10000000</v>
      </c>
      <c r="U458" s="5">
        <v>2500000</v>
      </c>
      <c r="V458" s="5">
        <v>0</v>
      </c>
      <c r="W458" s="5">
        <v>16000000</v>
      </c>
      <c r="X458" s="5">
        <v>23500000</v>
      </c>
      <c r="Y458" s="5">
        <v>0</v>
      </c>
      <c r="Z458" s="5">
        <f t="shared" si="63"/>
        <v>7500000</v>
      </c>
      <c r="AA458" s="5">
        <v>12000000</v>
      </c>
      <c r="AB458" s="5">
        <f t="shared" si="64"/>
        <v>13500000</v>
      </c>
      <c r="AC458" s="5" t="s">
        <v>2083</v>
      </c>
      <c r="AD458" s="4" t="s">
        <v>51</v>
      </c>
      <c r="AE458" s="5">
        <f t="shared" si="65"/>
        <v>0.55555555555555558</v>
      </c>
      <c r="AF458" s="5">
        <v>4500000</v>
      </c>
      <c r="AG458" s="5">
        <v>1</v>
      </c>
      <c r="AH458" s="5">
        <v>1</v>
      </c>
      <c r="AI458" s="5">
        <v>1</v>
      </c>
      <c r="AJ458" s="7" t="s">
        <v>2084</v>
      </c>
      <c r="AK458" s="5">
        <v>0</v>
      </c>
      <c r="AL458" s="5">
        <v>0</v>
      </c>
      <c r="AM458" s="4">
        <v>2023</v>
      </c>
      <c r="AN458" s="5">
        <v>0</v>
      </c>
      <c r="AO458" s="5">
        <v>3</v>
      </c>
      <c r="AP458" s="8"/>
      <c r="AQ458" s="8"/>
      <c r="AR458" s="8">
        <f t="shared" si="66"/>
        <v>0</v>
      </c>
      <c r="AS458" s="8">
        <f t="shared" si="67"/>
        <v>6000000</v>
      </c>
      <c r="AT458" s="8">
        <f t="shared" si="68"/>
        <v>7500000</v>
      </c>
      <c r="AU458" s="8">
        <f t="shared" si="69"/>
        <v>6000000</v>
      </c>
      <c r="AV458" s="4" t="s">
        <v>2082</v>
      </c>
      <c r="AW458" s="7" t="s">
        <v>2084</v>
      </c>
      <c r="AX458" s="5">
        <v>10000000</v>
      </c>
      <c r="AY458">
        <f t="shared" si="70"/>
        <v>3500000</v>
      </c>
      <c r="AZ458">
        <f t="shared" si="71"/>
        <v>2500000</v>
      </c>
      <c r="BA458" s="5">
        <v>23500000</v>
      </c>
      <c r="BB458" s="5">
        <v>0</v>
      </c>
      <c r="BC458" s="4" t="s">
        <v>49</v>
      </c>
      <c r="BD458" s="4">
        <v>47112</v>
      </c>
      <c r="BE458" t="s">
        <v>54</v>
      </c>
    </row>
    <row r="459" spans="1:57" ht="270.75" thickBot="1" x14ac:dyDescent="0.3">
      <c r="A459" s="4" t="s">
        <v>2085</v>
      </c>
      <c r="B459" s="4">
        <v>1002</v>
      </c>
      <c r="C459" s="5">
        <v>2</v>
      </c>
      <c r="D459" s="4" t="s">
        <v>44</v>
      </c>
      <c r="E459" s="6">
        <v>46293.135173495371</v>
      </c>
      <c r="F459" s="4" t="s">
        <v>2086</v>
      </c>
      <c r="G459" s="4" t="s">
        <v>46</v>
      </c>
      <c r="H459" s="4">
        <v>53</v>
      </c>
      <c r="I459" s="4" t="s">
        <v>47</v>
      </c>
      <c r="J459" s="4">
        <v>5309</v>
      </c>
      <c r="K459" s="4" t="s">
        <v>48</v>
      </c>
      <c r="L459" s="4">
        <v>5309030</v>
      </c>
      <c r="M459" s="4">
        <v>5309030028</v>
      </c>
      <c r="N459" s="4" t="s">
        <v>49</v>
      </c>
      <c r="O459" s="4">
        <v>47112</v>
      </c>
      <c r="P459" s="4" t="s">
        <v>2087</v>
      </c>
      <c r="Q459" s="5">
        <v>2</v>
      </c>
      <c r="R459" s="5">
        <v>0</v>
      </c>
      <c r="S459" s="5">
        <v>250000</v>
      </c>
      <c r="T459" s="5">
        <v>1000000</v>
      </c>
      <c r="U459" s="5">
        <v>200000</v>
      </c>
      <c r="V459" s="5">
        <v>50000</v>
      </c>
      <c r="W459" s="5">
        <v>1500000</v>
      </c>
      <c r="X459" s="5">
        <v>3500000</v>
      </c>
      <c r="Y459" s="5">
        <v>0</v>
      </c>
      <c r="Z459" s="5">
        <f t="shared" si="63"/>
        <v>2050000</v>
      </c>
      <c r="AA459" s="5">
        <v>2050000</v>
      </c>
      <c r="AB459" s="5">
        <f t="shared" si="64"/>
        <v>2500000</v>
      </c>
      <c r="AC459" s="5" t="s">
        <v>425</v>
      </c>
      <c r="AD459" s="4" t="s">
        <v>51</v>
      </c>
      <c r="AE459" s="5">
        <f t="shared" si="65"/>
        <v>0.82</v>
      </c>
      <c r="AF459" s="5">
        <v>1250000</v>
      </c>
      <c r="AG459" s="5">
        <v>1</v>
      </c>
      <c r="AH459" s="5">
        <v>1</v>
      </c>
      <c r="AI459" s="5">
        <v>1</v>
      </c>
      <c r="AJ459" s="7" t="s">
        <v>2088</v>
      </c>
      <c r="AK459" s="5">
        <v>0</v>
      </c>
      <c r="AL459" s="5">
        <v>0</v>
      </c>
      <c r="AM459" s="4">
        <v>2020</v>
      </c>
      <c r="AN459" s="5">
        <v>0</v>
      </c>
      <c r="AO459" s="5">
        <v>2</v>
      </c>
      <c r="AP459" s="8"/>
      <c r="AQ459" s="8"/>
      <c r="AR459" s="8">
        <f t="shared" si="66"/>
        <v>0</v>
      </c>
      <c r="AS459" s="8">
        <f t="shared" si="67"/>
        <v>450000</v>
      </c>
      <c r="AT459" s="8">
        <f t="shared" si="68"/>
        <v>1850000</v>
      </c>
      <c r="AU459" s="8">
        <f t="shared" si="69"/>
        <v>650000</v>
      </c>
      <c r="AV459" s="4" t="s">
        <v>2087</v>
      </c>
      <c r="AW459" s="7" t="s">
        <v>2088</v>
      </c>
      <c r="AX459" s="5">
        <v>1000000</v>
      </c>
      <c r="AY459">
        <f t="shared" si="70"/>
        <v>361111.11111111112</v>
      </c>
      <c r="AZ459">
        <f t="shared" si="71"/>
        <v>288888.88888888888</v>
      </c>
      <c r="BA459" s="5">
        <v>3500000</v>
      </c>
      <c r="BB459" s="5">
        <v>0</v>
      </c>
      <c r="BC459" s="4" t="s">
        <v>49</v>
      </c>
      <c r="BD459" s="4">
        <v>47112</v>
      </c>
      <c r="BE459" t="s">
        <v>54</v>
      </c>
    </row>
    <row r="460" spans="1:57" ht="270.75" thickBot="1" x14ac:dyDescent="0.3">
      <c r="A460" s="4" t="s">
        <v>2089</v>
      </c>
      <c r="B460" s="4">
        <v>2001</v>
      </c>
      <c r="C460" s="5">
        <v>2</v>
      </c>
      <c r="D460" s="4" t="s">
        <v>44</v>
      </c>
      <c r="E460" s="6">
        <v>46249.457364305556</v>
      </c>
      <c r="F460" s="4" t="s">
        <v>2090</v>
      </c>
      <c r="G460" s="4" t="s">
        <v>46</v>
      </c>
      <c r="H460" s="4">
        <v>53</v>
      </c>
      <c r="I460" s="4" t="s">
        <v>47</v>
      </c>
      <c r="J460" s="4">
        <v>5309</v>
      </c>
      <c r="K460" s="4" t="s">
        <v>48</v>
      </c>
      <c r="L460" s="4">
        <v>5309060</v>
      </c>
      <c r="M460" s="4">
        <v>5309060028</v>
      </c>
      <c r="N460" s="4" t="s">
        <v>49</v>
      </c>
      <c r="O460" s="4">
        <v>47112</v>
      </c>
      <c r="P460" s="4" t="s">
        <v>2091</v>
      </c>
      <c r="Q460" s="5">
        <v>2</v>
      </c>
      <c r="R460" s="5">
        <v>0</v>
      </c>
      <c r="S460" s="5">
        <v>0</v>
      </c>
      <c r="T460" s="5">
        <v>10000000</v>
      </c>
      <c r="U460" s="5">
        <v>500000</v>
      </c>
      <c r="V460" s="5">
        <v>0</v>
      </c>
      <c r="W460" s="5">
        <v>10500000</v>
      </c>
      <c r="X460" s="5">
        <v>12300000</v>
      </c>
      <c r="Y460" s="5">
        <v>0</v>
      </c>
      <c r="Z460" s="5">
        <f t="shared" si="63"/>
        <v>1800000</v>
      </c>
      <c r="AA460" s="5">
        <v>6500000</v>
      </c>
      <c r="AB460" s="5">
        <f t="shared" si="64"/>
        <v>2300000</v>
      </c>
      <c r="AC460" s="5" t="s">
        <v>2092</v>
      </c>
      <c r="AD460" s="4" t="s">
        <v>51</v>
      </c>
      <c r="AE460" s="5">
        <f t="shared" si="65"/>
        <v>0.78260869565217395</v>
      </c>
      <c r="AF460" s="5">
        <v>1150000</v>
      </c>
      <c r="AG460" s="5">
        <v>0</v>
      </c>
      <c r="AH460" s="5">
        <v>1</v>
      </c>
      <c r="AI460" s="5">
        <v>1</v>
      </c>
      <c r="AJ460" s="7" t="s">
        <v>2093</v>
      </c>
      <c r="AK460" s="5">
        <v>0</v>
      </c>
      <c r="AL460" s="5">
        <v>0</v>
      </c>
      <c r="AM460" s="4">
        <v>2023</v>
      </c>
      <c r="AN460" s="5">
        <v>0</v>
      </c>
      <c r="AO460" s="5">
        <v>2</v>
      </c>
      <c r="AP460" s="8"/>
      <c r="AQ460" s="8"/>
      <c r="AR460" s="8">
        <f t="shared" si="66"/>
        <v>0</v>
      </c>
      <c r="AS460" s="8">
        <f t="shared" si="67"/>
        <v>500000</v>
      </c>
      <c r="AT460" s="8">
        <f t="shared" si="68"/>
        <v>1702000</v>
      </c>
      <c r="AU460" s="8">
        <f t="shared" si="69"/>
        <v>598000</v>
      </c>
      <c r="AV460" s="4" t="s">
        <v>2091</v>
      </c>
      <c r="AW460" s="7" t="s">
        <v>2093</v>
      </c>
      <c r="AX460" s="5">
        <v>10000000</v>
      </c>
      <c r="AY460">
        <f t="shared" si="70"/>
        <v>0</v>
      </c>
      <c r="AZ460">
        <f t="shared" si="71"/>
        <v>598000</v>
      </c>
      <c r="BA460" s="5">
        <v>12300000</v>
      </c>
      <c r="BB460" s="5">
        <v>0</v>
      </c>
      <c r="BC460" s="4" t="s">
        <v>49</v>
      </c>
      <c r="BD460" s="4">
        <v>47112</v>
      </c>
      <c r="BE460" t="s">
        <v>54</v>
      </c>
    </row>
    <row r="461" spans="1:57" ht="270.75" thickBot="1" x14ac:dyDescent="0.3">
      <c r="A461" s="4" t="s">
        <v>2094</v>
      </c>
      <c r="B461" s="4">
        <v>1002</v>
      </c>
      <c r="C461" s="5">
        <v>2</v>
      </c>
      <c r="D461" s="4" t="s">
        <v>44</v>
      </c>
      <c r="E461" s="6">
        <v>46260.897014236114</v>
      </c>
      <c r="F461" s="4" t="s">
        <v>2095</v>
      </c>
      <c r="G461" s="4" t="s">
        <v>46</v>
      </c>
      <c r="H461" s="4">
        <v>53</v>
      </c>
      <c r="I461" s="4" t="s">
        <v>47</v>
      </c>
      <c r="J461" s="4">
        <v>5309</v>
      </c>
      <c r="K461" s="4" t="s">
        <v>48</v>
      </c>
      <c r="L461" s="4">
        <v>5309070</v>
      </c>
      <c r="M461" s="4">
        <v>5309070014</v>
      </c>
      <c r="N461" s="4" t="s">
        <v>49</v>
      </c>
      <c r="O461" s="4">
        <v>47112</v>
      </c>
      <c r="P461" s="4" t="s">
        <v>2096</v>
      </c>
      <c r="Q461" s="5">
        <v>2</v>
      </c>
      <c r="R461" s="5">
        <v>0</v>
      </c>
      <c r="S461" s="5">
        <v>1000000</v>
      </c>
      <c r="T461" s="5">
        <v>96000000</v>
      </c>
      <c r="U461" s="5">
        <v>960000</v>
      </c>
      <c r="V461" s="5">
        <v>0</v>
      </c>
      <c r="W461" s="5">
        <v>97960000</v>
      </c>
      <c r="X461" s="5">
        <v>109500000</v>
      </c>
      <c r="Y461" s="5">
        <v>0</v>
      </c>
      <c r="Z461" s="5">
        <f t="shared" si="63"/>
        <v>11540000</v>
      </c>
      <c r="AA461" s="5">
        <v>2300000</v>
      </c>
      <c r="AB461" s="5">
        <f t="shared" si="64"/>
        <v>13500000</v>
      </c>
      <c r="AC461" s="5" t="s">
        <v>2097</v>
      </c>
      <c r="AD461" s="4" t="s">
        <v>51</v>
      </c>
      <c r="AE461" s="5">
        <f t="shared" si="65"/>
        <v>0.85481481481481481</v>
      </c>
      <c r="AF461" s="5">
        <v>6750000</v>
      </c>
      <c r="AG461" s="5">
        <v>1</v>
      </c>
      <c r="AH461" s="5">
        <v>1</v>
      </c>
      <c r="AI461" s="5">
        <v>1</v>
      </c>
      <c r="AJ461" s="7" t="s">
        <v>2098</v>
      </c>
      <c r="AK461" s="5">
        <v>0</v>
      </c>
      <c r="AL461" s="5">
        <v>0</v>
      </c>
      <c r="AM461" s="4">
        <v>2018</v>
      </c>
      <c r="AN461" s="5">
        <v>0</v>
      </c>
      <c r="AO461" s="5">
        <v>2</v>
      </c>
      <c r="AP461" s="8"/>
      <c r="AQ461" s="8"/>
      <c r="AR461" s="8">
        <f t="shared" si="66"/>
        <v>0</v>
      </c>
      <c r="AS461" s="8">
        <f t="shared" si="67"/>
        <v>1960000</v>
      </c>
      <c r="AT461" s="8">
        <f t="shared" si="68"/>
        <v>9990000</v>
      </c>
      <c r="AU461" s="8">
        <f t="shared" si="69"/>
        <v>3510000</v>
      </c>
      <c r="AV461" s="4" t="s">
        <v>2096</v>
      </c>
      <c r="AW461" s="7" t="s">
        <v>2098</v>
      </c>
      <c r="AX461" s="5">
        <v>96000000</v>
      </c>
      <c r="AY461">
        <f t="shared" si="70"/>
        <v>1790816.3265306123</v>
      </c>
      <c r="AZ461">
        <f t="shared" si="71"/>
        <v>1719183.6734693877</v>
      </c>
      <c r="BA461" s="5">
        <v>109500000</v>
      </c>
      <c r="BB461" s="5">
        <v>0</v>
      </c>
      <c r="BC461" s="4" t="s">
        <v>49</v>
      </c>
      <c r="BD461" s="4">
        <v>47112</v>
      </c>
      <c r="BE461" t="s">
        <v>54</v>
      </c>
    </row>
    <row r="462" spans="1:57" ht="270.75" thickBot="1" x14ac:dyDescent="0.3">
      <c r="A462" s="4" t="s">
        <v>2099</v>
      </c>
      <c r="B462" s="4">
        <v>1</v>
      </c>
      <c r="C462" s="5">
        <v>2</v>
      </c>
      <c r="D462" s="4" t="s">
        <v>44</v>
      </c>
      <c r="E462" s="6">
        <v>46241.042560057867</v>
      </c>
      <c r="F462" s="4" t="s">
        <v>2100</v>
      </c>
      <c r="G462" s="4" t="s">
        <v>46</v>
      </c>
      <c r="H462" s="4">
        <v>53</v>
      </c>
      <c r="I462" s="4" t="s">
        <v>47</v>
      </c>
      <c r="J462" s="4">
        <v>5309</v>
      </c>
      <c r="K462" s="4" t="s">
        <v>48</v>
      </c>
      <c r="L462" s="4">
        <v>5309020</v>
      </c>
      <c r="M462" s="4">
        <v>5309020013</v>
      </c>
      <c r="N462" s="4" t="s">
        <v>49</v>
      </c>
      <c r="O462" s="4">
        <v>47112</v>
      </c>
      <c r="P462" s="4" t="s">
        <v>515</v>
      </c>
      <c r="Q462" s="5">
        <v>2</v>
      </c>
      <c r="R462" s="5">
        <v>0</v>
      </c>
      <c r="S462" s="5">
        <v>5000000</v>
      </c>
      <c r="T462" s="5">
        <v>4000000</v>
      </c>
      <c r="U462" s="5">
        <v>1000000</v>
      </c>
      <c r="V462" s="5">
        <v>0</v>
      </c>
      <c r="W462" s="5">
        <v>10000000</v>
      </c>
      <c r="X462" s="5">
        <v>15000000</v>
      </c>
      <c r="Y462" s="5">
        <v>0</v>
      </c>
      <c r="Z462" s="5">
        <f t="shared" si="63"/>
        <v>5000000</v>
      </c>
      <c r="AA462" s="5">
        <v>10000000</v>
      </c>
      <c r="AB462" s="5">
        <f t="shared" si="64"/>
        <v>11000000</v>
      </c>
      <c r="AC462" s="5" t="s">
        <v>1162</v>
      </c>
      <c r="AD462" s="4" t="s">
        <v>51</v>
      </c>
      <c r="AE462" s="5">
        <f t="shared" si="65"/>
        <v>0.45454545454545453</v>
      </c>
      <c r="AF462" s="5">
        <v>5500000</v>
      </c>
      <c r="AG462" s="5">
        <v>1</v>
      </c>
      <c r="AH462" s="5">
        <v>1</v>
      </c>
      <c r="AI462" s="5">
        <v>1</v>
      </c>
      <c r="AJ462" s="7" t="s">
        <v>2101</v>
      </c>
      <c r="AK462" s="5">
        <v>0</v>
      </c>
      <c r="AL462" s="5">
        <v>0</v>
      </c>
      <c r="AM462" s="4">
        <v>2020</v>
      </c>
      <c r="AN462" s="5">
        <v>0</v>
      </c>
      <c r="AO462" s="5">
        <v>2</v>
      </c>
      <c r="AP462" s="8"/>
      <c r="AQ462" s="8"/>
      <c r="AR462" s="8">
        <f t="shared" si="66"/>
        <v>0</v>
      </c>
      <c r="AS462" s="8">
        <f t="shared" si="67"/>
        <v>6000000</v>
      </c>
      <c r="AT462" s="8">
        <f t="shared" si="68"/>
        <v>5000000</v>
      </c>
      <c r="AU462" s="8">
        <f t="shared" si="69"/>
        <v>6000000</v>
      </c>
      <c r="AV462" s="4" t="s">
        <v>515</v>
      </c>
      <c r="AW462" s="7" t="s">
        <v>2101</v>
      </c>
      <c r="AX462" s="5">
        <v>4000000</v>
      </c>
      <c r="AY462">
        <f t="shared" si="70"/>
        <v>5000000</v>
      </c>
      <c r="AZ462">
        <f t="shared" si="71"/>
        <v>1000000</v>
      </c>
      <c r="BA462" s="5">
        <v>15000000</v>
      </c>
      <c r="BB462" s="5">
        <v>0</v>
      </c>
      <c r="BC462" s="4" t="s">
        <v>49</v>
      </c>
      <c r="BD462" s="4">
        <v>47112</v>
      </c>
      <c r="BE462" t="s">
        <v>54</v>
      </c>
    </row>
    <row r="463" spans="1:57" ht="270.75" thickBot="1" x14ac:dyDescent="0.3">
      <c r="A463" s="4" t="s">
        <v>2102</v>
      </c>
      <c r="B463" s="4">
        <v>3001</v>
      </c>
      <c r="C463" s="5">
        <v>2</v>
      </c>
      <c r="D463" s="4" t="s">
        <v>44</v>
      </c>
      <c r="E463" s="6">
        <v>46219.335758981484</v>
      </c>
      <c r="F463" s="4" t="s">
        <v>2103</v>
      </c>
      <c r="G463" s="4" t="s">
        <v>46</v>
      </c>
      <c r="H463" s="4">
        <v>53</v>
      </c>
      <c r="I463" s="4" t="s">
        <v>47</v>
      </c>
      <c r="J463" s="4">
        <v>5309</v>
      </c>
      <c r="K463" s="4" t="s">
        <v>48</v>
      </c>
      <c r="L463" s="4">
        <v>5309072</v>
      </c>
      <c r="M463" s="4">
        <v>5309072001</v>
      </c>
      <c r="N463" s="4" t="s">
        <v>49</v>
      </c>
      <c r="O463" s="4">
        <v>47112</v>
      </c>
      <c r="P463" s="4" t="s">
        <v>2104</v>
      </c>
      <c r="Q463" s="5">
        <v>1</v>
      </c>
      <c r="R463" s="5">
        <v>0</v>
      </c>
      <c r="S463" s="5">
        <v>0</v>
      </c>
      <c r="T463" s="5">
        <v>4800000</v>
      </c>
      <c r="U463" s="5">
        <v>540000</v>
      </c>
      <c r="V463" s="5">
        <v>0</v>
      </c>
      <c r="W463" s="5">
        <v>5340000</v>
      </c>
      <c r="X463" s="5">
        <v>6000000</v>
      </c>
      <c r="Y463" s="5">
        <v>0</v>
      </c>
      <c r="Z463" s="5">
        <f t="shared" si="63"/>
        <v>660000</v>
      </c>
      <c r="AA463" s="5">
        <v>8000000</v>
      </c>
      <c r="AB463" s="5">
        <f t="shared" si="64"/>
        <v>1200000</v>
      </c>
      <c r="AC463" s="5" t="s">
        <v>52</v>
      </c>
      <c r="AD463" s="4" t="s">
        <v>51</v>
      </c>
      <c r="AE463" s="5">
        <f t="shared" si="65"/>
        <v>0.55000000000000004</v>
      </c>
      <c r="AF463" s="5">
        <v>1200000</v>
      </c>
      <c r="AG463" s="5">
        <v>1</v>
      </c>
      <c r="AH463" s="5">
        <v>1</v>
      </c>
      <c r="AI463" s="5">
        <v>1</v>
      </c>
      <c r="AJ463" s="7" t="s">
        <v>2105</v>
      </c>
      <c r="AK463" s="5">
        <v>0</v>
      </c>
      <c r="AL463" s="5">
        <v>0</v>
      </c>
      <c r="AM463" s="4">
        <v>2021</v>
      </c>
      <c r="AN463" s="5">
        <v>0</v>
      </c>
      <c r="AO463" s="5">
        <v>1</v>
      </c>
      <c r="AP463" s="8"/>
      <c r="AQ463" s="8"/>
      <c r="AR463" s="8">
        <f t="shared" si="66"/>
        <v>0</v>
      </c>
      <c r="AS463" s="8">
        <f t="shared" si="67"/>
        <v>540000</v>
      </c>
      <c r="AT463" s="8">
        <f t="shared" si="68"/>
        <v>660000</v>
      </c>
      <c r="AU463" s="8">
        <f t="shared" si="69"/>
        <v>540000</v>
      </c>
      <c r="AV463" s="4" t="s">
        <v>2104</v>
      </c>
      <c r="AW463" s="7" t="s">
        <v>2105</v>
      </c>
      <c r="AX463" s="5">
        <v>4800000</v>
      </c>
      <c r="AY463">
        <f t="shared" si="70"/>
        <v>0</v>
      </c>
      <c r="AZ463">
        <f t="shared" si="71"/>
        <v>540000</v>
      </c>
      <c r="BA463" s="5">
        <v>6000000</v>
      </c>
      <c r="BB463" s="5">
        <v>0</v>
      </c>
      <c r="BC463" s="4" t="s">
        <v>49</v>
      </c>
      <c r="BD463" s="4">
        <v>47112</v>
      </c>
      <c r="BE463" t="s">
        <v>54</v>
      </c>
    </row>
    <row r="464" spans="1:57" ht="270.75" thickBot="1" x14ac:dyDescent="0.3">
      <c r="A464" s="4" t="s">
        <v>2106</v>
      </c>
      <c r="B464" s="4">
        <v>3001</v>
      </c>
      <c r="C464" s="5">
        <v>2</v>
      </c>
      <c r="D464" s="4" t="s">
        <v>44</v>
      </c>
      <c r="E464" s="6">
        <v>46267.917969097223</v>
      </c>
      <c r="F464" s="4" t="s">
        <v>2107</v>
      </c>
      <c r="G464" s="4" t="s">
        <v>46</v>
      </c>
      <c r="H464" s="4">
        <v>53</v>
      </c>
      <c r="I464" s="4" t="s">
        <v>47</v>
      </c>
      <c r="J464" s="4">
        <v>5309</v>
      </c>
      <c r="K464" s="4" t="s">
        <v>48</v>
      </c>
      <c r="L464" s="4">
        <v>5309072</v>
      </c>
      <c r="M464" s="4">
        <v>5309072001</v>
      </c>
      <c r="N464" s="4" t="s">
        <v>49</v>
      </c>
      <c r="O464" s="4">
        <v>47112</v>
      </c>
      <c r="P464" s="4" t="s">
        <v>2108</v>
      </c>
      <c r="Q464" s="5">
        <v>1</v>
      </c>
      <c r="R464" s="5">
        <v>0</v>
      </c>
      <c r="S464" s="5">
        <v>0</v>
      </c>
      <c r="T464" s="5">
        <v>3500000</v>
      </c>
      <c r="U464" s="5">
        <v>150000</v>
      </c>
      <c r="V464" s="5">
        <v>0</v>
      </c>
      <c r="W464" s="5">
        <v>3650000</v>
      </c>
      <c r="X464" s="5">
        <v>6500000</v>
      </c>
      <c r="Y464" s="5">
        <v>0</v>
      </c>
      <c r="Z464" s="5">
        <f t="shared" si="63"/>
        <v>2850000</v>
      </c>
      <c r="AA464" s="5">
        <v>15000000</v>
      </c>
      <c r="AB464" s="5">
        <f t="shared" si="64"/>
        <v>3000000</v>
      </c>
      <c r="AC464" s="5" t="s">
        <v>1141</v>
      </c>
      <c r="AD464" s="4" t="s">
        <v>51</v>
      </c>
      <c r="AE464" s="5">
        <f t="shared" si="65"/>
        <v>0.95</v>
      </c>
      <c r="AF464" s="5">
        <v>3000000</v>
      </c>
      <c r="AG464" s="5">
        <v>0</v>
      </c>
      <c r="AH464" s="5">
        <v>1</v>
      </c>
      <c r="AI464" s="5">
        <v>1</v>
      </c>
      <c r="AJ464" s="7" t="s">
        <v>2109</v>
      </c>
      <c r="AK464" s="5">
        <v>0</v>
      </c>
      <c r="AL464" s="5">
        <v>0</v>
      </c>
      <c r="AM464" s="4">
        <v>2006</v>
      </c>
      <c r="AN464" s="5">
        <v>0</v>
      </c>
      <c r="AO464" s="5">
        <v>1</v>
      </c>
      <c r="AP464" s="8"/>
      <c r="AQ464" s="8"/>
      <c r="AR464" s="8">
        <f t="shared" si="66"/>
        <v>0</v>
      </c>
      <c r="AS464" s="8">
        <f t="shared" si="67"/>
        <v>150000</v>
      </c>
      <c r="AT464" s="8">
        <f t="shared" si="68"/>
        <v>2220000</v>
      </c>
      <c r="AU464" s="8">
        <f t="shared" si="69"/>
        <v>780000</v>
      </c>
      <c r="AV464" s="4" t="s">
        <v>2108</v>
      </c>
      <c r="AW464" s="7" t="s">
        <v>2109</v>
      </c>
      <c r="AX464" s="5">
        <v>3500000</v>
      </c>
      <c r="AY464">
        <f t="shared" si="70"/>
        <v>0</v>
      </c>
      <c r="AZ464">
        <f t="shared" si="71"/>
        <v>780000</v>
      </c>
      <c r="BA464" s="5">
        <v>6500000</v>
      </c>
      <c r="BB464" s="5">
        <v>0</v>
      </c>
      <c r="BC464" s="4" t="s">
        <v>49</v>
      </c>
      <c r="BD464" s="4">
        <v>47112</v>
      </c>
      <c r="BE464" t="s">
        <v>54</v>
      </c>
    </row>
    <row r="465" spans="1:57" ht="270.75" thickBot="1" x14ac:dyDescent="0.3">
      <c r="A465" s="4" t="s">
        <v>2110</v>
      </c>
      <c r="B465" s="4">
        <v>1</v>
      </c>
      <c r="C465" s="5">
        <v>2</v>
      </c>
      <c r="D465" s="4" t="s">
        <v>56</v>
      </c>
      <c r="E465" s="6">
        <v>46240.791935000001</v>
      </c>
      <c r="F465" s="4" t="s">
        <v>2111</v>
      </c>
      <c r="G465" s="4" t="s">
        <v>46</v>
      </c>
      <c r="H465" s="4">
        <v>53</v>
      </c>
      <c r="I465" s="4" t="s">
        <v>47</v>
      </c>
      <c r="J465" s="4">
        <v>5309</v>
      </c>
      <c r="K465" s="4" t="s">
        <v>48</v>
      </c>
      <c r="L465" s="4">
        <v>5309050</v>
      </c>
      <c r="M465" s="4">
        <v>5309050016</v>
      </c>
      <c r="N465" s="4" t="s">
        <v>49</v>
      </c>
      <c r="O465" s="4">
        <v>47112</v>
      </c>
      <c r="P465" s="4" t="s">
        <v>2112</v>
      </c>
      <c r="Q465" s="5">
        <v>2</v>
      </c>
      <c r="R465" s="5">
        <v>0</v>
      </c>
      <c r="S465" s="5">
        <v>0</v>
      </c>
      <c r="T465" s="5">
        <v>12000000</v>
      </c>
      <c r="U465" s="5">
        <v>1000000</v>
      </c>
      <c r="V465" s="5">
        <v>0</v>
      </c>
      <c r="W465" s="5">
        <v>13000000</v>
      </c>
      <c r="X465" s="5">
        <v>25000000</v>
      </c>
      <c r="Y465" s="5">
        <v>0</v>
      </c>
      <c r="Z465" s="5">
        <f t="shared" si="63"/>
        <v>12000000</v>
      </c>
      <c r="AA465" s="5">
        <v>400000</v>
      </c>
      <c r="AB465" s="5">
        <f t="shared" si="64"/>
        <v>13000000</v>
      </c>
      <c r="AC465" s="5" t="s">
        <v>395</v>
      </c>
      <c r="AD465" s="4" t="s">
        <v>51</v>
      </c>
      <c r="AE465" s="5">
        <f t="shared" si="65"/>
        <v>0.92307692307692313</v>
      </c>
      <c r="AF465" s="5">
        <v>6500000</v>
      </c>
      <c r="AG465" s="5">
        <v>1</v>
      </c>
      <c r="AH465" s="5">
        <v>1</v>
      </c>
      <c r="AI465" s="5">
        <v>1</v>
      </c>
      <c r="AJ465" s="7" t="s">
        <v>2113</v>
      </c>
      <c r="AK465" s="5">
        <v>0</v>
      </c>
      <c r="AL465" s="5">
        <v>0</v>
      </c>
      <c r="AM465" s="4">
        <v>2018</v>
      </c>
      <c r="AN465" s="5">
        <v>0</v>
      </c>
      <c r="AO465" s="5">
        <v>2</v>
      </c>
      <c r="AP465" s="8"/>
      <c r="AQ465" s="8"/>
      <c r="AR465" s="8">
        <f t="shared" si="66"/>
        <v>0</v>
      </c>
      <c r="AS465" s="8">
        <f t="shared" si="67"/>
        <v>1000000</v>
      </c>
      <c r="AT465" s="8">
        <f t="shared" si="68"/>
        <v>9620000</v>
      </c>
      <c r="AU465" s="8">
        <f t="shared" si="69"/>
        <v>3380000</v>
      </c>
      <c r="AV465" s="4" t="s">
        <v>2112</v>
      </c>
      <c r="AW465" s="7" t="s">
        <v>2113</v>
      </c>
      <c r="AX465" s="5">
        <v>12000000</v>
      </c>
      <c r="AY465">
        <f t="shared" si="70"/>
        <v>0</v>
      </c>
      <c r="AZ465">
        <f t="shared" si="71"/>
        <v>3380000</v>
      </c>
      <c r="BA465" s="5">
        <v>25000000</v>
      </c>
      <c r="BB465" s="5">
        <v>0</v>
      </c>
      <c r="BC465" s="4" t="s">
        <v>49</v>
      </c>
      <c r="BD465" s="4">
        <v>47112</v>
      </c>
      <c r="BE465" t="s">
        <v>54</v>
      </c>
    </row>
    <row r="466" spans="1:57" ht="270.75" thickBot="1" x14ac:dyDescent="0.3">
      <c r="A466" s="4" t="s">
        <v>2114</v>
      </c>
      <c r="B466" s="4">
        <v>3003</v>
      </c>
      <c r="C466" s="5">
        <v>2</v>
      </c>
      <c r="D466" s="4" t="s">
        <v>44</v>
      </c>
      <c r="E466" s="6">
        <v>46267.920011099537</v>
      </c>
      <c r="F466" s="4" t="s">
        <v>2115</v>
      </c>
      <c r="G466" s="4" t="s">
        <v>46</v>
      </c>
      <c r="H466" s="4">
        <v>53</v>
      </c>
      <c r="I466" s="4" t="s">
        <v>47</v>
      </c>
      <c r="J466" s="4">
        <v>5309</v>
      </c>
      <c r="K466" s="4" t="s">
        <v>48</v>
      </c>
      <c r="L466" s="4">
        <v>5309072</v>
      </c>
      <c r="M466" s="4">
        <v>5309072001</v>
      </c>
      <c r="N466" s="4" t="s">
        <v>49</v>
      </c>
      <c r="O466" s="4">
        <v>47112</v>
      </c>
      <c r="P466" s="4" t="s">
        <v>2116</v>
      </c>
      <c r="Q466" s="5">
        <v>1</v>
      </c>
      <c r="R466" s="5">
        <v>0</v>
      </c>
      <c r="S466" s="5">
        <v>0</v>
      </c>
      <c r="T466" s="5">
        <v>2500000</v>
      </c>
      <c r="U466" s="5">
        <v>150000</v>
      </c>
      <c r="V466" s="5">
        <v>0</v>
      </c>
      <c r="W466" s="5">
        <v>2650000</v>
      </c>
      <c r="X466" s="5">
        <v>4500000</v>
      </c>
      <c r="Y466" s="5">
        <v>0</v>
      </c>
      <c r="Z466" s="5">
        <f t="shared" si="63"/>
        <v>1850000</v>
      </c>
      <c r="AA466" s="5">
        <v>15000000</v>
      </c>
      <c r="AB466" s="5">
        <f t="shared" si="64"/>
        <v>2000000</v>
      </c>
      <c r="AC466" s="5" t="s">
        <v>117</v>
      </c>
      <c r="AD466" s="4" t="s">
        <v>51</v>
      </c>
      <c r="AE466" s="5">
        <f t="shared" si="65"/>
        <v>0.92500000000000004</v>
      </c>
      <c r="AF466" s="5">
        <v>2000000</v>
      </c>
      <c r="AG466" s="5">
        <v>1</v>
      </c>
      <c r="AH466" s="5">
        <v>1</v>
      </c>
      <c r="AI466" s="5">
        <v>1</v>
      </c>
      <c r="AJ466" s="7" t="s">
        <v>2117</v>
      </c>
      <c r="AK466" s="5">
        <v>0</v>
      </c>
      <c r="AL466" s="5">
        <v>0</v>
      </c>
      <c r="AM466" s="4">
        <v>2012</v>
      </c>
      <c r="AN466" s="5">
        <v>0</v>
      </c>
      <c r="AO466" s="5">
        <v>1</v>
      </c>
      <c r="AP466" s="8"/>
      <c r="AQ466" s="8"/>
      <c r="AR466" s="8">
        <f t="shared" si="66"/>
        <v>0</v>
      </c>
      <c r="AS466" s="8">
        <f t="shared" si="67"/>
        <v>150000</v>
      </c>
      <c r="AT466" s="8">
        <f t="shared" si="68"/>
        <v>1480000</v>
      </c>
      <c r="AU466" s="8">
        <f t="shared" si="69"/>
        <v>520000</v>
      </c>
      <c r="AV466" s="4" t="s">
        <v>2116</v>
      </c>
      <c r="AW466" s="7" t="s">
        <v>2117</v>
      </c>
      <c r="AX466" s="5">
        <v>2500000</v>
      </c>
      <c r="AY466">
        <f t="shared" si="70"/>
        <v>0</v>
      </c>
      <c r="AZ466">
        <f t="shared" si="71"/>
        <v>520000</v>
      </c>
      <c r="BA466" s="5">
        <v>4500000</v>
      </c>
      <c r="BB466" s="5">
        <v>0</v>
      </c>
      <c r="BC466" s="4" t="s">
        <v>49</v>
      </c>
      <c r="BD466" s="4">
        <v>47112</v>
      </c>
      <c r="BE466" t="s">
        <v>54</v>
      </c>
    </row>
    <row r="467" spans="1:57" ht="270.75" thickBot="1" x14ac:dyDescent="0.3">
      <c r="A467" s="4" t="s">
        <v>2118</v>
      </c>
      <c r="B467" s="4">
        <v>1001</v>
      </c>
      <c r="C467" s="5">
        <v>2</v>
      </c>
      <c r="D467" s="4" t="s">
        <v>44</v>
      </c>
      <c r="E467" s="6">
        <v>46249.492005358799</v>
      </c>
      <c r="F467" s="4" t="s">
        <v>2119</v>
      </c>
      <c r="G467" s="4" t="s">
        <v>46</v>
      </c>
      <c r="H467" s="4">
        <v>53</v>
      </c>
      <c r="I467" s="4" t="s">
        <v>47</v>
      </c>
      <c r="J467" s="4">
        <v>5309</v>
      </c>
      <c r="K467" s="4" t="s">
        <v>48</v>
      </c>
      <c r="L467" s="4">
        <v>5309020</v>
      </c>
      <c r="M467" s="4">
        <v>5309020015</v>
      </c>
      <c r="N467" s="4" t="s">
        <v>49</v>
      </c>
      <c r="O467" s="4">
        <v>47112</v>
      </c>
      <c r="P467" s="4" t="s">
        <v>2120</v>
      </c>
      <c r="Q467" s="5">
        <v>3</v>
      </c>
      <c r="R467" s="5">
        <v>1000000</v>
      </c>
      <c r="S467" s="5">
        <v>5000000</v>
      </c>
      <c r="T467" s="5">
        <v>5000000</v>
      </c>
      <c r="U467" s="5">
        <v>2000000</v>
      </c>
      <c r="V467" s="5">
        <v>10000</v>
      </c>
      <c r="W467" s="5">
        <v>13010000</v>
      </c>
      <c r="X467" s="5">
        <v>15000000</v>
      </c>
      <c r="Y467" s="5">
        <v>0</v>
      </c>
      <c r="Z467" s="5">
        <f t="shared" si="63"/>
        <v>3000000</v>
      </c>
      <c r="AA467" s="5">
        <v>60000000</v>
      </c>
      <c r="AB467" s="5">
        <f t="shared" si="64"/>
        <v>10000000</v>
      </c>
      <c r="AC467" s="5" t="s">
        <v>172</v>
      </c>
      <c r="AD467" s="4" t="s">
        <v>51</v>
      </c>
      <c r="AE467" s="5">
        <f t="shared" si="65"/>
        <v>0.3</v>
      </c>
      <c r="AF467" s="10">
        <v>3333333333</v>
      </c>
      <c r="AG467" s="5">
        <v>1</v>
      </c>
      <c r="AH467" s="5">
        <v>1</v>
      </c>
      <c r="AI467" s="5">
        <v>1</v>
      </c>
      <c r="AJ467" s="7" t="s">
        <v>2121</v>
      </c>
      <c r="AK467" s="5">
        <v>0</v>
      </c>
      <c r="AL467" s="5">
        <v>0</v>
      </c>
      <c r="AM467" s="4">
        <v>2015</v>
      </c>
      <c r="AN467" s="5">
        <v>1</v>
      </c>
      <c r="AO467" s="5">
        <v>2</v>
      </c>
      <c r="AP467" s="8"/>
      <c r="AQ467" s="8"/>
      <c r="AR467" s="8">
        <f t="shared" si="66"/>
        <v>0</v>
      </c>
      <c r="AS467" s="8">
        <f t="shared" si="67"/>
        <v>7000000</v>
      </c>
      <c r="AT467" s="8">
        <f t="shared" si="68"/>
        <v>3000000</v>
      </c>
      <c r="AU467" s="8">
        <f t="shared" si="69"/>
        <v>7000000</v>
      </c>
      <c r="AV467" s="4" t="s">
        <v>2120</v>
      </c>
      <c r="AW467" s="7" t="s">
        <v>2121</v>
      </c>
      <c r="AX467" s="5">
        <v>5000000</v>
      </c>
      <c r="AY467">
        <f t="shared" si="70"/>
        <v>5000000</v>
      </c>
      <c r="AZ467">
        <f t="shared" si="71"/>
        <v>2000000</v>
      </c>
      <c r="BA467" s="5">
        <v>15000000</v>
      </c>
      <c r="BB467" s="5">
        <v>0</v>
      </c>
      <c r="BC467" s="4" t="s">
        <v>49</v>
      </c>
      <c r="BD467" s="4">
        <v>47112</v>
      </c>
      <c r="BE467" t="s">
        <v>54</v>
      </c>
    </row>
    <row r="468" spans="1:57" ht="255.75" thickBot="1" x14ac:dyDescent="0.3">
      <c r="A468" s="4" t="s">
        <v>2122</v>
      </c>
      <c r="B468" s="4">
        <v>2001</v>
      </c>
      <c r="C468" s="5">
        <v>2</v>
      </c>
      <c r="D468" s="4" t="s">
        <v>44</v>
      </c>
      <c r="E468" s="6">
        <v>46275.29359105324</v>
      </c>
      <c r="F468" s="4" t="s">
        <v>2123</v>
      </c>
      <c r="G468" s="4" t="s">
        <v>46</v>
      </c>
      <c r="H468" s="4">
        <v>53</v>
      </c>
      <c r="I468" s="4" t="s">
        <v>47</v>
      </c>
      <c r="J468" s="4">
        <v>5309</v>
      </c>
      <c r="K468" s="4" t="s">
        <v>48</v>
      </c>
      <c r="L468" s="4">
        <v>5309070</v>
      </c>
      <c r="M468" s="4">
        <v>5309070007</v>
      </c>
      <c r="N468" s="4" t="s">
        <v>49</v>
      </c>
      <c r="O468" s="4">
        <v>47112</v>
      </c>
      <c r="P468" s="4" t="s">
        <v>2124</v>
      </c>
      <c r="Q468" s="5">
        <v>1</v>
      </c>
      <c r="R468" s="5">
        <v>0</v>
      </c>
      <c r="S468" s="5">
        <v>200000</v>
      </c>
      <c r="T468" s="5">
        <v>48000000</v>
      </c>
      <c r="U468" s="5">
        <v>800000</v>
      </c>
      <c r="V468" s="5">
        <v>0</v>
      </c>
      <c r="W468" s="5">
        <v>49000000</v>
      </c>
      <c r="X468" s="5">
        <v>84000000</v>
      </c>
      <c r="Y468" s="5">
        <v>0</v>
      </c>
      <c r="Z468" s="5">
        <f t="shared" si="63"/>
        <v>35000000</v>
      </c>
      <c r="AA468" s="5">
        <v>5500000</v>
      </c>
      <c r="AB468" s="5">
        <f t="shared" si="64"/>
        <v>36000000</v>
      </c>
      <c r="AC468" s="5" t="s">
        <v>144</v>
      </c>
      <c r="AD468" s="4" t="s">
        <v>51</v>
      </c>
      <c r="AE468" s="5">
        <f t="shared" si="65"/>
        <v>0.97222222222222221</v>
      </c>
      <c r="AF468" s="5">
        <v>36000000</v>
      </c>
      <c r="AG468" s="5">
        <v>1</v>
      </c>
      <c r="AH468" s="5">
        <v>1</v>
      </c>
      <c r="AI468" s="5">
        <v>1</v>
      </c>
      <c r="AJ468" s="7" t="s">
        <v>2125</v>
      </c>
      <c r="AK468" s="5">
        <v>0</v>
      </c>
      <c r="AL468" s="5">
        <v>0</v>
      </c>
      <c r="AM468" s="4">
        <v>2018</v>
      </c>
      <c r="AN468" s="5">
        <v>0</v>
      </c>
      <c r="AO468" s="5">
        <v>1</v>
      </c>
      <c r="AP468" s="8"/>
      <c r="AQ468" s="8"/>
      <c r="AR468" s="8">
        <f t="shared" si="66"/>
        <v>0</v>
      </c>
      <c r="AS468" s="8">
        <f t="shared" si="67"/>
        <v>1000000</v>
      </c>
      <c r="AT468" s="8">
        <f t="shared" si="68"/>
        <v>26640000</v>
      </c>
      <c r="AU468" s="8">
        <f t="shared" si="69"/>
        <v>9360000</v>
      </c>
      <c r="AV468" s="4" t="s">
        <v>2124</v>
      </c>
      <c r="AW468" s="7" t="s">
        <v>2125</v>
      </c>
      <c r="AX468" s="5">
        <v>48000000</v>
      </c>
      <c r="AY468">
        <f t="shared" si="70"/>
        <v>1872000</v>
      </c>
      <c r="AZ468">
        <f t="shared" si="71"/>
        <v>7488000</v>
      </c>
      <c r="BA468" s="5">
        <v>84000000</v>
      </c>
      <c r="BB468" s="5">
        <v>0</v>
      </c>
      <c r="BC468" s="4" t="s">
        <v>49</v>
      </c>
      <c r="BD468" s="4">
        <v>47112</v>
      </c>
      <c r="BE468" t="s">
        <v>54</v>
      </c>
    </row>
    <row r="469" spans="1:57" ht="270.75" thickBot="1" x14ac:dyDescent="0.3">
      <c r="A469" s="4" t="s">
        <v>2126</v>
      </c>
      <c r="B469" s="4">
        <v>1002</v>
      </c>
      <c r="C469" s="5">
        <v>2</v>
      </c>
      <c r="D469" s="4" t="s">
        <v>44</v>
      </c>
      <c r="E469" s="6">
        <v>46258.01532583333</v>
      </c>
      <c r="F469" s="4" t="s">
        <v>2127</v>
      </c>
      <c r="G469" s="4" t="s">
        <v>46</v>
      </c>
      <c r="H469" s="4">
        <v>53</v>
      </c>
      <c r="I469" s="4" t="s">
        <v>47</v>
      </c>
      <c r="J469" s="4">
        <v>5309</v>
      </c>
      <c r="K469" s="4" t="s">
        <v>48</v>
      </c>
      <c r="L469" s="4">
        <v>5309061</v>
      </c>
      <c r="M469" s="4">
        <v>5309061002</v>
      </c>
      <c r="N469" s="4" t="s">
        <v>49</v>
      </c>
      <c r="O469" s="4">
        <v>47112</v>
      </c>
      <c r="P469" s="4" t="s">
        <v>2128</v>
      </c>
      <c r="Q469" s="5">
        <v>2</v>
      </c>
      <c r="R469" s="5">
        <v>0</v>
      </c>
      <c r="S469" s="5">
        <v>0</v>
      </c>
      <c r="T469" s="5">
        <v>22000000</v>
      </c>
      <c r="U469" s="5">
        <v>500000</v>
      </c>
      <c r="V469" s="5">
        <v>0</v>
      </c>
      <c r="W469" s="5">
        <v>22500000</v>
      </c>
      <c r="X469" s="5">
        <v>34500000</v>
      </c>
      <c r="Y469" s="5">
        <v>0</v>
      </c>
      <c r="Z469" s="5">
        <f t="shared" si="63"/>
        <v>12000000</v>
      </c>
      <c r="AA469" s="5">
        <v>5000000</v>
      </c>
      <c r="AB469" s="5">
        <f t="shared" si="64"/>
        <v>12500000</v>
      </c>
      <c r="AC469" s="5" t="s">
        <v>2129</v>
      </c>
      <c r="AD469" s="4" t="s">
        <v>51</v>
      </c>
      <c r="AE469" s="5">
        <f t="shared" si="65"/>
        <v>0.96</v>
      </c>
      <c r="AF469" s="5">
        <v>6250000</v>
      </c>
      <c r="AG469" s="5">
        <v>1</v>
      </c>
      <c r="AH469" s="5">
        <v>1</v>
      </c>
      <c r="AI469" s="5">
        <v>1</v>
      </c>
      <c r="AJ469" s="7" t="s">
        <v>2130</v>
      </c>
      <c r="AK469" s="5">
        <v>0</v>
      </c>
      <c r="AL469" s="5">
        <v>0</v>
      </c>
      <c r="AM469" s="4">
        <v>2023</v>
      </c>
      <c r="AN469" s="5">
        <v>0</v>
      </c>
      <c r="AO469" s="5">
        <v>2</v>
      </c>
      <c r="AP469" s="8"/>
      <c r="AQ469" s="8"/>
      <c r="AR469" s="8">
        <f t="shared" si="66"/>
        <v>0</v>
      </c>
      <c r="AS469" s="8">
        <f t="shared" si="67"/>
        <v>500000</v>
      </c>
      <c r="AT469" s="8">
        <f t="shared" si="68"/>
        <v>9250000</v>
      </c>
      <c r="AU469" s="8">
        <f t="shared" si="69"/>
        <v>3250000</v>
      </c>
      <c r="AV469" s="4" t="s">
        <v>2128</v>
      </c>
      <c r="AW469" s="7" t="s">
        <v>2130</v>
      </c>
      <c r="AX469" s="5">
        <v>22000000</v>
      </c>
      <c r="AY469">
        <f t="shared" si="70"/>
        <v>0</v>
      </c>
      <c r="AZ469">
        <f t="shared" si="71"/>
        <v>3250000</v>
      </c>
      <c r="BA469" s="5">
        <v>34500000</v>
      </c>
      <c r="BB469" s="5">
        <v>0</v>
      </c>
      <c r="BC469" s="4" t="s">
        <v>49</v>
      </c>
      <c r="BD469" s="4">
        <v>47112</v>
      </c>
      <c r="BE469" t="s">
        <v>54</v>
      </c>
    </row>
    <row r="470" spans="1:57" ht="270.75" thickBot="1" x14ac:dyDescent="0.3">
      <c r="A470" s="4" t="s">
        <v>2131</v>
      </c>
      <c r="B470" s="4">
        <v>1002</v>
      </c>
      <c r="C470" s="5">
        <v>2</v>
      </c>
      <c r="D470" s="4" t="s">
        <v>44</v>
      </c>
      <c r="E470" s="6">
        <v>46293.073896875001</v>
      </c>
      <c r="F470" s="4" t="s">
        <v>2132</v>
      </c>
      <c r="G470" s="4" t="s">
        <v>46</v>
      </c>
      <c r="H470" s="4">
        <v>53</v>
      </c>
      <c r="I470" s="4" t="s">
        <v>47</v>
      </c>
      <c r="J470" s="4">
        <v>5309</v>
      </c>
      <c r="K470" s="4" t="s">
        <v>48</v>
      </c>
      <c r="L470" s="4">
        <v>5309030</v>
      </c>
      <c r="M470" s="4">
        <v>5309030014</v>
      </c>
      <c r="N470" s="4" t="s">
        <v>49</v>
      </c>
      <c r="O470" s="4">
        <v>47112</v>
      </c>
      <c r="P470" s="4" t="s">
        <v>2133</v>
      </c>
      <c r="Q470" s="5">
        <v>2</v>
      </c>
      <c r="R470" s="5">
        <v>0</v>
      </c>
      <c r="S470" s="5">
        <v>2000000</v>
      </c>
      <c r="T470" s="5">
        <v>1500000</v>
      </c>
      <c r="U470" s="5">
        <v>300000</v>
      </c>
      <c r="V470" s="5">
        <v>0</v>
      </c>
      <c r="W470" s="5">
        <v>3800000</v>
      </c>
      <c r="X470" s="5">
        <v>7000000</v>
      </c>
      <c r="Y470" s="5">
        <v>0</v>
      </c>
      <c r="Z470" s="5">
        <f t="shared" si="63"/>
        <v>3200000</v>
      </c>
      <c r="AA470" s="5">
        <v>0</v>
      </c>
      <c r="AB470" s="5">
        <f t="shared" si="64"/>
        <v>5500000</v>
      </c>
      <c r="AC470" s="5" t="s">
        <v>1525</v>
      </c>
      <c r="AD470" s="4" t="s">
        <v>51</v>
      </c>
      <c r="AE470" s="5">
        <f t="shared" si="65"/>
        <v>0.58181818181818179</v>
      </c>
      <c r="AF470" s="5">
        <v>2750000</v>
      </c>
      <c r="AG470" s="4"/>
      <c r="AH470" s="5">
        <v>1</v>
      </c>
      <c r="AI470" s="5">
        <v>1</v>
      </c>
      <c r="AJ470" s="7" t="s">
        <v>2134</v>
      </c>
      <c r="AK470" s="5">
        <v>0</v>
      </c>
      <c r="AL470" s="5">
        <v>0</v>
      </c>
      <c r="AM470" s="4">
        <v>2025</v>
      </c>
      <c r="AN470" s="5">
        <v>0</v>
      </c>
      <c r="AO470" s="5">
        <v>2</v>
      </c>
      <c r="AP470" s="8"/>
      <c r="AQ470" s="8"/>
      <c r="AR470" s="8">
        <f t="shared" si="66"/>
        <v>0</v>
      </c>
      <c r="AS470" s="8">
        <f t="shared" si="67"/>
        <v>2300000</v>
      </c>
      <c r="AT470" s="8">
        <f t="shared" si="68"/>
        <v>3200000</v>
      </c>
      <c r="AU470" s="8">
        <f t="shared" si="69"/>
        <v>2300000</v>
      </c>
      <c r="AV470" s="4" t="s">
        <v>2133</v>
      </c>
      <c r="AW470" s="7" t="s">
        <v>2134</v>
      </c>
      <c r="AX470" s="5">
        <v>1500000</v>
      </c>
      <c r="AY470">
        <f t="shared" si="70"/>
        <v>2000000</v>
      </c>
      <c r="AZ470">
        <f t="shared" si="71"/>
        <v>300000</v>
      </c>
      <c r="BA470" s="5">
        <v>7000000</v>
      </c>
      <c r="BB470" s="5">
        <v>0</v>
      </c>
      <c r="BC470" s="4" t="s">
        <v>49</v>
      </c>
      <c r="BD470" s="4">
        <v>47112</v>
      </c>
      <c r="BE470" t="s">
        <v>54</v>
      </c>
    </row>
    <row r="471" spans="1:57" ht="270.75" thickBot="1" x14ac:dyDescent="0.3">
      <c r="A471" s="4" t="s">
        <v>133</v>
      </c>
      <c r="B471" s="4">
        <v>3003</v>
      </c>
      <c r="C471" s="5">
        <v>2</v>
      </c>
      <c r="D471" s="4" t="s">
        <v>44</v>
      </c>
      <c r="E471" s="6">
        <v>46277.092280335652</v>
      </c>
      <c r="F471" s="4" t="s">
        <v>134</v>
      </c>
      <c r="G471" s="4" t="s">
        <v>46</v>
      </c>
      <c r="H471" s="4">
        <v>53</v>
      </c>
      <c r="I471" s="4" t="s">
        <v>47</v>
      </c>
      <c r="J471" s="4">
        <v>5309</v>
      </c>
      <c r="K471" s="4" t="s">
        <v>48</v>
      </c>
      <c r="L471" s="4">
        <v>5309071</v>
      </c>
      <c r="M471" s="4">
        <v>5309071008</v>
      </c>
      <c r="N471" s="4" t="s">
        <v>49</v>
      </c>
      <c r="O471" s="4">
        <v>47112</v>
      </c>
      <c r="P471" s="4" t="s">
        <v>2135</v>
      </c>
      <c r="Q471" s="5">
        <v>5</v>
      </c>
      <c r="R471" s="5">
        <v>0</v>
      </c>
      <c r="S471" s="5">
        <v>200000</v>
      </c>
      <c r="T471" s="5">
        <v>18000000</v>
      </c>
      <c r="U471" s="5">
        <v>0</v>
      </c>
      <c r="V471" s="5">
        <v>0</v>
      </c>
      <c r="W471" s="5">
        <v>18200000</v>
      </c>
      <c r="X471" s="5">
        <v>21000000</v>
      </c>
      <c r="Y471" s="5">
        <v>0</v>
      </c>
      <c r="Z471" s="5">
        <f t="shared" si="63"/>
        <v>2800000</v>
      </c>
      <c r="AA471" s="5">
        <v>20000000</v>
      </c>
      <c r="AB471" s="5">
        <f t="shared" si="64"/>
        <v>3000000</v>
      </c>
      <c r="AC471" s="5" t="s">
        <v>1826</v>
      </c>
      <c r="AD471" s="4" t="s">
        <v>51</v>
      </c>
      <c r="AE471" s="5">
        <f t="shared" si="65"/>
        <v>0.93333333333333335</v>
      </c>
      <c r="AF471" s="5">
        <v>600000</v>
      </c>
      <c r="AG471" s="5">
        <v>1</v>
      </c>
      <c r="AH471" s="5">
        <v>1</v>
      </c>
      <c r="AI471" s="5">
        <v>1</v>
      </c>
      <c r="AJ471" s="7" t="s">
        <v>136</v>
      </c>
      <c r="AK471" s="5">
        <v>0</v>
      </c>
      <c r="AL471" s="5">
        <v>0</v>
      </c>
      <c r="AM471" s="4">
        <v>2016</v>
      </c>
      <c r="AN471" s="5">
        <v>0</v>
      </c>
      <c r="AO471" s="5">
        <v>5</v>
      </c>
      <c r="AP471" s="8"/>
      <c r="AQ471" s="8"/>
      <c r="AR471" s="8">
        <f t="shared" si="66"/>
        <v>0</v>
      </c>
      <c r="AS471" s="8">
        <f t="shared" si="67"/>
        <v>200000</v>
      </c>
      <c r="AT471" s="8">
        <f t="shared" si="68"/>
        <v>2220000</v>
      </c>
      <c r="AU471" s="8">
        <f t="shared" si="69"/>
        <v>780000</v>
      </c>
      <c r="AV471" s="4" t="s">
        <v>2135</v>
      </c>
      <c r="AW471" s="7" t="s">
        <v>136</v>
      </c>
      <c r="AX471" s="5">
        <v>18000000</v>
      </c>
      <c r="AY471">
        <f t="shared" si="70"/>
        <v>780000</v>
      </c>
      <c r="AZ471">
        <f t="shared" si="71"/>
        <v>0</v>
      </c>
      <c r="BA471" s="5">
        <v>21000000</v>
      </c>
      <c r="BB471" s="5">
        <v>0</v>
      </c>
      <c r="BC471" s="4" t="s">
        <v>49</v>
      </c>
      <c r="BD471" s="4">
        <v>47112</v>
      </c>
      <c r="BE471" t="s">
        <v>54</v>
      </c>
    </row>
    <row r="472" spans="1:57" ht="270.75" thickBot="1" x14ac:dyDescent="0.3">
      <c r="A472" s="4" t="s">
        <v>2136</v>
      </c>
      <c r="B472" s="4">
        <v>2001</v>
      </c>
      <c r="C472" s="5">
        <v>2</v>
      </c>
      <c r="D472" s="4" t="s">
        <v>44</v>
      </c>
      <c r="E472" s="6">
        <v>46242.17590934028</v>
      </c>
      <c r="F472" s="4" t="s">
        <v>2137</v>
      </c>
      <c r="G472" s="4" t="s">
        <v>46</v>
      </c>
      <c r="H472" s="4">
        <v>53</v>
      </c>
      <c r="I472" s="4" t="s">
        <v>47</v>
      </c>
      <c r="J472" s="4">
        <v>5309</v>
      </c>
      <c r="K472" s="4" t="s">
        <v>48</v>
      </c>
      <c r="L472" s="4">
        <v>5309010</v>
      </c>
      <c r="M472" s="4">
        <v>5309010004</v>
      </c>
      <c r="N472" s="4" t="s">
        <v>49</v>
      </c>
      <c r="O472" s="4">
        <v>47112</v>
      </c>
      <c r="P472" s="4" t="s">
        <v>2138</v>
      </c>
      <c r="Q472" s="5">
        <v>1</v>
      </c>
      <c r="R472" s="5">
        <v>0</v>
      </c>
      <c r="S472" s="5">
        <v>0</v>
      </c>
      <c r="T472" s="5">
        <v>12000000</v>
      </c>
      <c r="U472" s="5">
        <v>520000</v>
      </c>
      <c r="V472" s="5">
        <v>0</v>
      </c>
      <c r="W472" s="5">
        <v>12520000</v>
      </c>
      <c r="X472" s="5">
        <v>16000000</v>
      </c>
      <c r="Y472" s="5">
        <v>0</v>
      </c>
      <c r="Z472" s="5">
        <f t="shared" si="63"/>
        <v>3480000</v>
      </c>
      <c r="AA472" s="5">
        <v>50000000</v>
      </c>
      <c r="AB472" s="5">
        <f t="shared" si="64"/>
        <v>4000000</v>
      </c>
      <c r="AC472" s="5" t="s">
        <v>255</v>
      </c>
      <c r="AD472" s="4" t="s">
        <v>51</v>
      </c>
      <c r="AE472" s="5">
        <f t="shared" si="65"/>
        <v>0.87</v>
      </c>
      <c r="AF472" s="5">
        <v>4000000</v>
      </c>
      <c r="AG472" s="5">
        <v>1</v>
      </c>
      <c r="AH472" s="5">
        <v>1</v>
      </c>
      <c r="AI472" s="5">
        <v>1</v>
      </c>
      <c r="AJ472" s="7" t="s">
        <v>2139</v>
      </c>
      <c r="AK472" s="5">
        <v>0</v>
      </c>
      <c r="AL472" s="5">
        <v>0</v>
      </c>
      <c r="AM472" s="4">
        <v>2024</v>
      </c>
      <c r="AN472" s="5">
        <v>0</v>
      </c>
      <c r="AO472" s="5">
        <v>1</v>
      </c>
      <c r="AP472" s="8"/>
      <c r="AQ472" s="8"/>
      <c r="AR472" s="8">
        <f t="shared" si="66"/>
        <v>0</v>
      </c>
      <c r="AS472" s="8">
        <f t="shared" si="67"/>
        <v>520000</v>
      </c>
      <c r="AT472" s="8">
        <f t="shared" si="68"/>
        <v>2960000</v>
      </c>
      <c r="AU472" s="8">
        <f t="shared" si="69"/>
        <v>1040000</v>
      </c>
      <c r="AV472" s="4" t="s">
        <v>2138</v>
      </c>
      <c r="AW472" s="7" t="s">
        <v>2139</v>
      </c>
      <c r="AX472" s="5">
        <v>12000000</v>
      </c>
      <c r="AY472">
        <f t="shared" si="70"/>
        <v>0</v>
      </c>
      <c r="AZ472">
        <f t="shared" si="71"/>
        <v>1040000</v>
      </c>
      <c r="BA472" s="5">
        <v>16000000</v>
      </c>
      <c r="BB472" s="5">
        <v>0</v>
      </c>
      <c r="BC472" s="4" t="s">
        <v>49</v>
      </c>
      <c r="BD472" s="4">
        <v>47112</v>
      </c>
      <c r="BE472" t="s">
        <v>54</v>
      </c>
    </row>
    <row r="473" spans="1:57" ht="270.75" thickBot="1" x14ac:dyDescent="0.3">
      <c r="A473" s="4" t="s">
        <v>2140</v>
      </c>
      <c r="B473" s="4">
        <v>1001</v>
      </c>
      <c r="C473" s="5">
        <v>2</v>
      </c>
      <c r="D473" s="4" t="s">
        <v>44</v>
      </c>
      <c r="E473" s="6">
        <v>46269.37298615741</v>
      </c>
      <c r="F473" s="4" t="s">
        <v>2141</v>
      </c>
      <c r="G473" s="4" t="s">
        <v>46</v>
      </c>
      <c r="H473" s="4">
        <v>53</v>
      </c>
      <c r="I473" s="4" t="s">
        <v>47</v>
      </c>
      <c r="J473" s="4">
        <v>5309</v>
      </c>
      <c r="K473" s="4" t="s">
        <v>48</v>
      </c>
      <c r="L473" s="4">
        <v>5309070</v>
      </c>
      <c r="M473" s="4">
        <v>5309070007</v>
      </c>
      <c r="N473" s="4" t="s">
        <v>49</v>
      </c>
      <c r="O473" s="4">
        <v>47112</v>
      </c>
      <c r="P473" s="4" t="s">
        <v>2142</v>
      </c>
      <c r="Q473" s="5">
        <v>3</v>
      </c>
      <c r="R473" s="5">
        <v>8400000</v>
      </c>
      <c r="S473" s="5">
        <v>1200000</v>
      </c>
      <c r="T473" s="5">
        <v>360000000</v>
      </c>
      <c r="U473" s="5">
        <v>6000000</v>
      </c>
      <c r="V473" s="5">
        <v>0</v>
      </c>
      <c r="W473" s="5">
        <v>375600000</v>
      </c>
      <c r="X473" s="5">
        <v>435600000</v>
      </c>
      <c r="Y473" s="5">
        <v>0</v>
      </c>
      <c r="Z473" s="5">
        <f t="shared" si="63"/>
        <v>68400000</v>
      </c>
      <c r="AA473" s="5">
        <v>230000000</v>
      </c>
      <c r="AB473" s="5">
        <f t="shared" si="64"/>
        <v>75600000</v>
      </c>
      <c r="AC473" s="5" t="s">
        <v>2143</v>
      </c>
      <c r="AD473" s="4" t="s">
        <v>51</v>
      </c>
      <c r="AE473" s="5">
        <f t="shared" si="65"/>
        <v>0.90476190476190477</v>
      </c>
      <c r="AF473" s="5">
        <v>25200000</v>
      </c>
      <c r="AG473" s="5">
        <v>0</v>
      </c>
      <c r="AH473" s="5">
        <v>1</v>
      </c>
      <c r="AI473" s="5">
        <v>1</v>
      </c>
      <c r="AJ473" s="7" t="s">
        <v>2144</v>
      </c>
      <c r="AK473" s="5">
        <v>0</v>
      </c>
      <c r="AL473" s="5">
        <v>0</v>
      </c>
      <c r="AM473" s="4">
        <v>1990</v>
      </c>
      <c r="AN473" s="5">
        <v>1</v>
      </c>
      <c r="AO473" s="5">
        <v>2</v>
      </c>
      <c r="AP473" s="8"/>
      <c r="AQ473" s="8"/>
      <c r="AR473" s="8">
        <f t="shared" si="66"/>
        <v>0</v>
      </c>
      <c r="AS473" s="8">
        <f t="shared" si="67"/>
        <v>7200000</v>
      </c>
      <c r="AT473" s="8">
        <f t="shared" si="68"/>
        <v>55944000</v>
      </c>
      <c r="AU473" s="8">
        <f t="shared" si="69"/>
        <v>19656000</v>
      </c>
      <c r="AV473" s="4" t="s">
        <v>2142</v>
      </c>
      <c r="AW473" s="7" t="s">
        <v>2144</v>
      </c>
      <c r="AX473" s="5">
        <v>360000000</v>
      </c>
      <c r="AY473">
        <f t="shared" si="70"/>
        <v>3276000</v>
      </c>
      <c r="AZ473">
        <f t="shared" si="71"/>
        <v>16380000</v>
      </c>
      <c r="BA473" s="5">
        <v>435600000</v>
      </c>
      <c r="BB473" s="5">
        <v>0</v>
      </c>
      <c r="BC473" s="4" t="s">
        <v>49</v>
      </c>
      <c r="BD473" s="4">
        <v>47112</v>
      </c>
      <c r="BE473" t="s">
        <v>54</v>
      </c>
    </row>
    <row r="474" spans="1:57" ht="270.75" thickBot="1" x14ac:dyDescent="0.3">
      <c r="A474" s="4" t="s">
        <v>2145</v>
      </c>
      <c r="B474" s="4">
        <v>1001</v>
      </c>
      <c r="C474" s="5">
        <v>2</v>
      </c>
      <c r="D474" s="4" t="s">
        <v>44</v>
      </c>
      <c r="E474" s="6">
        <v>46219.139367766205</v>
      </c>
      <c r="F474" s="4" t="s">
        <v>2146</v>
      </c>
      <c r="G474" s="4" t="s">
        <v>46</v>
      </c>
      <c r="H474" s="4">
        <v>53</v>
      </c>
      <c r="I474" s="4" t="s">
        <v>47</v>
      </c>
      <c r="J474" s="4">
        <v>5309</v>
      </c>
      <c r="K474" s="4" t="s">
        <v>48</v>
      </c>
      <c r="L474" s="4">
        <v>5309041</v>
      </c>
      <c r="M474" s="4">
        <v>5309041001</v>
      </c>
      <c r="N474" s="4" t="s">
        <v>49</v>
      </c>
      <c r="O474" s="4">
        <v>47112</v>
      </c>
      <c r="P474" s="4" t="s">
        <v>2147</v>
      </c>
      <c r="Q474" s="5">
        <v>2</v>
      </c>
      <c r="R474" s="5">
        <v>0</v>
      </c>
      <c r="S474" s="5">
        <v>50000</v>
      </c>
      <c r="T474" s="5">
        <v>17000000</v>
      </c>
      <c r="U474" s="5">
        <v>5000000</v>
      </c>
      <c r="V474" s="5">
        <v>200000</v>
      </c>
      <c r="W474" s="5">
        <v>22250000</v>
      </c>
      <c r="X474" s="5">
        <v>24500000</v>
      </c>
      <c r="Y474" s="5">
        <v>0</v>
      </c>
      <c r="Z474" s="5">
        <f t="shared" si="63"/>
        <v>2450000</v>
      </c>
      <c r="AA474" s="5">
        <v>73000000</v>
      </c>
      <c r="AB474" s="5">
        <f t="shared" si="64"/>
        <v>7500000</v>
      </c>
      <c r="AC474" s="5" t="s">
        <v>2148</v>
      </c>
      <c r="AD474" s="4" t="s">
        <v>51</v>
      </c>
      <c r="AE474" s="5">
        <f t="shared" si="65"/>
        <v>0.32666666666666666</v>
      </c>
      <c r="AF474" s="5">
        <v>3750000</v>
      </c>
      <c r="AG474" s="5">
        <v>1</v>
      </c>
      <c r="AH474" s="5">
        <v>1</v>
      </c>
      <c r="AI474" s="5">
        <v>1</v>
      </c>
      <c r="AJ474" s="7" t="s">
        <v>2149</v>
      </c>
      <c r="AK474" s="5">
        <v>0</v>
      </c>
      <c r="AL474" s="5">
        <v>0</v>
      </c>
      <c r="AM474" s="4">
        <v>2024</v>
      </c>
      <c r="AN474" s="5">
        <v>0</v>
      </c>
      <c r="AO474" s="5">
        <v>2</v>
      </c>
      <c r="AP474" s="8"/>
      <c r="AQ474" s="8"/>
      <c r="AR474" s="8">
        <f t="shared" si="66"/>
        <v>0</v>
      </c>
      <c r="AS474" s="8">
        <f t="shared" si="67"/>
        <v>5050000</v>
      </c>
      <c r="AT474" s="8">
        <f t="shared" si="68"/>
        <v>2450000</v>
      </c>
      <c r="AU474" s="8">
        <f t="shared" si="69"/>
        <v>5050000</v>
      </c>
      <c r="AV474" s="4" t="s">
        <v>2147</v>
      </c>
      <c r="AW474" s="7" t="s">
        <v>2149</v>
      </c>
      <c r="AX474" s="5">
        <v>17000000</v>
      </c>
      <c r="AY474">
        <f t="shared" si="70"/>
        <v>50000</v>
      </c>
      <c r="AZ474">
        <f t="shared" si="71"/>
        <v>5000000</v>
      </c>
      <c r="BA474" s="5">
        <v>24500000</v>
      </c>
      <c r="BB474" s="5">
        <v>0</v>
      </c>
      <c r="BC474" s="4" t="s">
        <v>49</v>
      </c>
      <c r="BD474" s="4">
        <v>47112</v>
      </c>
      <c r="BE474" t="s">
        <v>54</v>
      </c>
    </row>
    <row r="475" spans="1:57" ht="270.75" thickBot="1" x14ac:dyDescent="0.3">
      <c r="A475" s="4" t="s">
        <v>2150</v>
      </c>
      <c r="B475" s="4">
        <v>1004</v>
      </c>
      <c r="C475" s="5">
        <v>2</v>
      </c>
      <c r="D475" s="4" t="s">
        <v>44</v>
      </c>
      <c r="E475" s="6">
        <v>46243.162895729169</v>
      </c>
      <c r="F475" s="4" t="s">
        <v>2151</v>
      </c>
      <c r="G475" s="4" t="s">
        <v>46</v>
      </c>
      <c r="H475" s="4">
        <v>53</v>
      </c>
      <c r="I475" s="4" t="s">
        <v>47</v>
      </c>
      <c r="J475" s="4">
        <v>5309</v>
      </c>
      <c r="K475" s="4" t="s">
        <v>48</v>
      </c>
      <c r="L475" s="4">
        <v>5309020</v>
      </c>
      <c r="M475" s="4">
        <v>5309020012</v>
      </c>
      <c r="N475" s="4" t="s">
        <v>49</v>
      </c>
      <c r="O475" s="4">
        <v>47112</v>
      </c>
      <c r="P475" s="4" t="s">
        <v>2152</v>
      </c>
      <c r="Q475" s="5">
        <v>1</v>
      </c>
      <c r="R475" s="5">
        <v>0</v>
      </c>
      <c r="S475" s="5">
        <v>0</v>
      </c>
      <c r="T475" s="5">
        <v>8700000</v>
      </c>
      <c r="U475" s="5">
        <v>285000</v>
      </c>
      <c r="V475" s="5">
        <v>5000</v>
      </c>
      <c r="W475" s="5">
        <v>8990000</v>
      </c>
      <c r="X475" s="5">
        <v>19765000</v>
      </c>
      <c r="Y475" s="5">
        <v>0</v>
      </c>
      <c r="Z475" s="5">
        <f t="shared" si="63"/>
        <v>10780000</v>
      </c>
      <c r="AA475" s="5">
        <v>18800000</v>
      </c>
      <c r="AB475" s="5">
        <f t="shared" si="64"/>
        <v>11065000</v>
      </c>
      <c r="AC475" s="5" t="s">
        <v>2153</v>
      </c>
      <c r="AD475" s="4" t="s">
        <v>51</v>
      </c>
      <c r="AE475" s="5">
        <f t="shared" si="65"/>
        <v>0.9742431089019431</v>
      </c>
      <c r="AF475" s="5">
        <v>11065000</v>
      </c>
      <c r="AG475" s="5">
        <v>1</v>
      </c>
      <c r="AH475" s="5">
        <v>1</v>
      </c>
      <c r="AI475" s="5">
        <v>1</v>
      </c>
      <c r="AJ475" s="7" t="s">
        <v>2154</v>
      </c>
      <c r="AK475" s="5">
        <v>0</v>
      </c>
      <c r="AL475" s="5">
        <v>0</v>
      </c>
      <c r="AM475" s="4">
        <v>2017</v>
      </c>
      <c r="AN475" s="5">
        <v>0</v>
      </c>
      <c r="AO475" s="5">
        <v>1</v>
      </c>
      <c r="AP475" s="8"/>
      <c r="AQ475" s="8"/>
      <c r="AR475" s="8">
        <f t="shared" si="66"/>
        <v>0</v>
      </c>
      <c r="AS475" s="8">
        <f t="shared" si="67"/>
        <v>285000</v>
      </c>
      <c r="AT475" s="8">
        <f t="shared" si="68"/>
        <v>8188100</v>
      </c>
      <c r="AU475" s="8">
        <f t="shared" si="69"/>
        <v>2876900</v>
      </c>
      <c r="AV475" s="4" t="s">
        <v>2152</v>
      </c>
      <c r="AW475" s="7" t="s">
        <v>2154</v>
      </c>
      <c r="AX475" s="5">
        <v>8700000</v>
      </c>
      <c r="AY475">
        <f t="shared" si="70"/>
        <v>0</v>
      </c>
      <c r="AZ475">
        <f t="shared" si="71"/>
        <v>2876900</v>
      </c>
      <c r="BA475" s="5">
        <v>19765000</v>
      </c>
      <c r="BB475" s="5">
        <v>0</v>
      </c>
      <c r="BC475" s="4" t="s">
        <v>49</v>
      </c>
      <c r="BD475" s="4">
        <v>47112</v>
      </c>
      <c r="BE475" t="s">
        <v>54</v>
      </c>
    </row>
    <row r="476" spans="1:57" ht="270.75" thickBot="1" x14ac:dyDescent="0.3">
      <c r="A476" s="4" t="s">
        <v>2155</v>
      </c>
      <c r="B476" s="4">
        <v>1002</v>
      </c>
      <c r="C476" s="5">
        <v>2</v>
      </c>
      <c r="D476" s="4" t="s">
        <v>60</v>
      </c>
      <c r="E476" s="6">
        <v>46280.52389822917</v>
      </c>
      <c r="F476" s="4" t="s">
        <v>2156</v>
      </c>
      <c r="G476" s="4" t="s">
        <v>46</v>
      </c>
      <c r="H476" s="4">
        <v>53</v>
      </c>
      <c r="I476" s="4" t="s">
        <v>47</v>
      </c>
      <c r="J476" s="4">
        <v>5309</v>
      </c>
      <c r="K476" s="4" t="s">
        <v>48</v>
      </c>
      <c r="L476" s="4">
        <v>5309072</v>
      </c>
      <c r="M476" s="4">
        <v>5309072007</v>
      </c>
      <c r="N476" s="4" t="s">
        <v>49</v>
      </c>
      <c r="O476" s="4">
        <v>47112</v>
      </c>
      <c r="P476" s="4" t="s">
        <v>2157</v>
      </c>
      <c r="Q476" s="5">
        <v>3</v>
      </c>
      <c r="R476" s="5">
        <v>0</v>
      </c>
      <c r="S476" s="5">
        <v>0</v>
      </c>
      <c r="T476" s="5">
        <v>5000000</v>
      </c>
      <c r="U476" s="5">
        <v>200000</v>
      </c>
      <c r="V476" s="5">
        <v>150000</v>
      </c>
      <c r="W476" s="5">
        <v>5350000</v>
      </c>
      <c r="X476" s="5">
        <v>9600000</v>
      </c>
      <c r="Y476" s="5">
        <v>0</v>
      </c>
      <c r="Z476" s="5">
        <f t="shared" si="63"/>
        <v>4400000</v>
      </c>
      <c r="AA476" s="5">
        <v>10850000</v>
      </c>
      <c r="AB476" s="5">
        <f t="shared" si="64"/>
        <v>4600000</v>
      </c>
      <c r="AC476" s="5" t="s">
        <v>2158</v>
      </c>
      <c r="AD476" s="4" t="s">
        <v>51</v>
      </c>
      <c r="AE476" s="5">
        <f t="shared" si="65"/>
        <v>0.95652173913043481</v>
      </c>
      <c r="AF476" s="10">
        <v>1533333333</v>
      </c>
      <c r="AG476" s="5">
        <v>1</v>
      </c>
      <c r="AH476" s="5">
        <v>1</v>
      </c>
      <c r="AI476" s="5">
        <v>1</v>
      </c>
      <c r="AJ476" s="7" t="s">
        <v>2159</v>
      </c>
      <c r="AK476" s="5">
        <v>0</v>
      </c>
      <c r="AL476" s="5">
        <v>0</v>
      </c>
      <c r="AM476" s="4">
        <v>2019</v>
      </c>
      <c r="AN476" s="5">
        <v>0</v>
      </c>
      <c r="AO476" s="5">
        <v>3</v>
      </c>
      <c r="AP476" s="8"/>
      <c r="AQ476" s="8"/>
      <c r="AR476" s="8">
        <f t="shared" si="66"/>
        <v>0</v>
      </c>
      <c r="AS476" s="8">
        <f t="shared" si="67"/>
        <v>200000</v>
      </c>
      <c r="AT476" s="8">
        <f t="shared" si="68"/>
        <v>3404000</v>
      </c>
      <c r="AU476" s="8">
        <f t="shared" si="69"/>
        <v>1196000</v>
      </c>
      <c r="AV476" s="4" t="s">
        <v>2157</v>
      </c>
      <c r="AW476" s="7" t="s">
        <v>2159</v>
      </c>
      <c r="AX476" s="5">
        <v>5000000</v>
      </c>
      <c r="AY476">
        <f t="shared" si="70"/>
        <v>0</v>
      </c>
      <c r="AZ476">
        <f t="shared" si="71"/>
        <v>1196000</v>
      </c>
      <c r="BA476" s="5">
        <v>9600000</v>
      </c>
      <c r="BB476" s="5">
        <v>0</v>
      </c>
      <c r="BC476" s="4" t="s">
        <v>49</v>
      </c>
      <c r="BD476" s="4">
        <v>47112</v>
      </c>
      <c r="BE476" t="s">
        <v>54</v>
      </c>
    </row>
    <row r="477" spans="1:57" ht="270.75" thickBot="1" x14ac:dyDescent="0.3">
      <c r="A477" s="4" t="s">
        <v>2160</v>
      </c>
      <c r="B477" s="4">
        <v>1001</v>
      </c>
      <c r="C477" s="5">
        <v>2</v>
      </c>
      <c r="D477" s="4" t="s">
        <v>60</v>
      </c>
      <c r="E477" s="6">
        <v>46309.148735578703</v>
      </c>
      <c r="F477" s="4" t="s">
        <v>2161</v>
      </c>
      <c r="G477" s="4" t="s">
        <v>46</v>
      </c>
      <c r="H477" s="4">
        <v>53</v>
      </c>
      <c r="I477" s="4" t="s">
        <v>47</v>
      </c>
      <c r="J477" s="4">
        <v>5309</v>
      </c>
      <c r="K477" s="4" t="s">
        <v>48</v>
      </c>
      <c r="L477" s="4">
        <v>5309040</v>
      </c>
      <c r="M477" s="4">
        <v>5309040010</v>
      </c>
      <c r="N477" s="4" t="s">
        <v>49</v>
      </c>
      <c r="O477" s="4">
        <v>47112</v>
      </c>
      <c r="P477" s="4" t="s">
        <v>2162</v>
      </c>
      <c r="Q477" s="5">
        <v>1</v>
      </c>
      <c r="R477" s="5">
        <v>0</v>
      </c>
      <c r="S477" s="5">
        <v>0</v>
      </c>
      <c r="T477" s="5">
        <v>11000000</v>
      </c>
      <c r="U477" s="5">
        <v>240000</v>
      </c>
      <c r="V477" s="5">
        <v>0</v>
      </c>
      <c r="W477" s="5">
        <v>11240000</v>
      </c>
      <c r="X477" s="5">
        <v>13400000</v>
      </c>
      <c r="Y477" s="5">
        <v>0</v>
      </c>
      <c r="Z477" s="5">
        <f t="shared" si="63"/>
        <v>2160000</v>
      </c>
      <c r="AA477" s="5">
        <v>0</v>
      </c>
      <c r="AB477" s="5">
        <f t="shared" si="64"/>
        <v>2400000</v>
      </c>
      <c r="AC477" s="5" t="s">
        <v>2163</v>
      </c>
      <c r="AD477" s="4" t="s">
        <v>51</v>
      </c>
      <c r="AE477" s="5">
        <f t="shared" si="65"/>
        <v>0.9</v>
      </c>
      <c r="AF477" s="5">
        <v>2400000</v>
      </c>
      <c r="AG477" s="4"/>
      <c r="AH477" s="5">
        <v>1</v>
      </c>
      <c r="AI477" s="5">
        <v>1</v>
      </c>
      <c r="AJ477" s="7" t="s">
        <v>2164</v>
      </c>
      <c r="AK477" s="5">
        <v>0</v>
      </c>
      <c r="AL477" s="5">
        <v>0</v>
      </c>
      <c r="AM477" s="4">
        <v>2022</v>
      </c>
      <c r="AN477" s="5">
        <v>0</v>
      </c>
      <c r="AO477" s="5">
        <v>1</v>
      </c>
      <c r="AP477" s="8"/>
      <c r="AQ477" s="8"/>
      <c r="AR477" s="8">
        <f t="shared" si="66"/>
        <v>0</v>
      </c>
      <c r="AS477" s="8">
        <f t="shared" si="67"/>
        <v>240000</v>
      </c>
      <c r="AT477" s="8">
        <f t="shared" si="68"/>
        <v>1776000</v>
      </c>
      <c r="AU477" s="8">
        <f t="shared" si="69"/>
        <v>624000</v>
      </c>
      <c r="AV477" s="4" t="s">
        <v>2162</v>
      </c>
      <c r="AW477" s="7" t="s">
        <v>2164</v>
      </c>
      <c r="AX477" s="5">
        <v>11000000</v>
      </c>
      <c r="AY477">
        <f t="shared" si="70"/>
        <v>0</v>
      </c>
      <c r="AZ477">
        <f t="shared" si="71"/>
        <v>624000</v>
      </c>
      <c r="BA477" s="5">
        <v>13400000</v>
      </c>
      <c r="BB477" s="5">
        <v>0</v>
      </c>
      <c r="BC477" s="4" t="s">
        <v>49</v>
      </c>
      <c r="BD477" s="4">
        <v>47112</v>
      </c>
      <c r="BE477" t="s">
        <v>54</v>
      </c>
    </row>
    <row r="478" spans="1:57" ht="270.75" thickBot="1" x14ac:dyDescent="0.3">
      <c r="A478" s="4" t="s">
        <v>2165</v>
      </c>
      <c r="B478" s="4">
        <v>1002</v>
      </c>
      <c r="C478" s="5">
        <v>2</v>
      </c>
      <c r="D478" s="4" t="s">
        <v>44</v>
      </c>
      <c r="E478" s="6">
        <v>46262.970319768516</v>
      </c>
      <c r="F478" s="4" t="s">
        <v>2166</v>
      </c>
      <c r="G478" s="4" t="s">
        <v>46</v>
      </c>
      <c r="H478" s="4">
        <v>53</v>
      </c>
      <c r="I478" s="4" t="s">
        <v>47</v>
      </c>
      <c r="J478" s="4">
        <v>5309</v>
      </c>
      <c r="K478" s="4" t="s">
        <v>48</v>
      </c>
      <c r="L478" s="4">
        <v>5309070</v>
      </c>
      <c r="M478" s="4">
        <v>5309070059</v>
      </c>
      <c r="N478" s="4" t="s">
        <v>49</v>
      </c>
      <c r="O478" s="4">
        <v>47112</v>
      </c>
      <c r="P478" s="4" t="s">
        <v>2167</v>
      </c>
      <c r="Q478" s="5">
        <v>2</v>
      </c>
      <c r="R478" s="5">
        <v>0</v>
      </c>
      <c r="S478" s="5">
        <v>150000</v>
      </c>
      <c r="T478" s="5">
        <v>12000000</v>
      </c>
      <c r="U478" s="5">
        <v>500000</v>
      </c>
      <c r="V478" s="5">
        <v>0</v>
      </c>
      <c r="W478" s="5">
        <v>12650000</v>
      </c>
      <c r="X478" s="5">
        <v>18000000</v>
      </c>
      <c r="Y478" s="5">
        <v>0</v>
      </c>
      <c r="Z478" s="5">
        <f t="shared" si="63"/>
        <v>5350000</v>
      </c>
      <c r="AA478" s="5">
        <v>1500000</v>
      </c>
      <c r="AB478" s="5">
        <f t="shared" si="64"/>
        <v>6000000</v>
      </c>
      <c r="AC478" s="5" t="s">
        <v>102</v>
      </c>
      <c r="AD478" s="4" t="s">
        <v>51</v>
      </c>
      <c r="AE478" s="5">
        <f t="shared" si="65"/>
        <v>0.89166666666666672</v>
      </c>
      <c r="AF478" s="5">
        <v>3000000</v>
      </c>
      <c r="AG478" s="5">
        <v>1</v>
      </c>
      <c r="AH478" s="5">
        <v>1</v>
      </c>
      <c r="AI478" s="5">
        <v>1</v>
      </c>
      <c r="AJ478" s="7" t="s">
        <v>2168</v>
      </c>
      <c r="AK478" s="5">
        <v>0</v>
      </c>
      <c r="AL478" s="5">
        <v>0</v>
      </c>
      <c r="AM478" s="4">
        <v>2015</v>
      </c>
      <c r="AN478" s="5">
        <v>0</v>
      </c>
      <c r="AO478" s="5">
        <v>2</v>
      </c>
      <c r="AP478" s="8"/>
      <c r="AQ478" s="8"/>
      <c r="AR478" s="8">
        <f t="shared" si="66"/>
        <v>0</v>
      </c>
      <c r="AS478" s="8">
        <f t="shared" si="67"/>
        <v>650000</v>
      </c>
      <c r="AT478" s="8">
        <f t="shared" si="68"/>
        <v>4440000</v>
      </c>
      <c r="AU478" s="8">
        <f t="shared" si="69"/>
        <v>1560000</v>
      </c>
      <c r="AV478" s="4" t="s">
        <v>2167</v>
      </c>
      <c r="AW478" s="7" t="s">
        <v>2168</v>
      </c>
      <c r="AX478" s="5">
        <v>12000000</v>
      </c>
      <c r="AY478">
        <f t="shared" si="70"/>
        <v>360000</v>
      </c>
      <c r="AZ478">
        <f t="shared" si="71"/>
        <v>1200000</v>
      </c>
      <c r="BA478" s="5">
        <v>18000000</v>
      </c>
      <c r="BB478" s="5">
        <v>0</v>
      </c>
      <c r="BC478" s="4" t="s">
        <v>49</v>
      </c>
      <c r="BD478" s="4">
        <v>47112</v>
      </c>
      <c r="BE478" t="s">
        <v>54</v>
      </c>
    </row>
    <row r="479" spans="1:57" ht="270.75" thickBot="1" x14ac:dyDescent="0.3">
      <c r="A479" s="4" t="s">
        <v>2169</v>
      </c>
      <c r="B479" s="4">
        <v>2001</v>
      </c>
      <c r="C479" s="5">
        <v>2</v>
      </c>
      <c r="D479" s="4" t="s">
        <v>44</v>
      </c>
      <c r="E479" s="6">
        <v>46214.495328831021</v>
      </c>
      <c r="F479" s="4" t="s">
        <v>2170</v>
      </c>
      <c r="G479" s="4" t="s">
        <v>46</v>
      </c>
      <c r="H479" s="4">
        <v>53</v>
      </c>
      <c r="I479" s="4" t="s">
        <v>47</v>
      </c>
      <c r="J479" s="4">
        <v>5309</v>
      </c>
      <c r="K479" s="4" t="s">
        <v>48</v>
      </c>
      <c r="L479" s="4">
        <v>5309073</v>
      </c>
      <c r="M479" s="4">
        <v>5309073006</v>
      </c>
      <c r="N479" s="4" t="s">
        <v>49</v>
      </c>
      <c r="O479" s="4">
        <v>47112</v>
      </c>
      <c r="P479" s="4" t="s">
        <v>2171</v>
      </c>
      <c r="Q479" s="5">
        <v>2</v>
      </c>
      <c r="R479" s="5">
        <v>1400000</v>
      </c>
      <c r="S479" s="5">
        <v>0</v>
      </c>
      <c r="T479" s="5">
        <v>9850000</v>
      </c>
      <c r="U479" s="5">
        <v>0</v>
      </c>
      <c r="V479" s="5">
        <v>0</v>
      </c>
      <c r="W479" s="5">
        <v>11250000</v>
      </c>
      <c r="X479" s="5">
        <v>11616000</v>
      </c>
      <c r="Y479" s="5">
        <v>0</v>
      </c>
      <c r="Z479" s="5">
        <f t="shared" si="63"/>
        <v>1766000</v>
      </c>
      <c r="AA479" s="5">
        <v>6500000</v>
      </c>
      <c r="AB479" s="5">
        <f t="shared" si="64"/>
        <v>1766000</v>
      </c>
      <c r="AC479" s="5" t="s">
        <v>2172</v>
      </c>
      <c r="AD479" s="4" t="s">
        <v>51</v>
      </c>
      <c r="AE479" s="5">
        <f t="shared" si="65"/>
        <v>1</v>
      </c>
      <c r="AF479" s="5">
        <v>883000</v>
      </c>
      <c r="AG479" s="5">
        <v>0</v>
      </c>
      <c r="AH479" s="5">
        <v>1</v>
      </c>
      <c r="AI479" s="5">
        <v>1</v>
      </c>
      <c r="AJ479" s="7" t="s">
        <v>2173</v>
      </c>
      <c r="AK479" s="5">
        <v>0</v>
      </c>
      <c r="AL479" s="5">
        <v>0</v>
      </c>
      <c r="AM479" s="4">
        <v>2025</v>
      </c>
      <c r="AN479" s="5">
        <v>2</v>
      </c>
      <c r="AO479" s="5">
        <v>0</v>
      </c>
      <c r="AP479" s="8"/>
      <c r="AQ479" s="8"/>
      <c r="AR479" s="8">
        <f t="shared" si="66"/>
        <v>0</v>
      </c>
      <c r="AS479" s="8">
        <f t="shared" si="67"/>
        <v>0</v>
      </c>
      <c r="AT479" s="8">
        <f t="shared" si="68"/>
        <v>1306840</v>
      </c>
      <c r="AU479" s="8">
        <f t="shared" si="69"/>
        <v>459160</v>
      </c>
      <c r="AV479" s="4" t="s">
        <v>2171</v>
      </c>
      <c r="AW479" s="7" t="s">
        <v>2173</v>
      </c>
      <c r="AX479" s="5">
        <v>9850000</v>
      </c>
      <c r="AY479" t="e">
        <f t="shared" si="70"/>
        <v>#DIV/0!</v>
      </c>
      <c r="AZ479" t="e">
        <f t="shared" si="71"/>
        <v>#DIV/0!</v>
      </c>
      <c r="BA479" s="5">
        <v>11616000</v>
      </c>
      <c r="BB479" s="5">
        <v>0</v>
      </c>
      <c r="BC479" s="4" t="s">
        <v>49</v>
      </c>
      <c r="BD479" s="4">
        <v>47112</v>
      </c>
      <c r="BE479" t="s">
        <v>54</v>
      </c>
    </row>
    <row r="480" spans="1:57" ht="270.75" thickBot="1" x14ac:dyDescent="0.3">
      <c r="A480" s="4" t="s">
        <v>2174</v>
      </c>
      <c r="B480" s="4">
        <v>1002</v>
      </c>
      <c r="C480" s="5">
        <v>2</v>
      </c>
      <c r="D480" s="4" t="s">
        <v>44</v>
      </c>
      <c r="E480" s="6">
        <v>46223.454107071761</v>
      </c>
      <c r="F480" s="4" t="s">
        <v>2175</v>
      </c>
      <c r="G480" s="4" t="s">
        <v>46</v>
      </c>
      <c r="H480" s="4">
        <v>53</v>
      </c>
      <c r="I480" s="4" t="s">
        <v>47</v>
      </c>
      <c r="J480" s="4">
        <v>5309</v>
      </c>
      <c r="K480" s="4" t="s">
        <v>48</v>
      </c>
      <c r="L480" s="4">
        <v>5309073</v>
      </c>
      <c r="M480" s="4">
        <v>5309073002</v>
      </c>
      <c r="N480" s="4" t="s">
        <v>49</v>
      </c>
      <c r="O480" s="4">
        <v>47112</v>
      </c>
      <c r="P480" s="4" t="s">
        <v>2176</v>
      </c>
      <c r="Q480" s="5">
        <v>1</v>
      </c>
      <c r="R480" s="5">
        <v>0</v>
      </c>
      <c r="S480" s="5">
        <v>0</v>
      </c>
      <c r="T480" s="5">
        <v>3600000</v>
      </c>
      <c r="U480" s="5">
        <v>240000</v>
      </c>
      <c r="V480" s="5">
        <v>0</v>
      </c>
      <c r="W480" s="5">
        <v>3840000</v>
      </c>
      <c r="X480" s="5">
        <v>7200000</v>
      </c>
      <c r="Y480" s="5">
        <v>0</v>
      </c>
      <c r="Z480" s="5">
        <f t="shared" si="63"/>
        <v>3360000</v>
      </c>
      <c r="AA480" s="5">
        <v>1400000</v>
      </c>
      <c r="AB480" s="5">
        <f t="shared" si="64"/>
        <v>3600000</v>
      </c>
      <c r="AC480" s="5" t="s">
        <v>93</v>
      </c>
      <c r="AD480" s="4" t="s">
        <v>51</v>
      </c>
      <c r="AE480" s="5">
        <f t="shared" si="65"/>
        <v>0.93333333333333335</v>
      </c>
      <c r="AF480" s="5">
        <v>3600000</v>
      </c>
      <c r="AG480" s="5">
        <v>1</v>
      </c>
      <c r="AH480" s="5">
        <v>1</v>
      </c>
      <c r="AI480" s="5">
        <v>1</v>
      </c>
      <c r="AJ480" s="7" t="s">
        <v>2177</v>
      </c>
      <c r="AK480" s="5">
        <v>0</v>
      </c>
      <c r="AL480" s="5">
        <v>0</v>
      </c>
      <c r="AM480" s="4">
        <v>2024</v>
      </c>
      <c r="AN480" s="5">
        <v>0</v>
      </c>
      <c r="AO480" s="5">
        <v>1</v>
      </c>
      <c r="AP480" s="8"/>
      <c r="AQ480" s="8"/>
      <c r="AR480" s="8">
        <f t="shared" si="66"/>
        <v>0</v>
      </c>
      <c r="AS480" s="8">
        <f t="shared" si="67"/>
        <v>240000</v>
      </c>
      <c r="AT480" s="8">
        <f t="shared" si="68"/>
        <v>2664000</v>
      </c>
      <c r="AU480" s="8">
        <f t="shared" si="69"/>
        <v>936000</v>
      </c>
      <c r="AV480" s="4" t="s">
        <v>2176</v>
      </c>
      <c r="AW480" s="7" t="s">
        <v>2177</v>
      </c>
      <c r="AX480" s="5">
        <v>3600000</v>
      </c>
      <c r="AY480">
        <f t="shared" si="70"/>
        <v>0</v>
      </c>
      <c r="AZ480">
        <f t="shared" si="71"/>
        <v>936000</v>
      </c>
      <c r="BA480" s="5">
        <v>7200000</v>
      </c>
      <c r="BB480" s="5">
        <v>0</v>
      </c>
      <c r="BC480" s="4" t="s">
        <v>49</v>
      </c>
      <c r="BD480" s="4">
        <v>47112</v>
      </c>
      <c r="BE480" t="s">
        <v>54</v>
      </c>
    </row>
    <row r="481" spans="1:57" ht="270.75" thickBot="1" x14ac:dyDescent="0.3">
      <c r="A481" s="4" t="s">
        <v>2178</v>
      </c>
      <c r="B481" s="4">
        <v>1001</v>
      </c>
      <c r="C481" s="5">
        <v>2</v>
      </c>
      <c r="D481" s="4" t="s">
        <v>44</v>
      </c>
      <c r="E481" s="6">
        <v>46232.209935057872</v>
      </c>
      <c r="F481" s="4" t="s">
        <v>2179</v>
      </c>
      <c r="G481" s="4" t="s">
        <v>46</v>
      </c>
      <c r="H481" s="4">
        <v>53</v>
      </c>
      <c r="I481" s="4" t="s">
        <v>47</v>
      </c>
      <c r="J481" s="4">
        <v>5309</v>
      </c>
      <c r="K481" s="4" t="s">
        <v>48</v>
      </c>
      <c r="L481" s="4">
        <v>5309040</v>
      </c>
      <c r="M481" s="4">
        <v>5309040002</v>
      </c>
      <c r="N481" s="4" t="s">
        <v>49</v>
      </c>
      <c r="O481" s="4">
        <v>47112</v>
      </c>
      <c r="P481" s="4" t="s">
        <v>2180</v>
      </c>
      <c r="Q481" s="5">
        <v>1</v>
      </c>
      <c r="R481" s="5">
        <v>0</v>
      </c>
      <c r="S481" s="5">
        <v>500000</v>
      </c>
      <c r="T481" s="5">
        <v>0</v>
      </c>
      <c r="U481" s="5">
        <v>1200000</v>
      </c>
      <c r="V481" s="5">
        <v>0</v>
      </c>
      <c r="W481" s="5">
        <v>1700000</v>
      </c>
      <c r="X481" s="5">
        <v>9000000</v>
      </c>
      <c r="Y481" s="5">
        <v>0</v>
      </c>
      <c r="Z481" s="5">
        <f t="shared" si="63"/>
        <v>7300000</v>
      </c>
      <c r="AA481" s="5">
        <v>0</v>
      </c>
      <c r="AB481" s="5">
        <f t="shared" si="64"/>
        <v>9000000</v>
      </c>
      <c r="AC481" s="5">
        <v>0</v>
      </c>
      <c r="AD481" s="4" t="s">
        <v>51</v>
      </c>
      <c r="AE481" s="5">
        <f t="shared" si="65"/>
        <v>0.81111111111111112</v>
      </c>
      <c r="AF481" s="5">
        <v>9000000</v>
      </c>
      <c r="AG481" s="4"/>
      <c r="AH481" s="5">
        <v>1</v>
      </c>
      <c r="AI481" s="5">
        <v>1</v>
      </c>
      <c r="AJ481" s="7" t="s">
        <v>2181</v>
      </c>
      <c r="AK481" s="5">
        <v>0</v>
      </c>
      <c r="AL481" s="5">
        <v>0</v>
      </c>
      <c r="AM481" s="4">
        <v>2023</v>
      </c>
      <c r="AN481" s="5">
        <v>0</v>
      </c>
      <c r="AO481" s="5">
        <v>1</v>
      </c>
      <c r="AP481" s="8"/>
      <c r="AQ481" s="8"/>
      <c r="AR481" s="8">
        <f t="shared" si="66"/>
        <v>0</v>
      </c>
      <c r="AS481" s="8">
        <f t="shared" si="67"/>
        <v>1700000</v>
      </c>
      <c r="AT481" s="8">
        <f t="shared" si="68"/>
        <v>6660000</v>
      </c>
      <c r="AU481" s="8">
        <f t="shared" si="69"/>
        <v>2340000</v>
      </c>
      <c r="AV481" s="4" t="s">
        <v>2180</v>
      </c>
      <c r="AW481" s="7" t="s">
        <v>2181</v>
      </c>
      <c r="AX481" s="5">
        <v>0</v>
      </c>
      <c r="AY481">
        <f t="shared" si="70"/>
        <v>688235.29411764699</v>
      </c>
      <c r="AZ481">
        <f t="shared" si="71"/>
        <v>1651764.705882353</v>
      </c>
      <c r="BA481" s="5">
        <v>9000000</v>
      </c>
      <c r="BB481" s="5">
        <v>0</v>
      </c>
      <c r="BC481" s="4" t="s">
        <v>49</v>
      </c>
      <c r="BD481" s="4">
        <v>47112</v>
      </c>
      <c r="BE481" t="s">
        <v>54</v>
      </c>
    </row>
    <row r="482" spans="1:57" ht="270.75" thickBot="1" x14ac:dyDescent="0.3">
      <c r="A482" s="4" t="s">
        <v>2182</v>
      </c>
      <c r="B482" s="4">
        <v>1001</v>
      </c>
      <c r="C482" s="5">
        <v>2</v>
      </c>
      <c r="D482" s="4" t="s">
        <v>44</v>
      </c>
      <c r="E482" s="6">
        <v>46252.100554201388</v>
      </c>
      <c r="F482" s="4" t="s">
        <v>2183</v>
      </c>
      <c r="G482" s="4" t="s">
        <v>46</v>
      </c>
      <c r="H482" s="4">
        <v>53</v>
      </c>
      <c r="I482" s="4" t="s">
        <v>47</v>
      </c>
      <c r="J482" s="4">
        <v>5309</v>
      </c>
      <c r="K482" s="4" t="s">
        <v>48</v>
      </c>
      <c r="L482" s="4">
        <v>5309073</v>
      </c>
      <c r="M482" s="4">
        <v>5309073001</v>
      </c>
      <c r="N482" s="4" t="s">
        <v>49</v>
      </c>
      <c r="O482" s="4">
        <v>47112</v>
      </c>
      <c r="P482" s="4" t="s">
        <v>2184</v>
      </c>
      <c r="Q482" s="5">
        <v>1</v>
      </c>
      <c r="R482" s="5">
        <v>0</v>
      </c>
      <c r="S482" s="5">
        <v>0</v>
      </c>
      <c r="T482" s="5">
        <v>15000000</v>
      </c>
      <c r="U482" s="5">
        <v>650000</v>
      </c>
      <c r="V482" s="5">
        <v>0</v>
      </c>
      <c r="W482" s="5">
        <v>15650000</v>
      </c>
      <c r="X482" s="5">
        <v>30500000</v>
      </c>
      <c r="Y482" s="5">
        <v>0</v>
      </c>
      <c r="Z482" s="5">
        <f t="shared" si="63"/>
        <v>14850000</v>
      </c>
      <c r="AA482" s="5">
        <v>23000000</v>
      </c>
      <c r="AB482" s="5">
        <f t="shared" si="64"/>
        <v>15500000</v>
      </c>
      <c r="AC482" s="5" t="s">
        <v>2185</v>
      </c>
      <c r="AD482" s="4" t="s">
        <v>51</v>
      </c>
      <c r="AE482" s="5">
        <f t="shared" si="65"/>
        <v>0.95806451612903221</v>
      </c>
      <c r="AF482" s="5">
        <v>15500000</v>
      </c>
      <c r="AG482" s="5">
        <v>1</v>
      </c>
      <c r="AH482" s="5">
        <v>1</v>
      </c>
      <c r="AI482" s="5">
        <v>1</v>
      </c>
      <c r="AJ482" s="7" t="s">
        <v>2186</v>
      </c>
      <c r="AK482" s="5">
        <v>0</v>
      </c>
      <c r="AL482" s="5">
        <v>0</v>
      </c>
      <c r="AM482" s="4">
        <v>2020</v>
      </c>
      <c r="AN482" s="5">
        <v>0</v>
      </c>
      <c r="AO482" s="5">
        <v>1</v>
      </c>
      <c r="AP482" s="8"/>
      <c r="AQ482" s="8"/>
      <c r="AR482" s="8">
        <f t="shared" si="66"/>
        <v>0</v>
      </c>
      <c r="AS482" s="8">
        <f t="shared" si="67"/>
        <v>650000</v>
      </c>
      <c r="AT482" s="8">
        <f t="shared" si="68"/>
        <v>11470000</v>
      </c>
      <c r="AU482" s="8">
        <f t="shared" si="69"/>
        <v>4030000</v>
      </c>
      <c r="AV482" s="4" t="s">
        <v>2184</v>
      </c>
      <c r="AW482" s="7" t="s">
        <v>2186</v>
      </c>
      <c r="AX482" s="5">
        <v>15000000</v>
      </c>
      <c r="AY482">
        <f t="shared" si="70"/>
        <v>0</v>
      </c>
      <c r="AZ482">
        <f t="shared" si="71"/>
        <v>4030000</v>
      </c>
      <c r="BA482" s="5">
        <v>30500000</v>
      </c>
      <c r="BB482" s="5">
        <v>0</v>
      </c>
      <c r="BC482" s="4" t="s">
        <v>49</v>
      </c>
      <c r="BD482" s="4">
        <v>47112</v>
      </c>
      <c r="BE482" t="s">
        <v>54</v>
      </c>
    </row>
    <row r="483" spans="1:57" ht="270.75" thickBot="1" x14ac:dyDescent="0.3">
      <c r="A483" s="4" t="s">
        <v>2187</v>
      </c>
      <c r="B483" s="4">
        <v>1002</v>
      </c>
      <c r="C483" s="5">
        <v>2</v>
      </c>
      <c r="D483" s="4" t="s">
        <v>44</v>
      </c>
      <c r="E483" s="6">
        <v>46264.053173483793</v>
      </c>
      <c r="F483" s="4" t="s">
        <v>2188</v>
      </c>
      <c r="G483" s="4" t="s">
        <v>46</v>
      </c>
      <c r="H483" s="4">
        <v>53</v>
      </c>
      <c r="I483" s="4" t="s">
        <v>47</v>
      </c>
      <c r="J483" s="4">
        <v>5309</v>
      </c>
      <c r="K483" s="4" t="s">
        <v>48</v>
      </c>
      <c r="L483" s="4">
        <v>5309073</v>
      </c>
      <c r="M483" s="4">
        <v>5309073006</v>
      </c>
      <c r="N483" s="4" t="s">
        <v>49</v>
      </c>
      <c r="O483" s="4">
        <v>47112</v>
      </c>
      <c r="P483" s="4" t="s">
        <v>2189</v>
      </c>
      <c r="Q483" s="5">
        <v>4</v>
      </c>
      <c r="R483" s="5">
        <v>0</v>
      </c>
      <c r="S483" s="5">
        <v>0</v>
      </c>
      <c r="T483" s="5">
        <v>24500000</v>
      </c>
      <c r="U483" s="5">
        <v>0</v>
      </c>
      <c r="V483" s="5">
        <v>0</v>
      </c>
      <c r="W483" s="5">
        <v>24500000</v>
      </c>
      <c r="X483" s="5">
        <v>25700000</v>
      </c>
      <c r="Y483" s="5">
        <v>0</v>
      </c>
      <c r="Z483" s="5">
        <f t="shared" si="63"/>
        <v>1200000</v>
      </c>
      <c r="AA483" s="5">
        <v>10500000</v>
      </c>
      <c r="AB483" s="5">
        <f t="shared" si="64"/>
        <v>1200000</v>
      </c>
      <c r="AC483" s="5" t="s">
        <v>2190</v>
      </c>
      <c r="AD483" s="4" t="s">
        <v>51</v>
      </c>
      <c r="AE483" s="5">
        <f t="shared" si="65"/>
        <v>1</v>
      </c>
      <c r="AF483" s="5">
        <v>300000</v>
      </c>
      <c r="AG483" s="5">
        <v>1</v>
      </c>
      <c r="AH483" s="5">
        <v>1</v>
      </c>
      <c r="AI483" s="5">
        <v>1</v>
      </c>
      <c r="AJ483" s="7" t="s">
        <v>2191</v>
      </c>
      <c r="AK483" s="5">
        <v>0</v>
      </c>
      <c r="AL483" s="5">
        <v>0</v>
      </c>
      <c r="AM483" s="4">
        <v>2018</v>
      </c>
      <c r="AN483" s="5">
        <v>0</v>
      </c>
      <c r="AO483" s="5">
        <v>4</v>
      </c>
      <c r="AP483" s="8"/>
      <c r="AQ483" s="8"/>
      <c r="AR483" s="8">
        <f t="shared" si="66"/>
        <v>0</v>
      </c>
      <c r="AS483" s="8">
        <f t="shared" si="67"/>
        <v>0</v>
      </c>
      <c r="AT483" s="8">
        <f t="shared" si="68"/>
        <v>888000</v>
      </c>
      <c r="AU483" s="8">
        <f t="shared" si="69"/>
        <v>312000</v>
      </c>
      <c r="AV483" s="4" t="s">
        <v>2189</v>
      </c>
      <c r="AW483" s="7" t="s">
        <v>2191</v>
      </c>
      <c r="AX483" s="5">
        <v>24500000</v>
      </c>
      <c r="AY483" t="e">
        <f t="shared" si="70"/>
        <v>#DIV/0!</v>
      </c>
      <c r="AZ483" t="e">
        <f t="shared" si="71"/>
        <v>#DIV/0!</v>
      </c>
      <c r="BA483" s="5">
        <v>25700000</v>
      </c>
      <c r="BB483" s="5">
        <v>0</v>
      </c>
      <c r="BC483" s="4" t="s">
        <v>49</v>
      </c>
      <c r="BD483" s="4">
        <v>47112</v>
      </c>
      <c r="BE483" t="s">
        <v>54</v>
      </c>
    </row>
    <row r="484" spans="1:57" ht="270.75" thickBot="1" x14ac:dyDescent="0.3">
      <c r="A484" s="4" t="s">
        <v>2192</v>
      </c>
      <c r="B484" s="4">
        <v>1002</v>
      </c>
      <c r="C484" s="5">
        <v>2</v>
      </c>
      <c r="D484" s="4" t="s">
        <v>44</v>
      </c>
      <c r="E484" s="6">
        <v>46274.670907395834</v>
      </c>
      <c r="F484" s="4" t="s">
        <v>2193</v>
      </c>
      <c r="G484" s="4" t="s">
        <v>46</v>
      </c>
      <c r="H484" s="4">
        <v>53</v>
      </c>
      <c r="I484" s="4" t="s">
        <v>47</v>
      </c>
      <c r="J484" s="4">
        <v>5309</v>
      </c>
      <c r="K484" s="4" t="s">
        <v>48</v>
      </c>
      <c r="L484" s="4">
        <v>5309011</v>
      </c>
      <c r="M484" s="4">
        <v>5309011007</v>
      </c>
      <c r="N484" s="4" t="s">
        <v>49</v>
      </c>
      <c r="O484" s="4">
        <v>47112</v>
      </c>
      <c r="P484" s="4" t="s">
        <v>2194</v>
      </c>
      <c r="Q484" s="5">
        <v>2</v>
      </c>
      <c r="R484" s="5">
        <v>0</v>
      </c>
      <c r="S484" s="5">
        <v>25000000</v>
      </c>
      <c r="T484" s="5">
        <v>75000000</v>
      </c>
      <c r="U484" s="5">
        <v>2500000</v>
      </c>
      <c r="V484" s="5">
        <v>0</v>
      </c>
      <c r="W484" s="5">
        <v>102500000</v>
      </c>
      <c r="X484" s="5">
        <v>130000000</v>
      </c>
      <c r="Y484" s="5">
        <v>0</v>
      </c>
      <c r="Z484" s="5">
        <f t="shared" si="63"/>
        <v>27500000</v>
      </c>
      <c r="AA484" s="5">
        <v>25000000</v>
      </c>
      <c r="AB484" s="5">
        <f t="shared" si="64"/>
        <v>55000000</v>
      </c>
      <c r="AC484" s="5" t="s">
        <v>911</v>
      </c>
      <c r="AD484" s="4" t="s">
        <v>51</v>
      </c>
      <c r="AE484" s="5">
        <f t="shared" si="65"/>
        <v>0.5</v>
      </c>
      <c r="AF484" s="5">
        <v>27500000</v>
      </c>
      <c r="AG484" s="5">
        <v>1</v>
      </c>
      <c r="AH484" s="5">
        <v>1</v>
      </c>
      <c r="AI484" s="5">
        <v>1</v>
      </c>
      <c r="AJ484" s="7" t="s">
        <v>2195</v>
      </c>
      <c r="AK484" s="5">
        <v>0</v>
      </c>
      <c r="AL484" s="5">
        <v>0</v>
      </c>
      <c r="AM484" s="4">
        <v>2020</v>
      </c>
      <c r="AN484" s="5">
        <v>0</v>
      </c>
      <c r="AO484" s="5">
        <v>2</v>
      </c>
      <c r="AP484" s="8"/>
      <c r="AQ484" s="8"/>
      <c r="AR484" s="8">
        <f t="shared" si="66"/>
        <v>0</v>
      </c>
      <c r="AS484" s="8">
        <f t="shared" si="67"/>
        <v>27500000</v>
      </c>
      <c r="AT484" s="8">
        <f t="shared" si="68"/>
        <v>27500000</v>
      </c>
      <c r="AU484" s="8">
        <f t="shared" si="69"/>
        <v>27500000</v>
      </c>
      <c r="AV484" s="4" t="s">
        <v>2194</v>
      </c>
      <c r="AW484" s="7" t="s">
        <v>2195</v>
      </c>
      <c r="AX484" s="5">
        <v>75000000</v>
      </c>
      <c r="AY484">
        <f t="shared" si="70"/>
        <v>25000000</v>
      </c>
      <c r="AZ484">
        <f t="shared" si="71"/>
        <v>2500000</v>
      </c>
      <c r="BA484" s="5">
        <v>130000000</v>
      </c>
      <c r="BB484" s="5">
        <v>0</v>
      </c>
      <c r="BC484" s="4" t="s">
        <v>49</v>
      </c>
      <c r="BD484" s="4">
        <v>47112</v>
      </c>
      <c r="BE484" t="s">
        <v>54</v>
      </c>
    </row>
    <row r="485" spans="1:57" ht="270.75" thickBot="1" x14ac:dyDescent="0.3">
      <c r="A485" s="4" t="s">
        <v>2196</v>
      </c>
      <c r="B485" s="4">
        <v>1</v>
      </c>
      <c r="C485" s="5">
        <v>2</v>
      </c>
      <c r="D485" s="4" t="s">
        <v>44</v>
      </c>
      <c r="E485" s="6">
        <v>46273.973823391207</v>
      </c>
      <c r="F485" s="4" t="s">
        <v>2197</v>
      </c>
      <c r="G485" s="4" t="s">
        <v>46</v>
      </c>
      <c r="H485" s="4">
        <v>53</v>
      </c>
      <c r="I485" s="4" t="s">
        <v>47</v>
      </c>
      <c r="J485" s="4">
        <v>5309</v>
      </c>
      <c r="K485" s="4" t="s">
        <v>48</v>
      </c>
      <c r="L485" s="4">
        <v>5309011</v>
      </c>
      <c r="M485" s="4">
        <v>5309011008</v>
      </c>
      <c r="N485" s="4" t="s">
        <v>49</v>
      </c>
      <c r="O485" s="4">
        <v>47112</v>
      </c>
      <c r="P485" s="4" t="s">
        <v>2198</v>
      </c>
      <c r="Q485" s="5">
        <v>3</v>
      </c>
      <c r="R485" s="5">
        <v>0</v>
      </c>
      <c r="S485" s="5">
        <v>0</v>
      </c>
      <c r="T485" s="5">
        <v>3850000</v>
      </c>
      <c r="U485" s="5">
        <v>250000</v>
      </c>
      <c r="V485" s="5">
        <v>0</v>
      </c>
      <c r="W485" s="5">
        <v>4100000</v>
      </c>
      <c r="X485" s="5">
        <v>6478000</v>
      </c>
      <c r="Y485" s="5">
        <v>0</v>
      </c>
      <c r="Z485" s="5">
        <f t="shared" si="63"/>
        <v>2378000</v>
      </c>
      <c r="AA485" s="5">
        <v>22800000</v>
      </c>
      <c r="AB485" s="5">
        <f t="shared" si="64"/>
        <v>2628000</v>
      </c>
      <c r="AC485" s="5" t="s">
        <v>2199</v>
      </c>
      <c r="AD485" s="4" t="s">
        <v>51</v>
      </c>
      <c r="AE485" s="5">
        <f t="shared" si="65"/>
        <v>0.90487062404870622</v>
      </c>
      <c r="AF485" s="5">
        <v>876000</v>
      </c>
      <c r="AG485" s="5">
        <v>1</v>
      </c>
      <c r="AH485" s="5">
        <v>1</v>
      </c>
      <c r="AI485" s="5">
        <v>1</v>
      </c>
      <c r="AJ485" s="7" t="s">
        <v>2200</v>
      </c>
      <c r="AK485" s="5">
        <v>0</v>
      </c>
      <c r="AL485" s="5">
        <v>0</v>
      </c>
      <c r="AM485" s="4">
        <v>2019</v>
      </c>
      <c r="AN485" s="5">
        <v>0</v>
      </c>
      <c r="AO485" s="5">
        <v>3</v>
      </c>
      <c r="AP485" s="8"/>
      <c r="AQ485" s="8"/>
      <c r="AR485" s="8">
        <f t="shared" si="66"/>
        <v>0</v>
      </c>
      <c r="AS485" s="8">
        <f t="shared" si="67"/>
        <v>250000</v>
      </c>
      <c r="AT485" s="8">
        <f t="shared" si="68"/>
        <v>1944720</v>
      </c>
      <c r="AU485" s="8">
        <f t="shared" si="69"/>
        <v>683280</v>
      </c>
      <c r="AV485" s="4" t="s">
        <v>2198</v>
      </c>
      <c r="AW485" s="7" t="s">
        <v>2200</v>
      </c>
      <c r="AX485" s="5">
        <v>3850000</v>
      </c>
      <c r="AY485">
        <f t="shared" si="70"/>
        <v>0</v>
      </c>
      <c r="AZ485">
        <f t="shared" si="71"/>
        <v>683280</v>
      </c>
      <c r="BA485" s="5">
        <v>6478000</v>
      </c>
      <c r="BB485" s="5">
        <v>0</v>
      </c>
      <c r="BC485" s="4" t="s">
        <v>49</v>
      </c>
      <c r="BD485" s="4">
        <v>47112</v>
      </c>
      <c r="BE485" t="s">
        <v>54</v>
      </c>
    </row>
    <row r="486" spans="1:57" ht="270.75" thickBot="1" x14ac:dyDescent="0.3">
      <c r="A486" s="4" t="s">
        <v>2201</v>
      </c>
      <c r="B486" s="4">
        <v>3001</v>
      </c>
      <c r="C486" s="5">
        <v>2</v>
      </c>
      <c r="D486" s="4" t="s">
        <v>44</v>
      </c>
      <c r="E486" s="6">
        <v>46245.598305821761</v>
      </c>
      <c r="F486" s="4" t="s">
        <v>2202</v>
      </c>
      <c r="G486" s="4" t="s">
        <v>46</v>
      </c>
      <c r="H486" s="4">
        <v>53</v>
      </c>
      <c r="I486" s="4" t="s">
        <v>47</v>
      </c>
      <c r="J486" s="4">
        <v>5309</v>
      </c>
      <c r="K486" s="4" t="s">
        <v>48</v>
      </c>
      <c r="L486" s="4">
        <v>5309074</v>
      </c>
      <c r="M486" s="4">
        <v>5309074003</v>
      </c>
      <c r="N486" s="4" t="s">
        <v>49</v>
      </c>
      <c r="O486" s="4">
        <v>47112</v>
      </c>
      <c r="P486" s="4" t="s">
        <v>991</v>
      </c>
      <c r="Q486" s="5">
        <v>2</v>
      </c>
      <c r="R486" s="5">
        <v>0</v>
      </c>
      <c r="S486" s="5">
        <v>400000</v>
      </c>
      <c r="T486" s="5">
        <v>1200000</v>
      </c>
      <c r="U486" s="5">
        <v>50000</v>
      </c>
      <c r="V486" s="5">
        <v>0</v>
      </c>
      <c r="W486" s="5">
        <v>1650000</v>
      </c>
      <c r="X486" s="5">
        <v>4000000</v>
      </c>
      <c r="Y486" s="5">
        <v>0</v>
      </c>
      <c r="Z486" s="5">
        <f t="shared" si="63"/>
        <v>2350000</v>
      </c>
      <c r="AA486" s="5">
        <v>2150000</v>
      </c>
      <c r="AB486" s="5">
        <f t="shared" si="64"/>
        <v>2800000</v>
      </c>
      <c r="AC486" s="5" t="s">
        <v>516</v>
      </c>
      <c r="AD486" s="4" t="s">
        <v>51</v>
      </c>
      <c r="AE486" s="5">
        <f t="shared" si="65"/>
        <v>0.8392857142857143</v>
      </c>
      <c r="AF486" s="5">
        <v>1400000</v>
      </c>
      <c r="AG486" s="5">
        <v>1</v>
      </c>
      <c r="AH486" s="5">
        <v>1</v>
      </c>
      <c r="AI486" s="5">
        <v>1</v>
      </c>
      <c r="AJ486" s="7" t="s">
        <v>2203</v>
      </c>
      <c r="AK486" s="5">
        <v>0</v>
      </c>
      <c r="AL486" s="5">
        <v>0</v>
      </c>
      <c r="AM486" s="4">
        <v>2020</v>
      </c>
      <c r="AN486" s="5">
        <v>0</v>
      </c>
      <c r="AO486" s="5">
        <v>2</v>
      </c>
      <c r="AP486" s="8"/>
      <c r="AQ486" s="8"/>
      <c r="AR486" s="8">
        <f t="shared" si="66"/>
        <v>0</v>
      </c>
      <c r="AS486" s="8">
        <f t="shared" si="67"/>
        <v>450000</v>
      </c>
      <c r="AT486" s="8">
        <f t="shared" si="68"/>
        <v>2072000</v>
      </c>
      <c r="AU486" s="8">
        <f t="shared" si="69"/>
        <v>728000</v>
      </c>
      <c r="AV486" s="4" t="s">
        <v>991</v>
      </c>
      <c r="AW486" s="7" t="s">
        <v>2203</v>
      </c>
      <c r="AX486" s="5">
        <v>1200000</v>
      </c>
      <c r="AY486">
        <f t="shared" si="70"/>
        <v>647111.11111111112</v>
      </c>
      <c r="AZ486">
        <f t="shared" si="71"/>
        <v>80888.888888888891</v>
      </c>
      <c r="BA486" s="5">
        <v>4000000</v>
      </c>
      <c r="BB486" s="5">
        <v>0</v>
      </c>
      <c r="BC486" s="4" t="s">
        <v>49</v>
      </c>
      <c r="BD486" s="4">
        <v>47112</v>
      </c>
      <c r="BE486" t="s">
        <v>54</v>
      </c>
    </row>
    <row r="487" spans="1:57" ht="270.75" thickBot="1" x14ac:dyDescent="0.3">
      <c r="A487" s="4" t="s">
        <v>2204</v>
      </c>
      <c r="B487" s="4">
        <v>1002</v>
      </c>
      <c r="C487" s="5">
        <v>2</v>
      </c>
      <c r="D487" s="4" t="s">
        <v>44</v>
      </c>
      <c r="E487" s="6">
        <v>46238.222812581022</v>
      </c>
      <c r="F487" s="4" t="s">
        <v>2205</v>
      </c>
      <c r="G487" s="4" t="s">
        <v>46</v>
      </c>
      <c r="H487" s="4">
        <v>53</v>
      </c>
      <c r="I487" s="4" t="s">
        <v>47</v>
      </c>
      <c r="J487" s="4">
        <v>5309</v>
      </c>
      <c r="K487" s="4" t="s">
        <v>48</v>
      </c>
      <c r="L487" s="4">
        <v>5309062</v>
      </c>
      <c r="M487" s="4">
        <v>5309062002</v>
      </c>
      <c r="N487" s="4" t="s">
        <v>49</v>
      </c>
      <c r="O487" s="4">
        <v>47112</v>
      </c>
      <c r="P487" s="4" t="s">
        <v>991</v>
      </c>
      <c r="Q487" s="5">
        <v>1</v>
      </c>
      <c r="R487" s="5">
        <v>0</v>
      </c>
      <c r="S487" s="5">
        <v>100000</v>
      </c>
      <c r="T487" s="5">
        <v>800000</v>
      </c>
      <c r="U487" s="5">
        <v>300000</v>
      </c>
      <c r="V487" s="5">
        <v>0</v>
      </c>
      <c r="W487" s="5">
        <v>1200000</v>
      </c>
      <c r="X487" s="5">
        <v>5000000</v>
      </c>
      <c r="Y487" s="5">
        <v>0</v>
      </c>
      <c r="Z487" s="5">
        <f t="shared" si="63"/>
        <v>3800000</v>
      </c>
      <c r="AA487" s="5">
        <v>3400000</v>
      </c>
      <c r="AB487" s="5">
        <f t="shared" si="64"/>
        <v>4200000</v>
      </c>
      <c r="AC487" s="5" t="s">
        <v>2206</v>
      </c>
      <c r="AD487" s="4" t="s">
        <v>51</v>
      </c>
      <c r="AE487" s="5">
        <f t="shared" si="65"/>
        <v>0.90476190476190477</v>
      </c>
      <c r="AF487" s="5">
        <v>4200000</v>
      </c>
      <c r="AG487" s="5">
        <v>1</v>
      </c>
      <c r="AH487" s="5">
        <v>1</v>
      </c>
      <c r="AI487" s="5">
        <v>1</v>
      </c>
      <c r="AJ487" s="7" t="s">
        <v>2207</v>
      </c>
      <c r="AK487" s="5">
        <v>0</v>
      </c>
      <c r="AL487" s="5">
        <v>0</v>
      </c>
      <c r="AM487" s="4">
        <v>2009</v>
      </c>
      <c r="AN487" s="5">
        <v>0</v>
      </c>
      <c r="AO487" s="5">
        <v>1</v>
      </c>
      <c r="AP487" s="8"/>
      <c r="AQ487" s="8"/>
      <c r="AR487" s="8">
        <f t="shared" si="66"/>
        <v>0</v>
      </c>
      <c r="AS487" s="8">
        <f t="shared" si="67"/>
        <v>400000</v>
      </c>
      <c r="AT487" s="8">
        <f t="shared" si="68"/>
        <v>3108000</v>
      </c>
      <c r="AU487" s="8">
        <f t="shared" si="69"/>
        <v>1092000</v>
      </c>
      <c r="AV487" s="4" t="s">
        <v>991</v>
      </c>
      <c r="AW487" s="7" t="s">
        <v>2207</v>
      </c>
      <c r="AX487" s="5">
        <v>800000</v>
      </c>
      <c r="AY487">
        <f t="shared" si="70"/>
        <v>273000</v>
      </c>
      <c r="AZ487">
        <f t="shared" si="71"/>
        <v>819000</v>
      </c>
      <c r="BA487" s="5">
        <v>5000000</v>
      </c>
      <c r="BB487" s="5">
        <v>0</v>
      </c>
      <c r="BC487" s="4" t="s">
        <v>49</v>
      </c>
      <c r="BD487" s="4">
        <v>47112</v>
      </c>
      <c r="BE487" t="s">
        <v>54</v>
      </c>
    </row>
    <row r="488" spans="1:57" ht="270.75" thickBot="1" x14ac:dyDescent="0.3">
      <c r="A488" s="4" t="s">
        <v>2208</v>
      </c>
      <c r="B488" s="4">
        <v>1002</v>
      </c>
      <c r="C488" s="5">
        <v>2</v>
      </c>
      <c r="D488" s="4" t="s">
        <v>56</v>
      </c>
      <c r="E488" s="6">
        <v>46316.23769037037</v>
      </c>
      <c r="F488" s="4" t="s">
        <v>2209</v>
      </c>
      <c r="G488" s="4" t="s">
        <v>46</v>
      </c>
      <c r="H488" s="4">
        <v>53</v>
      </c>
      <c r="I488" s="4" t="s">
        <v>47</v>
      </c>
      <c r="J488" s="4">
        <v>5309</v>
      </c>
      <c r="K488" s="4" t="s">
        <v>48</v>
      </c>
      <c r="L488" s="4">
        <v>5309030</v>
      </c>
      <c r="M488" s="4">
        <v>5309030012</v>
      </c>
      <c r="N488" s="4" t="s">
        <v>49</v>
      </c>
      <c r="O488" s="4">
        <v>47112</v>
      </c>
      <c r="P488" s="4" t="s">
        <v>2210</v>
      </c>
      <c r="Q488" s="5">
        <v>1</v>
      </c>
      <c r="R488" s="5">
        <v>0</v>
      </c>
      <c r="S488" s="5">
        <v>0</v>
      </c>
      <c r="T488" s="5">
        <v>36000000</v>
      </c>
      <c r="U488" s="5">
        <v>4200000</v>
      </c>
      <c r="V488" s="5">
        <v>0</v>
      </c>
      <c r="W488" s="5">
        <v>40200000</v>
      </c>
      <c r="X488" s="5">
        <v>158400000</v>
      </c>
      <c r="Y488" s="5">
        <v>0</v>
      </c>
      <c r="Z488" s="5">
        <f t="shared" si="63"/>
        <v>118200000</v>
      </c>
      <c r="AA488" s="5">
        <v>0</v>
      </c>
      <c r="AB488" s="5">
        <f t="shared" si="64"/>
        <v>122400000</v>
      </c>
      <c r="AC488" s="5" t="s">
        <v>2211</v>
      </c>
      <c r="AD488" s="4" t="s">
        <v>51</v>
      </c>
      <c r="AE488" s="5">
        <f t="shared" si="65"/>
        <v>0.96568627450980393</v>
      </c>
      <c r="AF488" s="5">
        <v>122400000</v>
      </c>
      <c r="AG488" s="4"/>
      <c r="AH488" s="5">
        <v>1</v>
      </c>
      <c r="AI488" s="5">
        <v>1</v>
      </c>
      <c r="AJ488" s="7" t="s">
        <v>2212</v>
      </c>
      <c r="AK488" s="5">
        <v>0</v>
      </c>
      <c r="AL488" s="5">
        <v>0</v>
      </c>
      <c r="AM488" s="4">
        <v>2026</v>
      </c>
      <c r="AN488" s="5">
        <v>0</v>
      </c>
      <c r="AO488" s="5">
        <v>1</v>
      </c>
      <c r="AP488" s="8"/>
      <c r="AQ488" s="8"/>
      <c r="AR488" s="8">
        <f t="shared" si="66"/>
        <v>0</v>
      </c>
      <c r="AS488" s="8">
        <f t="shared" si="67"/>
        <v>4200000</v>
      </c>
      <c r="AT488" s="8">
        <f t="shared" si="68"/>
        <v>90576000</v>
      </c>
      <c r="AU488" s="8">
        <f t="shared" si="69"/>
        <v>31824000</v>
      </c>
      <c r="AV488" s="4" t="s">
        <v>2210</v>
      </c>
      <c r="AW488" s="7" t="s">
        <v>2212</v>
      </c>
      <c r="AX488" s="5">
        <v>36000000</v>
      </c>
      <c r="AY488">
        <f t="shared" si="70"/>
        <v>0</v>
      </c>
      <c r="AZ488">
        <f t="shared" si="71"/>
        <v>31824000</v>
      </c>
      <c r="BA488" s="5">
        <v>158400000</v>
      </c>
      <c r="BB488" s="5">
        <v>0</v>
      </c>
      <c r="BC488" s="4" t="s">
        <v>49</v>
      </c>
      <c r="BD488" s="4">
        <v>47112</v>
      </c>
      <c r="BE488" t="s">
        <v>54</v>
      </c>
    </row>
    <row r="489" spans="1:57" ht="255.75" thickBot="1" x14ac:dyDescent="0.3">
      <c r="A489" s="4" t="s">
        <v>2213</v>
      </c>
      <c r="B489" s="4">
        <v>1002</v>
      </c>
      <c r="C489" s="5">
        <v>2</v>
      </c>
      <c r="D489" s="4" t="s">
        <v>44</v>
      </c>
      <c r="E489" s="6">
        <v>46271.478998483799</v>
      </c>
      <c r="F489" s="4" t="s">
        <v>2214</v>
      </c>
      <c r="G489" s="4" t="s">
        <v>46</v>
      </c>
      <c r="H489" s="4">
        <v>53</v>
      </c>
      <c r="I489" s="4" t="s">
        <v>47</v>
      </c>
      <c r="J489" s="4">
        <v>5309</v>
      </c>
      <c r="K489" s="4" t="s">
        <v>48</v>
      </c>
      <c r="L489" s="4">
        <v>5309070</v>
      </c>
      <c r="M489" s="4">
        <v>5309070014</v>
      </c>
      <c r="N489" s="4" t="s">
        <v>49</v>
      </c>
      <c r="O489" s="4">
        <v>47112</v>
      </c>
      <c r="P489" s="4" t="s">
        <v>2215</v>
      </c>
      <c r="Q489" s="5">
        <v>2</v>
      </c>
      <c r="R489" s="5">
        <v>0</v>
      </c>
      <c r="S489" s="5">
        <v>1000000</v>
      </c>
      <c r="T489" s="5">
        <v>9000000</v>
      </c>
      <c r="U489" s="5">
        <v>600000</v>
      </c>
      <c r="V489" s="5">
        <v>0</v>
      </c>
      <c r="W489" s="5">
        <v>10600000</v>
      </c>
      <c r="X489" s="5">
        <v>18000000</v>
      </c>
      <c r="Y489" s="5">
        <v>0</v>
      </c>
      <c r="Z489" s="5">
        <f t="shared" si="63"/>
        <v>7400000</v>
      </c>
      <c r="AA489" s="5">
        <v>700000</v>
      </c>
      <c r="AB489" s="5">
        <f t="shared" si="64"/>
        <v>9000000</v>
      </c>
      <c r="AC489" s="5" t="s">
        <v>93</v>
      </c>
      <c r="AD489" s="4" t="s">
        <v>51</v>
      </c>
      <c r="AE489" s="5">
        <f t="shared" si="65"/>
        <v>0.82222222222222219</v>
      </c>
      <c r="AF489" s="5">
        <v>4500000</v>
      </c>
      <c r="AG489" s="5">
        <v>1</v>
      </c>
      <c r="AH489" s="5">
        <v>1</v>
      </c>
      <c r="AI489" s="5">
        <v>1</v>
      </c>
      <c r="AJ489" s="7" t="s">
        <v>2216</v>
      </c>
      <c r="AK489" s="5">
        <v>0</v>
      </c>
      <c r="AL489" s="5">
        <v>0</v>
      </c>
      <c r="AM489" s="4">
        <v>2022</v>
      </c>
      <c r="AN489" s="5">
        <v>0</v>
      </c>
      <c r="AO489" s="5">
        <v>2</v>
      </c>
      <c r="AP489" s="8"/>
      <c r="AQ489" s="8"/>
      <c r="AR489" s="8">
        <f t="shared" si="66"/>
        <v>0</v>
      </c>
      <c r="AS489" s="8">
        <f t="shared" si="67"/>
        <v>1600000</v>
      </c>
      <c r="AT489" s="8">
        <f t="shared" si="68"/>
        <v>6660000</v>
      </c>
      <c r="AU489" s="8">
        <f t="shared" si="69"/>
        <v>2340000</v>
      </c>
      <c r="AV489" s="4" t="s">
        <v>2215</v>
      </c>
      <c r="AW489" s="7" t="s">
        <v>2216</v>
      </c>
      <c r="AX489" s="5">
        <v>9000000</v>
      </c>
      <c r="AY489">
        <f t="shared" si="70"/>
        <v>1462500</v>
      </c>
      <c r="AZ489">
        <f t="shared" si="71"/>
        <v>877500</v>
      </c>
      <c r="BA489" s="5">
        <v>18000000</v>
      </c>
      <c r="BB489" s="5">
        <v>0</v>
      </c>
      <c r="BC489" s="4" t="s">
        <v>49</v>
      </c>
      <c r="BD489" s="4">
        <v>47112</v>
      </c>
      <c r="BE489" t="s">
        <v>54</v>
      </c>
    </row>
    <row r="490" spans="1:57" ht="270.75" thickBot="1" x14ac:dyDescent="0.3">
      <c r="A490" s="4" t="s">
        <v>2217</v>
      </c>
      <c r="B490" s="4">
        <v>3002</v>
      </c>
      <c r="C490" s="5">
        <v>2</v>
      </c>
      <c r="D490" s="4" t="s">
        <v>44</v>
      </c>
      <c r="E490" s="6">
        <v>46229.044324259259</v>
      </c>
      <c r="F490" s="4" t="s">
        <v>2218</v>
      </c>
      <c r="G490" s="4" t="s">
        <v>46</v>
      </c>
      <c r="H490" s="4">
        <v>53</v>
      </c>
      <c r="I490" s="4" t="s">
        <v>47</v>
      </c>
      <c r="J490" s="4">
        <v>5309</v>
      </c>
      <c r="K490" s="4" t="s">
        <v>48</v>
      </c>
      <c r="L490" s="4">
        <v>5309062</v>
      </c>
      <c r="M490" s="4">
        <v>5309062013</v>
      </c>
      <c r="N490" s="4" t="s">
        <v>49</v>
      </c>
      <c r="O490" s="4">
        <v>47112</v>
      </c>
      <c r="P490" s="4" t="s">
        <v>2219</v>
      </c>
      <c r="Q490" s="5">
        <v>1</v>
      </c>
      <c r="R490" s="5">
        <v>0</v>
      </c>
      <c r="S490" s="5">
        <v>500000</v>
      </c>
      <c r="T490" s="5">
        <v>3150000</v>
      </c>
      <c r="U490" s="5">
        <v>450000</v>
      </c>
      <c r="V490" s="5">
        <v>100000</v>
      </c>
      <c r="W490" s="5">
        <v>4200000</v>
      </c>
      <c r="X490" s="5">
        <v>4150000</v>
      </c>
      <c r="Y490" s="5">
        <v>150000</v>
      </c>
      <c r="Z490" s="5">
        <f t="shared" si="63"/>
        <v>50000</v>
      </c>
      <c r="AA490" s="5">
        <v>550000</v>
      </c>
      <c r="AB490" s="5">
        <f t="shared" si="64"/>
        <v>1000000</v>
      </c>
      <c r="AC490" s="5" t="s">
        <v>2220</v>
      </c>
      <c r="AD490" s="4" t="s">
        <v>51</v>
      </c>
      <c r="AE490" s="5">
        <f t="shared" si="65"/>
        <v>0.05</v>
      </c>
      <c r="AF490" s="5">
        <v>1000000</v>
      </c>
      <c r="AG490" s="5">
        <v>1</v>
      </c>
      <c r="AH490" s="5">
        <v>1</v>
      </c>
      <c r="AI490" s="5">
        <v>1</v>
      </c>
      <c r="AJ490" s="7" t="s">
        <v>2221</v>
      </c>
      <c r="AK490" s="5">
        <v>0</v>
      </c>
      <c r="AL490" s="5">
        <v>0</v>
      </c>
      <c r="AM490" s="4">
        <v>2024</v>
      </c>
      <c r="AN490" s="5">
        <v>0</v>
      </c>
      <c r="AO490" s="5">
        <v>1</v>
      </c>
      <c r="AP490" s="8"/>
      <c r="AQ490" s="8"/>
      <c r="AR490" s="8">
        <f t="shared" si="66"/>
        <v>0</v>
      </c>
      <c r="AS490" s="8">
        <f t="shared" si="67"/>
        <v>950000</v>
      </c>
      <c r="AT490" s="8">
        <f t="shared" si="68"/>
        <v>50000</v>
      </c>
      <c r="AU490" s="8">
        <f t="shared" si="69"/>
        <v>950000</v>
      </c>
      <c r="AV490" s="4" t="s">
        <v>2219</v>
      </c>
      <c r="AW490" s="7" t="s">
        <v>2221</v>
      </c>
      <c r="AX490" s="5">
        <v>3150000</v>
      </c>
      <c r="AY490">
        <f t="shared" si="70"/>
        <v>500000</v>
      </c>
      <c r="AZ490">
        <f t="shared" si="71"/>
        <v>450000</v>
      </c>
      <c r="BA490" s="5">
        <v>4150000</v>
      </c>
      <c r="BB490" s="5">
        <v>150000</v>
      </c>
      <c r="BC490" s="4" t="s">
        <v>49</v>
      </c>
      <c r="BD490" s="4">
        <v>47112</v>
      </c>
      <c r="BE490" t="s">
        <v>54</v>
      </c>
    </row>
    <row r="491" spans="1:57" ht="270.75" thickBot="1" x14ac:dyDescent="0.3">
      <c r="A491" s="4" t="s">
        <v>2222</v>
      </c>
      <c r="B491" s="4">
        <v>1102</v>
      </c>
      <c r="C491" s="5">
        <v>2</v>
      </c>
      <c r="D491" s="4" t="s">
        <v>44</v>
      </c>
      <c r="E491" s="6">
        <v>46290.922879409722</v>
      </c>
      <c r="F491" s="4" t="s">
        <v>2223</v>
      </c>
      <c r="G491" s="4" t="s">
        <v>46</v>
      </c>
      <c r="H491" s="4">
        <v>53</v>
      </c>
      <c r="I491" s="4" t="s">
        <v>47</v>
      </c>
      <c r="J491" s="4">
        <v>5309</v>
      </c>
      <c r="K491" s="4" t="s">
        <v>48</v>
      </c>
      <c r="L491" s="4">
        <v>5309030</v>
      </c>
      <c r="M491" s="4">
        <v>5309030024</v>
      </c>
      <c r="N491" s="4" t="s">
        <v>49</v>
      </c>
      <c r="O491" s="4">
        <v>47112</v>
      </c>
      <c r="P491" s="4" t="s">
        <v>2224</v>
      </c>
      <c r="Q491" s="5">
        <v>1</v>
      </c>
      <c r="R491" s="5">
        <v>0</v>
      </c>
      <c r="S491" s="5">
        <v>24000000</v>
      </c>
      <c r="T491" s="5">
        <v>10800000</v>
      </c>
      <c r="U491" s="5">
        <v>1200000</v>
      </c>
      <c r="V491" s="5">
        <v>0</v>
      </c>
      <c r="W491" s="5">
        <v>36000000</v>
      </c>
      <c r="X491" s="5">
        <v>40000000</v>
      </c>
      <c r="Y491" s="5">
        <v>0</v>
      </c>
      <c r="Z491" s="5">
        <f t="shared" si="63"/>
        <v>4000000</v>
      </c>
      <c r="AA491" s="5">
        <v>0</v>
      </c>
      <c r="AB491" s="5">
        <f t="shared" si="64"/>
        <v>29200000</v>
      </c>
      <c r="AC491" s="5" t="s">
        <v>516</v>
      </c>
      <c r="AD491" s="4" t="s">
        <v>51</v>
      </c>
      <c r="AE491" s="5">
        <f t="shared" si="65"/>
        <v>0.13698630136986301</v>
      </c>
      <c r="AF491" s="5">
        <v>25200000</v>
      </c>
      <c r="AG491" s="4"/>
      <c r="AH491" s="4"/>
      <c r="AI491" s="5">
        <v>1</v>
      </c>
      <c r="AJ491" s="7" t="s">
        <v>2225</v>
      </c>
      <c r="AK491" s="5">
        <v>0</v>
      </c>
      <c r="AL491" s="5">
        <v>0</v>
      </c>
      <c r="AM491" s="4">
        <v>2026</v>
      </c>
      <c r="AN491" s="5">
        <v>0</v>
      </c>
      <c r="AO491" s="5">
        <v>1</v>
      </c>
      <c r="AP491" s="8"/>
      <c r="AQ491" s="8"/>
      <c r="AR491" s="8">
        <f t="shared" si="66"/>
        <v>0</v>
      </c>
      <c r="AS491" s="8">
        <f t="shared" si="67"/>
        <v>25200000</v>
      </c>
      <c r="AT491" s="8">
        <f t="shared" si="68"/>
        <v>4000000</v>
      </c>
      <c r="AU491" s="8">
        <f t="shared" si="69"/>
        <v>25200000</v>
      </c>
      <c r="AV491" s="4" t="s">
        <v>2224</v>
      </c>
      <c r="AW491" s="7" t="s">
        <v>2225</v>
      </c>
      <c r="AX491" s="5">
        <v>10800000</v>
      </c>
      <c r="AY491">
        <f t="shared" si="70"/>
        <v>24000000</v>
      </c>
      <c r="AZ491">
        <f t="shared" si="71"/>
        <v>1200000</v>
      </c>
      <c r="BA491" s="5">
        <v>40000000</v>
      </c>
      <c r="BB491" s="5">
        <v>0</v>
      </c>
      <c r="BC491" s="4" t="s">
        <v>49</v>
      </c>
      <c r="BD491" s="4">
        <v>47112</v>
      </c>
      <c r="BE491" t="s">
        <v>54</v>
      </c>
    </row>
    <row r="492" spans="1:57" ht="270.75" thickBot="1" x14ac:dyDescent="0.3">
      <c r="A492" s="4" t="s">
        <v>2226</v>
      </c>
      <c r="B492" s="4">
        <v>3001</v>
      </c>
      <c r="C492" s="5">
        <v>2</v>
      </c>
      <c r="D492" s="4" t="s">
        <v>44</v>
      </c>
      <c r="E492" s="6">
        <v>46253.303125347222</v>
      </c>
      <c r="F492" s="4" t="s">
        <v>2227</v>
      </c>
      <c r="G492" s="4" t="s">
        <v>46</v>
      </c>
      <c r="H492" s="4">
        <v>53</v>
      </c>
      <c r="I492" s="4" t="s">
        <v>47</v>
      </c>
      <c r="J492" s="4">
        <v>5309</v>
      </c>
      <c r="K492" s="4" t="s">
        <v>48</v>
      </c>
      <c r="L492" s="4">
        <v>5309010</v>
      </c>
      <c r="M492" s="4">
        <v>5309010002</v>
      </c>
      <c r="N492" s="4" t="s">
        <v>49</v>
      </c>
      <c r="O492" s="4">
        <v>47112</v>
      </c>
      <c r="P492" s="4" t="s">
        <v>2228</v>
      </c>
      <c r="Q492" s="5">
        <v>1</v>
      </c>
      <c r="R492" s="5">
        <v>0</v>
      </c>
      <c r="S492" s="5">
        <v>0</v>
      </c>
      <c r="T492" s="5">
        <v>3500000</v>
      </c>
      <c r="U492" s="5">
        <v>500000</v>
      </c>
      <c r="V492" s="5">
        <v>0</v>
      </c>
      <c r="W492" s="5">
        <v>4000000</v>
      </c>
      <c r="X492" s="5">
        <v>6500000</v>
      </c>
      <c r="Y492" s="5">
        <v>0</v>
      </c>
      <c r="Z492" s="5">
        <f t="shared" si="63"/>
        <v>2500000</v>
      </c>
      <c r="AA492" s="5">
        <v>4000000</v>
      </c>
      <c r="AB492" s="5">
        <f t="shared" si="64"/>
        <v>3000000</v>
      </c>
      <c r="AC492" s="5" t="s">
        <v>1141</v>
      </c>
      <c r="AD492" s="4" t="s">
        <v>51</v>
      </c>
      <c r="AE492" s="5">
        <f t="shared" si="65"/>
        <v>0.83333333333333337</v>
      </c>
      <c r="AF492" s="5">
        <v>3000000</v>
      </c>
      <c r="AG492" s="5">
        <v>1</v>
      </c>
      <c r="AH492" s="5">
        <v>1</v>
      </c>
      <c r="AI492" s="5">
        <v>1</v>
      </c>
      <c r="AJ492" s="7" t="s">
        <v>2229</v>
      </c>
      <c r="AK492" s="5">
        <v>0</v>
      </c>
      <c r="AL492" s="5">
        <v>0</v>
      </c>
      <c r="AM492" s="4">
        <v>2023</v>
      </c>
      <c r="AN492" s="5">
        <v>0</v>
      </c>
      <c r="AO492" s="5">
        <v>1</v>
      </c>
      <c r="AP492" s="8"/>
      <c r="AQ492" s="8"/>
      <c r="AR492" s="8">
        <f t="shared" si="66"/>
        <v>0</v>
      </c>
      <c r="AS492" s="8">
        <f t="shared" si="67"/>
        <v>500000</v>
      </c>
      <c r="AT492" s="8">
        <f t="shared" si="68"/>
        <v>2220000</v>
      </c>
      <c r="AU492" s="8">
        <f t="shared" si="69"/>
        <v>780000</v>
      </c>
      <c r="AV492" s="4" t="s">
        <v>2228</v>
      </c>
      <c r="AW492" s="7" t="s">
        <v>2229</v>
      </c>
      <c r="AX492" s="5">
        <v>3500000</v>
      </c>
      <c r="AY492">
        <f t="shared" si="70"/>
        <v>0</v>
      </c>
      <c r="AZ492">
        <f t="shared" si="71"/>
        <v>780000</v>
      </c>
      <c r="BA492" s="5">
        <v>6500000</v>
      </c>
      <c r="BB492" s="5">
        <v>0</v>
      </c>
      <c r="BC492" s="4" t="s">
        <v>49</v>
      </c>
      <c r="BD492" s="4">
        <v>47112</v>
      </c>
      <c r="BE492" t="s">
        <v>54</v>
      </c>
    </row>
    <row r="493" spans="1:57" ht="270.75" thickBot="1" x14ac:dyDescent="0.3">
      <c r="A493" s="4" t="s">
        <v>2230</v>
      </c>
      <c r="B493" s="4">
        <v>3001</v>
      </c>
      <c r="C493" s="5">
        <v>2</v>
      </c>
      <c r="D493" s="4" t="s">
        <v>44</v>
      </c>
      <c r="E493" s="6">
        <v>46290.922859803242</v>
      </c>
      <c r="F493" s="4" t="s">
        <v>2231</v>
      </c>
      <c r="G493" s="4" t="s">
        <v>46</v>
      </c>
      <c r="H493" s="4">
        <v>53</v>
      </c>
      <c r="I493" s="4" t="s">
        <v>47</v>
      </c>
      <c r="J493" s="4">
        <v>5309</v>
      </c>
      <c r="K493" s="4" t="s">
        <v>48</v>
      </c>
      <c r="L493" s="4">
        <v>5309030</v>
      </c>
      <c r="M493" s="4">
        <v>5309030022</v>
      </c>
      <c r="N493" s="4" t="s">
        <v>49</v>
      </c>
      <c r="O493" s="4">
        <v>47112</v>
      </c>
      <c r="P493" s="4" t="s">
        <v>2232</v>
      </c>
      <c r="Q493" s="5">
        <v>2</v>
      </c>
      <c r="R493" s="5">
        <v>0</v>
      </c>
      <c r="S493" s="5">
        <v>14400000</v>
      </c>
      <c r="T493" s="5">
        <v>0</v>
      </c>
      <c r="U493" s="5">
        <v>250000</v>
      </c>
      <c r="V493" s="5">
        <v>0</v>
      </c>
      <c r="W493" s="5">
        <v>14650000</v>
      </c>
      <c r="X493" s="5">
        <v>18720000</v>
      </c>
      <c r="Y493" s="5">
        <v>0</v>
      </c>
      <c r="Z493" s="5">
        <f t="shared" si="63"/>
        <v>4070000</v>
      </c>
      <c r="AA493" s="5">
        <v>2500000</v>
      </c>
      <c r="AB493" s="5">
        <f t="shared" si="64"/>
        <v>18720000</v>
      </c>
      <c r="AC493" s="5">
        <v>0</v>
      </c>
      <c r="AD493" s="4" t="s">
        <v>51</v>
      </c>
      <c r="AE493" s="5">
        <f t="shared" si="65"/>
        <v>0.21741452991452992</v>
      </c>
      <c r="AF493" s="5">
        <v>9360000</v>
      </c>
      <c r="AG493" s="5">
        <v>1</v>
      </c>
      <c r="AH493" s="5">
        <v>1</v>
      </c>
      <c r="AI493" s="5">
        <v>1</v>
      </c>
      <c r="AJ493" s="7" t="s">
        <v>2233</v>
      </c>
      <c r="AK493" s="5">
        <v>0</v>
      </c>
      <c r="AL493" s="5">
        <v>0</v>
      </c>
      <c r="AM493" s="4">
        <v>2013</v>
      </c>
      <c r="AN493" s="5">
        <v>0</v>
      </c>
      <c r="AO493" s="5">
        <v>2</v>
      </c>
      <c r="AP493" s="8"/>
      <c r="AQ493" s="8"/>
      <c r="AR493" s="8">
        <f t="shared" si="66"/>
        <v>0</v>
      </c>
      <c r="AS493" s="8">
        <f t="shared" si="67"/>
        <v>14650000</v>
      </c>
      <c r="AT493" s="8">
        <f t="shared" si="68"/>
        <v>4070000</v>
      </c>
      <c r="AU493" s="8">
        <f t="shared" si="69"/>
        <v>14650000</v>
      </c>
      <c r="AV493" s="4" t="s">
        <v>2232</v>
      </c>
      <c r="AW493" s="7" t="s">
        <v>2233</v>
      </c>
      <c r="AX493" s="5">
        <v>0</v>
      </c>
      <c r="AY493">
        <f t="shared" si="70"/>
        <v>14400000</v>
      </c>
      <c r="AZ493">
        <f t="shared" si="71"/>
        <v>250000</v>
      </c>
      <c r="BA493" s="5">
        <v>18720000</v>
      </c>
      <c r="BB493" s="5">
        <v>0</v>
      </c>
      <c r="BC493" s="4" t="s">
        <v>49</v>
      </c>
      <c r="BD493" s="4">
        <v>47112</v>
      </c>
      <c r="BE493" t="s">
        <v>54</v>
      </c>
    </row>
    <row r="494" spans="1:57" ht="270.75" thickBot="1" x14ac:dyDescent="0.3">
      <c r="A494" s="4" t="s">
        <v>2234</v>
      </c>
      <c r="B494" s="4">
        <v>1001</v>
      </c>
      <c r="C494" s="5">
        <v>2</v>
      </c>
      <c r="D494" s="4" t="s">
        <v>44</v>
      </c>
      <c r="E494" s="6">
        <v>46271.22212515046</v>
      </c>
      <c r="F494" s="4" t="s">
        <v>2235</v>
      </c>
      <c r="G494" s="4" t="s">
        <v>46</v>
      </c>
      <c r="H494" s="4">
        <v>53</v>
      </c>
      <c r="I494" s="4" t="s">
        <v>47</v>
      </c>
      <c r="J494" s="4">
        <v>5309</v>
      </c>
      <c r="K494" s="4" t="s">
        <v>48</v>
      </c>
      <c r="L494" s="4">
        <v>5309030</v>
      </c>
      <c r="M494" s="4">
        <v>5309030010</v>
      </c>
      <c r="N494" s="4" t="s">
        <v>49</v>
      </c>
      <c r="O494" s="4">
        <v>47112</v>
      </c>
      <c r="P494" s="4" t="s">
        <v>2236</v>
      </c>
      <c r="Q494" s="5">
        <v>1</v>
      </c>
      <c r="R494" s="5">
        <v>0</v>
      </c>
      <c r="S494" s="5">
        <v>10500000</v>
      </c>
      <c r="T494" s="5">
        <v>7250000</v>
      </c>
      <c r="U494" s="5">
        <v>500000</v>
      </c>
      <c r="V494" s="5">
        <v>0</v>
      </c>
      <c r="W494" s="5">
        <v>18250000</v>
      </c>
      <c r="X494" s="5">
        <v>35000000</v>
      </c>
      <c r="Y494" s="5">
        <v>0</v>
      </c>
      <c r="Z494" s="5">
        <f t="shared" si="63"/>
        <v>16750000</v>
      </c>
      <c r="AA494" s="5">
        <v>112000000</v>
      </c>
      <c r="AB494" s="5">
        <f t="shared" si="64"/>
        <v>27750000</v>
      </c>
      <c r="AC494" s="5" t="s">
        <v>2237</v>
      </c>
      <c r="AD494" s="4" t="s">
        <v>51</v>
      </c>
      <c r="AE494" s="5">
        <f t="shared" si="65"/>
        <v>0.60360360360360366</v>
      </c>
      <c r="AF494" s="5">
        <v>27750000</v>
      </c>
      <c r="AG494" s="5">
        <v>0</v>
      </c>
      <c r="AH494" s="5">
        <v>1</v>
      </c>
      <c r="AI494" s="5">
        <v>1</v>
      </c>
      <c r="AJ494" s="7" t="s">
        <v>2238</v>
      </c>
      <c r="AK494" s="5">
        <v>0</v>
      </c>
      <c r="AL494" s="5">
        <v>0</v>
      </c>
      <c r="AM494" s="4">
        <v>2024</v>
      </c>
      <c r="AN494" s="5">
        <v>0</v>
      </c>
      <c r="AO494" s="5">
        <v>1</v>
      </c>
      <c r="AP494" s="8"/>
      <c r="AQ494" s="8"/>
      <c r="AR494" s="8">
        <f t="shared" si="66"/>
        <v>0</v>
      </c>
      <c r="AS494" s="8">
        <f t="shared" si="67"/>
        <v>11000000</v>
      </c>
      <c r="AT494" s="8">
        <f t="shared" si="68"/>
        <v>16750000</v>
      </c>
      <c r="AU494" s="8">
        <f t="shared" si="69"/>
        <v>11000000</v>
      </c>
      <c r="AV494" s="4" t="s">
        <v>2236</v>
      </c>
      <c r="AW494" s="7" t="s">
        <v>2238</v>
      </c>
      <c r="AX494" s="5">
        <v>7250000</v>
      </c>
      <c r="AY494">
        <f t="shared" si="70"/>
        <v>10500000</v>
      </c>
      <c r="AZ494">
        <f t="shared" si="71"/>
        <v>500000</v>
      </c>
      <c r="BA494" s="5">
        <v>35000000</v>
      </c>
      <c r="BB494" s="5">
        <v>0</v>
      </c>
      <c r="BC494" s="4" t="s">
        <v>49</v>
      </c>
      <c r="BD494" s="4">
        <v>47112</v>
      </c>
      <c r="BE494" t="s">
        <v>54</v>
      </c>
    </row>
    <row r="495" spans="1:57" ht="270.75" thickBot="1" x14ac:dyDescent="0.3">
      <c r="A495" s="4" t="s">
        <v>2239</v>
      </c>
      <c r="B495" s="4">
        <v>1001</v>
      </c>
      <c r="C495" s="5">
        <v>2</v>
      </c>
      <c r="D495" s="4" t="s">
        <v>60</v>
      </c>
      <c r="E495" s="6">
        <v>46280.626368379628</v>
      </c>
      <c r="F495" s="4" t="s">
        <v>2240</v>
      </c>
      <c r="G495" s="4" t="s">
        <v>46</v>
      </c>
      <c r="H495" s="4">
        <v>53</v>
      </c>
      <c r="I495" s="4" t="s">
        <v>47</v>
      </c>
      <c r="J495" s="4">
        <v>5309</v>
      </c>
      <c r="K495" s="4" t="s">
        <v>48</v>
      </c>
      <c r="L495" s="4">
        <v>5309073</v>
      </c>
      <c r="M495" s="4">
        <v>5309073006</v>
      </c>
      <c r="N495" s="4" t="s">
        <v>49</v>
      </c>
      <c r="O495" s="4">
        <v>47112</v>
      </c>
      <c r="P495" s="4" t="s">
        <v>2241</v>
      </c>
      <c r="Q495" s="5">
        <v>1</v>
      </c>
      <c r="R495" s="5">
        <v>0</v>
      </c>
      <c r="S495" s="5">
        <v>350000</v>
      </c>
      <c r="T495" s="5">
        <v>9600000</v>
      </c>
      <c r="U495" s="5">
        <v>230000</v>
      </c>
      <c r="V495" s="5">
        <v>0</v>
      </c>
      <c r="W495" s="5">
        <v>10180000</v>
      </c>
      <c r="X495" s="5">
        <v>12000000</v>
      </c>
      <c r="Y495" s="5">
        <v>0</v>
      </c>
      <c r="Z495" s="5">
        <f t="shared" si="63"/>
        <v>1820000</v>
      </c>
      <c r="AA495" s="5">
        <v>12600000</v>
      </c>
      <c r="AB495" s="5">
        <f t="shared" si="64"/>
        <v>2400000</v>
      </c>
      <c r="AC495" s="10">
        <v>1411765</v>
      </c>
      <c r="AD495" s="4" t="s">
        <v>51</v>
      </c>
      <c r="AE495" s="5">
        <f t="shared" si="65"/>
        <v>0.7583333333333333</v>
      </c>
      <c r="AF495" s="5">
        <v>-2800000</v>
      </c>
      <c r="AG495" s="5">
        <v>1</v>
      </c>
      <c r="AH495" s="5">
        <v>1</v>
      </c>
      <c r="AI495" s="5">
        <v>1</v>
      </c>
      <c r="AJ495" s="7" t="s">
        <v>2242</v>
      </c>
      <c r="AK495" s="5">
        <v>0</v>
      </c>
      <c r="AL495" s="5">
        <v>0</v>
      </c>
      <c r="AM495" s="4">
        <v>2010</v>
      </c>
      <c r="AN495" s="5">
        <v>0</v>
      </c>
      <c r="AO495" s="5">
        <v>1</v>
      </c>
      <c r="AP495" s="8"/>
      <c r="AQ495" s="8"/>
      <c r="AR495" s="8">
        <f t="shared" si="66"/>
        <v>0</v>
      </c>
      <c r="AS495" s="8">
        <f t="shared" si="67"/>
        <v>580000</v>
      </c>
      <c r="AT495" s="8">
        <f t="shared" si="68"/>
        <v>1820000</v>
      </c>
      <c r="AU495" s="8">
        <f t="shared" si="69"/>
        <v>580000</v>
      </c>
      <c r="AV495" s="4" t="s">
        <v>2241</v>
      </c>
      <c r="AW495" s="7" t="s">
        <v>2242</v>
      </c>
      <c r="AX495" s="5">
        <v>9600000</v>
      </c>
      <c r="AY495">
        <f t="shared" si="70"/>
        <v>350000</v>
      </c>
      <c r="AZ495">
        <f t="shared" si="71"/>
        <v>230000</v>
      </c>
      <c r="BA495" s="5">
        <v>12000000</v>
      </c>
      <c r="BB495" s="5">
        <v>0</v>
      </c>
      <c r="BC495" s="4" t="s">
        <v>49</v>
      </c>
      <c r="BD495" s="4">
        <v>47112</v>
      </c>
      <c r="BE495" t="s">
        <v>54</v>
      </c>
    </row>
    <row r="496" spans="1:57" ht="270.75" thickBot="1" x14ac:dyDescent="0.3">
      <c r="A496" s="4" t="s">
        <v>2243</v>
      </c>
      <c r="B496" s="4">
        <v>1</v>
      </c>
      <c r="C496" s="5">
        <v>2</v>
      </c>
      <c r="D496" s="4" t="s">
        <v>44</v>
      </c>
      <c r="E496" s="6">
        <v>46253.380695532411</v>
      </c>
      <c r="F496" s="4" t="s">
        <v>2244</v>
      </c>
      <c r="G496" s="4" t="s">
        <v>46</v>
      </c>
      <c r="H496" s="4">
        <v>53</v>
      </c>
      <c r="I496" s="4" t="s">
        <v>47</v>
      </c>
      <c r="J496" s="4">
        <v>5309</v>
      </c>
      <c r="K496" s="4" t="s">
        <v>48</v>
      </c>
      <c r="L496" s="4">
        <v>5309074</v>
      </c>
      <c r="M496" s="4">
        <v>5309074004</v>
      </c>
      <c r="N496" s="4" t="s">
        <v>49</v>
      </c>
      <c r="O496" s="4">
        <v>47112</v>
      </c>
      <c r="P496" s="4" t="s">
        <v>2245</v>
      </c>
      <c r="Q496" s="5">
        <v>1</v>
      </c>
      <c r="R496" s="5">
        <v>0</v>
      </c>
      <c r="S496" s="5">
        <v>1000000</v>
      </c>
      <c r="T496" s="5">
        <v>10000000</v>
      </c>
      <c r="U496" s="5">
        <v>100000</v>
      </c>
      <c r="V496" s="5">
        <v>350000</v>
      </c>
      <c r="W496" s="5">
        <v>11450000</v>
      </c>
      <c r="X496" s="5">
        <v>12000000</v>
      </c>
      <c r="Y496" s="5">
        <v>0</v>
      </c>
      <c r="Z496" s="5">
        <f t="shared" si="63"/>
        <v>900000</v>
      </c>
      <c r="AA496" s="5">
        <v>23500000</v>
      </c>
      <c r="AB496" s="5">
        <f t="shared" si="64"/>
        <v>2000000</v>
      </c>
      <c r="AC496" s="5" t="s">
        <v>192</v>
      </c>
      <c r="AD496" s="4" t="s">
        <v>51</v>
      </c>
      <c r="AE496" s="5">
        <f t="shared" si="65"/>
        <v>0.45</v>
      </c>
      <c r="AF496" s="5">
        <v>2000000</v>
      </c>
      <c r="AG496" s="5">
        <v>1</v>
      </c>
      <c r="AH496" s="5">
        <v>1</v>
      </c>
      <c r="AI496" s="5">
        <v>1</v>
      </c>
      <c r="AJ496" s="7" t="s">
        <v>2246</v>
      </c>
      <c r="AK496" s="5">
        <v>0</v>
      </c>
      <c r="AL496" s="5">
        <v>0</v>
      </c>
      <c r="AM496" s="4">
        <v>2015</v>
      </c>
      <c r="AN496" s="5">
        <v>0</v>
      </c>
      <c r="AO496" s="5">
        <v>1</v>
      </c>
      <c r="AP496" s="8"/>
      <c r="AQ496" s="8"/>
      <c r="AR496" s="8">
        <f t="shared" si="66"/>
        <v>0</v>
      </c>
      <c r="AS496" s="8">
        <f t="shared" si="67"/>
        <v>1100000</v>
      </c>
      <c r="AT496" s="8">
        <f t="shared" si="68"/>
        <v>900000</v>
      </c>
      <c r="AU496" s="8">
        <f t="shared" si="69"/>
        <v>1100000</v>
      </c>
      <c r="AV496" s="4" t="s">
        <v>2245</v>
      </c>
      <c r="AW496" s="7" t="s">
        <v>2246</v>
      </c>
      <c r="AX496" s="5">
        <v>10000000</v>
      </c>
      <c r="AY496">
        <f t="shared" si="70"/>
        <v>1000000</v>
      </c>
      <c r="AZ496">
        <f t="shared" si="71"/>
        <v>100000</v>
      </c>
      <c r="BA496" s="5">
        <v>12000000</v>
      </c>
      <c r="BB496" s="5">
        <v>0</v>
      </c>
      <c r="BC496" s="4" t="s">
        <v>49</v>
      </c>
      <c r="BD496" s="4">
        <v>47112</v>
      </c>
      <c r="BE496" t="s">
        <v>54</v>
      </c>
    </row>
    <row r="497" spans="1:57" ht="270.75" thickBot="1" x14ac:dyDescent="0.3">
      <c r="A497" s="4" t="s">
        <v>2247</v>
      </c>
      <c r="B497" s="4">
        <v>2001</v>
      </c>
      <c r="C497" s="5">
        <v>2</v>
      </c>
      <c r="D497" s="4" t="s">
        <v>44</v>
      </c>
      <c r="E497" s="6">
        <v>46253.880061932869</v>
      </c>
      <c r="F497" s="4" t="s">
        <v>2248</v>
      </c>
      <c r="G497" s="4" t="s">
        <v>46</v>
      </c>
      <c r="H497" s="4">
        <v>53</v>
      </c>
      <c r="I497" s="4" t="s">
        <v>47</v>
      </c>
      <c r="J497" s="4">
        <v>5309</v>
      </c>
      <c r="K497" s="4" t="s">
        <v>48</v>
      </c>
      <c r="L497" s="4">
        <v>5309041</v>
      </c>
      <c r="M497" s="4">
        <v>5309041006</v>
      </c>
      <c r="N497" s="4" t="s">
        <v>49</v>
      </c>
      <c r="O497" s="4">
        <v>47112</v>
      </c>
      <c r="P497" s="4" t="s">
        <v>2249</v>
      </c>
      <c r="Q497" s="5">
        <v>5</v>
      </c>
      <c r="R497" s="5">
        <v>12000000</v>
      </c>
      <c r="S497" s="5">
        <v>1000000</v>
      </c>
      <c r="T497" s="5">
        <v>288000000</v>
      </c>
      <c r="U497" s="5">
        <v>960000</v>
      </c>
      <c r="V497" s="5">
        <v>0</v>
      </c>
      <c r="W497" s="5">
        <v>301960000</v>
      </c>
      <c r="X497" s="5">
        <v>576000000</v>
      </c>
      <c r="Y497" s="5">
        <v>0</v>
      </c>
      <c r="Z497" s="5">
        <f t="shared" si="63"/>
        <v>286040000</v>
      </c>
      <c r="AA497" s="5">
        <v>100000000</v>
      </c>
      <c r="AB497" s="5">
        <f t="shared" si="64"/>
        <v>288000000</v>
      </c>
      <c r="AC497" s="5" t="s">
        <v>93</v>
      </c>
      <c r="AD497" s="4" t="s">
        <v>51</v>
      </c>
      <c r="AE497" s="5">
        <f t="shared" si="65"/>
        <v>0.99319444444444449</v>
      </c>
      <c r="AF497" s="5">
        <v>57600000</v>
      </c>
      <c r="AG497" s="5">
        <v>1</v>
      </c>
      <c r="AH497" s="5">
        <v>1</v>
      </c>
      <c r="AI497" s="5">
        <v>1</v>
      </c>
      <c r="AJ497" s="7" t="s">
        <v>2250</v>
      </c>
      <c r="AK497" s="5">
        <v>0</v>
      </c>
      <c r="AL497" s="5">
        <v>0</v>
      </c>
      <c r="AM497" s="4">
        <v>1994</v>
      </c>
      <c r="AN497" s="5">
        <v>2</v>
      </c>
      <c r="AO497" s="5">
        <v>3</v>
      </c>
      <c r="AP497" s="8"/>
      <c r="AQ497" s="8"/>
      <c r="AR497" s="8">
        <f t="shared" si="66"/>
        <v>0</v>
      </c>
      <c r="AS497" s="8">
        <f t="shared" si="67"/>
        <v>1960000</v>
      </c>
      <c r="AT497" s="8">
        <f t="shared" si="68"/>
        <v>213120000</v>
      </c>
      <c r="AU497" s="8">
        <f t="shared" si="69"/>
        <v>74880000</v>
      </c>
      <c r="AV497" s="4" t="s">
        <v>2249</v>
      </c>
      <c r="AW497" s="7" t="s">
        <v>2250</v>
      </c>
      <c r="AX497" s="5">
        <v>288000000</v>
      </c>
      <c r="AY497">
        <f t="shared" si="70"/>
        <v>38204081.632653058</v>
      </c>
      <c r="AZ497">
        <f t="shared" si="71"/>
        <v>36675918.367346942</v>
      </c>
      <c r="BA497" s="5">
        <v>576000000</v>
      </c>
      <c r="BB497" s="5">
        <v>0</v>
      </c>
      <c r="BC497" s="4" t="s">
        <v>49</v>
      </c>
      <c r="BD497" s="4">
        <v>47112</v>
      </c>
      <c r="BE497" t="s">
        <v>54</v>
      </c>
    </row>
    <row r="498" spans="1:57" ht="270.75" thickBot="1" x14ac:dyDescent="0.3">
      <c r="A498" s="4" t="s">
        <v>2251</v>
      </c>
      <c r="B498" s="4">
        <v>1002</v>
      </c>
      <c r="C498" s="5">
        <v>2</v>
      </c>
      <c r="D498" s="4" t="s">
        <v>44</v>
      </c>
      <c r="E498" s="6">
        <v>46213.932048692128</v>
      </c>
      <c r="F498" s="4" t="s">
        <v>2252</v>
      </c>
      <c r="G498" s="4" t="s">
        <v>46</v>
      </c>
      <c r="H498" s="4">
        <v>53</v>
      </c>
      <c r="I498" s="4" t="s">
        <v>47</v>
      </c>
      <c r="J498" s="4">
        <v>5309</v>
      </c>
      <c r="K498" s="4" t="s">
        <v>48</v>
      </c>
      <c r="L498" s="4">
        <v>5309072</v>
      </c>
      <c r="M498" s="4">
        <v>5309072004</v>
      </c>
      <c r="N498" s="4" t="s">
        <v>49</v>
      </c>
      <c r="O498" s="4">
        <v>47112</v>
      </c>
      <c r="P498" s="4" t="s">
        <v>2253</v>
      </c>
      <c r="Q498" s="5">
        <v>1</v>
      </c>
      <c r="R498" s="5">
        <v>0</v>
      </c>
      <c r="S498" s="5">
        <v>150000</v>
      </c>
      <c r="T498" s="5">
        <v>12000000</v>
      </c>
      <c r="U498" s="5">
        <v>562000</v>
      </c>
      <c r="V498" s="5">
        <v>0</v>
      </c>
      <c r="W498" s="5">
        <v>12712000</v>
      </c>
      <c r="X498" s="5">
        <v>15300000</v>
      </c>
      <c r="Y498" s="5">
        <v>0</v>
      </c>
      <c r="Z498" s="5">
        <f t="shared" si="63"/>
        <v>2588000</v>
      </c>
      <c r="AA498" s="5">
        <v>15000000</v>
      </c>
      <c r="AB498" s="5">
        <f t="shared" si="64"/>
        <v>3300000</v>
      </c>
      <c r="AC498" s="5" t="s">
        <v>420</v>
      </c>
      <c r="AD498" s="4" t="s">
        <v>51</v>
      </c>
      <c r="AE498" s="5">
        <f t="shared" si="65"/>
        <v>0.7842424242424243</v>
      </c>
      <c r="AF498" s="5">
        <v>3300000</v>
      </c>
      <c r="AG498" s="5">
        <v>0</v>
      </c>
      <c r="AH498" s="5">
        <v>1</v>
      </c>
      <c r="AI498" s="5">
        <v>1</v>
      </c>
      <c r="AJ498" s="7" t="s">
        <v>2254</v>
      </c>
      <c r="AK498" s="5">
        <v>0</v>
      </c>
      <c r="AL498" s="5">
        <v>0</v>
      </c>
      <c r="AM498" s="4">
        <v>2018</v>
      </c>
      <c r="AN498" s="5">
        <v>0</v>
      </c>
      <c r="AO498" s="5">
        <v>1</v>
      </c>
      <c r="AP498" s="8"/>
      <c r="AQ498" s="8"/>
      <c r="AR498" s="8">
        <f t="shared" si="66"/>
        <v>0</v>
      </c>
      <c r="AS498" s="8">
        <f t="shared" si="67"/>
        <v>712000</v>
      </c>
      <c r="AT498" s="8">
        <f t="shared" si="68"/>
        <v>2442000</v>
      </c>
      <c r="AU498" s="8">
        <f t="shared" si="69"/>
        <v>858000</v>
      </c>
      <c r="AV498" s="4" t="s">
        <v>2253</v>
      </c>
      <c r="AW498" s="7" t="s">
        <v>2254</v>
      </c>
      <c r="AX498" s="5">
        <v>12000000</v>
      </c>
      <c r="AY498">
        <f t="shared" si="70"/>
        <v>180758.42696629209</v>
      </c>
      <c r="AZ498">
        <f t="shared" si="71"/>
        <v>677241.57303370791</v>
      </c>
      <c r="BA498" s="5">
        <v>15300000</v>
      </c>
      <c r="BB498" s="5">
        <v>0</v>
      </c>
      <c r="BC498" s="4" t="s">
        <v>49</v>
      </c>
      <c r="BD498" s="4">
        <v>47112</v>
      </c>
      <c r="BE498" t="s">
        <v>54</v>
      </c>
    </row>
    <row r="499" spans="1:57" ht="270.75" thickBot="1" x14ac:dyDescent="0.3">
      <c r="A499" s="4" t="s">
        <v>2255</v>
      </c>
      <c r="B499" s="4">
        <v>3002</v>
      </c>
      <c r="C499" s="5">
        <v>2</v>
      </c>
      <c r="D499" s="4" t="s">
        <v>60</v>
      </c>
      <c r="E499" s="6">
        <v>46280.622213634262</v>
      </c>
      <c r="F499" s="4" t="s">
        <v>2256</v>
      </c>
      <c r="G499" s="4" t="s">
        <v>46</v>
      </c>
      <c r="H499" s="4">
        <v>53</v>
      </c>
      <c r="I499" s="4" t="s">
        <v>47</v>
      </c>
      <c r="J499" s="4">
        <v>5309</v>
      </c>
      <c r="K499" s="4" t="s">
        <v>48</v>
      </c>
      <c r="L499" s="4">
        <v>5309010</v>
      </c>
      <c r="M499" s="4">
        <v>5309010010</v>
      </c>
      <c r="N499" s="4" t="s">
        <v>49</v>
      </c>
      <c r="O499" s="4">
        <v>47112</v>
      </c>
      <c r="P499" s="4" t="s">
        <v>2257</v>
      </c>
      <c r="Q499" s="5">
        <v>1</v>
      </c>
      <c r="R499" s="5">
        <v>0</v>
      </c>
      <c r="S499" s="5">
        <v>0</v>
      </c>
      <c r="T499" s="5">
        <v>3000000</v>
      </c>
      <c r="U499" s="5">
        <v>70000</v>
      </c>
      <c r="V499" s="5">
        <v>0</v>
      </c>
      <c r="W499" s="5">
        <v>3070000</v>
      </c>
      <c r="X499" s="5">
        <v>4300000</v>
      </c>
      <c r="Y499" s="5">
        <v>5000000</v>
      </c>
      <c r="Z499" s="5">
        <f t="shared" si="63"/>
        <v>1230000</v>
      </c>
      <c r="AA499" s="5">
        <v>80000000</v>
      </c>
      <c r="AB499" s="5">
        <f t="shared" si="64"/>
        <v>1300000</v>
      </c>
      <c r="AC499" s="5" t="s">
        <v>1140</v>
      </c>
      <c r="AD499" s="4" t="s">
        <v>51</v>
      </c>
      <c r="AE499" s="5">
        <f t="shared" si="65"/>
        <v>0.94615384615384612</v>
      </c>
      <c r="AF499" s="5">
        <v>1300000</v>
      </c>
      <c r="AG499" s="5">
        <v>1</v>
      </c>
      <c r="AH499" s="5">
        <v>1</v>
      </c>
      <c r="AI499" s="5">
        <v>1</v>
      </c>
      <c r="AJ499" s="7" t="s">
        <v>2258</v>
      </c>
      <c r="AK499" s="5">
        <v>0</v>
      </c>
      <c r="AL499" s="5">
        <v>0</v>
      </c>
      <c r="AM499" s="4">
        <v>2021</v>
      </c>
      <c r="AN499" s="5">
        <v>0</v>
      </c>
      <c r="AO499" s="5">
        <v>1</v>
      </c>
      <c r="AP499" s="8"/>
      <c r="AQ499" s="8"/>
      <c r="AR499" s="8">
        <f t="shared" si="66"/>
        <v>0</v>
      </c>
      <c r="AS499" s="8">
        <f t="shared" si="67"/>
        <v>70000</v>
      </c>
      <c r="AT499" s="8">
        <f t="shared" si="68"/>
        <v>962000</v>
      </c>
      <c r="AU499" s="8">
        <f t="shared" si="69"/>
        <v>338000</v>
      </c>
      <c r="AV499" s="4" t="s">
        <v>2257</v>
      </c>
      <c r="AW499" s="7" t="s">
        <v>2258</v>
      </c>
      <c r="AX499" s="5">
        <v>3000000</v>
      </c>
      <c r="AY499">
        <f t="shared" si="70"/>
        <v>0</v>
      </c>
      <c r="AZ499">
        <f t="shared" si="71"/>
        <v>338000</v>
      </c>
      <c r="BA499" s="5">
        <v>4300000</v>
      </c>
      <c r="BB499" s="5">
        <v>5000000</v>
      </c>
      <c r="BC499" s="4" t="s">
        <v>49</v>
      </c>
      <c r="BD499" s="4">
        <v>47112</v>
      </c>
      <c r="BE499" t="s">
        <v>54</v>
      </c>
    </row>
    <row r="500" spans="1:57" ht="270.75" thickBot="1" x14ac:dyDescent="0.3">
      <c r="A500" s="4" t="s">
        <v>2259</v>
      </c>
      <c r="B500" s="4">
        <v>1001</v>
      </c>
      <c r="C500" s="5">
        <v>2</v>
      </c>
      <c r="D500" s="4" t="s">
        <v>44</v>
      </c>
      <c r="E500" s="6">
        <v>46278.46212837963</v>
      </c>
      <c r="F500" s="4" t="s">
        <v>2260</v>
      </c>
      <c r="G500" s="4" t="s">
        <v>46</v>
      </c>
      <c r="H500" s="4">
        <v>53</v>
      </c>
      <c r="I500" s="4" t="s">
        <v>47</v>
      </c>
      <c r="J500" s="4">
        <v>5309</v>
      </c>
      <c r="K500" s="4" t="s">
        <v>48</v>
      </c>
      <c r="L500" s="4">
        <v>5309030</v>
      </c>
      <c r="M500" s="4">
        <v>5309030011</v>
      </c>
      <c r="N500" s="4" t="s">
        <v>49</v>
      </c>
      <c r="O500" s="4">
        <v>47112</v>
      </c>
      <c r="P500" s="4" t="s">
        <v>2261</v>
      </c>
      <c r="Q500" s="5">
        <v>1</v>
      </c>
      <c r="R500" s="5">
        <v>0</v>
      </c>
      <c r="S500" s="5">
        <v>5500000</v>
      </c>
      <c r="T500" s="5">
        <v>3500000</v>
      </c>
      <c r="U500" s="5">
        <v>350000</v>
      </c>
      <c r="V500" s="5">
        <v>0</v>
      </c>
      <c r="W500" s="5">
        <v>9350000</v>
      </c>
      <c r="X500" s="5">
        <v>16000000</v>
      </c>
      <c r="Y500" s="5">
        <v>0</v>
      </c>
      <c r="Z500" s="5">
        <f t="shared" si="63"/>
        <v>6650000</v>
      </c>
      <c r="AA500" s="5">
        <v>2000000</v>
      </c>
      <c r="AB500" s="5">
        <f t="shared" si="64"/>
        <v>12500000</v>
      </c>
      <c r="AC500" s="5" t="s">
        <v>2262</v>
      </c>
      <c r="AD500" s="4" t="s">
        <v>51</v>
      </c>
      <c r="AE500" s="5">
        <f t="shared" si="65"/>
        <v>0.53200000000000003</v>
      </c>
      <c r="AF500" s="5">
        <v>12500000</v>
      </c>
      <c r="AG500" s="5">
        <v>1</v>
      </c>
      <c r="AH500" s="5">
        <v>1</v>
      </c>
      <c r="AI500" s="5">
        <v>1</v>
      </c>
      <c r="AJ500" s="7" t="s">
        <v>2263</v>
      </c>
      <c r="AK500" s="5">
        <v>0</v>
      </c>
      <c r="AL500" s="5">
        <v>0</v>
      </c>
      <c r="AM500" s="4">
        <v>2009</v>
      </c>
      <c r="AN500" s="5">
        <v>0</v>
      </c>
      <c r="AO500" s="5">
        <v>1</v>
      </c>
      <c r="AP500" s="8"/>
      <c r="AQ500" s="8"/>
      <c r="AR500" s="8">
        <f t="shared" si="66"/>
        <v>0</v>
      </c>
      <c r="AS500" s="8">
        <f t="shared" si="67"/>
        <v>5850000</v>
      </c>
      <c r="AT500" s="8">
        <f t="shared" si="68"/>
        <v>6650000</v>
      </c>
      <c r="AU500" s="8">
        <f t="shared" si="69"/>
        <v>5850000</v>
      </c>
      <c r="AV500" s="4" t="s">
        <v>2261</v>
      </c>
      <c r="AW500" s="7" t="s">
        <v>2263</v>
      </c>
      <c r="AX500" s="5">
        <v>3500000</v>
      </c>
      <c r="AY500">
        <f t="shared" si="70"/>
        <v>5500000</v>
      </c>
      <c r="AZ500">
        <f t="shared" si="71"/>
        <v>350000</v>
      </c>
      <c r="BA500" s="5">
        <v>16000000</v>
      </c>
      <c r="BB500" s="5">
        <v>0</v>
      </c>
      <c r="BC500" s="4" t="s">
        <v>49</v>
      </c>
      <c r="BD500" s="4">
        <v>47112</v>
      </c>
      <c r="BE500" t="s">
        <v>54</v>
      </c>
    </row>
    <row r="501" spans="1:57" ht="270.75" thickBot="1" x14ac:dyDescent="0.3">
      <c r="A501" s="4" t="s">
        <v>2264</v>
      </c>
      <c r="B501" s="4">
        <v>1001</v>
      </c>
      <c r="C501" s="5">
        <v>2</v>
      </c>
      <c r="D501" s="4" t="s">
        <v>56</v>
      </c>
      <c r="E501" s="6">
        <v>46315.101604791664</v>
      </c>
      <c r="F501" s="4" t="s">
        <v>2265</v>
      </c>
      <c r="G501" s="4" t="s">
        <v>46</v>
      </c>
      <c r="H501" s="4">
        <v>53</v>
      </c>
      <c r="I501" s="4" t="s">
        <v>47</v>
      </c>
      <c r="J501" s="4">
        <v>5309</v>
      </c>
      <c r="K501" s="4" t="s">
        <v>48</v>
      </c>
      <c r="L501" s="4">
        <v>5309060</v>
      </c>
      <c r="M501" s="4">
        <v>5309060017</v>
      </c>
      <c r="N501" s="4" t="s">
        <v>49</v>
      </c>
      <c r="O501" s="4">
        <v>47112</v>
      </c>
      <c r="P501" s="4" t="s">
        <v>449</v>
      </c>
      <c r="Q501" s="5">
        <v>1</v>
      </c>
      <c r="R501" s="5">
        <v>0</v>
      </c>
      <c r="S501" s="5">
        <v>0</v>
      </c>
      <c r="T501" s="5">
        <v>7200000</v>
      </c>
      <c r="U501" s="5">
        <v>200000</v>
      </c>
      <c r="V501" s="5">
        <v>0</v>
      </c>
      <c r="W501" s="5">
        <v>7400000</v>
      </c>
      <c r="X501" s="5">
        <v>10800000</v>
      </c>
      <c r="Y501" s="5">
        <v>0</v>
      </c>
      <c r="Z501" s="5">
        <f t="shared" si="63"/>
        <v>3400000</v>
      </c>
      <c r="AA501" s="5">
        <v>0</v>
      </c>
      <c r="AB501" s="5">
        <f t="shared" si="64"/>
        <v>3600000</v>
      </c>
      <c r="AC501" s="5" t="s">
        <v>102</v>
      </c>
      <c r="AD501" s="4" t="s">
        <v>51</v>
      </c>
      <c r="AE501" s="5">
        <f t="shared" si="65"/>
        <v>0.94444444444444442</v>
      </c>
      <c r="AF501" s="5">
        <v>3600000</v>
      </c>
      <c r="AG501" s="4"/>
      <c r="AH501" s="5">
        <v>1</v>
      </c>
      <c r="AI501" s="5">
        <v>1</v>
      </c>
      <c r="AJ501" s="7" t="s">
        <v>2266</v>
      </c>
      <c r="AK501" s="5">
        <v>0</v>
      </c>
      <c r="AL501" s="5">
        <v>0</v>
      </c>
      <c r="AM501" s="4">
        <v>2023</v>
      </c>
      <c r="AN501" s="5">
        <v>0</v>
      </c>
      <c r="AO501" s="5">
        <v>1</v>
      </c>
      <c r="AP501" s="8"/>
      <c r="AQ501" s="8"/>
      <c r="AR501" s="8">
        <f t="shared" si="66"/>
        <v>0</v>
      </c>
      <c r="AS501" s="8">
        <f t="shared" si="67"/>
        <v>200000</v>
      </c>
      <c r="AT501" s="8">
        <f t="shared" si="68"/>
        <v>2664000</v>
      </c>
      <c r="AU501" s="8">
        <f t="shared" si="69"/>
        <v>936000</v>
      </c>
      <c r="AV501" s="4" t="s">
        <v>449</v>
      </c>
      <c r="AW501" s="7" t="s">
        <v>2266</v>
      </c>
      <c r="AX501" s="5">
        <v>7200000</v>
      </c>
      <c r="AY501">
        <f t="shared" si="70"/>
        <v>0</v>
      </c>
      <c r="AZ501">
        <f t="shared" si="71"/>
        <v>936000</v>
      </c>
      <c r="BA501" s="5">
        <v>10800000</v>
      </c>
      <c r="BB501" s="5">
        <v>0</v>
      </c>
      <c r="BC501" s="4" t="s">
        <v>49</v>
      </c>
      <c r="BD501" s="4">
        <v>47112</v>
      </c>
      <c r="BE501" t="s">
        <v>54</v>
      </c>
    </row>
    <row r="502" spans="1:57" ht="270.75" thickBot="1" x14ac:dyDescent="0.3">
      <c r="A502" s="4" t="s">
        <v>2267</v>
      </c>
      <c r="B502" s="4">
        <v>1</v>
      </c>
      <c r="C502" s="5">
        <v>2</v>
      </c>
      <c r="D502" s="4" t="s">
        <v>60</v>
      </c>
      <c r="E502" s="6">
        <v>46280.610094201387</v>
      </c>
      <c r="F502" s="4" t="s">
        <v>2268</v>
      </c>
      <c r="G502" s="4" t="s">
        <v>46</v>
      </c>
      <c r="H502" s="4">
        <v>53</v>
      </c>
      <c r="I502" s="4" t="s">
        <v>47</v>
      </c>
      <c r="J502" s="4">
        <v>5309</v>
      </c>
      <c r="K502" s="4" t="s">
        <v>48</v>
      </c>
      <c r="L502" s="4">
        <v>5309010</v>
      </c>
      <c r="M502" s="4">
        <v>5309010003</v>
      </c>
      <c r="N502" s="4" t="s">
        <v>49</v>
      </c>
      <c r="O502" s="4">
        <v>47112</v>
      </c>
      <c r="P502" s="4" t="s">
        <v>2269</v>
      </c>
      <c r="Q502" s="5">
        <v>1</v>
      </c>
      <c r="R502" s="5">
        <v>0</v>
      </c>
      <c r="S502" s="5">
        <v>500000</v>
      </c>
      <c r="T502" s="5">
        <v>6000000</v>
      </c>
      <c r="U502" s="5">
        <v>1920000</v>
      </c>
      <c r="V502" s="5">
        <v>1000000</v>
      </c>
      <c r="W502" s="5">
        <v>9420000</v>
      </c>
      <c r="X502" s="5">
        <v>10000000</v>
      </c>
      <c r="Y502" s="5">
        <v>0</v>
      </c>
      <c r="Z502" s="5">
        <f t="shared" si="63"/>
        <v>1580000</v>
      </c>
      <c r="AA502" s="5">
        <v>10000000</v>
      </c>
      <c r="AB502" s="5">
        <f t="shared" si="64"/>
        <v>4000000</v>
      </c>
      <c r="AC502" s="5" t="s">
        <v>255</v>
      </c>
      <c r="AD502" s="4" t="s">
        <v>51</v>
      </c>
      <c r="AE502" s="5">
        <f t="shared" si="65"/>
        <v>0.39500000000000002</v>
      </c>
      <c r="AF502" s="5">
        <v>2000000</v>
      </c>
      <c r="AG502" s="5">
        <v>0</v>
      </c>
      <c r="AH502" s="5">
        <v>1</v>
      </c>
      <c r="AI502" s="5">
        <v>1</v>
      </c>
      <c r="AJ502" s="7" t="s">
        <v>2270</v>
      </c>
      <c r="AK502" s="5">
        <v>0</v>
      </c>
      <c r="AL502" s="5">
        <v>0</v>
      </c>
      <c r="AM502" s="4">
        <v>2015</v>
      </c>
      <c r="AN502" s="5">
        <v>0</v>
      </c>
      <c r="AO502" s="5">
        <v>1</v>
      </c>
      <c r="AP502" s="8"/>
      <c r="AQ502" s="8"/>
      <c r="AR502" s="8">
        <f t="shared" si="66"/>
        <v>0</v>
      </c>
      <c r="AS502" s="8">
        <f t="shared" si="67"/>
        <v>2420000</v>
      </c>
      <c r="AT502" s="8">
        <f t="shared" si="68"/>
        <v>1580000</v>
      </c>
      <c r="AU502" s="8">
        <f t="shared" si="69"/>
        <v>2420000</v>
      </c>
      <c r="AV502" s="4" t="s">
        <v>2269</v>
      </c>
      <c r="AW502" s="7" t="s">
        <v>2270</v>
      </c>
      <c r="AX502" s="5">
        <v>6000000</v>
      </c>
      <c r="AY502">
        <f t="shared" si="70"/>
        <v>500000</v>
      </c>
      <c r="AZ502">
        <f t="shared" si="71"/>
        <v>1920000</v>
      </c>
      <c r="BA502" s="5">
        <v>10000000</v>
      </c>
      <c r="BB502" s="5">
        <v>0</v>
      </c>
      <c r="BC502" s="4" t="s">
        <v>49</v>
      </c>
      <c r="BD502" s="4">
        <v>47112</v>
      </c>
      <c r="BE502" t="s">
        <v>54</v>
      </c>
    </row>
    <row r="503" spans="1:57" ht="270.75" thickBot="1" x14ac:dyDescent="0.3">
      <c r="A503" s="4" t="s">
        <v>2271</v>
      </c>
      <c r="B503" s="4">
        <v>1101</v>
      </c>
      <c r="C503" s="5">
        <v>2</v>
      </c>
      <c r="D503" s="4" t="s">
        <v>44</v>
      </c>
      <c r="E503" s="6">
        <v>46261.121254583333</v>
      </c>
      <c r="F503" s="4" t="s">
        <v>2272</v>
      </c>
      <c r="G503" s="4" t="s">
        <v>46</v>
      </c>
      <c r="H503" s="4">
        <v>53</v>
      </c>
      <c r="I503" s="4" t="s">
        <v>47</v>
      </c>
      <c r="J503" s="4">
        <v>5309</v>
      </c>
      <c r="K503" s="4" t="s">
        <v>48</v>
      </c>
      <c r="L503" s="4">
        <v>5309072</v>
      </c>
      <c r="M503" s="4">
        <v>5309072010</v>
      </c>
      <c r="N503" s="4" t="s">
        <v>49</v>
      </c>
      <c r="O503" s="4">
        <v>47112</v>
      </c>
      <c r="P503" s="4" t="s">
        <v>2273</v>
      </c>
      <c r="Q503" s="5">
        <v>3</v>
      </c>
      <c r="R503" s="5">
        <v>0</v>
      </c>
      <c r="S503" s="5">
        <v>1200000</v>
      </c>
      <c r="T503" s="5">
        <v>288000000</v>
      </c>
      <c r="U503" s="5">
        <v>1200000</v>
      </c>
      <c r="V503" s="5">
        <v>0</v>
      </c>
      <c r="W503" s="5">
        <v>290400000</v>
      </c>
      <c r="X503" s="5">
        <v>403200000</v>
      </c>
      <c r="Y503" s="5">
        <v>0</v>
      </c>
      <c r="Z503" s="5">
        <f t="shared" si="63"/>
        <v>112800000</v>
      </c>
      <c r="AA503" s="5">
        <v>0</v>
      </c>
      <c r="AB503" s="5">
        <f t="shared" si="64"/>
        <v>115200000</v>
      </c>
      <c r="AC503" s="5" t="s">
        <v>454</v>
      </c>
      <c r="AD503" s="4" t="s">
        <v>51</v>
      </c>
      <c r="AE503" s="5">
        <f t="shared" si="65"/>
        <v>0.97916666666666663</v>
      </c>
      <c r="AF503" s="5">
        <v>38400000</v>
      </c>
      <c r="AG503" s="4"/>
      <c r="AH503" s="5">
        <v>1</v>
      </c>
      <c r="AI503" s="5">
        <v>1</v>
      </c>
      <c r="AJ503" s="7" t="s">
        <v>2274</v>
      </c>
      <c r="AK503" s="5">
        <v>0</v>
      </c>
      <c r="AL503" s="5">
        <v>0</v>
      </c>
      <c r="AM503" s="4">
        <v>2026</v>
      </c>
      <c r="AN503" s="5">
        <v>0</v>
      </c>
      <c r="AO503" s="5">
        <v>3</v>
      </c>
      <c r="AP503" s="8"/>
      <c r="AQ503" s="8"/>
      <c r="AR503" s="8">
        <f t="shared" si="66"/>
        <v>0</v>
      </c>
      <c r="AS503" s="8">
        <f t="shared" si="67"/>
        <v>2400000</v>
      </c>
      <c r="AT503" s="8">
        <f t="shared" si="68"/>
        <v>85248000</v>
      </c>
      <c r="AU503" s="8">
        <f t="shared" si="69"/>
        <v>29952000</v>
      </c>
      <c r="AV503" s="4" t="s">
        <v>2273</v>
      </c>
      <c r="AW503" s="7" t="s">
        <v>2274</v>
      </c>
      <c r="AX503" s="5">
        <v>288000000</v>
      </c>
      <c r="AY503">
        <f t="shared" si="70"/>
        <v>14976000</v>
      </c>
      <c r="AZ503">
        <f t="shared" si="71"/>
        <v>14976000</v>
      </c>
      <c r="BA503" s="5">
        <v>403200000</v>
      </c>
      <c r="BB503" s="5">
        <v>0</v>
      </c>
      <c r="BC503" s="4" t="s">
        <v>49</v>
      </c>
      <c r="BD503" s="4">
        <v>47112</v>
      </c>
      <c r="BE503" t="s">
        <v>54</v>
      </c>
    </row>
    <row r="504" spans="1:57" ht="270.75" thickBot="1" x14ac:dyDescent="0.3">
      <c r="A504" s="4" t="s">
        <v>2275</v>
      </c>
      <c r="B504" s="4">
        <v>1</v>
      </c>
      <c r="C504" s="5">
        <v>2</v>
      </c>
      <c r="D504" s="4" t="s">
        <v>44</v>
      </c>
      <c r="E504" s="6">
        <v>46254.250392083333</v>
      </c>
      <c r="F504" s="4" t="s">
        <v>2276</v>
      </c>
      <c r="G504" s="4" t="s">
        <v>46</v>
      </c>
      <c r="H504" s="4">
        <v>53</v>
      </c>
      <c r="I504" s="4" t="s">
        <v>47</v>
      </c>
      <c r="J504" s="4">
        <v>5309</v>
      </c>
      <c r="K504" s="4" t="s">
        <v>48</v>
      </c>
      <c r="L504" s="4">
        <v>5309030</v>
      </c>
      <c r="M504" s="4">
        <v>5309030017</v>
      </c>
      <c r="N504" s="4" t="s">
        <v>49</v>
      </c>
      <c r="O504" s="4">
        <v>47112</v>
      </c>
      <c r="P504" s="4" t="s">
        <v>2277</v>
      </c>
      <c r="Q504" s="5">
        <v>1</v>
      </c>
      <c r="R504" s="5">
        <v>0</v>
      </c>
      <c r="S504" s="5">
        <v>0</v>
      </c>
      <c r="T504" s="5">
        <v>7585000</v>
      </c>
      <c r="U504" s="5">
        <v>10000000</v>
      </c>
      <c r="V504" s="5">
        <v>0</v>
      </c>
      <c r="W504" s="5">
        <v>17585000</v>
      </c>
      <c r="X504" s="5">
        <v>33000000</v>
      </c>
      <c r="Y504" s="5">
        <v>0</v>
      </c>
      <c r="Z504" s="5">
        <f t="shared" si="63"/>
        <v>15415000</v>
      </c>
      <c r="AA504" s="5">
        <v>100000000</v>
      </c>
      <c r="AB504" s="5">
        <f t="shared" si="64"/>
        <v>25415000</v>
      </c>
      <c r="AC504" s="5" t="s">
        <v>2278</v>
      </c>
      <c r="AD504" s="4" t="s">
        <v>51</v>
      </c>
      <c r="AE504" s="5">
        <f t="shared" si="65"/>
        <v>0.60653157584103878</v>
      </c>
      <c r="AF504" s="5">
        <v>25415000</v>
      </c>
      <c r="AG504" s="5">
        <v>0</v>
      </c>
      <c r="AH504" s="5">
        <v>1</v>
      </c>
      <c r="AI504" s="5">
        <v>1</v>
      </c>
      <c r="AJ504" s="7" t="s">
        <v>2279</v>
      </c>
      <c r="AK504" s="5">
        <v>0</v>
      </c>
      <c r="AL504" s="5">
        <v>0</v>
      </c>
      <c r="AM504" s="4">
        <v>2023</v>
      </c>
      <c r="AN504" s="5">
        <v>0</v>
      </c>
      <c r="AO504" s="5">
        <v>1</v>
      </c>
      <c r="AP504" s="8"/>
      <c r="AQ504" s="8"/>
      <c r="AR504" s="8">
        <f t="shared" si="66"/>
        <v>0</v>
      </c>
      <c r="AS504" s="8">
        <f t="shared" si="67"/>
        <v>10000000</v>
      </c>
      <c r="AT504" s="8">
        <f t="shared" si="68"/>
        <v>15415000</v>
      </c>
      <c r="AU504" s="8">
        <f t="shared" si="69"/>
        <v>10000000</v>
      </c>
      <c r="AV504" s="4" t="s">
        <v>2277</v>
      </c>
      <c r="AW504" s="7" t="s">
        <v>2279</v>
      </c>
      <c r="AX504" s="5">
        <v>7585000</v>
      </c>
      <c r="AY504">
        <f t="shared" si="70"/>
        <v>0</v>
      </c>
      <c r="AZ504">
        <f t="shared" si="71"/>
        <v>10000000</v>
      </c>
      <c r="BA504" s="5">
        <v>33000000</v>
      </c>
      <c r="BB504" s="5">
        <v>0</v>
      </c>
      <c r="BC504" s="4" t="s">
        <v>49</v>
      </c>
      <c r="BD504" s="4">
        <v>47112</v>
      </c>
      <c r="BE504" t="s">
        <v>54</v>
      </c>
    </row>
    <row r="505" spans="1:57" ht="270.75" thickBot="1" x14ac:dyDescent="0.3">
      <c r="A505" s="4" t="s">
        <v>2280</v>
      </c>
      <c r="B505" s="4">
        <v>1001</v>
      </c>
      <c r="C505" s="5">
        <v>2</v>
      </c>
      <c r="D505" s="4" t="s">
        <v>44</v>
      </c>
      <c r="E505" s="6">
        <v>46213.306583136575</v>
      </c>
      <c r="F505" s="4" t="s">
        <v>2281</v>
      </c>
      <c r="G505" s="4" t="s">
        <v>46</v>
      </c>
      <c r="H505" s="4">
        <v>53</v>
      </c>
      <c r="I505" s="4" t="s">
        <v>47</v>
      </c>
      <c r="J505" s="4">
        <v>5309</v>
      </c>
      <c r="K505" s="4" t="s">
        <v>48</v>
      </c>
      <c r="L505" s="4">
        <v>5309072</v>
      </c>
      <c r="M505" s="4">
        <v>5309072004</v>
      </c>
      <c r="N505" s="4" t="s">
        <v>49</v>
      </c>
      <c r="O505" s="4">
        <v>47112</v>
      </c>
      <c r="P505" s="4" t="s">
        <v>2282</v>
      </c>
      <c r="Q505" s="5">
        <v>1</v>
      </c>
      <c r="R505" s="5">
        <v>0</v>
      </c>
      <c r="S505" s="5">
        <v>150000</v>
      </c>
      <c r="T505" s="5">
        <v>1160000</v>
      </c>
      <c r="U505" s="5">
        <v>120000</v>
      </c>
      <c r="V505" s="5">
        <v>0</v>
      </c>
      <c r="W505" s="5">
        <v>1430000</v>
      </c>
      <c r="X505" s="5">
        <v>1500000</v>
      </c>
      <c r="Y505" s="5">
        <v>0</v>
      </c>
      <c r="Z505" s="5">
        <f t="shared" si="63"/>
        <v>70000</v>
      </c>
      <c r="AA505" s="5">
        <v>50000000</v>
      </c>
      <c r="AB505" s="5">
        <f t="shared" si="64"/>
        <v>340000</v>
      </c>
      <c r="AC505" s="5" t="s">
        <v>2283</v>
      </c>
      <c r="AD505" s="4" t="s">
        <v>51</v>
      </c>
      <c r="AE505" s="5">
        <f t="shared" si="65"/>
        <v>0.20588235294117646</v>
      </c>
      <c r="AF505" s="5">
        <v>340000</v>
      </c>
      <c r="AG505" s="5">
        <v>1</v>
      </c>
      <c r="AH505" s="5">
        <v>1</v>
      </c>
      <c r="AI505" s="5">
        <v>1</v>
      </c>
      <c r="AJ505" s="7" t="s">
        <v>2284</v>
      </c>
      <c r="AK505" s="5">
        <v>0</v>
      </c>
      <c r="AL505" s="5">
        <v>0</v>
      </c>
      <c r="AM505" s="4">
        <v>2024</v>
      </c>
      <c r="AN505" s="5">
        <v>0</v>
      </c>
      <c r="AO505" s="5">
        <v>1</v>
      </c>
      <c r="AP505" s="8"/>
      <c r="AQ505" s="8"/>
      <c r="AR505" s="8">
        <f t="shared" si="66"/>
        <v>0</v>
      </c>
      <c r="AS505" s="8">
        <f t="shared" si="67"/>
        <v>270000</v>
      </c>
      <c r="AT505" s="8">
        <f t="shared" si="68"/>
        <v>70000</v>
      </c>
      <c r="AU505" s="8">
        <f t="shared" si="69"/>
        <v>270000</v>
      </c>
      <c r="AV505" s="4" t="s">
        <v>2282</v>
      </c>
      <c r="AW505" s="7" t="s">
        <v>2284</v>
      </c>
      <c r="AX505" s="5">
        <v>1160000</v>
      </c>
      <c r="AY505">
        <f t="shared" si="70"/>
        <v>150000</v>
      </c>
      <c r="AZ505">
        <f t="shared" si="71"/>
        <v>120000</v>
      </c>
      <c r="BA505" s="5">
        <v>1500000</v>
      </c>
      <c r="BB505" s="5">
        <v>0</v>
      </c>
      <c r="BC505" s="4" t="s">
        <v>49</v>
      </c>
      <c r="BD505" s="4">
        <v>47112</v>
      </c>
      <c r="BE505" t="s">
        <v>54</v>
      </c>
    </row>
    <row r="506" spans="1:57" ht="255.75" thickBot="1" x14ac:dyDescent="0.3">
      <c r="A506" s="4" t="s">
        <v>2285</v>
      </c>
      <c r="B506" s="4">
        <v>1001</v>
      </c>
      <c r="C506" s="5">
        <v>2</v>
      </c>
      <c r="D506" s="4" t="s">
        <v>44</v>
      </c>
      <c r="E506" s="6">
        <v>46278.057832164355</v>
      </c>
      <c r="F506" s="4" t="s">
        <v>2286</v>
      </c>
      <c r="G506" s="4" t="s">
        <v>46</v>
      </c>
      <c r="H506" s="4">
        <v>53</v>
      </c>
      <c r="I506" s="4" t="s">
        <v>47</v>
      </c>
      <c r="J506" s="4">
        <v>5309</v>
      </c>
      <c r="K506" s="4" t="s">
        <v>48</v>
      </c>
      <c r="L506" s="4">
        <v>5309070</v>
      </c>
      <c r="M506" s="4">
        <v>5309070002</v>
      </c>
      <c r="N506" s="4" t="s">
        <v>49</v>
      </c>
      <c r="O506" s="4">
        <v>47112</v>
      </c>
      <c r="P506" s="4" t="s">
        <v>2287</v>
      </c>
      <c r="Q506" s="5">
        <v>2</v>
      </c>
      <c r="R506" s="5">
        <v>0</v>
      </c>
      <c r="S506" s="5">
        <v>420000</v>
      </c>
      <c r="T506" s="5">
        <v>150000000</v>
      </c>
      <c r="U506" s="5">
        <v>1500000</v>
      </c>
      <c r="V506" s="5">
        <v>0</v>
      </c>
      <c r="W506" s="5">
        <v>151920000</v>
      </c>
      <c r="X506" s="5">
        <v>187500000</v>
      </c>
      <c r="Y506" s="5">
        <v>0</v>
      </c>
      <c r="Z506" s="5">
        <f t="shared" si="63"/>
        <v>35580000</v>
      </c>
      <c r="AA506" s="5">
        <v>40000000</v>
      </c>
      <c r="AB506" s="5">
        <f t="shared" si="64"/>
        <v>37500000</v>
      </c>
      <c r="AC506" s="5" t="s">
        <v>52</v>
      </c>
      <c r="AD506" s="4" t="s">
        <v>51</v>
      </c>
      <c r="AE506" s="5">
        <f t="shared" si="65"/>
        <v>0.94879999999999998</v>
      </c>
      <c r="AF506" s="5">
        <v>18750000</v>
      </c>
      <c r="AG506" s="5">
        <v>1</v>
      </c>
      <c r="AH506" s="5">
        <v>1</v>
      </c>
      <c r="AI506" s="5">
        <v>1</v>
      </c>
      <c r="AJ506" s="7" t="s">
        <v>2288</v>
      </c>
      <c r="AK506" s="5">
        <v>0</v>
      </c>
      <c r="AL506" s="5">
        <v>0</v>
      </c>
      <c r="AM506" s="4">
        <v>2015</v>
      </c>
      <c r="AN506" s="5">
        <v>0</v>
      </c>
      <c r="AO506" s="5">
        <v>2</v>
      </c>
      <c r="AP506" s="8"/>
      <c r="AQ506" s="8"/>
      <c r="AR506" s="8">
        <f t="shared" si="66"/>
        <v>0</v>
      </c>
      <c r="AS506" s="8">
        <f t="shared" si="67"/>
        <v>1920000</v>
      </c>
      <c r="AT506" s="8">
        <f t="shared" si="68"/>
        <v>27750000</v>
      </c>
      <c r="AU506" s="8">
        <f t="shared" si="69"/>
        <v>9750000</v>
      </c>
      <c r="AV506" s="4" t="s">
        <v>2287</v>
      </c>
      <c r="AW506" s="7" t="s">
        <v>2288</v>
      </c>
      <c r="AX506" s="5">
        <v>150000000</v>
      </c>
      <c r="AY506">
        <f t="shared" si="70"/>
        <v>2132812.5</v>
      </c>
      <c r="AZ506">
        <f t="shared" si="71"/>
        <v>7617187.5</v>
      </c>
      <c r="BA506" s="5">
        <v>187500000</v>
      </c>
      <c r="BB506" s="5">
        <v>0</v>
      </c>
      <c r="BC506" s="4" t="s">
        <v>49</v>
      </c>
      <c r="BD506" s="4">
        <v>47112</v>
      </c>
      <c r="BE506" t="s">
        <v>54</v>
      </c>
    </row>
    <row r="507" spans="1:57" ht="270.75" thickBot="1" x14ac:dyDescent="0.3">
      <c r="A507" s="11" t="s">
        <v>2289</v>
      </c>
      <c r="B507" s="4">
        <v>1008</v>
      </c>
      <c r="C507" s="5">
        <v>2</v>
      </c>
      <c r="D507" s="4" t="s">
        <v>44</v>
      </c>
      <c r="E507" s="6">
        <v>46290.922833865741</v>
      </c>
      <c r="F507" s="11" t="s">
        <v>2290</v>
      </c>
      <c r="G507" s="4" t="s">
        <v>46</v>
      </c>
      <c r="H507" s="4">
        <v>53</v>
      </c>
      <c r="I507" s="4" t="s">
        <v>47</v>
      </c>
      <c r="J507" s="4">
        <v>5309</v>
      </c>
      <c r="K507" s="4" t="s">
        <v>48</v>
      </c>
      <c r="L507" s="4">
        <v>5309030</v>
      </c>
      <c r="M507" s="4">
        <v>5309030022</v>
      </c>
      <c r="N507" s="4" t="s">
        <v>49</v>
      </c>
      <c r="O507" s="4">
        <v>47112</v>
      </c>
      <c r="P507" s="4" t="s">
        <v>2291</v>
      </c>
      <c r="Q507" s="5">
        <v>2</v>
      </c>
      <c r="R507" s="5">
        <v>0</v>
      </c>
      <c r="S507" s="5">
        <v>4800000</v>
      </c>
      <c r="T507" s="5">
        <v>0</v>
      </c>
      <c r="U507" s="5">
        <v>150000</v>
      </c>
      <c r="V507" s="5">
        <v>0</v>
      </c>
      <c r="W507" s="5">
        <v>4950000</v>
      </c>
      <c r="X507" s="5">
        <v>9600000</v>
      </c>
      <c r="Y507" s="5">
        <v>0</v>
      </c>
      <c r="Z507" s="5">
        <f t="shared" si="63"/>
        <v>4650000</v>
      </c>
      <c r="AA507" s="5">
        <v>1000000</v>
      </c>
      <c r="AB507" s="5">
        <f t="shared" si="64"/>
        <v>9600000</v>
      </c>
      <c r="AC507" s="5">
        <v>0</v>
      </c>
      <c r="AD507" s="4" t="s">
        <v>51</v>
      </c>
      <c r="AE507" s="5">
        <f t="shared" si="65"/>
        <v>0.484375</v>
      </c>
      <c r="AF507" s="5">
        <v>4800000</v>
      </c>
      <c r="AG507" s="5">
        <v>1</v>
      </c>
      <c r="AH507" s="5">
        <v>1</v>
      </c>
      <c r="AI507" s="5">
        <v>1</v>
      </c>
      <c r="AJ507" s="7" t="s">
        <v>2292</v>
      </c>
      <c r="AK507" s="5">
        <v>0</v>
      </c>
      <c r="AL507" s="5">
        <v>0</v>
      </c>
      <c r="AM507" s="4">
        <v>2020</v>
      </c>
      <c r="AN507" s="5">
        <v>0</v>
      </c>
      <c r="AO507" s="5">
        <v>2</v>
      </c>
      <c r="AP507" s="8"/>
      <c r="AQ507" s="8"/>
      <c r="AR507" s="8">
        <f t="shared" si="66"/>
        <v>0</v>
      </c>
      <c r="AS507" s="8">
        <f t="shared" si="67"/>
        <v>4950000</v>
      </c>
      <c r="AT507" s="8">
        <f t="shared" si="68"/>
        <v>4650000</v>
      </c>
      <c r="AU507" s="8">
        <f t="shared" si="69"/>
        <v>4950000</v>
      </c>
      <c r="AV507" s="4" t="s">
        <v>2291</v>
      </c>
      <c r="AW507" s="7" t="s">
        <v>2292</v>
      </c>
      <c r="AX507" s="5">
        <v>0</v>
      </c>
      <c r="AY507">
        <f t="shared" si="70"/>
        <v>4800000</v>
      </c>
      <c r="AZ507">
        <f t="shared" si="71"/>
        <v>150000</v>
      </c>
      <c r="BA507" s="5">
        <v>9600000</v>
      </c>
      <c r="BB507" s="5">
        <v>0</v>
      </c>
      <c r="BC507" s="4" t="s">
        <v>49</v>
      </c>
      <c r="BD507" s="4">
        <v>47112</v>
      </c>
      <c r="BE507" t="s">
        <v>54</v>
      </c>
    </row>
    <row r="508" spans="1:57" ht="270.75" thickBot="1" x14ac:dyDescent="0.3">
      <c r="A508" s="4" t="s">
        <v>2293</v>
      </c>
      <c r="B508" s="4">
        <v>1</v>
      </c>
      <c r="C508" s="5">
        <v>2</v>
      </c>
      <c r="D508" s="4" t="s">
        <v>44</v>
      </c>
      <c r="E508" s="6">
        <v>46280.545326944448</v>
      </c>
      <c r="F508" s="4" t="s">
        <v>2294</v>
      </c>
      <c r="G508" s="4" t="s">
        <v>46</v>
      </c>
      <c r="H508" s="4">
        <v>53</v>
      </c>
      <c r="I508" s="4" t="s">
        <v>47</v>
      </c>
      <c r="J508" s="4">
        <v>5309</v>
      </c>
      <c r="K508" s="4" t="s">
        <v>48</v>
      </c>
      <c r="L508" s="4">
        <v>5309070</v>
      </c>
      <c r="M508" s="4">
        <v>5309070013</v>
      </c>
      <c r="N508" s="4" t="s">
        <v>49</v>
      </c>
      <c r="O508" s="4">
        <v>47112</v>
      </c>
      <c r="P508" s="4" t="s">
        <v>2295</v>
      </c>
      <c r="Q508" s="5">
        <v>1</v>
      </c>
      <c r="R508" s="5">
        <v>0</v>
      </c>
      <c r="S508" s="5">
        <v>200000</v>
      </c>
      <c r="T508" s="5">
        <v>4000000</v>
      </c>
      <c r="U508" s="5">
        <v>200000</v>
      </c>
      <c r="V508" s="5">
        <v>0</v>
      </c>
      <c r="W508" s="5">
        <v>4400000</v>
      </c>
      <c r="X508" s="5">
        <v>6500000</v>
      </c>
      <c r="Y508" s="5">
        <v>0</v>
      </c>
      <c r="Z508" s="5">
        <f t="shared" si="63"/>
        <v>2100000</v>
      </c>
      <c r="AA508" s="5">
        <v>5000000</v>
      </c>
      <c r="AB508" s="5">
        <f t="shared" si="64"/>
        <v>2500000</v>
      </c>
      <c r="AC508" s="5" t="s">
        <v>727</v>
      </c>
      <c r="AD508" s="4" t="s">
        <v>51</v>
      </c>
      <c r="AE508" s="5">
        <f t="shared" si="65"/>
        <v>0.84</v>
      </c>
      <c r="AF508" s="5">
        <v>2500000</v>
      </c>
      <c r="AG508" s="5">
        <v>1</v>
      </c>
      <c r="AH508" s="5">
        <v>1</v>
      </c>
      <c r="AI508" s="5">
        <v>1</v>
      </c>
      <c r="AJ508" s="7" t="s">
        <v>2296</v>
      </c>
      <c r="AK508" s="5">
        <v>0</v>
      </c>
      <c r="AL508" s="5">
        <v>0</v>
      </c>
      <c r="AM508" s="4">
        <v>2014</v>
      </c>
      <c r="AN508" s="5">
        <v>0</v>
      </c>
      <c r="AO508" s="5">
        <v>1</v>
      </c>
      <c r="AP508" s="8"/>
      <c r="AQ508" s="8"/>
      <c r="AR508" s="8">
        <f t="shared" si="66"/>
        <v>0</v>
      </c>
      <c r="AS508" s="8">
        <f t="shared" si="67"/>
        <v>400000</v>
      </c>
      <c r="AT508" s="8">
        <f t="shared" si="68"/>
        <v>1850000</v>
      </c>
      <c r="AU508" s="8">
        <f t="shared" si="69"/>
        <v>650000</v>
      </c>
      <c r="AV508" s="4" t="s">
        <v>2295</v>
      </c>
      <c r="AW508" s="7" t="s">
        <v>2296</v>
      </c>
      <c r="AX508" s="5">
        <v>4000000</v>
      </c>
      <c r="AY508">
        <f t="shared" si="70"/>
        <v>325000</v>
      </c>
      <c r="AZ508">
        <f t="shared" si="71"/>
        <v>325000</v>
      </c>
      <c r="BA508" s="5">
        <v>6500000</v>
      </c>
      <c r="BB508" s="5">
        <v>0</v>
      </c>
      <c r="BC508" s="4" t="s">
        <v>49</v>
      </c>
      <c r="BD508" s="4">
        <v>47112</v>
      </c>
      <c r="BE508" t="s">
        <v>54</v>
      </c>
    </row>
    <row r="509" spans="1:57" ht="270.75" thickBot="1" x14ac:dyDescent="0.3">
      <c r="A509" s="4" t="s">
        <v>2297</v>
      </c>
      <c r="B509" s="4">
        <v>1</v>
      </c>
      <c r="C509" s="5">
        <v>2</v>
      </c>
      <c r="D509" s="4" t="s">
        <v>44</v>
      </c>
      <c r="E509" s="6">
        <v>46290.922819537038</v>
      </c>
      <c r="F509" s="4" t="s">
        <v>2298</v>
      </c>
      <c r="G509" s="4" t="s">
        <v>46</v>
      </c>
      <c r="H509" s="4">
        <v>53</v>
      </c>
      <c r="I509" s="4" t="s">
        <v>47</v>
      </c>
      <c r="J509" s="4">
        <v>5309</v>
      </c>
      <c r="K509" s="4" t="s">
        <v>48</v>
      </c>
      <c r="L509" s="4">
        <v>5309030</v>
      </c>
      <c r="M509" s="4">
        <v>5309030022</v>
      </c>
      <c r="N509" s="4" t="s">
        <v>49</v>
      </c>
      <c r="O509" s="4">
        <v>47112</v>
      </c>
      <c r="P509" s="4" t="s">
        <v>2299</v>
      </c>
      <c r="Q509" s="5">
        <v>1</v>
      </c>
      <c r="R509" s="5">
        <v>0</v>
      </c>
      <c r="S509" s="5">
        <v>100000</v>
      </c>
      <c r="T509" s="5">
        <v>6000000</v>
      </c>
      <c r="U509" s="5">
        <v>100000</v>
      </c>
      <c r="V509" s="5">
        <v>0</v>
      </c>
      <c r="W509" s="5">
        <v>6200000</v>
      </c>
      <c r="X509" s="5">
        <v>7000000</v>
      </c>
      <c r="Y509" s="5">
        <v>0</v>
      </c>
      <c r="Z509" s="5">
        <f t="shared" si="63"/>
        <v>800000</v>
      </c>
      <c r="AA509" s="5">
        <v>6500000</v>
      </c>
      <c r="AB509" s="5">
        <f t="shared" si="64"/>
        <v>1000000</v>
      </c>
      <c r="AC509" s="5" t="s">
        <v>1826</v>
      </c>
      <c r="AD509" s="4" t="s">
        <v>51</v>
      </c>
      <c r="AE509" s="5">
        <f t="shared" si="65"/>
        <v>0.8</v>
      </c>
      <c r="AF509" s="5">
        <v>1000000</v>
      </c>
      <c r="AG509" s="5">
        <v>1</v>
      </c>
      <c r="AH509" s="5">
        <v>1</v>
      </c>
      <c r="AI509" s="5">
        <v>1</v>
      </c>
      <c r="AJ509" s="7" t="s">
        <v>2300</v>
      </c>
      <c r="AK509" s="5">
        <v>0</v>
      </c>
      <c r="AL509" s="5">
        <v>0</v>
      </c>
      <c r="AM509" s="4">
        <v>2019</v>
      </c>
      <c r="AN509" s="5">
        <v>0</v>
      </c>
      <c r="AO509" s="5">
        <v>1</v>
      </c>
      <c r="AP509" s="8"/>
      <c r="AQ509" s="8"/>
      <c r="AR509" s="8">
        <f t="shared" si="66"/>
        <v>0</v>
      </c>
      <c r="AS509" s="8">
        <f t="shared" si="67"/>
        <v>200000</v>
      </c>
      <c r="AT509" s="8">
        <f t="shared" si="68"/>
        <v>740000</v>
      </c>
      <c r="AU509" s="8">
        <f t="shared" si="69"/>
        <v>260000</v>
      </c>
      <c r="AV509" s="4" t="s">
        <v>2299</v>
      </c>
      <c r="AW509" s="7" t="s">
        <v>2300</v>
      </c>
      <c r="AX509" s="5">
        <v>6000000</v>
      </c>
      <c r="AY509">
        <f t="shared" si="70"/>
        <v>130000</v>
      </c>
      <c r="AZ509">
        <f t="shared" si="71"/>
        <v>130000</v>
      </c>
      <c r="BA509" s="5">
        <v>7000000</v>
      </c>
      <c r="BB509" s="5">
        <v>0</v>
      </c>
      <c r="BC509" s="4" t="s">
        <v>49</v>
      </c>
      <c r="BD509" s="4">
        <v>47112</v>
      </c>
      <c r="BE509" t="s">
        <v>54</v>
      </c>
    </row>
    <row r="510" spans="1:57" ht="270.75" thickBot="1" x14ac:dyDescent="0.3">
      <c r="A510" s="4" t="s">
        <v>2301</v>
      </c>
      <c r="B510" s="4">
        <v>2001</v>
      </c>
      <c r="C510" s="5">
        <v>2</v>
      </c>
      <c r="D510" s="4" t="s">
        <v>44</v>
      </c>
      <c r="E510" s="6">
        <v>46261.543160000001</v>
      </c>
      <c r="F510" s="4" t="s">
        <v>2302</v>
      </c>
      <c r="G510" s="4" t="s">
        <v>46</v>
      </c>
      <c r="H510" s="4">
        <v>53</v>
      </c>
      <c r="I510" s="4" t="s">
        <v>47</v>
      </c>
      <c r="J510" s="4">
        <v>5309</v>
      </c>
      <c r="K510" s="4" t="s">
        <v>48</v>
      </c>
      <c r="L510" s="4">
        <v>5309050</v>
      </c>
      <c r="M510" s="4">
        <v>5309050016</v>
      </c>
      <c r="N510" s="4" t="s">
        <v>49</v>
      </c>
      <c r="O510" s="4">
        <v>47112</v>
      </c>
      <c r="P510" s="4" t="s">
        <v>2303</v>
      </c>
      <c r="Q510" s="5">
        <v>2</v>
      </c>
      <c r="R510" s="5">
        <v>0</v>
      </c>
      <c r="S510" s="5">
        <v>500000</v>
      </c>
      <c r="T510" s="5">
        <v>24000000</v>
      </c>
      <c r="U510" s="5">
        <v>1500000</v>
      </c>
      <c r="V510" s="5">
        <v>0</v>
      </c>
      <c r="W510" s="5">
        <v>26000000</v>
      </c>
      <c r="X510" s="5">
        <v>36000000</v>
      </c>
      <c r="Y510" s="5">
        <v>0</v>
      </c>
      <c r="Z510" s="5">
        <f t="shared" si="63"/>
        <v>10000000</v>
      </c>
      <c r="AA510" s="5">
        <v>22000000</v>
      </c>
      <c r="AB510" s="5">
        <f t="shared" si="64"/>
        <v>12000000</v>
      </c>
      <c r="AC510" s="5" t="s">
        <v>102</v>
      </c>
      <c r="AD510" s="4" t="s">
        <v>51</v>
      </c>
      <c r="AE510" s="5">
        <f t="shared" si="65"/>
        <v>0.83333333333333337</v>
      </c>
      <c r="AF510" s="5">
        <v>6000000</v>
      </c>
      <c r="AG510" s="5">
        <v>1</v>
      </c>
      <c r="AH510" s="5">
        <v>1</v>
      </c>
      <c r="AI510" s="5">
        <v>1</v>
      </c>
      <c r="AJ510" s="7" t="s">
        <v>2304</v>
      </c>
      <c r="AK510" s="5">
        <v>0</v>
      </c>
      <c r="AL510" s="5">
        <v>0</v>
      </c>
      <c r="AM510" s="4">
        <v>2010</v>
      </c>
      <c r="AN510" s="5">
        <v>0</v>
      </c>
      <c r="AO510" s="5">
        <v>2</v>
      </c>
      <c r="AP510" s="8"/>
      <c r="AQ510" s="8"/>
      <c r="AR510" s="8">
        <f t="shared" si="66"/>
        <v>0</v>
      </c>
      <c r="AS510" s="8">
        <f t="shared" si="67"/>
        <v>2000000</v>
      </c>
      <c r="AT510" s="8">
        <f t="shared" si="68"/>
        <v>8880000</v>
      </c>
      <c r="AU510" s="8">
        <f t="shared" si="69"/>
        <v>3120000</v>
      </c>
      <c r="AV510" s="4" t="s">
        <v>2303</v>
      </c>
      <c r="AW510" s="7" t="s">
        <v>2304</v>
      </c>
      <c r="AX510" s="5">
        <v>24000000</v>
      </c>
      <c r="AY510">
        <f t="shared" si="70"/>
        <v>780000</v>
      </c>
      <c r="AZ510">
        <f t="shared" si="71"/>
        <v>2340000</v>
      </c>
      <c r="BA510" s="5">
        <v>36000000</v>
      </c>
      <c r="BB510" s="5">
        <v>0</v>
      </c>
      <c r="BC510" s="4" t="s">
        <v>49</v>
      </c>
      <c r="BD510" s="4">
        <v>47112</v>
      </c>
      <c r="BE510" t="s">
        <v>54</v>
      </c>
    </row>
    <row r="511" spans="1:57" ht="270.75" thickBot="1" x14ac:dyDescent="0.3">
      <c r="A511" s="4" t="s">
        <v>2305</v>
      </c>
      <c r="B511" s="4">
        <v>1002</v>
      </c>
      <c r="C511" s="5">
        <v>2</v>
      </c>
      <c r="D511" s="4" t="s">
        <v>44</v>
      </c>
      <c r="E511" s="6">
        <v>46252.85119721065</v>
      </c>
      <c r="F511" s="4" t="s">
        <v>2306</v>
      </c>
      <c r="G511" s="4" t="s">
        <v>46</v>
      </c>
      <c r="H511" s="4">
        <v>53</v>
      </c>
      <c r="I511" s="4" t="s">
        <v>47</v>
      </c>
      <c r="J511" s="4">
        <v>5309</v>
      </c>
      <c r="K511" s="4" t="s">
        <v>48</v>
      </c>
      <c r="L511" s="4">
        <v>5309041</v>
      </c>
      <c r="M511" s="4">
        <v>5309041005</v>
      </c>
      <c r="N511" s="4" t="s">
        <v>49</v>
      </c>
      <c r="O511" s="4">
        <v>47112</v>
      </c>
      <c r="P511" s="4" t="s">
        <v>2307</v>
      </c>
      <c r="Q511" s="5">
        <v>2</v>
      </c>
      <c r="R511" s="5">
        <v>0</v>
      </c>
      <c r="S511" s="5">
        <v>312000</v>
      </c>
      <c r="T511" s="5">
        <v>9600000</v>
      </c>
      <c r="U511" s="5">
        <v>720000</v>
      </c>
      <c r="V511" s="5">
        <v>0</v>
      </c>
      <c r="W511" s="5">
        <v>10632000</v>
      </c>
      <c r="X511" s="5">
        <v>16032000</v>
      </c>
      <c r="Y511" s="5">
        <v>0</v>
      </c>
      <c r="Z511" s="5">
        <f t="shared" si="63"/>
        <v>5400000</v>
      </c>
      <c r="AA511" s="5">
        <v>900000</v>
      </c>
      <c r="AB511" s="5">
        <f t="shared" si="64"/>
        <v>6432000</v>
      </c>
      <c r="AC511" s="5" t="s">
        <v>2308</v>
      </c>
      <c r="AD511" s="4" t="s">
        <v>51</v>
      </c>
      <c r="AE511" s="5">
        <f t="shared" si="65"/>
        <v>0.83955223880597019</v>
      </c>
      <c r="AF511" s="5">
        <v>3216000</v>
      </c>
      <c r="AG511" s="5">
        <v>1</v>
      </c>
      <c r="AH511" s="5">
        <v>1</v>
      </c>
      <c r="AI511" s="5">
        <v>1</v>
      </c>
      <c r="AJ511" s="7" t="s">
        <v>2309</v>
      </c>
      <c r="AK511" s="5">
        <v>0</v>
      </c>
      <c r="AL511" s="5">
        <v>0</v>
      </c>
      <c r="AM511" s="4">
        <v>2016</v>
      </c>
      <c r="AN511" s="5">
        <v>0</v>
      </c>
      <c r="AO511" s="5">
        <v>2</v>
      </c>
      <c r="AP511" s="8"/>
      <c r="AQ511" s="8"/>
      <c r="AR511" s="8">
        <f t="shared" si="66"/>
        <v>0</v>
      </c>
      <c r="AS511" s="8">
        <f t="shared" si="67"/>
        <v>1032000</v>
      </c>
      <c r="AT511" s="8">
        <f t="shared" si="68"/>
        <v>4759680</v>
      </c>
      <c r="AU511" s="8">
        <f t="shared" si="69"/>
        <v>1672320</v>
      </c>
      <c r="AV511" s="4" t="s">
        <v>2307</v>
      </c>
      <c r="AW511" s="7" t="s">
        <v>2309</v>
      </c>
      <c r="AX511" s="5">
        <v>9600000</v>
      </c>
      <c r="AY511">
        <f t="shared" si="70"/>
        <v>505585.1162790698</v>
      </c>
      <c r="AZ511">
        <f t="shared" si="71"/>
        <v>1166734.8837209302</v>
      </c>
      <c r="BA511" s="5">
        <v>16032000</v>
      </c>
      <c r="BB511" s="5">
        <v>0</v>
      </c>
      <c r="BC511" s="4" t="s">
        <v>49</v>
      </c>
      <c r="BD511" s="4">
        <v>47112</v>
      </c>
      <c r="BE511" t="s">
        <v>54</v>
      </c>
    </row>
    <row r="512" spans="1:57" ht="270.75" thickBot="1" x14ac:dyDescent="0.3">
      <c r="A512" s="4" t="s">
        <v>2310</v>
      </c>
      <c r="B512" s="4">
        <v>1</v>
      </c>
      <c r="C512" s="5">
        <v>2</v>
      </c>
      <c r="D512" s="4" t="s">
        <v>44</v>
      </c>
      <c r="E512" s="6">
        <v>46231.403362916666</v>
      </c>
      <c r="F512" s="4" t="s">
        <v>2311</v>
      </c>
      <c r="G512" s="4" t="s">
        <v>46</v>
      </c>
      <c r="H512" s="4">
        <v>53</v>
      </c>
      <c r="I512" s="4" t="s">
        <v>47</v>
      </c>
      <c r="J512" s="4">
        <v>5309</v>
      </c>
      <c r="K512" s="4" t="s">
        <v>48</v>
      </c>
      <c r="L512" s="4">
        <v>5309072</v>
      </c>
      <c r="M512" s="4">
        <v>5309072007</v>
      </c>
      <c r="N512" s="4" t="s">
        <v>49</v>
      </c>
      <c r="O512" s="4">
        <v>47112</v>
      </c>
      <c r="P512" s="4" t="s">
        <v>2312</v>
      </c>
      <c r="Q512" s="5">
        <v>1</v>
      </c>
      <c r="R512" s="5">
        <v>0</v>
      </c>
      <c r="S512" s="5">
        <v>0</v>
      </c>
      <c r="T512" s="5">
        <v>1115000</v>
      </c>
      <c r="U512" s="5">
        <v>100000</v>
      </c>
      <c r="V512" s="5">
        <v>0</v>
      </c>
      <c r="W512" s="5">
        <v>1215000</v>
      </c>
      <c r="X512" s="5">
        <v>2400000</v>
      </c>
      <c r="Y512" s="5">
        <v>0</v>
      </c>
      <c r="Z512" s="5">
        <f t="shared" si="63"/>
        <v>1185000</v>
      </c>
      <c r="AA512" s="5">
        <v>61000000</v>
      </c>
      <c r="AB512" s="5">
        <f t="shared" si="64"/>
        <v>1285000</v>
      </c>
      <c r="AC512" s="5" t="s">
        <v>2313</v>
      </c>
      <c r="AD512" s="4" t="s">
        <v>51</v>
      </c>
      <c r="AE512" s="5">
        <f t="shared" si="65"/>
        <v>0.9221789883268483</v>
      </c>
      <c r="AF512" s="5">
        <v>1285000</v>
      </c>
      <c r="AG512" s="5">
        <v>1</v>
      </c>
      <c r="AH512" s="5">
        <v>1</v>
      </c>
      <c r="AI512" s="5">
        <v>1</v>
      </c>
      <c r="AJ512" s="7" t="s">
        <v>2314</v>
      </c>
      <c r="AK512" s="5">
        <v>0</v>
      </c>
      <c r="AL512" s="5">
        <v>0</v>
      </c>
      <c r="AM512" s="4">
        <v>2012</v>
      </c>
      <c r="AN512" s="5">
        <v>0</v>
      </c>
      <c r="AO512" s="5">
        <v>1</v>
      </c>
      <c r="AP512" s="8"/>
      <c r="AQ512" s="8"/>
      <c r="AR512" s="8">
        <f t="shared" si="66"/>
        <v>0</v>
      </c>
      <c r="AS512" s="8">
        <f t="shared" si="67"/>
        <v>100000</v>
      </c>
      <c r="AT512" s="8">
        <f t="shared" si="68"/>
        <v>950900</v>
      </c>
      <c r="AU512" s="8">
        <f t="shared" si="69"/>
        <v>334100</v>
      </c>
      <c r="AV512" s="4" t="s">
        <v>2312</v>
      </c>
      <c r="AW512" s="7" t="s">
        <v>2314</v>
      </c>
      <c r="AX512" s="5">
        <v>1115000</v>
      </c>
      <c r="AY512">
        <f t="shared" si="70"/>
        <v>0</v>
      </c>
      <c r="AZ512">
        <f t="shared" si="71"/>
        <v>334100</v>
      </c>
      <c r="BA512" s="5">
        <v>2400000</v>
      </c>
      <c r="BB512" s="5">
        <v>0</v>
      </c>
      <c r="BC512" s="4" t="s">
        <v>49</v>
      </c>
      <c r="BD512" s="4">
        <v>47112</v>
      </c>
      <c r="BE512" t="s">
        <v>54</v>
      </c>
    </row>
    <row r="513" spans="1:57" ht="270.75" thickBot="1" x14ac:dyDescent="0.3">
      <c r="A513" s="4" t="s">
        <v>2315</v>
      </c>
      <c r="B513" s="4">
        <v>1</v>
      </c>
      <c r="C513" s="5">
        <v>2</v>
      </c>
      <c r="D513" s="4" t="s">
        <v>44</v>
      </c>
      <c r="E513" s="6">
        <v>46253.318303194443</v>
      </c>
      <c r="F513" s="4" t="s">
        <v>2316</v>
      </c>
      <c r="G513" s="4" t="s">
        <v>46</v>
      </c>
      <c r="H513" s="4">
        <v>53</v>
      </c>
      <c r="I513" s="4" t="s">
        <v>47</v>
      </c>
      <c r="J513" s="4">
        <v>5309</v>
      </c>
      <c r="K513" s="4" t="s">
        <v>48</v>
      </c>
      <c r="L513" s="4">
        <v>5309060</v>
      </c>
      <c r="M513" s="4">
        <v>5309060020</v>
      </c>
      <c r="N513" s="4" t="s">
        <v>49</v>
      </c>
      <c r="O513" s="4">
        <v>47112</v>
      </c>
      <c r="P513" s="4" t="s">
        <v>2317</v>
      </c>
      <c r="Q513" s="5">
        <v>2</v>
      </c>
      <c r="R513" s="5">
        <v>0</v>
      </c>
      <c r="S513" s="5">
        <v>10000000</v>
      </c>
      <c r="T513" s="5">
        <v>15000000</v>
      </c>
      <c r="U513" s="5">
        <v>3500000</v>
      </c>
      <c r="V513" s="5">
        <v>0</v>
      </c>
      <c r="W513" s="5">
        <v>28500000</v>
      </c>
      <c r="X513" s="5">
        <v>35000000</v>
      </c>
      <c r="Y513" s="5">
        <v>0</v>
      </c>
      <c r="Z513" s="5">
        <f t="shared" si="63"/>
        <v>6500000</v>
      </c>
      <c r="AA513" s="5">
        <v>200000000</v>
      </c>
      <c r="AB513" s="5">
        <f t="shared" si="64"/>
        <v>20000000</v>
      </c>
      <c r="AC513" s="5" t="s">
        <v>296</v>
      </c>
      <c r="AD513" s="4" t="s">
        <v>51</v>
      </c>
      <c r="AE513" s="5">
        <f t="shared" si="65"/>
        <v>0.32500000000000001</v>
      </c>
      <c r="AF513" s="5">
        <v>10000000</v>
      </c>
      <c r="AG513" s="5">
        <v>1</v>
      </c>
      <c r="AH513" s="5">
        <v>1</v>
      </c>
      <c r="AI513" s="5">
        <v>1</v>
      </c>
      <c r="AJ513" s="7" t="s">
        <v>2318</v>
      </c>
      <c r="AK513" s="5">
        <v>0</v>
      </c>
      <c r="AL513" s="5">
        <v>0</v>
      </c>
      <c r="AM513" s="4">
        <v>2015</v>
      </c>
      <c r="AN513" s="5">
        <v>0</v>
      </c>
      <c r="AO513" s="5">
        <v>2</v>
      </c>
      <c r="AP513" s="8"/>
      <c r="AQ513" s="8"/>
      <c r="AR513" s="8">
        <f t="shared" si="66"/>
        <v>0</v>
      </c>
      <c r="AS513" s="8">
        <f t="shared" si="67"/>
        <v>13500000</v>
      </c>
      <c r="AT513" s="8">
        <f t="shared" si="68"/>
        <v>6500000</v>
      </c>
      <c r="AU513" s="8">
        <f t="shared" si="69"/>
        <v>13500000</v>
      </c>
      <c r="AV513" s="4" t="s">
        <v>2317</v>
      </c>
      <c r="AW513" s="7" t="s">
        <v>2318</v>
      </c>
      <c r="AX513" s="5">
        <v>15000000</v>
      </c>
      <c r="AY513">
        <f t="shared" si="70"/>
        <v>10000000</v>
      </c>
      <c r="AZ513">
        <f t="shared" si="71"/>
        <v>3500000</v>
      </c>
      <c r="BA513" s="5">
        <v>35000000</v>
      </c>
      <c r="BB513" s="5">
        <v>0</v>
      </c>
      <c r="BC513" s="4" t="s">
        <v>49</v>
      </c>
      <c r="BD513" s="4">
        <v>47112</v>
      </c>
      <c r="BE513" t="s">
        <v>54</v>
      </c>
    </row>
    <row r="514" spans="1:57" ht="270.75" thickBot="1" x14ac:dyDescent="0.3">
      <c r="A514" s="4" t="s">
        <v>2319</v>
      </c>
      <c r="B514" s="4">
        <v>1001</v>
      </c>
      <c r="C514" s="5">
        <v>2</v>
      </c>
      <c r="D514" s="4" t="s">
        <v>44</v>
      </c>
      <c r="E514" s="6">
        <v>46235.499907777776</v>
      </c>
      <c r="F514" s="4" t="s">
        <v>2320</v>
      </c>
      <c r="G514" s="4" t="s">
        <v>46</v>
      </c>
      <c r="H514" s="4">
        <v>53</v>
      </c>
      <c r="I514" s="4" t="s">
        <v>47</v>
      </c>
      <c r="J514" s="4">
        <v>5309</v>
      </c>
      <c r="K514" s="4" t="s">
        <v>48</v>
      </c>
      <c r="L514" s="4">
        <v>5309011</v>
      </c>
      <c r="M514" s="4">
        <v>5309011006</v>
      </c>
      <c r="N514" s="4" t="s">
        <v>49</v>
      </c>
      <c r="O514" s="4">
        <v>47112</v>
      </c>
      <c r="P514" s="4" t="s">
        <v>2321</v>
      </c>
      <c r="Q514" s="5">
        <v>1</v>
      </c>
      <c r="R514" s="5">
        <v>0</v>
      </c>
      <c r="S514" s="5">
        <v>500000</v>
      </c>
      <c r="T514" s="5">
        <v>9600000</v>
      </c>
      <c r="U514" s="5">
        <v>200000</v>
      </c>
      <c r="V514" s="5">
        <v>0</v>
      </c>
      <c r="W514" s="5">
        <v>10300000</v>
      </c>
      <c r="X514" s="5">
        <v>15000000</v>
      </c>
      <c r="Y514" s="5">
        <v>0</v>
      </c>
      <c r="Z514" s="5">
        <f t="shared" si="63"/>
        <v>4700000</v>
      </c>
      <c r="AA514" s="5">
        <v>2000000</v>
      </c>
      <c r="AB514" s="5">
        <f t="shared" si="64"/>
        <v>5400000</v>
      </c>
      <c r="AC514" s="5" t="s">
        <v>2322</v>
      </c>
      <c r="AD514" s="4" t="s">
        <v>51</v>
      </c>
      <c r="AE514" s="5">
        <f t="shared" si="65"/>
        <v>0.87037037037037035</v>
      </c>
      <c r="AF514" s="5">
        <v>5400000</v>
      </c>
      <c r="AG514" s="5">
        <v>1</v>
      </c>
      <c r="AH514" s="5">
        <v>1</v>
      </c>
      <c r="AI514" s="5">
        <v>1</v>
      </c>
      <c r="AJ514" s="7" t="s">
        <v>2323</v>
      </c>
      <c r="AK514" s="5">
        <v>0</v>
      </c>
      <c r="AL514" s="5">
        <v>0</v>
      </c>
      <c r="AM514" s="4">
        <v>2025</v>
      </c>
      <c r="AN514" s="5">
        <v>0</v>
      </c>
      <c r="AO514" s="5">
        <v>1</v>
      </c>
      <c r="AP514" s="8"/>
      <c r="AQ514" s="8"/>
      <c r="AR514" s="8">
        <f t="shared" si="66"/>
        <v>0</v>
      </c>
      <c r="AS514" s="8">
        <f t="shared" si="67"/>
        <v>700000</v>
      </c>
      <c r="AT514" s="8">
        <f t="shared" si="68"/>
        <v>3996000</v>
      </c>
      <c r="AU514" s="8">
        <f t="shared" si="69"/>
        <v>1404000</v>
      </c>
      <c r="AV514" s="4" t="s">
        <v>2321</v>
      </c>
      <c r="AW514" s="7" t="s">
        <v>2323</v>
      </c>
      <c r="AX514" s="5">
        <v>9600000</v>
      </c>
      <c r="AY514">
        <f t="shared" si="70"/>
        <v>1002857.1428571428</v>
      </c>
      <c r="AZ514">
        <f t="shared" si="71"/>
        <v>401142.85714285716</v>
      </c>
      <c r="BA514" s="5">
        <v>15000000</v>
      </c>
      <c r="BB514" s="5">
        <v>0</v>
      </c>
      <c r="BC514" s="4" t="s">
        <v>49</v>
      </c>
      <c r="BD514" s="4">
        <v>47112</v>
      </c>
      <c r="BE514" t="s">
        <v>54</v>
      </c>
    </row>
    <row r="515" spans="1:57" ht="270.75" thickBot="1" x14ac:dyDescent="0.3">
      <c r="A515" s="4" t="s">
        <v>2324</v>
      </c>
      <c r="B515" s="4">
        <v>1</v>
      </c>
      <c r="C515" s="5">
        <v>2</v>
      </c>
      <c r="D515" s="4" t="s">
        <v>44</v>
      </c>
      <c r="E515" s="6">
        <v>46248.251445185182</v>
      </c>
      <c r="F515" s="4" t="s">
        <v>2325</v>
      </c>
      <c r="G515" s="4" t="s">
        <v>46</v>
      </c>
      <c r="H515" s="4">
        <v>53</v>
      </c>
      <c r="I515" s="4" t="s">
        <v>47</v>
      </c>
      <c r="J515" s="4">
        <v>5309</v>
      </c>
      <c r="K515" s="4" t="s">
        <v>48</v>
      </c>
      <c r="L515" s="4">
        <v>5309060</v>
      </c>
      <c r="M515" s="4">
        <v>5309060020</v>
      </c>
      <c r="N515" s="4" t="s">
        <v>49</v>
      </c>
      <c r="O515" s="4">
        <v>47112</v>
      </c>
      <c r="P515" s="4" t="s">
        <v>2326</v>
      </c>
      <c r="Q515" s="5">
        <v>3</v>
      </c>
      <c r="R515" s="5">
        <v>0</v>
      </c>
      <c r="S515" s="5">
        <v>0</v>
      </c>
      <c r="T515" s="5">
        <v>50000000</v>
      </c>
      <c r="U515" s="5">
        <v>300000</v>
      </c>
      <c r="V515" s="5">
        <v>0</v>
      </c>
      <c r="W515" s="5">
        <v>50300000</v>
      </c>
      <c r="X515" s="5">
        <v>72000000</v>
      </c>
      <c r="Y515" s="5">
        <v>0</v>
      </c>
      <c r="Z515" s="5">
        <f t="shared" ref="Z515:Z522" si="72">X515-SUM(S515:U515)</f>
        <v>21700000</v>
      </c>
      <c r="AA515" s="5">
        <v>8500000</v>
      </c>
      <c r="AB515" s="5">
        <f t="shared" ref="AB515:AB522" si="73">X515-T515</f>
        <v>22000000</v>
      </c>
      <c r="AC515" s="5" t="s">
        <v>2327</v>
      </c>
      <c r="AD515" s="4" t="s">
        <v>51</v>
      </c>
      <c r="AE515" s="5">
        <f t="shared" ref="AE515:AE522" si="74">Z515/AB515</f>
        <v>0.98636363636363633</v>
      </c>
      <c r="AF515" s="10">
        <v>7333333333</v>
      </c>
      <c r="AG515" s="5">
        <v>1</v>
      </c>
      <c r="AH515" s="5">
        <v>1</v>
      </c>
      <c r="AI515" s="5">
        <v>1</v>
      </c>
      <c r="AJ515" s="7" t="s">
        <v>2328</v>
      </c>
      <c r="AK515" s="5">
        <v>0</v>
      </c>
      <c r="AL515" s="5">
        <v>0</v>
      </c>
      <c r="AM515" s="4">
        <v>2014</v>
      </c>
      <c r="AN515" s="5">
        <v>0</v>
      </c>
      <c r="AO515" s="5">
        <v>3</v>
      </c>
      <c r="AP515" s="8"/>
      <c r="AQ515" s="8"/>
      <c r="AR515" s="8">
        <f t="shared" ref="AR515:AR522" si="75">IF(Z515&lt;=0,1,0)</f>
        <v>0</v>
      </c>
      <c r="AS515" s="8">
        <f t="shared" ref="AS515:AS522" si="76">AB515-Z515</f>
        <v>300000</v>
      </c>
      <c r="AT515" s="8">
        <f t="shared" ref="AT515:AT522" si="77">IF(AE515&gt;0.78,(Z515*0.74/AE515),IF(Z515&lt;0.64,(Z515*0.68/AE515),Z515))</f>
        <v>16280000</v>
      </c>
      <c r="AU515" s="8">
        <f t="shared" ref="AU515:AU522" si="78">AB515-AT515</f>
        <v>5720000</v>
      </c>
      <c r="AV515" s="4" t="s">
        <v>2326</v>
      </c>
      <c r="AW515" s="7" t="s">
        <v>2328</v>
      </c>
      <c r="AX515" s="5">
        <v>50000000</v>
      </c>
      <c r="AY515">
        <f t="shared" ref="AY515:AY522" si="79">AU515-AZ515</f>
        <v>0</v>
      </c>
      <c r="AZ515">
        <f t="shared" ref="AZ515:AZ522" si="80">U515*AU515/AS515</f>
        <v>5720000</v>
      </c>
      <c r="BA515" s="5">
        <v>72000000</v>
      </c>
      <c r="BB515" s="5">
        <v>0</v>
      </c>
      <c r="BC515" s="4" t="s">
        <v>49</v>
      </c>
      <c r="BD515" s="4">
        <v>47112</v>
      </c>
      <c r="BE515" t="s">
        <v>54</v>
      </c>
    </row>
    <row r="516" spans="1:57" ht="270.75" thickBot="1" x14ac:dyDescent="0.3">
      <c r="A516" s="4" t="s">
        <v>2329</v>
      </c>
      <c r="B516" s="4">
        <v>1</v>
      </c>
      <c r="C516" s="5">
        <v>2</v>
      </c>
      <c r="D516" s="4" t="s">
        <v>44</v>
      </c>
      <c r="E516" s="6">
        <v>46293.268033680557</v>
      </c>
      <c r="F516" s="4" t="s">
        <v>2330</v>
      </c>
      <c r="G516" s="4" t="s">
        <v>46</v>
      </c>
      <c r="H516" s="4">
        <v>53</v>
      </c>
      <c r="I516" s="4" t="s">
        <v>47</v>
      </c>
      <c r="J516" s="4">
        <v>5309</v>
      </c>
      <c r="K516" s="4" t="s">
        <v>48</v>
      </c>
      <c r="L516" s="4">
        <v>5309030</v>
      </c>
      <c r="M516" s="4">
        <v>5309030023</v>
      </c>
      <c r="N516" s="4" t="s">
        <v>49</v>
      </c>
      <c r="O516" s="4">
        <v>47112</v>
      </c>
      <c r="P516" s="4" t="s">
        <v>2331</v>
      </c>
      <c r="Q516" s="5">
        <v>2</v>
      </c>
      <c r="R516" s="5">
        <v>0</v>
      </c>
      <c r="S516" s="5">
        <v>0</v>
      </c>
      <c r="T516" s="5">
        <v>3000000</v>
      </c>
      <c r="U516" s="5">
        <v>100000</v>
      </c>
      <c r="V516" s="5">
        <v>0</v>
      </c>
      <c r="W516" s="5">
        <v>3100000</v>
      </c>
      <c r="X516" s="5">
        <v>5000000</v>
      </c>
      <c r="Y516" s="5">
        <v>0</v>
      </c>
      <c r="Z516" s="5">
        <f t="shared" si="72"/>
        <v>1900000</v>
      </c>
      <c r="AA516" s="5">
        <v>12000000</v>
      </c>
      <c r="AB516" s="5">
        <f t="shared" si="73"/>
        <v>2000000</v>
      </c>
      <c r="AC516" s="5" t="s">
        <v>100</v>
      </c>
      <c r="AD516" s="4" t="s">
        <v>51</v>
      </c>
      <c r="AE516" s="5">
        <f t="shared" si="74"/>
        <v>0.95</v>
      </c>
      <c r="AF516" s="5">
        <v>1000000</v>
      </c>
      <c r="AG516" s="5">
        <v>1</v>
      </c>
      <c r="AH516" s="5">
        <v>1</v>
      </c>
      <c r="AI516" s="5">
        <v>1</v>
      </c>
      <c r="AJ516" s="7" t="s">
        <v>2332</v>
      </c>
      <c r="AK516" s="5">
        <v>0</v>
      </c>
      <c r="AL516" s="5">
        <v>0</v>
      </c>
      <c r="AM516" s="4">
        <v>2020</v>
      </c>
      <c r="AN516" s="5">
        <v>0</v>
      </c>
      <c r="AO516" s="5">
        <v>2</v>
      </c>
      <c r="AP516" s="8"/>
      <c r="AQ516" s="8"/>
      <c r="AR516" s="8">
        <f t="shared" si="75"/>
        <v>0</v>
      </c>
      <c r="AS516" s="8">
        <f t="shared" si="76"/>
        <v>100000</v>
      </c>
      <c r="AT516" s="8">
        <f t="shared" si="77"/>
        <v>1480000</v>
      </c>
      <c r="AU516" s="8">
        <f t="shared" si="78"/>
        <v>520000</v>
      </c>
      <c r="AV516" s="4" t="s">
        <v>2331</v>
      </c>
      <c r="AW516" s="7" t="s">
        <v>2332</v>
      </c>
      <c r="AX516" s="5">
        <v>3000000</v>
      </c>
      <c r="AY516">
        <f t="shared" si="79"/>
        <v>0</v>
      </c>
      <c r="AZ516">
        <f t="shared" si="80"/>
        <v>520000</v>
      </c>
      <c r="BA516" s="5">
        <v>5000000</v>
      </c>
      <c r="BB516" s="5">
        <v>0</v>
      </c>
      <c r="BC516" s="4" t="s">
        <v>49</v>
      </c>
      <c r="BD516" s="4">
        <v>47112</v>
      </c>
      <c r="BE516" t="s">
        <v>54</v>
      </c>
    </row>
    <row r="517" spans="1:57" ht="270.75" thickBot="1" x14ac:dyDescent="0.3">
      <c r="A517" s="4" t="s">
        <v>2333</v>
      </c>
      <c r="B517" s="4">
        <v>2001</v>
      </c>
      <c r="C517" s="5">
        <v>2</v>
      </c>
      <c r="D517" s="4" t="s">
        <v>44</v>
      </c>
      <c r="E517" s="6">
        <v>46278.600018263889</v>
      </c>
      <c r="F517" s="4" t="s">
        <v>2334</v>
      </c>
      <c r="G517" s="4" t="s">
        <v>46</v>
      </c>
      <c r="H517" s="4">
        <v>53</v>
      </c>
      <c r="I517" s="4" t="s">
        <v>47</v>
      </c>
      <c r="J517" s="4">
        <v>5309</v>
      </c>
      <c r="K517" s="4" t="s">
        <v>48</v>
      </c>
      <c r="L517" s="4">
        <v>5309050</v>
      </c>
      <c r="M517" s="4">
        <v>5309050017</v>
      </c>
      <c r="N517" s="4" t="s">
        <v>49</v>
      </c>
      <c r="O517" s="4">
        <v>47112</v>
      </c>
      <c r="P517" s="4" t="s">
        <v>2335</v>
      </c>
      <c r="Q517" s="5">
        <v>1</v>
      </c>
      <c r="R517" s="5">
        <v>0</v>
      </c>
      <c r="S517" s="5">
        <v>500</v>
      </c>
      <c r="T517" s="5">
        <v>15000000</v>
      </c>
      <c r="U517" s="5">
        <v>1000000</v>
      </c>
      <c r="V517" s="5">
        <v>0</v>
      </c>
      <c r="W517" s="5">
        <v>16000500</v>
      </c>
      <c r="X517" s="5">
        <v>27500000</v>
      </c>
      <c r="Y517" s="5">
        <v>0</v>
      </c>
      <c r="Z517" s="5">
        <f t="shared" si="72"/>
        <v>11499500</v>
      </c>
      <c r="AA517" s="5">
        <v>8600000</v>
      </c>
      <c r="AB517" s="5">
        <f t="shared" si="73"/>
        <v>12500000</v>
      </c>
      <c r="AC517" s="5" t="s">
        <v>521</v>
      </c>
      <c r="AD517" s="4" t="s">
        <v>51</v>
      </c>
      <c r="AE517" s="5">
        <f t="shared" si="74"/>
        <v>0.91996</v>
      </c>
      <c r="AF517" s="5">
        <v>12500000</v>
      </c>
      <c r="AG517" s="5">
        <v>1</v>
      </c>
      <c r="AH517" s="5">
        <v>1</v>
      </c>
      <c r="AI517" s="5">
        <v>1</v>
      </c>
      <c r="AJ517" s="7" t="s">
        <v>2336</v>
      </c>
      <c r="AK517" s="5">
        <v>0</v>
      </c>
      <c r="AL517" s="5">
        <v>0</v>
      </c>
      <c r="AM517" s="4">
        <v>2023</v>
      </c>
      <c r="AN517" s="5">
        <v>0</v>
      </c>
      <c r="AO517" s="5">
        <v>1</v>
      </c>
      <c r="AP517" s="8"/>
      <c r="AQ517" s="8"/>
      <c r="AR517" s="8">
        <f t="shared" si="75"/>
        <v>0</v>
      </c>
      <c r="AS517" s="8">
        <f t="shared" si="76"/>
        <v>1000500</v>
      </c>
      <c r="AT517" s="8">
        <f t="shared" si="77"/>
        <v>9250000</v>
      </c>
      <c r="AU517" s="8">
        <f t="shared" si="78"/>
        <v>3250000</v>
      </c>
      <c r="AV517" s="4" t="s">
        <v>2335</v>
      </c>
      <c r="AW517" s="7" t="s">
        <v>2336</v>
      </c>
      <c r="AX517" s="5">
        <v>15000000</v>
      </c>
      <c r="AY517">
        <f t="shared" si="79"/>
        <v>1624.1879060468636</v>
      </c>
      <c r="AZ517">
        <f t="shared" si="80"/>
        <v>3248375.8120939531</v>
      </c>
      <c r="BA517" s="5">
        <v>27500000</v>
      </c>
      <c r="BB517" s="5">
        <v>0</v>
      </c>
      <c r="BC517" s="4" t="s">
        <v>49</v>
      </c>
      <c r="BD517" s="4">
        <v>47112</v>
      </c>
      <c r="BE517" t="s">
        <v>54</v>
      </c>
    </row>
    <row r="518" spans="1:57" ht="270.75" thickBot="1" x14ac:dyDescent="0.3">
      <c r="A518" s="4" t="s">
        <v>2337</v>
      </c>
      <c r="B518" s="4">
        <v>1002</v>
      </c>
      <c r="C518" s="5">
        <v>2</v>
      </c>
      <c r="D518" s="4" t="s">
        <v>44</v>
      </c>
      <c r="E518" s="6">
        <v>46273.066669085645</v>
      </c>
      <c r="F518" s="4" t="s">
        <v>2338</v>
      </c>
      <c r="G518" s="4" t="s">
        <v>46</v>
      </c>
      <c r="H518" s="4">
        <v>53</v>
      </c>
      <c r="I518" s="4" t="s">
        <v>47</v>
      </c>
      <c r="J518" s="4">
        <v>5309</v>
      </c>
      <c r="K518" s="4" t="s">
        <v>48</v>
      </c>
      <c r="L518" s="4">
        <v>5309041</v>
      </c>
      <c r="M518" s="4">
        <v>5309041007</v>
      </c>
      <c r="N518" s="4" t="s">
        <v>49</v>
      </c>
      <c r="O518" s="4">
        <v>47112</v>
      </c>
      <c r="P518" s="4" t="s">
        <v>2339</v>
      </c>
      <c r="Q518" s="5">
        <v>2</v>
      </c>
      <c r="R518" s="5">
        <v>0</v>
      </c>
      <c r="S518" s="5">
        <v>800000</v>
      </c>
      <c r="T518" s="5">
        <v>12800000</v>
      </c>
      <c r="U518" s="5">
        <v>0</v>
      </c>
      <c r="V518" s="5">
        <v>0</v>
      </c>
      <c r="W518" s="5">
        <v>13600000</v>
      </c>
      <c r="X518" s="5">
        <v>21000000</v>
      </c>
      <c r="Y518" s="5">
        <v>0</v>
      </c>
      <c r="Z518" s="5">
        <f t="shared" si="72"/>
        <v>7400000</v>
      </c>
      <c r="AA518" s="5">
        <v>12000000</v>
      </c>
      <c r="AB518" s="5">
        <f t="shared" si="73"/>
        <v>8200000</v>
      </c>
      <c r="AC518" s="5" t="s">
        <v>2340</v>
      </c>
      <c r="AD518" s="4" t="s">
        <v>51</v>
      </c>
      <c r="AE518" s="5">
        <f t="shared" si="74"/>
        <v>0.90243902439024393</v>
      </c>
      <c r="AF518" s="5">
        <v>4100000</v>
      </c>
      <c r="AG518" s="5">
        <v>1</v>
      </c>
      <c r="AH518" s="5">
        <v>1</v>
      </c>
      <c r="AI518" s="5">
        <v>1</v>
      </c>
      <c r="AJ518" s="7" t="s">
        <v>2341</v>
      </c>
      <c r="AK518" s="5">
        <v>0</v>
      </c>
      <c r="AL518" s="5">
        <v>0</v>
      </c>
      <c r="AM518" s="4">
        <v>2013</v>
      </c>
      <c r="AN518" s="5">
        <v>0</v>
      </c>
      <c r="AO518" s="5">
        <v>2</v>
      </c>
      <c r="AP518" s="8"/>
      <c r="AQ518" s="8"/>
      <c r="AR518" s="8">
        <f t="shared" si="75"/>
        <v>0</v>
      </c>
      <c r="AS518" s="8">
        <f t="shared" si="76"/>
        <v>800000</v>
      </c>
      <c r="AT518" s="8">
        <f t="shared" si="77"/>
        <v>6068000</v>
      </c>
      <c r="AU518" s="8">
        <f t="shared" si="78"/>
        <v>2132000</v>
      </c>
      <c r="AV518" s="4" t="s">
        <v>2339</v>
      </c>
      <c r="AW518" s="7" t="s">
        <v>2341</v>
      </c>
      <c r="AX518" s="5">
        <v>12800000</v>
      </c>
      <c r="AY518">
        <f t="shared" si="79"/>
        <v>2132000</v>
      </c>
      <c r="AZ518">
        <f t="shared" si="80"/>
        <v>0</v>
      </c>
      <c r="BA518" s="5">
        <v>21000000</v>
      </c>
      <c r="BB518" s="5">
        <v>0</v>
      </c>
      <c r="BC518" s="4" t="s">
        <v>49</v>
      </c>
      <c r="BD518" s="4">
        <v>47112</v>
      </c>
      <c r="BE518" t="s">
        <v>54</v>
      </c>
    </row>
    <row r="519" spans="1:57" ht="270.75" thickBot="1" x14ac:dyDescent="0.3">
      <c r="A519" s="4" t="s">
        <v>2342</v>
      </c>
      <c r="B519" s="4">
        <v>1001</v>
      </c>
      <c r="C519" s="5">
        <v>2</v>
      </c>
      <c r="D519" s="4" t="s">
        <v>44</v>
      </c>
      <c r="E519" s="6">
        <v>46234.231505914351</v>
      </c>
      <c r="F519" s="4" t="s">
        <v>2343</v>
      </c>
      <c r="G519" s="4" t="s">
        <v>46</v>
      </c>
      <c r="H519" s="4">
        <v>53</v>
      </c>
      <c r="I519" s="4" t="s">
        <v>47</v>
      </c>
      <c r="J519" s="4">
        <v>5309</v>
      </c>
      <c r="K519" s="4" t="s">
        <v>48</v>
      </c>
      <c r="L519" s="4">
        <v>5309070</v>
      </c>
      <c r="M519" s="4">
        <v>5309070007</v>
      </c>
      <c r="N519" s="4" t="s">
        <v>49</v>
      </c>
      <c r="O519" s="4">
        <v>47112</v>
      </c>
      <c r="P519" s="4" t="s">
        <v>1236</v>
      </c>
      <c r="Q519" s="5">
        <v>2</v>
      </c>
      <c r="R519" s="5">
        <v>0</v>
      </c>
      <c r="S519" s="5">
        <v>0</v>
      </c>
      <c r="T519" s="5">
        <v>72000000</v>
      </c>
      <c r="U519" s="5">
        <v>3600000</v>
      </c>
      <c r="V519" s="5">
        <v>0</v>
      </c>
      <c r="W519" s="5">
        <v>75600000</v>
      </c>
      <c r="X519" s="5">
        <v>140400000</v>
      </c>
      <c r="Y519" s="5">
        <v>0</v>
      </c>
      <c r="Z519" s="5">
        <f t="shared" si="72"/>
        <v>64800000</v>
      </c>
      <c r="AA519" s="5">
        <v>14500000</v>
      </c>
      <c r="AB519" s="5">
        <f t="shared" si="73"/>
        <v>68400000</v>
      </c>
      <c r="AC519" s="5" t="s">
        <v>2344</v>
      </c>
      <c r="AD519" s="4" t="s">
        <v>51</v>
      </c>
      <c r="AE519" s="5">
        <f t="shared" si="74"/>
        <v>0.94736842105263153</v>
      </c>
      <c r="AF519" s="5">
        <v>34200000</v>
      </c>
      <c r="AG519" s="5">
        <v>1</v>
      </c>
      <c r="AH519" s="5">
        <v>1</v>
      </c>
      <c r="AI519" s="5">
        <v>1</v>
      </c>
      <c r="AJ519" s="7" t="s">
        <v>2345</v>
      </c>
      <c r="AK519" s="5">
        <v>0</v>
      </c>
      <c r="AL519" s="5">
        <v>0</v>
      </c>
      <c r="AM519" s="4">
        <v>2010</v>
      </c>
      <c r="AN519" s="5">
        <v>0</v>
      </c>
      <c r="AO519" s="5">
        <v>2</v>
      </c>
      <c r="AP519" s="8"/>
      <c r="AQ519" s="8"/>
      <c r="AR519" s="8">
        <f t="shared" si="75"/>
        <v>0</v>
      </c>
      <c r="AS519" s="8">
        <f t="shared" si="76"/>
        <v>3600000</v>
      </c>
      <c r="AT519" s="8">
        <f t="shared" si="77"/>
        <v>50616000</v>
      </c>
      <c r="AU519" s="8">
        <f t="shared" si="78"/>
        <v>17784000</v>
      </c>
      <c r="AV519" s="4" t="s">
        <v>1236</v>
      </c>
      <c r="AW519" s="7" t="s">
        <v>2345</v>
      </c>
      <c r="AX519" s="5">
        <v>72000000</v>
      </c>
      <c r="AY519">
        <f t="shared" si="79"/>
        <v>0</v>
      </c>
      <c r="AZ519">
        <f t="shared" si="80"/>
        <v>17784000</v>
      </c>
      <c r="BA519" s="5">
        <v>140400000</v>
      </c>
      <c r="BB519" s="5">
        <v>0</v>
      </c>
      <c r="BC519" s="4" t="s">
        <v>49</v>
      </c>
      <c r="BD519" s="4">
        <v>47112</v>
      </c>
      <c r="BE519" t="s">
        <v>54</v>
      </c>
    </row>
    <row r="520" spans="1:57" ht="270.75" thickBot="1" x14ac:dyDescent="0.3">
      <c r="A520" s="4" t="s">
        <v>2346</v>
      </c>
      <c r="B520" s="4">
        <v>1</v>
      </c>
      <c r="C520" s="5">
        <v>2</v>
      </c>
      <c r="D520" s="4" t="s">
        <v>44</v>
      </c>
      <c r="E520" s="6">
        <v>46293.073898425922</v>
      </c>
      <c r="F520" s="4" t="s">
        <v>2347</v>
      </c>
      <c r="G520" s="4" t="s">
        <v>46</v>
      </c>
      <c r="H520" s="4">
        <v>53</v>
      </c>
      <c r="I520" s="4" t="s">
        <v>47</v>
      </c>
      <c r="J520" s="4">
        <v>5309</v>
      </c>
      <c r="K520" s="4" t="s">
        <v>48</v>
      </c>
      <c r="L520" s="4">
        <v>5309030</v>
      </c>
      <c r="M520" s="4">
        <v>5309030024</v>
      </c>
      <c r="N520" s="4" t="s">
        <v>49</v>
      </c>
      <c r="O520" s="4">
        <v>47112</v>
      </c>
      <c r="P520" s="4" t="s">
        <v>449</v>
      </c>
      <c r="Q520" s="5">
        <v>1</v>
      </c>
      <c r="R520" s="5">
        <v>0</v>
      </c>
      <c r="S520" s="5">
        <v>0</v>
      </c>
      <c r="T520" s="5">
        <v>5000000</v>
      </c>
      <c r="U520" s="5">
        <v>0</v>
      </c>
      <c r="V520" s="5">
        <v>300000</v>
      </c>
      <c r="W520" s="5">
        <v>5300000</v>
      </c>
      <c r="X520" s="5">
        <v>7000000</v>
      </c>
      <c r="Y520" s="5">
        <v>0</v>
      </c>
      <c r="Z520" s="5">
        <f t="shared" si="72"/>
        <v>2000000</v>
      </c>
      <c r="AA520" s="5">
        <v>5000000</v>
      </c>
      <c r="AB520" s="5">
        <f t="shared" si="73"/>
        <v>2000000</v>
      </c>
      <c r="AC520" s="5" t="s">
        <v>454</v>
      </c>
      <c r="AD520" s="4" t="s">
        <v>51</v>
      </c>
      <c r="AE520" s="5">
        <f t="shared" si="74"/>
        <v>1</v>
      </c>
      <c r="AF520" s="5">
        <v>2000000</v>
      </c>
      <c r="AG520" s="5">
        <v>0</v>
      </c>
      <c r="AH520" s="5">
        <v>1</v>
      </c>
      <c r="AI520" s="5">
        <v>1</v>
      </c>
      <c r="AJ520" s="7" t="s">
        <v>2348</v>
      </c>
      <c r="AK520" s="5">
        <v>0</v>
      </c>
      <c r="AL520" s="5">
        <v>0</v>
      </c>
      <c r="AM520" s="4">
        <v>2016</v>
      </c>
      <c r="AN520" s="5">
        <v>0</v>
      </c>
      <c r="AO520" s="5">
        <v>1</v>
      </c>
      <c r="AP520" s="8"/>
      <c r="AQ520" s="8"/>
      <c r="AR520" s="8">
        <f t="shared" si="75"/>
        <v>0</v>
      </c>
      <c r="AS520" s="8">
        <f t="shared" si="76"/>
        <v>0</v>
      </c>
      <c r="AT520" s="8">
        <f t="shared" si="77"/>
        <v>1480000</v>
      </c>
      <c r="AU520" s="8">
        <f t="shared" si="78"/>
        <v>520000</v>
      </c>
      <c r="AV520" s="4" t="s">
        <v>449</v>
      </c>
      <c r="AW520" s="7" t="s">
        <v>2348</v>
      </c>
      <c r="AX520" s="5">
        <v>5000000</v>
      </c>
      <c r="AY520" t="e">
        <f t="shared" si="79"/>
        <v>#DIV/0!</v>
      </c>
      <c r="AZ520" t="e">
        <f t="shared" si="80"/>
        <v>#DIV/0!</v>
      </c>
      <c r="BA520" s="5">
        <v>7000000</v>
      </c>
      <c r="BB520" s="5">
        <v>0</v>
      </c>
      <c r="BC520" s="4" t="s">
        <v>49</v>
      </c>
      <c r="BD520" s="4">
        <v>47112</v>
      </c>
      <c r="BE520" t="s">
        <v>54</v>
      </c>
    </row>
    <row r="521" spans="1:57" ht="270.75" thickBot="1" x14ac:dyDescent="0.3">
      <c r="A521" s="4" t="s">
        <v>2349</v>
      </c>
      <c r="B521" s="4">
        <v>1002</v>
      </c>
      <c r="C521" s="5">
        <v>2</v>
      </c>
      <c r="D521" s="4" t="s">
        <v>44</v>
      </c>
      <c r="E521" s="6">
        <v>46273.141739976854</v>
      </c>
      <c r="F521" s="4" t="s">
        <v>2350</v>
      </c>
      <c r="G521" s="4" t="s">
        <v>46</v>
      </c>
      <c r="H521" s="4">
        <v>53</v>
      </c>
      <c r="I521" s="4" t="s">
        <v>47</v>
      </c>
      <c r="J521" s="4">
        <v>5309</v>
      </c>
      <c r="K521" s="4" t="s">
        <v>48</v>
      </c>
      <c r="L521" s="4">
        <v>5309011</v>
      </c>
      <c r="M521" s="4">
        <v>5309011010</v>
      </c>
      <c r="N521" s="4" t="s">
        <v>49</v>
      </c>
      <c r="O521" s="4">
        <v>47112</v>
      </c>
      <c r="P521" s="4" t="s">
        <v>2351</v>
      </c>
      <c r="Q521" s="5">
        <v>3</v>
      </c>
      <c r="R521" s="5">
        <v>0</v>
      </c>
      <c r="S521" s="5">
        <v>0</v>
      </c>
      <c r="T521" s="5">
        <v>1850000</v>
      </c>
      <c r="U521" s="5">
        <v>150000</v>
      </c>
      <c r="V521" s="5">
        <v>0</v>
      </c>
      <c r="W521" s="5">
        <v>2000000</v>
      </c>
      <c r="X521" s="5">
        <v>5600000</v>
      </c>
      <c r="Y521" s="5">
        <v>0</v>
      </c>
      <c r="Z521" s="5">
        <f t="shared" si="72"/>
        <v>3600000</v>
      </c>
      <c r="AA521" s="5">
        <v>11300000</v>
      </c>
      <c r="AB521" s="5">
        <f t="shared" si="73"/>
        <v>3750000</v>
      </c>
      <c r="AC521" s="5" t="s">
        <v>2352</v>
      </c>
      <c r="AD521" s="4" t="s">
        <v>51</v>
      </c>
      <c r="AE521" s="5">
        <f t="shared" si="74"/>
        <v>0.96</v>
      </c>
      <c r="AF521" s="5">
        <v>1250000</v>
      </c>
      <c r="AG521" s="5">
        <v>0</v>
      </c>
      <c r="AH521" s="5">
        <v>1</v>
      </c>
      <c r="AI521" s="5">
        <v>1</v>
      </c>
      <c r="AJ521" s="7" t="s">
        <v>2353</v>
      </c>
      <c r="AK521" s="5">
        <v>0</v>
      </c>
      <c r="AL521" s="5">
        <v>0</v>
      </c>
      <c r="AM521" s="4">
        <v>2012</v>
      </c>
      <c r="AN521" s="5">
        <v>0</v>
      </c>
      <c r="AO521" s="5">
        <v>3</v>
      </c>
      <c r="AP521" s="8"/>
      <c r="AQ521" s="8"/>
      <c r="AR521" s="8">
        <f t="shared" si="75"/>
        <v>0</v>
      </c>
      <c r="AS521" s="8">
        <f t="shared" si="76"/>
        <v>150000</v>
      </c>
      <c r="AT521" s="8">
        <f t="shared" si="77"/>
        <v>2775000</v>
      </c>
      <c r="AU521" s="8">
        <f t="shared" si="78"/>
        <v>975000</v>
      </c>
      <c r="AV521" s="4" t="s">
        <v>2351</v>
      </c>
      <c r="AW521" s="7" t="s">
        <v>2353</v>
      </c>
      <c r="AX521" s="5">
        <v>1850000</v>
      </c>
      <c r="AY521">
        <f t="shared" si="79"/>
        <v>0</v>
      </c>
      <c r="AZ521">
        <f t="shared" si="80"/>
        <v>975000</v>
      </c>
      <c r="BA521" s="5">
        <v>5600000</v>
      </c>
      <c r="BB521" s="5">
        <v>0</v>
      </c>
      <c r="BC521" s="4" t="s">
        <v>49</v>
      </c>
      <c r="BD521" s="4">
        <v>47112</v>
      </c>
      <c r="BE521" t="s">
        <v>54</v>
      </c>
    </row>
    <row r="522" spans="1:57" ht="270.75" thickBot="1" x14ac:dyDescent="0.3">
      <c r="A522" s="4" t="s">
        <v>2354</v>
      </c>
      <c r="B522" s="4">
        <v>1</v>
      </c>
      <c r="C522" s="5">
        <v>2</v>
      </c>
      <c r="D522" s="4" t="s">
        <v>44</v>
      </c>
      <c r="E522" s="6">
        <v>46264.67865707176</v>
      </c>
      <c r="F522" s="4" t="s">
        <v>2355</v>
      </c>
      <c r="G522" s="4" t="s">
        <v>46</v>
      </c>
      <c r="H522" s="4">
        <v>53</v>
      </c>
      <c r="I522" s="4" t="s">
        <v>47</v>
      </c>
      <c r="J522" s="4">
        <v>5309</v>
      </c>
      <c r="K522" s="4" t="s">
        <v>48</v>
      </c>
      <c r="L522" s="4">
        <v>5309031</v>
      </c>
      <c r="M522" s="4">
        <v>5309031008</v>
      </c>
      <c r="N522" s="4" t="s">
        <v>49</v>
      </c>
      <c r="O522" s="4">
        <v>47112</v>
      </c>
      <c r="P522" s="4" t="s">
        <v>2356</v>
      </c>
      <c r="Q522" s="5">
        <v>2</v>
      </c>
      <c r="R522" s="5">
        <v>0</v>
      </c>
      <c r="S522" s="5">
        <v>75000</v>
      </c>
      <c r="T522" s="5">
        <v>12000000</v>
      </c>
      <c r="U522" s="5">
        <v>100000</v>
      </c>
      <c r="V522" s="5">
        <v>0</v>
      </c>
      <c r="W522" s="5">
        <v>12175000</v>
      </c>
      <c r="X522" s="5">
        <v>16200000</v>
      </c>
      <c r="Y522" s="5">
        <v>0</v>
      </c>
      <c r="Z522" s="5">
        <f t="shared" si="72"/>
        <v>4025000</v>
      </c>
      <c r="AA522" s="5">
        <v>54500000</v>
      </c>
      <c r="AB522" s="5">
        <f t="shared" si="73"/>
        <v>4200000</v>
      </c>
      <c r="AC522" s="5" t="s">
        <v>2357</v>
      </c>
      <c r="AD522" s="4" t="s">
        <v>51</v>
      </c>
      <c r="AE522" s="5">
        <f t="shared" si="74"/>
        <v>0.95833333333333337</v>
      </c>
      <c r="AF522" s="5">
        <v>2100000</v>
      </c>
      <c r="AG522" s="5">
        <v>1</v>
      </c>
      <c r="AH522" s="5">
        <v>1</v>
      </c>
      <c r="AI522" s="5">
        <v>1</v>
      </c>
      <c r="AJ522" s="7" t="s">
        <v>2358</v>
      </c>
      <c r="AK522" s="5">
        <v>0</v>
      </c>
      <c r="AL522" s="5">
        <v>0</v>
      </c>
      <c r="AM522" s="4">
        <v>2016</v>
      </c>
      <c r="AN522" s="5">
        <v>0</v>
      </c>
      <c r="AO522" s="5">
        <v>2</v>
      </c>
      <c r="AP522" s="8"/>
      <c r="AQ522" s="8"/>
      <c r="AR522" s="8">
        <f t="shared" si="75"/>
        <v>0</v>
      </c>
      <c r="AS522" s="8">
        <f t="shared" si="76"/>
        <v>175000</v>
      </c>
      <c r="AT522" s="8">
        <f t="shared" si="77"/>
        <v>3108000</v>
      </c>
      <c r="AU522" s="8">
        <f t="shared" si="78"/>
        <v>1092000</v>
      </c>
      <c r="AV522" s="4" t="s">
        <v>2356</v>
      </c>
      <c r="AW522" s="7" t="s">
        <v>2358</v>
      </c>
      <c r="AX522" s="5">
        <v>12000000</v>
      </c>
      <c r="AY522">
        <f t="shared" si="79"/>
        <v>468000</v>
      </c>
      <c r="AZ522">
        <f t="shared" si="80"/>
        <v>624000</v>
      </c>
      <c r="BA522" s="5">
        <v>16200000</v>
      </c>
      <c r="BB522" s="5">
        <v>0</v>
      </c>
      <c r="BC522" s="4" t="s">
        <v>49</v>
      </c>
      <c r="BD522" s="4">
        <v>47112</v>
      </c>
      <c r="BE522" t="s">
        <v>54</v>
      </c>
    </row>
  </sheetData>
  <autoFilter ref="A1:BG522" xr:uid="{54F332B6-6F51-4BEB-8628-E728B2A22D82}"/>
  <hyperlinks>
    <hyperlink ref="AJ2" r:id="rId1" xr:uid="{18D92674-EDA8-432C-BA7D-6332D8A7F238}"/>
    <hyperlink ref="AJ3" r:id="rId2" xr:uid="{AAAB9658-940D-457D-86B5-45FEF3EB8F60}"/>
    <hyperlink ref="AJ4" r:id="rId3" xr:uid="{E755DD4B-4F84-41AD-93FB-0C50B388E785}"/>
    <hyperlink ref="AJ5" r:id="rId4" xr:uid="{58D22EB1-2EED-4E83-A824-ED92FCEED6C7}"/>
    <hyperlink ref="AJ6" r:id="rId5" xr:uid="{72A3957C-068C-47A8-A69E-B39D721CEBE7}"/>
    <hyperlink ref="AJ7" r:id="rId6" xr:uid="{36F45390-9EE8-44B2-A16A-9E6000716B3E}"/>
    <hyperlink ref="AJ8" r:id="rId7" xr:uid="{3DF5F55B-A0EF-4799-AE92-23C0E84EBB90}"/>
    <hyperlink ref="AJ9" r:id="rId8" xr:uid="{86128797-B776-4481-A102-F8A7400BA226}"/>
    <hyperlink ref="AJ10" r:id="rId9" xr:uid="{A8A4D5FC-5F1A-40CE-B280-697AA74879B7}"/>
    <hyperlink ref="AJ11" r:id="rId10" xr:uid="{3B5022EA-2D44-4E2D-83C3-B64067FE53AD}"/>
    <hyperlink ref="AJ12" r:id="rId11" xr:uid="{84BFCFBD-57D9-4F3D-A52D-254A1BD63158}"/>
    <hyperlink ref="AJ13" r:id="rId12" xr:uid="{ED9A23C8-99C3-41DF-ABA1-A9C1399FC7DA}"/>
    <hyperlink ref="AJ14" r:id="rId13" xr:uid="{122F145A-2B9D-44C9-B0F9-FF375A470A77}"/>
    <hyperlink ref="AJ15" r:id="rId14" xr:uid="{FF2E5574-49EB-4253-8456-7B8F52A85F4B}"/>
    <hyperlink ref="AJ16" r:id="rId15" xr:uid="{E6CE07B7-73D3-4418-AD68-FB09CD973782}"/>
    <hyperlink ref="AJ17" r:id="rId16" xr:uid="{E15DCDB2-0795-4D4A-BCD0-6DAD7866C5E2}"/>
    <hyperlink ref="AJ18" r:id="rId17" xr:uid="{1F62E1A2-DA8D-4CE0-9B30-1CB6539F6F2D}"/>
    <hyperlink ref="AJ19" r:id="rId18" xr:uid="{34F18707-5853-450D-A484-C0B17D4C65E1}"/>
    <hyperlink ref="AJ20" r:id="rId19" xr:uid="{CBCCA786-2F6A-46C2-96D2-76BC543E76D4}"/>
    <hyperlink ref="AJ21" r:id="rId20" xr:uid="{C1C7894B-B824-40C9-9412-8215F22E00FF}"/>
    <hyperlink ref="AJ22" r:id="rId21" xr:uid="{6BDF30D6-783E-4CE7-8E47-DC94C687411E}"/>
    <hyperlink ref="AJ23" r:id="rId22" xr:uid="{8B922607-C605-4B58-BAF3-E057BCE23D13}"/>
    <hyperlink ref="AJ24" r:id="rId23" xr:uid="{6CAF2D78-9AAD-466E-962E-1F0B500020F4}"/>
    <hyperlink ref="AJ25" r:id="rId24" xr:uid="{5445887B-C4F2-4DB1-922D-36766C870D38}"/>
    <hyperlink ref="AJ26" r:id="rId25" xr:uid="{624282D2-A25B-4F1F-B5D6-951AB5E14DD7}"/>
    <hyperlink ref="AJ27" r:id="rId26" xr:uid="{10B0C5C6-3A96-484C-B28E-8AB3561B3A68}"/>
    <hyperlink ref="AJ28" r:id="rId27" xr:uid="{DD8AF24F-B5AF-45A7-8BFB-7A37073F4F03}"/>
    <hyperlink ref="AJ29" r:id="rId28" xr:uid="{C1690E0E-3A1C-47BA-8D28-DF807EA07BC6}"/>
    <hyperlink ref="AJ30" r:id="rId29" xr:uid="{F743DD54-1494-45C4-9214-FF654BB069AB}"/>
    <hyperlink ref="AJ31" r:id="rId30" xr:uid="{1F77CD0D-E732-49A9-A151-96BBFE70ED8B}"/>
    <hyperlink ref="AJ32" r:id="rId31" xr:uid="{B8963EC2-EEDE-45F5-BEDB-322A54823A34}"/>
    <hyperlink ref="AJ33" r:id="rId32" xr:uid="{5EFE709C-A17A-4B30-AD33-4A1171F0F5BE}"/>
    <hyperlink ref="AJ34" r:id="rId33" xr:uid="{2FF9B6CD-E390-4655-8F53-D983E0839BD1}"/>
    <hyperlink ref="AJ35" r:id="rId34" xr:uid="{BB233CF1-8A3D-4E80-B811-83EACC58ECC1}"/>
    <hyperlink ref="AJ36" r:id="rId35" xr:uid="{6C8FB023-BEC2-42B8-86A3-6270331E0327}"/>
    <hyperlink ref="AJ37" r:id="rId36" xr:uid="{9A3F4589-994E-4B72-B400-D5D3CE08D061}"/>
    <hyperlink ref="AJ38" r:id="rId37" xr:uid="{BC31E943-8551-4689-BE6F-D37E167AF08F}"/>
    <hyperlink ref="AJ39" r:id="rId38" xr:uid="{BBA52F2D-4E36-464E-BA95-2FBE5DCFEDCA}"/>
    <hyperlink ref="AJ40" r:id="rId39" xr:uid="{2B6CF1E5-2A34-4D9E-8182-26F20EF1904D}"/>
    <hyperlink ref="AJ41" r:id="rId40" xr:uid="{F664E92B-A0D6-4EA7-A7B2-8C80687EC0A8}"/>
    <hyperlink ref="AJ42" r:id="rId41" xr:uid="{EAA39448-6A3C-4EC2-A0D4-621FF65D418F}"/>
    <hyperlink ref="AJ43" r:id="rId42" xr:uid="{2B7946B6-AAE5-4A08-8CC2-A5D2D6158002}"/>
    <hyperlink ref="AJ44" r:id="rId43" xr:uid="{F9080BEB-A23F-46FF-8A24-5DAADFC874A3}"/>
    <hyperlink ref="AJ45" r:id="rId44" xr:uid="{21535FEB-F108-4073-BFFC-3F2D9CBFA227}"/>
    <hyperlink ref="AJ46" r:id="rId45" xr:uid="{26D7F558-B5BB-49E4-8128-7333199C4597}"/>
    <hyperlink ref="AJ47" r:id="rId46" xr:uid="{B7247B75-4BA8-488E-95BC-156334FE5B92}"/>
    <hyperlink ref="AJ48" r:id="rId47" xr:uid="{729CD913-15CC-4E03-B0A2-DA478DF94634}"/>
    <hyperlink ref="AJ49" r:id="rId48" xr:uid="{FBC4A133-7EA4-4E32-8B10-F50F317E517E}"/>
    <hyperlink ref="AJ50" r:id="rId49" xr:uid="{C7242481-BEE6-47FB-B7EE-D83D2BA24773}"/>
    <hyperlink ref="AJ51" r:id="rId50" xr:uid="{1934B888-B6A4-43F0-A542-0C8334C60097}"/>
    <hyperlink ref="AJ52" r:id="rId51" xr:uid="{3CFCCACD-55BF-424F-BFB3-C2478E88FADF}"/>
    <hyperlink ref="AJ53" r:id="rId52" xr:uid="{BD405277-C103-4C45-AE09-E512245C3FB7}"/>
    <hyperlink ref="AJ54" r:id="rId53" xr:uid="{E9CE17E8-CB32-4819-BC8B-4DD037F80A24}"/>
    <hyperlink ref="AJ55" r:id="rId54" xr:uid="{AE29E05F-12D3-45D6-BE05-64D2D0FCD070}"/>
    <hyperlink ref="AJ56" r:id="rId55" xr:uid="{468E69E0-B9A9-4849-9716-4D3A0DD2061B}"/>
    <hyperlink ref="AJ57" r:id="rId56" xr:uid="{8CC3B0E5-F1AE-468D-82A5-A0DDF9EC827E}"/>
    <hyperlink ref="AJ58" r:id="rId57" xr:uid="{AB5762B9-4CD9-4DF7-975C-B4462D189D3C}"/>
    <hyperlink ref="AJ59" r:id="rId58" xr:uid="{61F8B54B-7FE2-4238-A39C-A0CBAE3592E3}"/>
    <hyperlink ref="AJ60" r:id="rId59" xr:uid="{207FDF62-D510-4B9B-9EDA-8253800727CC}"/>
    <hyperlink ref="AJ61" r:id="rId60" xr:uid="{C30FEEFF-10C7-4E1C-97C1-AC10D08F4EB1}"/>
    <hyperlink ref="AJ62" r:id="rId61" xr:uid="{63E0B916-9043-4EC4-B6A0-CA4B0425A1BE}"/>
    <hyperlink ref="AJ63" r:id="rId62" xr:uid="{D65764C5-BD10-4F2A-A005-95E6720FEA92}"/>
    <hyperlink ref="AJ64" r:id="rId63" xr:uid="{63BE214F-F707-43E5-9F2D-CF6987113874}"/>
    <hyperlink ref="AJ65" r:id="rId64" xr:uid="{2C35B4A7-8406-41A4-BB4A-2E818842E791}"/>
    <hyperlink ref="AJ66" r:id="rId65" xr:uid="{1D32B2D6-D990-4595-A127-55407EA5F4B0}"/>
    <hyperlink ref="AJ67" r:id="rId66" xr:uid="{920232EE-E8B9-4CD0-B7B7-90B7C9EBD576}"/>
    <hyperlink ref="AJ68" r:id="rId67" xr:uid="{37891A1A-4913-4CE0-9D12-4D4862666D41}"/>
    <hyperlink ref="AJ69" r:id="rId68" xr:uid="{4F471B5C-F7CF-4540-959F-48C723972F22}"/>
    <hyperlink ref="AJ70" r:id="rId69" xr:uid="{51F43861-CA23-4030-97D4-E12EBD5E20E0}"/>
    <hyperlink ref="AJ71" r:id="rId70" xr:uid="{665A7977-0611-4FF1-B27E-9530976958DD}"/>
    <hyperlink ref="AJ72" r:id="rId71" xr:uid="{93C996B5-C18D-4C42-8DBC-976AB86ADB84}"/>
    <hyperlink ref="AJ73" r:id="rId72" xr:uid="{58E22FBC-A1BD-40F2-A77F-4F06ABB1682D}"/>
    <hyperlink ref="AJ74" r:id="rId73" xr:uid="{FB980904-9592-4431-BE15-24E4AB46D265}"/>
    <hyperlink ref="AJ75" r:id="rId74" xr:uid="{30D3B2F7-BBF6-46E2-B71C-C3176E3E23CE}"/>
    <hyperlink ref="AJ76" r:id="rId75" xr:uid="{1B162DBA-CE4E-44BB-AFF6-7F874B4D08C7}"/>
    <hyperlink ref="AJ77" r:id="rId76" xr:uid="{4A7482B0-87A8-4FDA-8312-EA9419886FEB}"/>
    <hyperlink ref="AJ78" r:id="rId77" xr:uid="{0130D1DC-3AC6-4360-B5B5-6CF49502F420}"/>
    <hyperlink ref="AJ79" r:id="rId78" xr:uid="{3FF7EB19-1540-4519-B13C-9BA579A26CE9}"/>
    <hyperlink ref="AJ80" r:id="rId79" xr:uid="{C5ECA6AE-30CA-44BF-88EE-14E08A90FD7C}"/>
    <hyperlink ref="AJ81" r:id="rId80" xr:uid="{4F76E45D-00C7-4953-A043-0BE3A071E5CC}"/>
    <hyperlink ref="AJ82" r:id="rId81" xr:uid="{538110A4-EE98-4875-92EE-843799C6566F}"/>
    <hyperlink ref="AJ83" r:id="rId82" xr:uid="{CA9102C4-B8C3-402E-BF0C-D98D318534D5}"/>
    <hyperlink ref="AJ84" r:id="rId83" xr:uid="{380AB467-4ED5-45DF-BC77-097F80162395}"/>
    <hyperlink ref="AJ85" r:id="rId84" xr:uid="{DABF59A8-C97A-4354-B91D-618722F1138B}"/>
    <hyperlink ref="AJ86" r:id="rId85" xr:uid="{716088FE-8D91-46C3-9E48-580BEE91B7CD}"/>
    <hyperlink ref="AJ87" r:id="rId86" xr:uid="{5A0E579C-3A41-4F0D-8CCE-EBCE2A515207}"/>
    <hyperlink ref="AJ88" r:id="rId87" xr:uid="{F293DD44-58D2-4F34-AB6B-2EE03AADB51D}"/>
    <hyperlink ref="AJ89" r:id="rId88" xr:uid="{5043D424-3F14-445E-893B-F689FCF1A08C}"/>
    <hyperlink ref="AJ90" r:id="rId89" xr:uid="{25F55142-0D21-4286-8F43-1AFF4D7B4A25}"/>
    <hyperlink ref="AJ91" r:id="rId90" xr:uid="{7284AEF3-D68E-4108-8BEE-507266CB7E7B}"/>
    <hyperlink ref="AJ92" r:id="rId91" xr:uid="{1BB15F53-47CF-4B07-A8B2-3294D2A18213}"/>
    <hyperlink ref="AJ93" r:id="rId92" xr:uid="{3BEBBFD4-4115-4E03-B78D-640A3A699439}"/>
    <hyperlink ref="AJ94" r:id="rId93" xr:uid="{0A21436A-3FE3-40D8-BE3F-2ECA35CEA6F0}"/>
    <hyperlink ref="AJ95" r:id="rId94" xr:uid="{5195679F-1B56-4E45-B599-D907460522AB}"/>
    <hyperlink ref="AJ96" r:id="rId95" xr:uid="{E0611F55-20F1-4BEB-9CD4-910EDD837B5A}"/>
    <hyperlink ref="AJ97" r:id="rId96" xr:uid="{44B9627B-432C-464D-82AA-0FFAC58090D6}"/>
    <hyperlink ref="AJ98" r:id="rId97" xr:uid="{BAFD9B4C-67E1-4C21-983C-B46502704CA2}"/>
    <hyperlink ref="AJ99" r:id="rId98" xr:uid="{43BBB713-C37C-40A9-A919-CAF2F6F2672C}"/>
    <hyperlink ref="AJ100" r:id="rId99" xr:uid="{130A0312-963B-4319-9D3C-1BEDFB098FA9}"/>
    <hyperlink ref="AJ101" r:id="rId100" xr:uid="{2DBE1FD6-B858-4DBC-8466-0C45F7AE891E}"/>
    <hyperlink ref="AJ102" r:id="rId101" xr:uid="{AD3DC345-F83F-423E-8FE0-D96DB0411B4A}"/>
    <hyperlink ref="AJ103" r:id="rId102" xr:uid="{949FEC66-8EF6-40CC-BF8C-F18181A5B5BC}"/>
    <hyperlink ref="AJ104" r:id="rId103" xr:uid="{3B8D5012-AF9C-4201-9919-DD0F4F2C3FDF}"/>
    <hyperlink ref="AJ105" r:id="rId104" xr:uid="{317B2EE0-6C68-4E96-BF47-34D97B2C914D}"/>
    <hyperlink ref="AJ106" r:id="rId105" xr:uid="{F6026940-C11A-4EA1-8410-C04A86677E7A}"/>
    <hyperlink ref="AJ107" r:id="rId106" xr:uid="{5D54F29C-12A0-4521-A1B1-225183A9DB1A}"/>
    <hyperlink ref="AJ108" r:id="rId107" xr:uid="{0267B89A-992C-403F-B6A0-007387D96BD5}"/>
    <hyperlink ref="AJ109" r:id="rId108" xr:uid="{4D5BB26E-9FBA-4335-8521-1F28915222CE}"/>
    <hyperlink ref="AJ110" r:id="rId109" xr:uid="{1AD10FC8-85C9-4DE3-B125-FFE4CB15046D}"/>
    <hyperlink ref="AJ111" r:id="rId110" xr:uid="{646F521E-FA37-4A84-A2AA-C3E63AF9D91D}"/>
    <hyperlink ref="AJ112" r:id="rId111" xr:uid="{98527F1A-48DE-469F-A765-177E2CAE86FC}"/>
    <hyperlink ref="AJ113" r:id="rId112" xr:uid="{93A3F389-AD37-4592-9814-F6635336017A}"/>
    <hyperlink ref="AJ114" r:id="rId113" xr:uid="{A7F2CDD2-487A-41E8-AFAA-89609A75719C}"/>
    <hyperlink ref="AJ115" r:id="rId114" xr:uid="{BC7566C6-F857-4C8D-A819-7DC516B6B58E}"/>
    <hyperlink ref="AJ116" r:id="rId115" xr:uid="{D6D90F73-D011-4ADE-B86D-FC8F52197643}"/>
    <hyperlink ref="AJ117" r:id="rId116" xr:uid="{7684E4A7-4099-4C70-97AD-E251EFE97261}"/>
    <hyperlink ref="AJ118" r:id="rId117" xr:uid="{E2A05EE6-5DB8-49A6-B1FE-B7D679FA1F36}"/>
    <hyperlink ref="AJ119" r:id="rId118" xr:uid="{C1B14DD8-6D9D-4209-9B4E-7DD009B9781D}"/>
    <hyperlink ref="AJ120" r:id="rId119" xr:uid="{D55473D9-29C9-474F-8BAA-3A3678967883}"/>
    <hyperlink ref="AJ121" r:id="rId120" xr:uid="{5EB33C44-7A21-41A0-8EAB-19DDCF504913}"/>
    <hyperlink ref="AJ122" r:id="rId121" xr:uid="{CC5EA4B1-C8BA-406B-A56F-46598F896FFF}"/>
    <hyperlink ref="AJ123" r:id="rId122" xr:uid="{216F9754-87EE-43DC-90BA-BE8A000E24D9}"/>
    <hyperlink ref="AJ124" r:id="rId123" xr:uid="{354FE8A8-4C84-45C2-AB52-75E495FF5F5C}"/>
    <hyperlink ref="AJ125" r:id="rId124" xr:uid="{7B1F3493-A2CB-4C31-AD06-04B1C9B8AD90}"/>
    <hyperlink ref="AJ126" r:id="rId125" xr:uid="{8C481C68-F037-43F6-803D-8D21D46798B7}"/>
    <hyperlink ref="AJ127" r:id="rId126" xr:uid="{D459F2F7-1C3F-4575-9BE0-1BDCC3004A8B}"/>
    <hyperlink ref="AJ128" r:id="rId127" xr:uid="{B0459366-8D0C-4F6D-AF90-6CC610AAF68E}"/>
    <hyperlink ref="AJ129" r:id="rId128" xr:uid="{DFEA7FE5-FDC0-417C-B70C-8CCA9F0C4B7E}"/>
    <hyperlink ref="AJ130" r:id="rId129" xr:uid="{62F4F43C-4A67-4C78-AF8B-EAD9BDD7BCE0}"/>
    <hyperlink ref="AJ131" r:id="rId130" xr:uid="{07B6CD17-7A1E-4FEE-93F6-5FAAE4C5F4F9}"/>
    <hyperlink ref="AJ132" r:id="rId131" xr:uid="{86EE2DD6-4DEA-4ADE-8D72-32DF8E4CFE33}"/>
    <hyperlink ref="AJ133" r:id="rId132" xr:uid="{0F5BF3F6-1FE7-4402-AF2E-B98C13A88570}"/>
    <hyperlink ref="AJ134" r:id="rId133" xr:uid="{86A26FB3-8141-473D-B42B-E75ADE936093}"/>
    <hyperlink ref="AJ135" r:id="rId134" xr:uid="{9C3B3CFF-626B-4020-B4A9-FDFEBFF09DEA}"/>
    <hyperlink ref="AJ136" r:id="rId135" xr:uid="{77E7A42D-54E6-471A-A74B-01AF24B081D3}"/>
    <hyperlink ref="AJ137" r:id="rId136" xr:uid="{8A2E84A4-D02F-4C52-840A-BE88B1D9952B}"/>
    <hyperlink ref="AJ138" r:id="rId137" xr:uid="{AD6C4418-6B07-4163-BA89-9AA89F092FBA}"/>
    <hyperlink ref="AJ139" r:id="rId138" xr:uid="{CA9A39FB-0519-47EA-9656-B5C0D85CBA9C}"/>
    <hyperlink ref="AJ140" r:id="rId139" xr:uid="{91556B55-A0D8-46D1-9323-FD6D2599B3F5}"/>
    <hyperlink ref="AJ141" r:id="rId140" xr:uid="{CAE86C03-447E-4841-B488-F0D8033C9B78}"/>
    <hyperlink ref="AJ142" r:id="rId141" xr:uid="{D9F69F13-8C42-4C7E-9942-FFAF3DB03481}"/>
    <hyperlink ref="AJ143" r:id="rId142" xr:uid="{2CA8ED90-6D3E-4E3C-AFF7-DAC207987325}"/>
    <hyperlink ref="AJ144" r:id="rId143" xr:uid="{79CB6D60-9E53-4314-ACD0-9BC011B45F5B}"/>
    <hyperlink ref="AJ145" r:id="rId144" xr:uid="{114D8E5B-1538-401C-A933-3C543D64EB86}"/>
    <hyperlink ref="AJ146" r:id="rId145" xr:uid="{B57BC0CE-D375-46BD-AF0A-7E8BFA0D4F37}"/>
    <hyperlink ref="AJ147" r:id="rId146" xr:uid="{28461A41-A109-4DA1-AF18-F15B359DE7DC}"/>
    <hyperlink ref="AJ148" r:id="rId147" xr:uid="{ADAFE03F-2BD0-44D7-8CEB-A50284D9A68A}"/>
    <hyperlink ref="AJ149" r:id="rId148" xr:uid="{40468D72-6D40-46BC-8924-2C654F00F0C2}"/>
    <hyperlink ref="AJ150" r:id="rId149" xr:uid="{6EFBCD8E-AF70-407C-8928-AFC6D9CB38C4}"/>
    <hyperlink ref="AJ151" r:id="rId150" xr:uid="{248C3207-3D26-42BB-9400-C393C0B2685D}"/>
    <hyperlink ref="AJ152" r:id="rId151" xr:uid="{15901944-4DA5-4B00-9AC7-4DDF42AE58E9}"/>
    <hyperlink ref="AJ153" r:id="rId152" xr:uid="{A27D34D0-EA16-4E38-85C1-FD8D291A4BF0}"/>
    <hyperlink ref="AJ154" r:id="rId153" xr:uid="{3E88142D-F4DE-4D0C-A416-8C88F650D9AF}"/>
    <hyperlink ref="AJ155" r:id="rId154" xr:uid="{9960D15F-109C-4466-9656-78B6754DA7D0}"/>
    <hyperlink ref="AJ156" r:id="rId155" xr:uid="{7C6968F8-DB45-439F-90E1-0E8FAD3ECF29}"/>
    <hyperlink ref="AJ157" r:id="rId156" xr:uid="{B6BF4009-0769-49A6-AFEA-5F45E6A2666D}"/>
    <hyperlink ref="AJ158" r:id="rId157" xr:uid="{E16D8787-7373-4087-8952-5B471009ADB0}"/>
    <hyperlink ref="AJ159" r:id="rId158" xr:uid="{9D840CC7-6238-4912-AAE2-928D272428AB}"/>
    <hyperlink ref="AJ160" r:id="rId159" xr:uid="{35A0F90B-3FD5-4188-BC60-95663025A2B5}"/>
    <hyperlink ref="AJ161" r:id="rId160" xr:uid="{08D994F1-5847-4B18-91E0-473E60D46B51}"/>
    <hyperlink ref="AJ162" r:id="rId161" xr:uid="{F25F9FAF-6F7B-4DC0-8934-E1C15740955A}"/>
    <hyperlink ref="AJ163" r:id="rId162" xr:uid="{5B6FDA1F-4BDA-4E5F-A5F8-D8134B54F505}"/>
    <hyperlink ref="AJ164" r:id="rId163" xr:uid="{10F4EBF9-DA05-4E6A-8051-169C8DDAFD32}"/>
    <hyperlink ref="AJ165" r:id="rId164" xr:uid="{6E19DAA6-9F93-4A00-8A06-5915132A5486}"/>
    <hyperlink ref="AJ166" r:id="rId165" xr:uid="{5F3A5195-1C3B-4A12-9F49-337424C25ABE}"/>
    <hyperlink ref="AJ167" r:id="rId166" xr:uid="{4AFF0300-A5EB-4D5D-82FA-FB4007B0D759}"/>
    <hyperlink ref="AJ168" r:id="rId167" xr:uid="{B5F5BCDB-C84C-46D7-95CA-EEBE65C6DED5}"/>
    <hyperlink ref="AJ169" r:id="rId168" xr:uid="{5DE42B02-E4D0-4A31-96E9-ABF09F91ECE6}"/>
    <hyperlink ref="AJ170" r:id="rId169" xr:uid="{6177C41D-10CA-4DF0-958E-25D66F40F041}"/>
    <hyperlink ref="AJ171" r:id="rId170" xr:uid="{E3CDE260-D11A-4E3A-98CD-81716BD2D00B}"/>
    <hyperlink ref="AJ172" r:id="rId171" xr:uid="{23359B73-CB52-46C0-80F8-A2E9C298DE6A}"/>
    <hyperlink ref="AJ173" r:id="rId172" xr:uid="{3D92FC0F-188E-42AC-BE7D-EC1D1F115FCE}"/>
    <hyperlink ref="AJ174" r:id="rId173" xr:uid="{83D5AD71-6E20-4F3E-B834-C8FDD8C69320}"/>
    <hyperlink ref="AJ175" r:id="rId174" xr:uid="{3697197F-AA16-4977-963D-848798DF1E3A}"/>
    <hyperlink ref="AJ176" r:id="rId175" xr:uid="{2459ACFD-89FB-4C2F-A185-0325A31877DD}"/>
    <hyperlink ref="AJ177" r:id="rId176" xr:uid="{3CE90BC6-BEC7-425C-82DE-8CC1991B4F1A}"/>
    <hyperlink ref="AJ178" r:id="rId177" xr:uid="{E551E356-3E25-41C5-A392-4322B86614B0}"/>
    <hyperlink ref="AJ179" r:id="rId178" xr:uid="{913CF80D-F1EF-4A47-B162-A97A6B325DB8}"/>
    <hyperlink ref="AJ180" r:id="rId179" xr:uid="{EC85C814-FC12-4353-ACB4-43D1154B08E4}"/>
    <hyperlink ref="AJ181" r:id="rId180" xr:uid="{C75F1C0B-3F25-4A8A-AD97-D4C5E66D64D0}"/>
    <hyperlink ref="AJ182" r:id="rId181" xr:uid="{63C889A4-DF83-4147-AD81-CC4A7C8195CB}"/>
    <hyperlink ref="AJ183" r:id="rId182" xr:uid="{91AAB0CD-EBE8-4EF9-B7A2-429AB4F448E0}"/>
    <hyperlink ref="AJ184" r:id="rId183" xr:uid="{22D0344C-8A7F-4F51-9C8B-90163F612A3B}"/>
    <hyperlink ref="AJ185" r:id="rId184" xr:uid="{50EF0A8E-CC17-43C4-B180-058A15AA52F0}"/>
    <hyperlink ref="AJ186" r:id="rId185" xr:uid="{51BB1C73-49BF-4911-8E6D-A7918079446F}"/>
    <hyperlink ref="AJ187" r:id="rId186" xr:uid="{5CC7C696-247A-44C9-8C44-C4BB281A54CC}"/>
    <hyperlink ref="AJ188" r:id="rId187" xr:uid="{10A13712-7DD3-4B90-AD45-D9DA2D8B0302}"/>
    <hyperlink ref="AJ189" r:id="rId188" xr:uid="{8202BCCF-FE09-4FE3-9EB4-434E3DD5BE1F}"/>
    <hyperlink ref="AJ190" r:id="rId189" xr:uid="{B86D41C4-8303-471E-8AA9-BBE38552C4B8}"/>
    <hyperlink ref="AJ191" r:id="rId190" xr:uid="{C72DB6F1-A76E-456F-9130-6F315CE62672}"/>
    <hyperlink ref="AJ192" r:id="rId191" xr:uid="{73FA5A46-82D0-4794-B28C-BC57FE6F3A65}"/>
    <hyperlink ref="AJ193" r:id="rId192" xr:uid="{E5003536-84D7-4420-8401-14AE566B17BF}"/>
    <hyperlink ref="AJ194" r:id="rId193" xr:uid="{B139C166-255E-431C-9BB1-BC88D8DDF2DE}"/>
    <hyperlink ref="AJ195" r:id="rId194" xr:uid="{14E1962C-E390-412D-BFAE-3ADA90736494}"/>
    <hyperlink ref="AJ196" r:id="rId195" xr:uid="{DB526497-23AD-4679-A87A-86AC45E47624}"/>
    <hyperlink ref="AJ197" r:id="rId196" xr:uid="{CE6DB695-2E8D-40D2-A62E-3B909E50EE70}"/>
    <hyperlink ref="AJ198" r:id="rId197" xr:uid="{368306CB-2635-4479-86C5-47CAF643393F}"/>
    <hyperlink ref="AJ199" r:id="rId198" xr:uid="{377E7FCD-E062-4790-AFAF-0E08959525B2}"/>
    <hyperlink ref="AJ200" r:id="rId199" xr:uid="{4241F2DB-73DE-40D2-8167-91EEA30003A9}"/>
    <hyperlink ref="AJ201" r:id="rId200" xr:uid="{C8C6E867-DB63-4B19-9FA7-4F853C5D21EE}"/>
    <hyperlink ref="AJ202" r:id="rId201" xr:uid="{F7EED141-BAEC-4274-A90B-67CD2B467DCF}"/>
    <hyperlink ref="AJ203" r:id="rId202" xr:uid="{9523222E-9717-4A2E-BF84-76AB7AEACD4A}"/>
    <hyperlink ref="AJ204" r:id="rId203" xr:uid="{2665B051-E33A-43B5-8F76-95F93C84FA26}"/>
    <hyperlink ref="AJ205" r:id="rId204" xr:uid="{17988A36-FAFA-45F3-9171-1FEBABF2B420}"/>
    <hyperlink ref="AJ206" r:id="rId205" xr:uid="{ECF41EF0-8D57-4FF4-B701-CE9E8E2A689F}"/>
    <hyperlink ref="AJ207" r:id="rId206" xr:uid="{F1B3F7D7-0F46-462E-91AE-7027E335E8C8}"/>
    <hyperlink ref="AJ208" r:id="rId207" xr:uid="{F673E65C-0128-40B4-B2EB-0095CE6A290F}"/>
    <hyperlink ref="AJ209" r:id="rId208" xr:uid="{E501D545-1621-4212-8BDB-BF2842949058}"/>
    <hyperlink ref="AJ210" r:id="rId209" xr:uid="{426DAAFA-BAF7-4636-BB8D-E21DBDABA682}"/>
    <hyperlink ref="AJ211" r:id="rId210" xr:uid="{0C2CCD91-2D1E-420D-B688-5CFF74D6B0C4}"/>
    <hyperlink ref="AJ212" r:id="rId211" xr:uid="{F90B13DB-1F6F-4881-8A27-58948E3F89FA}"/>
    <hyperlink ref="AJ213" r:id="rId212" xr:uid="{DCD85D61-5CEC-4D5B-8047-C0CF60A923A3}"/>
    <hyperlink ref="AJ214" r:id="rId213" xr:uid="{86E851AB-32A3-4FD8-B233-F894E4A1E4BA}"/>
    <hyperlink ref="AJ215" r:id="rId214" xr:uid="{078273E5-8CDF-4105-B6B9-C8CBB5246268}"/>
    <hyperlink ref="AJ216" r:id="rId215" xr:uid="{90AC747F-BB74-4938-8EAE-E8B7C9ADD470}"/>
    <hyperlink ref="AJ217" r:id="rId216" xr:uid="{4A3798E8-99C5-4205-887A-4B1AE8F13186}"/>
    <hyperlink ref="AJ218" r:id="rId217" xr:uid="{91083D54-4F8E-4889-88A7-1F64268F1379}"/>
    <hyperlink ref="AJ219" r:id="rId218" xr:uid="{DE2186BB-BA76-4746-89B7-4787D3105509}"/>
    <hyperlink ref="AJ220" r:id="rId219" xr:uid="{7202BAEC-6E50-42AD-8DD6-DEB38A6A1907}"/>
    <hyperlink ref="AJ221" r:id="rId220" xr:uid="{61775559-EE22-4497-93DA-2D039D4F8F08}"/>
    <hyperlink ref="AJ222" r:id="rId221" xr:uid="{DF63129F-6BD6-4D9C-BDFF-F3D9BA471D78}"/>
    <hyperlink ref="AJ223" r:id="rId222" xr:uid="{DD42613C-4759-4398-8790-5268087A7CB7}"/>
    <hyperlink ref="AJ224" r:id="rId223" xr:uid="{A75B6903-2B3D-40A8-B75F-0D15F370D7EF}"/>
    <hyperlink ref="AJ225" r:id="rId224" xr:uid="{B76EC7AA-C95F-407B-BA30-88FC1700AF65}"/>
    <hyperlink ref="AJ226" r:id="rId225" xr:uid="{0822CA0C-2009-4CA8-A03E-1A87F128734F}"/>
    <hyperlink ref="AJ227" r:id="rId226" xr:uid="{E582BFBC-46BB-4D87-8451-DE24B20ACC5D}"/>
    <hyperlink ref="AJ228" r:id="rId227" xr:uid="{FE4D3CC8-109C-427E-B54B-CB80B1FF8A2D}"/>
    <hyperlink ref="AJ229" r:id="rId228" xr:uid="{59ECD35E-EED2-4DA9-A6D9-9CCB2A883A66}"/>
    <hyperlink ref="AJ230" r:id="rId229" xr:uid="{622B10D9-892C-496D-A95E-10CEDACD87C3}"/>
    <hyperlink ref="AJ231" r:id="rId230" xr:uid="{3684E611-FBBC-417C-8FE7-20675030C66B}"/>
    <hyperlink ref="AJ232" r:id="rId231" xr:uid="{69665469-48F7-43E3-BEF2-8413B01EC5E6}"/>
    <hyperlink ref="AJ233" r:id="rId232" xr:uid="{3E82EADC-CAB4-4E1D-856A-54006681E8D7}"/>
    <hyperlink ref="AJ234" r:id="rId233" xr:uid="{CED872A4-0551-47F4-9232-332694F7E560}"/>
    <hyperlink ref="AJ235" r:id="rId234" xr:uid="{CA373315-D2FD-4DD4-8B87-307E54ABB04F}"/>
    <hyperlink ref="AJ236" r:id="rId235" xr:uid="{4D469B23-E3A0-43AC-B6B0-A948E5E9F388}"/>
    <hyperlink ref="AJ237" r:id="rId236" xr:uid="{EC9DC4EB-352F-47B7-A390-73DFFC8A1A08}"/>
    <hyperlink ref="AJ238" r:id="rId237" xr:uid="{53727647-5D7E-41DD-A333-6574F4675DE2}"/>
    <hyperlink ref="AJ239" r:id="rId238" xr:uid="{4673F4B7-AF99-493F-A3DE-D18BD46DCAEF}"/>
    <hyperlink ref="AJ240" r:id="rId239" xr:uid="{DBCCD36F-512C-49D0-AD33-098FAC777D9F}"/>
    <hyperlink ref="AJ241" r:id="rId240" xr:uid="{8E990E7A-156A-4E0A-AB2A-9755D344E4F6}"/>
    <hyperlink ref="AJ242" r:id="rId241" xr:uid="{83EA4083-9E29-487E-8E8F-FBC295914742}"/>
    <hyperlink ref="AJ243" r:id="rId242" xr:uid="{4FC028E7-9B11-40F0-BD71-2FF489A3689A}"/>
    <hyperlink ref="AJ244" r:id="rId243" xr:uid="{1C9FAB18-BA2F-49DF-B735-EC441123891B}"/>
    <hyperlink ref="AJ245" r:id="rId244" xr:uid="{DBD243CD-3F46-4D8B-A498-A526B14B951B}"/>
    <hyperlink ref="AJ246" r:id="rId245" xr:uid="{C0ED4F50-72D2-4432-8B2A-BB030A8321AF}"/>
    <hyperlink ref="AJ247" r:id="rId246" xr:uid="{152986A0-19B9-49A8-93EE-F8629E581220}"/>
    <hyperlink ref="AJ248" r:id="rId247" xr:uid="{E2941344-19FB-425A-84BB-EEAD720A49D6}"/>
    <hyperlink ref="AJ249" r:id="rId248" xr:uid="{08A5543A-6D3F-4742-8A4A-8190E6277B6D}"/>
    <hyperlink ref="AJ250" r:id="rId249" xr:uid="{2F923C55-F75F-453B-9AC4-BED5417EFAE4}"/>
    <hyperlink ref="AJ251" r:id="rId250" xr:uid="{42AA721F-65A8-450E-8E1E-21209B0D326A}"/>
    <hyperlink ref="AJ252" r:id="rId251" xr:uid="{4F802A34-2B60-42E4-89F9-B8ADACF89335}"/>
    <hyperlink ref="AJ253" r:id="rId252" xr:uid="{1E880357-AB10-401C-8BD0-76D1B05A187D}"/>
    <hyperlink ref="AJ254" r:id="rId253" xr:uid="{280F2EC1-E2E4-4F98-AABC-9D16042EC9CB}"/>
    <hyperlink ref="AJ255" r:id="rId254" xr:uid="{2D2834FC-9334-4FC8-A357-AB46137D0DF3}"/>
    <hyperlink ref="AJ256" r:id="rId255" xr:uid="{38ABBE3F-174C-42F2-9AF5-8BF8352332C5}"/>
    <hyperlink ref="AJ257" r:id="rId256" xr:uid="{A77B5CC4-C6BC-4358-AF8A-325ABE0ED800}"/>
    <hyperlink ref="AJ258" r:id="rId257" xr:uid="{B9361411-F2D9-4757-84BD-192C9DBA9467}"/>
    <hyperlink ref="AJ259" r:id="rId258" xr:uid="{02DF0C0A-6554-46D7-A496-39E8E68A61AD}"/>
    <hyperlink ref="AJ260" r:id="rId259" xr:uid="{018D9463-C51F-4AE7-9CB1-99E217B537AC}"/>
    <hyperlink ref="AJ261" r:id="rId260" xr:uid="{B8710961-7B2F-4DD2-92FD-14B89B804CE1}"/>
    <hyperlink ref="AJ262" r:id="rId261" xr:uid="{7A6105B2-4F8D-4C92-A9BA-7099635F99A4}"/>
    <hyperlink ref="AJ263" r:id="rId262" xr:uid="{34C4D68B-00A1-4451-BBEC-2528CF5DDD5D}"/>
    <hyperlink ref="AJ264" r:id="rId263" xr:uid="{F67EFA8F-8C47-4959-99AC-89B3F8187B59}"/>
    <hyperlink ref="AJ265" r:id="rId264" xr:uid="{18FE4CB7-6816-4612-BE53-895844BA354C}"/>
    <hyperlink ref="AJ266" r:id="rId265" xr:uid="{E8E6C9E6-C06C-4F3B-B86D-83E1870FE963}"/>
    <hyperlink ref="AJ267" r:id="rId266" xr:uid="{DCA21A52-EFDD-4B37-B4AD-A181EFDC8A78}"/>
    <hyperlink ref="AJ268" r:id="rId267" xr:uid="{BDEDF3D1-47AF-4579-B8B1-FA300FECED76}"/>
    <hyperlink ref="AJ269" r:id="rId268" xr:uid="{7B5DFA45-82F3-4B7F-8D0E-083727B77422}"/>
    <hyperlink ref="AJ270" r:id="rId269" xr:uid="{D36AA199-6E04-4AF6-8BAA-435EE02A4373}"/>
    <hyperlink ref="AJ271" r:id="rId270" xr:uid="{19B12782-0063-43B6-ACC4-727413C8AFA5}"/>
    <hyperlink ref="AJ272" r:id="rId271" xr:uid="{0675FED1-97B0-456B-9A06-7621F030C06B}"/>
    <hyperlink ref="AJ273" r:id="rId272" xr:uid="{EF544397-4C72-49F3-AB46-5D31A00DDCD9}"/>
    <hyperlink ref="AJ274" r:id="rId273" xr:uid="{744A652F-34BB-4F3D-BDB3-9D714C50C2E8}"/>
    <hyperlink ref="AJ275" r:id="rId274" xr:uid="{9CFD9DE2-0EC8-43BC-AF22-748769B90413}"/>
    <hyperlink ref="AJ276" r:id="rId275" xr:uid="{33E758CD-4C8D-4AD3-B3D5-F25E44BF1139}"/>
    <hyperlink ref="AJ277" r:id="rId276" xr:uid="{9409636A-8FEE-4D86-B87E-F9D79BA7904E}"/>
    <hyperlink ref="AJ278" r:id="rId277" xr:uid="{6C42E439-D385-4014-AE6B-DECF79227331}"/>
    <hyperlink ref="AJ279" r:id="rId278" xr:uid="{CFE56E35-B8B0-4E53-80ED-DB9083D8BA75}"/>
    <hyperlink ref="AJ280" r:id="rId279" xr:uid="{ECD0E83C-4C3E-4D81-915C-E0B488C3081A}"/>
    <hyperlink ref="AJ281" r:id="rId280" xr:uid="{1283DE68-9919-46DA-ADAB-267E4B81578E}"/>
    <hyperlink ref="AJ282" r:id="rId281" xr:uid="{3D444E47-30E1-424B-B7E9-CE90BB6A8512}"/>
    <hyperlink ref="AJ283" r:id="rId282" xr:uid="{9AB67D78-BDBD-4AE3-991B-033D89872458}"/>
    <hyperlink ref="AJ284" r:id="rId283" xr:uid="{B4106BEB-3C6A-4CF0-9C23-AB38A7D7B697}"/>
    <hyperlink ref="AJ285" r:id="rId284" xr:uid="{BF778E98-DDA4-4079-9B5F-6BCF167F9980}"/>
    <hyperlink ref="AJ286" r:id="rId285" xr:uid="{5B5B34E2-137E-442E-9E09-AF9FFCF0774D}"/>
    <hyperlink ref="AJ287" r:id="rId286" xr:uid="{6B759378-5466-4F18-B369-AB3E18309081}"/>
    <hyperlink ref="AJ288" r:id="rId287" xr:uid="{B208DE3E-99B2-4309-A073-E146CA65AFB9}"/>
    <hyperlink ref="AJ289" r:id="rId288" xr:uid="{F6ACE07A-53B1-4DD5-8ABD-1B97DE733634}"/>
    <hyperlink ref="AJ290" r:id="rId289" xr:uid="{01C1B2B0-7AD7-40D0-84E6-E1CA2610621D}"/>
    <hyperlink ref="AJ291" r:id="rId290" xr:uid="{DC03E56E-D56A-4FBC-B798-F134D614B7A8}"/>
    <hyperlink ref="AJ292" r:id="rId291" xr:uid="{10B80D30-9CF1-4D36-B06D-28F8904C04B8}"/>
    <hyperlink ref="AJ293" r:id="rId292" xr:uid="{2249FD95-3BC8-4F43-8CDB-214EEDD725E2}"/>
    <hyperlink ref="AJ294" r:id="rId293" xr:uid="{324531B9-E4A4-4B35-8F82-7CBE8772A51B}"/>
    <hyperlink ref="AJ295" r:id="rId294" xr:uid="{57D388E8-770D-4194-AEFD-E0FB409837D6}"/>
    <hyperlink ref="AJ296" r:id="rId295" xr:uid="{2582B008-72F9-49D2-A515-698D7A6EE3C6}"/>
    <hyperlink ref="AJ297" r:id="rId296" xr:uid="{0DB84BB6-3E73-4E4B-A7A4-7E4FE975B7EE}"/>
    <hyperlink ref="AJ298" r:id="rId297" xr:uid="{2EB786E1-BD02-44E5-8516-3E871C55DA1F}"/>
    <hyperlink ref="AJ299" r:id="rId298" xr:uid="{B45C3235-D443-48D4-AB72-5900D2AA2580}"/>
    <hyperlink ref="AJ300" r:id="rId299" xr:uid="{49861DA4-6EC5-4C06-ABC2-89CB4B8214C1}"/>
    <hyperlink ref="AJ301" r:id="rId300" xr:uid="{D5582075-1258-4C03-AD0C-5378CF009679}"/>
    <hyperlink ref="AJ302" r:id="rId301" xr:uid="{29B09109-EE52-4806-AD01-C6A652105AF1}"/>
    <hyperlink ref="AJ303" r:id="rId302" xr:uid="{03BB0B43-7785-4401-9EAF-4BDFCCA44BAB}"/>
    <hyperlink ref="AJ304" r:id="rId303" xr:uid="{B8E50D87-7E6E-4E35-B50C-1AA65C12B448}"/>
    <hyperlink ref="AJ305" r:id="rId304" xr:uid="{49AC06CD-EA66-4774-BDE5-D5E956C04C5C}"/>
    <hyperlink ref="AJ306" r:id="rId305" xr:uid="{8C9D2D6A-250E-40A4-880A-EF70822C3C89}"/>
    <hyperlink ref="AJ307" r:id="rId306" xr:uid="{91B7D8AF-EA4F-4F51-B9FF-BC4C5185ADC7}"/>
    <hyperlink ref="AJ308" r:id="rId307" xr:uid="{83E948CC-8FBD-404F-AD8F-EA487C3DE9A9}"/>
    <hyperlink ref="AJ309" r:id="rId308" xr:uid="{E941E03F-AD29-454A-B1E3-CF28F0965E91}"/>
    <hyperlink ref="AJ310" r:id="rId309" xr:uid="{378B7794-F116-44CC-B06E-9F8C79F96D13}"/>
    <hyperlink ref="AJ311" r:id="rId310" xr:uid="{DE1D461B-3B5E-4686-9FB2-C8D9A02402D1}"/>
    <hyperlink ref="AJ312" r:id="rId311" xr:uid="{191AC2FD-A54F-481A-8095-1F9CE701D395}"/>
    <hyperlink ref="AJ313" r:id="rId312" xr:uid="{CAFF9A53-67ED-4A5D-8839-EFDDA84BC3F3}"/>
    <hyperlink ref="AJ314" r:id="rId313" xr:uid="{B182951A-B7E2-4A94-9D61-AE4273CA15CB}"/>
    <hyperlink ref="AJ315" r:id="rId314" xr:uid="{B8BCF0AC-B5DE-4E13-926A-4B2AC539A067}"/>
    <hyperlink ref="AJ316" r:id="rId315" xr:uid="{2E707D30-D8FA-4D69-94A8-2987725B0537}"/>
    <hyperlink ref="AJ317" r:id="rId316" xr:uid="{3766F359-9655-4ED2-930A-A4CBFB4CA640}"/>
    <hyperlink ref="AJ318" r:id="rId317" xr:uid="{F6CD7432-B589-45A8-A626-1D6E64B1C02C}"/>
    <hyperlink ref="AJ319" r:id="rId318" xr:uid="{B9837971-4665-4076-981D-0B58B04A35CA}"/>
    <hyperlink ref="AJ320" r:id="rId319" xr:uid="{68F4F2D2-AA9D-49A1-B157-5543AB047FB5}"/>
    <hyperlink ref="AJ321" r:id="rId320" xr:uid="{693A8DB7-319F-49AB-B673-46F9459BC7CE}"/>
    <hyperlink ref="AJ322" r:id="rId321" xr:uid="{DF30EA65-2DD2-424C-A019-63545415A7B1}"/>
    <hyperlink ref="AJ323" r:id="rId322" xr:uid="{E4AD3370-6C05-4141-9CBB-87331441D073}"/>
    <hyperlink ref="AJ324" r:id="rId323" xr:uid="{38E8D73D-8D27-448B-B9CE-079FCEEA052B}"/>
    <hyperlink ref="AJ325" r:id="rId324" xr:uid="{7D670510-6988-4388-9B3E-CD029214180C}"/>
    <hyperlink ref="AJ326" r:id="rId325" xr:uid="{D77C68CC-79A5-4A30-919B-0BC86EC14014}"/>
    <hyperlink ref="AJ327" r:id="rId326" xr:uid="{5F93C969-6546-4069-9D95-EFA9856976BC}"/>
    <hyperlink ref="AJ328" r:id="rId327" xr:uid="{7A7C5CE8-D520-4083-95BC-A6DD92FB71BD}"/>
    <hyperlink ref="AJ329" r:id="rId328" xr:uid="{B489CA41-6F61-4657-B165-AE2804637675}"/>
    <hyperlink ref="AJ330" r:id="rId329" xr:uid="{FEC58F0D-11C2-4E01-A409-CF9995F6955B}"/>
    <hyperlink ref="AJ331" r:id="rId330" xr:uid="{7CDBD26E-8A47-41A1-975C-E3E9F894ECCC}"/>
    <hyperlink ref="AJ332" r:id="rId331" xr:uid="{9C91139F-0E82-4D8A-A7EA-703D6B4B5A22}"/>
    <hyperlink ref="AJ333" r:id="rId332" xr:uid="{1F81D2CD-F407-4B9B-8CCD-B8A09C245BC6}"/>
    <hyperlink ref="AJ334" r:id="rId333" xr:uid="{531B3890-EED8-4938-B75D-CBB371927B7D}"/>
    <hyperlink ref="AJ335" r:id="rId334" xr:uid="{AE97D83E-65FE-4848-A1F5-21391FB4A001}"/>
    <hyperlink ref="AJ336" r:id="rId335" xr:uid="{8DA4AAD0-B846-4507-B57E-CD5CBE8EE44C}"/>
    <hyperlink ref="AJ337" r:id="rId336" xr:uid="{9EDAD4A6-C1D2-4001-939B-914429693DE7}"/>
    <hyperlink ref="AJ338" r:id="rId337" xr:uid="{1B1721E3-9D39-4BC7-83AA-E304BAB45106}"/>
    <hyperlink ref="AJ339" r:id="rId338" xr:uid="{FF472513-BC4D-4C4F-9C3B-490A2E7E162F}"/>
    <hyperlink ref="AJ340" r:id="rId339" xr:uid="{BE1DC516-CB91-4416-A603-7BBCA7B6C74A}"/>
    <hyperlink ref="AJ341" r:id="rId340" xr:uid="{38F4F56F-FEF2-483D-9F03-64C784E2D875}"/>
    <hyperlink ref="AJ342" r:id="rId341" xr:uid="{0F9711B1-3D35-49B1-A482-527FC6336F27}"/>
    <hyperlink ref="AJ343" r:id="rId342" xr:uid="{1BB645CA-7ABC-4395-8205-E720B503615B}"/>
    <hyperlink ref="AJ344" r:id="rId343" xr:uid="{49F83D9E-8F2F-4D4D-8A1F-A14F3AB73506}"/>
    <hyperlink ref="AJ345" r:id="rId344" xr:uid="{717ECC8A-EBC1-411C-BCB1-98B39F98FBAC}"/>
    <hyperlink ref="AJ346" r:id="rId345" xr:uid="{ED0C821C-B81E-4700-8348-6EB064068A79}"/>
    <hyperlink ref="AJ347" r:id="rId346" xr:uid="{7B539A59-F1E5-40E7-9A67-F23F2C51E6B4}"/>
    <hyperlink ref="AJ348" r:id="rId347" xr:uid="{3B785481-0E88-46E0-B483-46DB245208FC}"/>
    <hyperlink ref="AJ349" r:id="rId348" xr:uid="{6B578E8B-61D3-4578-B197-ACDDF777F612}"/>
    <hyperlink ref="AJ350" r:id="rId349" xr:uid="{638103D0-42E1-4D66-8885-9AD7FD8D442E}"/>
    <hyperlink ref="AJ351" r:id="rId350" xr:uid="{79DF3710-74AF-4B13-9042-10228C06BE03}"/>
    <hyperlink ref="AJ352" r:id="rId351" xr:uid="{F113659A-E861-4879-9B1F-1CCAE17FDB23}"/>
    <hyperlink ref="AJ353" r:id="rId352" xr:uid="{BDCD98B1-B227-4447-B340-C6E7C151ABCE}"/>
    <hyperlink ref="AJ354" r:id="rId353" xr:uid="{DD4C5DC4-DFB2-411E-BE70-3FC676D2B2A6}"/>
    <hyperlink ref="AJ355" r:id="rId354" xr:uid="{5E719EE3-0597-480E-B0C6-9526A6111348}"/>
    <hyperlink ref="AJ356" r:id="rId355" xr:uid="{43AD143D-4196-498C-887C-27E75CA9B172}"/>
    <hyperlink ref="AJ357" r:id="rId356" xr:uid="{8B020F75-1FBF-42C7-8C05-C016E947D0A7}"/>
    <hyperlink ref="AJ358" r:id="rId357" xr:uid="{749C7F4A-9450-4D5C-8B6E-3CA40EB0669D}"/>
    <hyperlink ref="AJ359" r:id="rId358" xr:uid="{C5F30BDC-61AF-4AEC-A8D7-3D056D6DED5B}"/>
    <hyperlink ref="AJ360" r:id="rId359" xr:uid="{56B13D14-2C70-4214-909C-DD49ECB8307D}"/>
    <hyperlink ref="AJ361" r:id="rId360" xr:uid="{ECCFBE4D-5E84-4605-B4ED-5A39B86F9428}"/>
    <hyperlink ref="AJ362" r:id="rId361" xr:uid="{76B06A69-A2DE-41C3-92E6-125FDF6931B2}"/>
    <hyperlink ref="AJ363" r:id="rId362" xr:uid="{7150112E-8202-4F91-83A4-C174F4C41FEE}"/>
    <hyperlink ref="AJ364" r:id="rId363" xr:uid="{249E5D82-04AD-4737-8349-52E2723F0F0A}"/>
    <hyperlink ref="AJ365" r:id="rId364" xr:uid="{0DD1E009-457A-4A5E-A825-8CBC84D696A2}"/>
    <hyperlink ref="AJ366" r:id="rId365" xr:uid="{E9CDC45D-CC7A-46C5-8ECC-21E7D63CDEB0}"/>
    <hyperlink ref="AJ367" r:id="rId366" xr:uid="{AD49CD3C-908D-49D0-9DB4-93830F98283A}"/>
    <hyperlink ref="AJ368" r:id="rId367" xr:uid="{9EA9A7C2-D3F9-4009-B193-19475030BF37}"/>
    <hyperlink ref="AJ369" r:id="rId368" xr:uid="{521A3B83-7EC1-4615-886F-8AEDF37BC17D}"/>
    <hyperlink ref="AJ370" r:id="rId369" xr:uid="{8391EF99-6486-45E6-B3B1-F965A1E911DB}"/>
    <hyperlink ref="AJ371" r:id="rId370" xr:uid="{7F143B83-E0D3-44C6-8251-ACB9A5476565}"/>
    <hyperlink ref="AJ372" r:id="rId371" xr:uid="{2DC4E082-AE15-41DF-B841-1BBEC3740E9F}"/>
    <hyperlink ref="AJ373" r:id="rId372" xr:uid="{3133148C-567C-4D8F-A3BF-AF146638DC0A}"/>
    <hyperlink ref="AJ374" r:id="rId373" xr:uid="{0F89C8F1-E732-4F30-BA17-B856DFF82A99}"/>
    <hyperlink ref="AJ375" r:id="rId374" xr:uid="{1EBD90E3-B4B4-4A7A-9469-B7EA5448064E}"/>
    <hyperlink ref="AJ376" r:id="rId375" xr:uid="{75F9A23D-3429-4EF8-ADF4-3EA225D4896B}"/>
    <hyperlink ref="AJ377" r:id="rId376" xr:uid="{1832DD49-37DA-4DBA-B532-88B231E2F28D}"/>
    <hyperlink ref="AJ378" r:id="rId377" xr:uid="{5572F106-B873-42F8-A31A-7436D83A2F9C}"/>
    <hyperlink ref="AJ379" r:id="rId378" xr:uid="{726225E6-0CA4-489A-8C1D-BB188BF84CB5}"/>
    <hyperlink ref="AJ380" r:id="rId379" xr:uid="{B6EF1635-2804-498C-8DB7-E0CE6ACEADA0}"/>
    <hyperlink ref="AJ381" r:id="rId380" xr:uid="{DAC8FCCF-CFFF-46AC-B482-7D3D6B1DD935}"/>
    <hyperlink ref="AJ382" r:id="rId381" xr:uid="{078D0B92-6721-49A9-A645-D93D3DD98A9B}"/>
    <hyperlink ref="AJ383" r:id="rId382" xr:uid="{14A47F53-FCD9-4D57-A7C0-3083751D1038}"/>
    <hyperlink ref="AJ384" r:id="rId383" xr:uid="{95A8BED3-0171-4263-8A5B-0FED8FA35609}"/>
    <hyperlink ref="AJ385" r:id="rId384" xr:uid="{23142804-6538-40AD-964A-5FE698955AF1}"/>
    <hyperlink ref="AJ386" r:id="rId385" xr:uid="{50ECD841-E5C1-4DBA-95D6-409336F4A18E}"/>
    <hyperlink ref="AJ387" r:id="rId386" xr:uid="{3CCEF9A2-1CDF-4B90-B482-91C75C885C60}"/>
    <hyperlink ref="AJ388" r:id="rId387" xr:uid="{FCF8D06D-EED1-4969-B522-EFA76BAB9808}"/>
    <hyperlink ref="AJ389" r:id="rId388" xr:uid="{8FF65686-5ED1-48A3-BC6D-C004CE105814}"/>
    <hyperlink ref="AJ390" r:id="rId389" xr:uid="{B9535019-3745-45C3-9241-02DAAA347996}"/>
    <hyperlink ref="AJ391" r:id="rId390" xr:uid="{1A786ADC-AA06-4183-97D2-B0CD30982F50}"/>
    <hyperlink ref="AJ392" r:id="rId391" xr:uid="{583F136B-878E-4708-B824-CB7787C076BF}"/>
    <hyperlink ref="AJ393" r:id="rId392" xr:uid="{64EDB37B-0120-41FD-B9BF-8A0D20B12E6D}"/>
    <hyperlink ref="AJ394" r:id="rId393" xr:uid="{52FDE4EA-106C-4EE2-BA9F-42962CE14BF2}"/>
    <hyperlink ref="AJ395" r:id="rId394" xr:uid="{778614F2-784B-4E87-B984-A701D088DCBF}"/>
    <hyperlink ref="AJ396" r:id="rId395" xr:uid="{DAD69AFB-B43C-4F0D-8373-ECA4DE22016C}"/>
    <hyperlink ref="AJ397" r:id="rId396" xr:uid="{1B79B279-A6F6-46B0-91A5-7F61C54874E8}"/>
    <hyperlink ref="AJ398" r:id="rId397" xr:uid="{F9E22F00-EC35-4FFA-9FB7-793EAC2B3887}"/>
    <hyperlink ref="AJ399" r:id="rId398" xr:uid="{09E3204A-DFDE-44D8-B556-FFED3243A60C}"/>
    <hyperlink ref="AJ400" r:id="rId399" xr:uid="{E73C7CAE-0A55-4211-AD87-61D31F4C90E6}"/>
    <hyperlink ref="AJ401" r:id="rId400" xr:uid="{1042C9B6-B93C-481C-957E-A9449D952B64}"/>
    <hyperlink ref="AJ402" r:id="rId401" xr:uid="{8B1AECF9-34D5-4043-BC69-DA4FDF3A5004}"/>
    <hyperlink ref="AJ403" r:id="rId402" xr:uid="{64D19F4A-3535-41CC-AE2E-8ABC59E6AD0C}"/>
    <hyperlink ref="AJ404" r:id="rId403" xr:uid="{5D657EF8-BAE1-4F0D-A15E-A3CBCDEDA141}"/>
    <hyperlink ref="AJ405" r:id="rId404" xr:uid="{BF4D5DB5-2FD9-47AE-9838-DA5AC48CD0A7}"/>
    <hyperlink ref="AJ406" r:id="rId405" xr:uid="{59F7B47E-23DE-4380-8551-D8109E372C47}"/>
    <hyperlink ref="AJ407" r:id="rId406" xr:uid="{4114CC56-3AD9-4161-8144-56F48BE51331}"/>
    <hyperlink ref="AJ408" r:id="rId407" xr:uid="{11ED159A-F8E0-4470-A14D-4E4020C4486B}"/>
    <hyperlink ref="AJ409" r:id="rId408" xr:uid="{AEBF486D-475D-4A54-8BED-2F150CDD350B}"/>
    <hyperlink ref="AJ410" r:id="rId409" xr:uid="{63A035DC-8562-4F8E-99A3-F13EC5523F22}"/>
    <hyperlink ref="AJ411" r:id="rId410" xr:uid="{09ACB99B-185F-4FC0-B07B-EB44AE3173F1}"/>
    <hyperlink ref="AJ412" r:id="rId411" xr:uid="{502168AA-A7C3-497B-9E62-CEA1740D2A98}"/>
    <hyperlink ref="AJ413" r:id="rId412" xr:uid="{DDA1E77C-24EE-40DB-A2AA-E3D18FB39D0E}"/>
    <hyperlink ref="AJ414" r:id="rId413" xr:uid="{8C00C9B1-F344-48B7-A835-935CB11253A3}"/>
    <hyperlink ref="AJ415" r:id="rId414" xr:uid="{51509918-B831-4798-8E58-C8CC54DB9B57}"/>
    <hyperlink ref="AJ416" r:id="rId415" xr:uid="{03122D11-328D-42CF-B56A-E674A5BD9128}"/>
    <hyperlink ref="AJ417" r:id="rId416" xr:uid="{44EA47D3-1F45-46EF-A47A-49F8C12EC976}"/>
    <hyperlink ref="AJ418" r:id="rId417" xr:uid="{4125D582-056E-4F4E-A743-FC1B12148EC7}"/>
    <hyperlink ref="AJ419" r:id="rId418" xr:uid="{F4CCCA78-3498-4BEC-9412-8092D34B3D08}"/>
    <hyperlink ref="AJ420" r:id="rId419" xr:uid="{70840B7E-5E83-4526-9943-10910BDF939F}"/>
    <hyperlink ref="AJ421" r:id="rId420" xr:uid="{E8FC3F26-8AD6-4263-800C-AEA228B9E4CB}"/>
    <hyperlink ref="AJ422" r:id="rId421" xr:uid="{CF84BEBF-C7D5-433B-B18E-7E67C16917B4}"/>
    <hyperlink ref="AJ423" r:id="rId422" xr:uid="{86D964ED-4FEF-4E91-9E99-3E955C271FE0}"/>
    <hyperlink ref="AJ424" r:id="rId423" xr:uid="{F57C57A1-E787-4050-B0EC-3F4F7F391727}"/>
    <hyperlink ref="AJ425" r:id="rId424" xr:uid="{A746D8D4-8DCC-4503-B3DF-E20B162B1C4C}"/>
    <hyperlink ref="AJ426" r:id="rId425" xr:uid="{E03331A4-A742-4F38-BB5C-CAB7F678477A}"/>
    <hyperlink ref="AJ427" r:id="rId426" xr:uid="{4FDCEBE9-32EF-4B71-A48A-B31382DE557D}"/>
    <hyperlink ref="AJ428" r:id="rId427" xr:uid="{CDA2E4D5-F30A-459B-8ACA-86361BA54CD9}"/>
    <hyperlink ref="AJ429" r:id="rId428" xr:uid="{285498D2-28A3-466E-9682-6E4AC14AE757}"/>
    <hyperlink ref="AJ430" r:id="rId429" xr:uid="{B9AC0300-6D7C-48C5-AA3F-634E0FF896AF}"/>
    <hyperlink ref="AJ431" r:id="rId430" xr:uid="{1602A2A2-5054-4A9B-AD70-C5208993ECDB}"/>
    <hyperlink ref="AJ432" r:id="rId431" xr:uid="{93F98002-90CF-4935-A024-3B37B0CAB5D3}"/>
    <hyperlink ref="AJ433" r:id="rId432" xr:uid="{55B4D545-DB37-4CFD-97E1-0839B7162388}"/>
    <hyperlink ref="AJ434" r:id="rId433" xr:uid="{55B574B5-FBD2-4FA4-9CB4-8C905A0AB19C}"/>
    <hyperlink ref="AJ435" r:id="rId434" xr:uid="{E59BDEC7-28CC-46C7-B20F-5968890CD5F2}"/>
    <hyperlink ref="AJ436" r:id="rId435" xr:uid="{759BF804-9674-4206-9474-72EE290A61AB}"/>
    <hyperlink ref="AJ437" r:id="rId436" xr:uid="{1E2C7429-A28C-416D-80EC-4143CE013940}"/>
    <hyperlink ref="AJ438" r:id="rId437" xr:uid="{EEEBAAD8-391E-41F7-8DC7-6C2CA4ED1D3B}"/>
    <hyperlink ref="AJ439" r:id="rId438" xr:uid="{EEDF0E3D-0F39-4126-85A6-2B32BC9E5192}"/>
    <hyperlink ref="AJ440" r:id="rId439" xr:uid="{8A39BDE9-C7E4-40CB-97A4-1E4FBB704AAA}"/>
    <hyperlink ref="AJ441" r:id="rId440" xr:uid="{6234DB64-2D92-4596-858C-17E15AC06BC8}"/>
    <hyperlink ref="AJ442" r:id="rId441" xr:uid="{C22C6B66-DC07-4C85-9D6A-0B3572A767E4}"/>
    <hyperlink ref="AJ443" r:id="rId442" xr:uid="{14EE9C16-8DAE-4310-BC45-568C804895FB}"/>
    <hyperlink ref="AJ444" r:id="rId443" xr:uid="{95FE3FBD-457C-4502-9BB2-6394693B8D7C}"/>
    <hyperlink ref="AJ445" r:id="rId444" xr:uid="{7B8B0B0B-C237-4FEA-B747-188EE52EC099}"/>
    <hyperlink ref="AJ446" r:id="rId445" xr:uid="{2107F41E-E8C1-4F34-B656-EC9EC68B98DD}"/>
    <hyperlink ref="AJ447" r:id="rId446" xr:uid="{6A74AB76-E341-4441-9D3F-7E84CCDA1ADF}"/>
    <hyperlink ref="AJ448" r:id="rId447" xr:uid="{56F075DC-8DD7-48A5-B7D8-0C771A52D999}"/>
    <hyperlink ref="AJ449" r:id="rId448" xr:uid="{C3737382-F4BD-498E-AD08-5E16B07DB113}"/>
    <hyperlink ref="AJ450" r:id="rId449" xr:uid="{91204E5B-31DE-48ED-BC52-F13C079CA80B}"/>
    <hyperlink ref="AJ451" r:id="rId450" xr:uid="{6596FF8E-CEFD-41C9-B7FC-06CC6C88E27C}"/>
    <hyperlink ref="AJ452" r:id="rId451" xr:uid="{5F84F5D0-1BC2-46D1-A6F7-692C5526912E}"/>
    <hyperlink ref="AJ453" r:id="rId452" xr:uid="{9A6267BF-E884-4115-927D-457010765FAC}"/>
    <hyperlink ref="AJ454" r:id="rId453" xr:uid="{61DB9AD9-0984-46ED-BC46-9F036B47E2BB}"/>
    <hyperlink ref="AJ455" r:id="rId454" xr:uid="{50E23E7E-91CE-4557-8FEB-73FC7F9A5AA8}"/>
    <hyperlink ref="AJ456" r:id="rId455" xr:uid="{DF739878-B805-447D-89F7-7F1434947E06}"/>
    <hyperlink ref="AJ457" r:id="rId456" xr:uid="{9FEA23EB-A3D1-4994-83C8-6269D17C33A2}"/>
    <hyperlink ref="AJ458" r:id="rId457" xr:uid="{DD06B16C-6BDD-4227-982B-FC040F853CEC}"/>
    <hyperlink ref="AJ459" r:id="rId458" xr:uid="{3BFAE537-D7A5-4EBD-ABD4-F82F7A0D3E0C}"/>
    <hyperlink ref="AJ460" r:id="rId459" xr:uid="{C88BD3DB-5916-46E2-8992-4A42D1CCE49D}"/>
    <hyperlink ref="AJ461" r:id="rId460" xr:uid="{EEACCA6B-A911-4598-A6A9-44B31235C19C}"/>
    <hyperlink ref="AJ462" r:id="rId461" xr:uid="{9FC0DA82-6021-4069-97D7-914A46EB983C}"/>
    <hyperlink ref="AJ463" r:id="rId462" xr:uid="{CDB71285-7180-4493-8AAA-5C9CDDCBC7EC}"/>
    <hyperlink ref="AJ464" r:id="rId463" xr:uid="{E5FE76B4-A2AE-4C33-B596-3F5AFB959AC3}"/>
    <hyperlink ref="AJ465" r:id="rId464" xr:uid="{2A7CB0AF-FEDC-4109-B93D-DD3358520BE2}"/>
    <hyperlink ref="AJ466" r:id="rId465" xr:uid="{766023F3-2FDB-4132-AEF8-3EE96CFB0D84}"/>
    <hyperlink ref="AJ467" r:id="rId466" xr:uid="{37EDED8A-B4DF-4084-A428-A85E41D887E3}"/>
    <hyperlink ref="AJ468" r:id="rId467" xr:uid="{F78C0E27-CC14-499C-B2D7-EC15FF5F402A}"/>
    <hyperlink ref="AJ469" r:id="rId468" xr:uid="{C388BE1F-75A0-4A01-9693-E05A423A68A3}"/>
    <hyperlink ref="AJ470" r:id="rId469" xr:uid="{83750CF2-C897-48B2-A386-4EBB16876F19}"/>
    <hyperlink ref="AJ471" r:id="rId470" xr:uid="{35D08714-F5E2-4C36-8D10-1C917012732A}"/>
    <hyperlink ref="AJ472" r:id="rId471" xr:uid="{EA200822-89C9-4BF1-9837-6410F90DF9CD}"/>
    <hyperlink ref="AJ473" r:id="rId472" xr:uid="{BFC73FC3-C144-4D1A-B83D-8A45F6D8A285}"/>
    <hyperlink ref="AJ474" r:id="rId473" xr:uid="{33AA915A-4BBA-44ED-A69C-8222A203B216}"/>
    <hyperlink ref="AJ475" r:id="rId474" xr:uid="{03EA3125-D4C4-4B85-BA20-724D28B2D1A5}"/>
    <hyperlink ref="AJ476" r:id="rId475" xr:uid="{0C6F05DF-940B-4379-90FC-230A4D6EDD3A}"/>
    <hyperlink ref="AJ477" r:id="rId476" xr:uid="{AF91ECDF-44B9-40CD-B818-1D5299502D1C}"/>
    <hyperlink ref="AJ478" r:id="rId477" xr:uid="{1FC1F1C2-0A0C-496B-8184-5333C1A86111}"/>
    <hyperlink ref="AJ479" r:id="rId478" xr:uid="{736511A8-BAE5-4B70-9559-9917BE2109ED}"/>
    <hyperlink ref="AJ480" r:id="rId479" xr:uid="{6B94A9C4-AD48-440B-9542-320F842CBD43}"/>
    <hyperlink ref="AJ481" r:id="rId480" xr:uid="{A0A8CE4A-2545-486D-9F53-B16A98781322}"/>
    <hyperlink ref="AJ482" r:id="rId481" xr:uid="{366AC823-934A-4ED8-9545-6B1674DC9E9A}"/>
    <hyperlink ref="AJ483" r:id="rId482" xr:uid="{9F124098-91ED-4440-90F9-D19FFF9488A4}"/>
    <hyperlink ref="AJ484" r:id="rId483" xr:uid="{8035864C-1EE2-4AA0-A096-7DABAEE30266}"/>
    <hyperlink ref="AJ485" r:id="rId484" xr:uid="{6A9BD03A-087C-43CD-9458-11624670EEEE}"/>
    <hyperlink ref="AJ486" r:id="rId485" xr:uid="{8E49BB58-E06A-4756-B666-9C25825707C9}"/>
    <hyperlink ref="AJ487" r:id="rId486" xr:uid="{804D65D8-C6D9-4074-A866-C3EB2AB097EA}"/>
    <hyperlink ref="AJ488" r:id="rId487" xr:uid="{87503FDC-82C3-4A20-8F1A-DA036B281477}"/>
    <hyperlink ref="AJ489" r:id="rId488" xr:uid="{5639BDE4-B316-4EC7-A2FB-6E832DE5410B}"/>
    <hyperlink ref="AJ490" r:id="rId489" xr:uid="{B6F30366-FA8E-4E5E-9B07-41E3686F9F84}"/>
    <hyperlink ref="AJ491" r:id="rId490" xr:uid="{115E3356-FD57-4A17-B820-3F3F3807E230}"/>
    <hyperlink ref="AJ492" r:id="rId491" xr:uid="{87A60801-8746-4DE6-B0B4-CC101B67095C}"/>
    <hyperlink ref="AJ493" r:id="rId492" xr:uid="{FE7A9380-3111-411E-8E5C-7EF6BF458E68}"/>
    <hyperlink ref="AJ494" r:id="rId493" xr:uid="{BA84F60D-55C3-426A-87D2-528B684A1E97}"/>
    <hyperlink ref="AJ495" r:id="rId494" xr:uid="{9268854F-2E57-4A07-AAAF-53AB58D84EB5}"/>
    <hyperlink ref="AJ496" r:id="rId495" xr:uid="{EA940183-F323-4543-BB99-FC38B0C9C50D}"/>
    <hyperlink ref="AJ497" r:id="rId496" xr:uid="{25B18C6E-4BDB-46B6-B5EC-D1EEA53074AB}"/>
    <hyperlink ref="AJ498" r:id="rId497" xr:uid="{F2775F72-D9B0-4ECB-9F55-972E508E108B}"/>
    <hyperlink ref="AJ499" r:id="rId498" xr:uid="{EDE3334D-0E80-4162-8177-4D2CA6C4ABAE}"/>
    <hyperlink ref="AJ500" r:id="rId499" xr:uid="{F35F7F2B-D587-48E0-8A63-2B2C203E64C9}"/>
    <hyperlink ref="AJ501" r:id="rId500" xr:uid="{CDD2B42F-479C-4E56-A878-89F36EFCA65A}"/>
    <hyperlink ref="AJ502" r:id="rId501" xr:uid="{BB61E42C-5583-4BFD-B34A-332F5648FDD5}"/>
    <hyperlink ref="AJ503" r:id="rId502" xr:uid="{785AE3CE-7F53-40A8-B8F4-3E5C2E4FD7C4}"/>
    <hyperlink ref="AJ504" r:id="rId503" xr:uid="{C447B023-E7D5-4672-9BD9-962A9655DDF2}"/>
    <hyperlink ref="AJ505" r:id="rId504" xr:uid="{D09006EF-1EC3-4B8B-8C73-5A195DCF885A}"/>
    <hyperlink ref="AJ506" r:id="rId505" xr:uid="{0906A082-E94E-4DB1-8348-9EB3CDFB9BDE}"/>
    <hyperlink ref="AJ507" r:id="rId506" xr:uid="{34A6CDA2-78B8-4DB0-A011-3A4E6C9990BC}"/>
    <hyperlink ref="AJ508" r:id="rId507" xr:uid="{F76B08C2-74E7-4DC3-81C4-0FCDF5000FA3}"/>
    <hyperlink ref="AJ509" r:id="rId508" xr:uid="{CCFD0782-D09E-4A91-B3DD-1762C02AD950}"/>
    <hyperlink ref="AJ510" r:id="rId509" xr:uid="{567DF9A7-714B-404D-B4C8-47DCC62C9EB7}"/>
    <hyperlink ref="AJ511" r:id="rId510" xr:uid="{CF8D53D2-EEFC-4EB3-B43D-A20BE80339DD}"/>
    <hyperlink ref="AJ512" r:id="rId511" xr:uid="{5414371A-138D-492E-AC64-EB500B6E3F8D}"/>
    <hyperlink ref="AJ513" r:id="rId512" xr:uid="{5116D69E-893E-430E-B206-A9BC2FD59BD4}"/>
    <hyperlink ref="AJ514" r:id="rId513" xr:uid="{93500CCB-09B4-4CA1-9CA3-A4BD95991EFB}"/>
    <hyperlink ref="AJ515" r:id="rId514" xr:uid="{D0A8EF06-BFF6-4D76-8138-4B1670B69588}"/>
    <hyperlink ref="AJ516" r:id="rId515" xr:uid="{33A527B2-6E48-4E24-A800-58DFE722C5A5}"/>
    <hyperlink ref="AJ517" r:id="rId516" xr:uid="{179B34AF-6106-4B7E-B6D3-1002CE83FA5B}"/>
    <hyperlink ref="AJ518" r:id="rId517" xr:uid="{CCAA02EB-258D-40B8-9776-A7662B2A62D7}"/>
    <hyperlink ref="AJ519" r:id="rId518" xr:uid="{6F1239F1-4EF1-435C-BC9C-FC2228689780}"/>
    <hyperlink ref="AJ520" r:id="rId519" xr:uid="{052313B7-D1A5-418A-816D-12D98BADC658}"/>
    <hyperlink ref="AJ521" r:id="rId520" xr:uid="{2D55DE82-B532-4EFA-9884-0A72E493DD8F}"/>
    <hyperlink ref="AJ522" r:id="rId521" xr:uid="{153B5411-8C94-465A-ACC5-8EB85ECE99D0}"/>
    <hyperlink ref="AW2" r:id="rId522" xr:uid="{7851DD1B-2F45-439A-A2A8-7E2AF0656701}"/>
    <hyperlink ref="AW3" r:id="rId523" xr:uid="{6B5C87C1-E1F7-4074-BEF8-3D7E1F41578E}"/>
    <hyperlink ref="AW4" r:id="rId524" xr:uid="{3C594AD4-313B-4D84-AD1D-AFEAED3E9938}"/>
    <hyperlink ref="AW5" r:id="rId525" xr:uid="{16B3F853-637D-4D50-A7BA-D9EE97C9B8E4}"/>
    <hyperlink ref="AW6" r:id="rId526" xr:uid="{53B53199-5C4C-4963-BDF5-DC736357BB73}"/>
    <hyperlink ref="AW7" r:id="rId527" xr:uid="{BD62D27D-A1DF-40F8-81A3-EC6B47E8C68F}"/>
    <hyperlink ref="AW8" r:id="rId528" xr:uid="{5A8A1CC7-F91C-4F0F-B3D0-FD0CEDCD5F4B}"/>
    <hyperlink ref="AW9" r:id="rId529" xr:uid="{DBD6A95E-7CE6-4423-A223-B6ECF9A8FB63}"/>
    <hyperlink ref="AW10" r:id="rId530" xr:uid="{C8E16154-DE23-46B4-B3A3-5C1918BAEEFC}"/>
    <hyperlink ref="AW11" r:id="rId531" xr:uid="{A176D49E-B966-45A5-BB04-AAC52FCC6FDB}"/>
    <hyperlink ref="AW12" r:id="rId532" xr:uid="{5D766E8B-7C1C-407A-A4DE-7F8E5E172473}"/>
    <hyperlink ref="AW13" r:id="rId533" xr:uid="{A3DF5A53-335E-45AC-95AA-AD9ED04CD855}"/>
    <hyperlink ref="AW14" r:id="rId534" xr:uid="{D48C08EA-2060-49DA-83E6-274927CF010D}"/>
    <hyperlink ref="AW15" r:id="rId535" xr:uid="{DBFDA135-7F5C-4EA2-8096-6CB8FD10BCDF}"/>
    <hyperlink ref="AW16" r:id="rId536" xr:uid="{C3304C03-769B-4DB6-8A17-C3B22D81119D}"/>
    <hyperlink ref="AW17" r:id="rId537" xr:uid="{8146694E-4506-4DAE-BB4D-DD3F0ED6C5CC}"/>
    <hyperlink ref="AW18" r:id="rId538" xr:uid="{60E4FFFD-B854-4B25-9001-D687A0D77622}"/>
    <hyperlink ref="AW19" r:id="rId539" xr:uid="{884B2445-42D4-41DE-A8EC-059BBD405C6E}"/>
    <hyperlink ref="AW20" r:id="rId540" xr:uid="{819A29A3-3053-42C3-956C-62DB64A4E03F}"/>
    <hyperlink ref="AW21" r:id="rId541" xr:uid="{DAB9D2DF-D2AB-4289-82D3-713B8A41FCAA}"/>
    <hyperlink ref="AW22" r:id="rId542" xr:uid="{3BCA1EC0-CCB6-4F71-8FE6-10E224E4FC5A}"/>
    <hyperlink ref="AW23" r:id="rId543" xr:uid="{03FC7F32-860A-4AF9-A55D-3923C2972F42}"/>
    <hyperlink ref="AW24" r:id="rId544" xr:uid="{3D92AA11-D5D5-40B0-B48E-4323ADB006CE}"/>
    <hyperlink ref="AW25" r:id="rId545" xr:uid="{CA90A3EE-1046-433E-AF3A-FC18465B974E}"/>
    <hyperlink ref="AW26" r:id="rId546" xr:uid="{DF480D79-4C63-4C5A-90F3-F2069731D540}"/>
    <hyperlink ref="AW27" r:id="rId547" xr:uid="{3E907D00-B8DC-40CE-841F-AE31FCAE42FF}"/>
    <hyperlink ref="AW28" r:id="rId548" xr:uid="{94449FA6-EE9C-4832-AA28-F527CE228710}"/>
    <hyperlink ref="AW29" r:id="rId549" xr:uid="{F4AAB7AB-F209-473B-B0EA-772CB30802DB}"/>
    <hyperlink ref="AW30" r:id="rId550" xr:uid="{40184E32-E0DC-458B-8173-B26924B1A944}"/>
    <hyperlink ref="AW31" r:id="rId551" xr:uid="{AD956127-0CCB-4B54-9209-764B3D16BA41}"/>
    <hyperlink ref="AW32" r:id="rId552" xr:uid="{D65AA471-E076-418B-B36A-DE9A4ADF8AF5}"/>
    <hyperlink ref="AW33" r:id="rId553" xr:uid="{91FEDB42-B5D8-41AB-B1D2-A6EF8FD45D71}"/>
    <hyperlink ref="AW34" r:id="rId554" xr:uid="{485EA90C-1833-4765-BA6B-F9C0C267AEBC}"/>
    <hyperlink ref="AW35" r:id="rId555" xr:uid="{73854163-252B-46A4-95FE-D59F0DD9CB5B}"/>
    <hyperlink ref="AW36" r:id="rId556" xr:uid="{CF554EBA-62C9-470F-885F-F53E6170FE0A}"/>
    <hyperlink ref="AW37" r:id="rId557" xr:uid="{5BA98A41-4B31-4CE2-AD87-0ACF9EBED5CA}"/>
    <hyperlink ref="AW38" r:id="rId558" xr:uid="{235AD681-C52A-4C86-9FC2-454006215ADA}"/>
    <hyperlink ref="AW39" r:id="rId559" xr:uid="{19FD5DFC-AD02-4FF6-A36D-5BD6848FA235}"/>
    <hyperlink ref="AW40" r:id="rId560" xr:uid="{93400334-8911-4057-9E4F-F298837980C4}"/>
    <hyperlink ref="AW41" r:id="rId561" xr:uid="{CF9B1EAF-5CAC-45FB-A836-0D3BE6ADB03E}"/>
    <hyperlink ref="AW42" r:id="rId562" xr:uid="{11CD7617-2A86-4323-B3CD-9E36D6022083}"/>
    <hyperlink ref="AW43" r:id="rId563" xr:uid="{6766CDE8-982B-4E8F-9F06-CF3484B4D214}"/>
    <hyperlink ref="AW44" r:id="rId564" xr:uid="{37054A7B-964E-4B25-BDE7-18AF203248AC}"/>
    <hyperlink ref="AW45" r:id="rId565" xr:uid="{6370079A-CFFC-47C9-AAE2-1ECAE80505AD}"/>
    <hyperlink ref="AW46" r:id="rId566" xr:uid="{207052DB-F04C-4C85-AEC6-D487CB343B2F}"/>
    <hyperlink ref="AW47" r:id="rId567" xr:uid="{CDB4A2BB-2403-459A-A1A4-472EDC5B84AA}"/>
    <hyperlink ref="AW48" r:id="rId568" xr:uid="{3C9B1FB0-7057-43CA-B7B6-56773351AB24}"/>
    <hyperlink ref="AW49" r:id="rId569" xr:uid="{D7952BF1-53A0-4222-981E-54A11632EE5D}"/>
    <hyperlink ref="AW50" r:id="rId570" xr:uid="{B0B1C14D-71A5-44FF-B838-3904E3A8B792}"/>
    <hyperlink ref="AW51" r:id="rId571" xr:uid="{223D35E5-4A07-40CB-8B88-61E8E15E0373}"/>
    <hyperlink ref="AW52" r:id="rId572" xr:uid="{0B456A2B-1A2F-488B-8BEC-529D4A55155D}"/>
    <hyperlink ref="AW53" r:id="rId573" xr:uid="{E49D12AF-842A-42E3-962B-B673B76D05DC}"/>
    <hyperlink ref="AW54" r:id="rId574" xr:uid="{B2AB6C0A-C1CE-4B1A-B1F8-2AB6C65F2F95}"/>
    <hyperlink ref="AW55" r:id="rId575" xr:uid="{4FEE5E19-6132-459E-9153-CECDFA44C0B2}"/>
    <hyperlink ref="AW56" r:id="rId576" xr:uid="{410791B4-F2D8-46E1-B441-A74B34CEA77F}"/>
    <hyperlink ref="AW57" r:id="rId577" xr:uid="{7A40E4DF-5C41-410E-9765-9D1001DB3D3F}"/>
    <hyperlink ref="AW58" r:id="rId578" xr:uid="{3F34543F-055A-4960-8F48-3EB370582893}"/>
    <hyperlink ref="AW59" r:id="rId579" xr:uid="{02C57CAC-6E3B-4408-84ED-134E3F75556B}"/>
    <hyperlink ref="AW60" r:id="rId580" xr:uid="{2D77A859-CDFA-4016-92DA-03C474280446}"/>
    <hyperlink ref="AW61" r:id="rId581" xr:uid="{1D7E509D-676E-4E38-9A3F-6C38DE148E73}"/>
    <hyperlink ref="AW62" r:id="rId582" xr:uid="{7960737F-C477-440C-8815-8BFEB4F5F84D}"/>
    <hyperlink ref="AW63" r:id="rId583" xr:uid="{AFC0D706-671C-46D3-A28B-E72216B97745}"/>
    <hyperlink ref="AW64" r:id="rId584" xr:uid="{E7988D26-AA5D-40A8-AAC3-98F043FE88BF}"/>
    <hyperlink ref="AW65" r:id="rId585" xr:uid="{B4EA6FDA-4B21-4D1F-9BF3-E85F76DE535E}"/>
    <hyperlink ref="AW66" r:id="rId586" xr:uid="{2D865008-874D-46BF-81C9-867312452D4A}"/>
    <hyperlink ref="AW67" r:id="rId587" xr:uid="{B5BD111E-C76D-46D5-9825-735BE649BC84}"/>
    <hyperlink ref="AW68" r:id="rId588" xr:uid="{21062C7E-1375-4114-AC52-2F3DDFE99FFF}"/>
    <hyperlink ref="AW69" r:id="rId589" xr:uid="{9F0BDDC4-6361-4659-B284-0AF1AB3878F5}"/>
    <hyperlink ref="AW70" r:id="rId590" xr:uid="{AAC0C605-390A-48BA-9564-9EC2285129F1}"/>
    <hyperlink ref="AW71" r:id="rId591" xr:uid="{7A8E716B-8F8F-4E21-B85E-F77BB355DC2F}"/>
    <hyperlink ref="AW72" r:id="rId592" xr:uid="{6665D456-1E3C-4FA2-AD44-97F4153CD881}"/>
    <hyperlink ref="AW73" r:id="rId593" xr:uid="{77A5E5B0-F65E-4567-90B3-F4D4A5299ECC}"/>
    <hyperlink ref="AW74" r:id="rId594" xr:uid="{169E7150-2118-4CA5-89DE-ABCC2F3C1ECB}"/>
    <hyperlink ref="AW75" r:id="rId595" xr:uid="{42C80EE2-9721-4C6F-A144-34C3BC5EA490}"/>
    <hyperlink ref="AW76" r:id="rId596" xr:uid="{CE71AA98-666B-4F11-9C92-0053E65DF64C}"/>
    <hyperlink ref="AW77" r:id="rId597" xr:uid="{EDA744D6-5B16-4923-885A-0713EAD94427}"/>
    <hyperlink ref="AW78" r:id="rId598" xr:uid="{7615A76A-0CC1-4823-B05C-4FD7FE01535C}"/>
    <hyperlink ref="AW79" r:id="rId599" xr:uid="{464BB667-E048-4F70-A66D-0E692426D8A3}"/>
    <hyperlink ref="AW80" r:id="rId600" xr:uid="{C7B4FC9F-E348-46F8-906F-E84B250DC9D4}"/>
    <hyperlink ref="AW81" r:id="rId601" xr:uid="{8CC92C39-C56B-45C9-9640-89EDA206C373}"/>
    <hyperlink ref="AW82" r:id="rId602" xr:uid="{A8956550-AC23-4975-8279-1599F8662972}"/>
    <hyperlink ref="AW83" r:id="rId603" xr:uid="{9C0FF7A5-AC3C-4156-ACD8-038145DE857B}"/>
    <hyperlink ref="AW84" r:id="rId604" xr:uid="{69F1C6D1-B396-4949-91D4-F5FE92613721}"/>
    <hyperlink ref="AW85" r:id="rId605" xr:uid="{79FD8B70-44F7-4540-B7B8-0FFE848C919A}"/>
    <hyperlink ref="AW86" r:id="rId606" xr:uid="{AF9D2360-6D99-4536-BF0E-6CCDF64AB068}"/>
    <hyperlink ref="AW87" r:id="rId607" xr:uid="{F7C75C0C-716D-4616-9061-4111564F4751}"/>
    <hyperlink ref="AW88" r:id="rId608" xr:uid="{B3F9CDEA-6342-4C38-9D3D-7923BD4F3F14}"/>
    <hyperlink ref="AW89" r:id="rId609" xr:uid="{81733A74-C1D2-4486-AEB4-289B36185AD7}"/>
    <hyperlink ref="AW90" r:id="rId610" xr:uid="{F853AC58-0114-4A2B-A23C-A418AB24C22C}"/>
    <hyperlink ref="AW91" r:id="rId611" xr:uid="{4E8A35DF-EF70-47BD-A98D-3C9E8B3A6EBE}"/>
    <hyperlink ref="AW92" r:id="rId612" xr:uid="{E54D46E9-4A4A-4A48-9E67-1C46A83DC6BA}"/>
    <hyperlink ref="AW93" r:id="rId613" xr:uid="{08E564B6-1049-4046-AC3B-71E1425F2145}"/>
    <hyperlink ref="AW94" r:id="rId614" xr:uid="{6E55F74E-583D-4873-9AD9-755803A08B06}"/>
    <hyperlink ref="AW95" r:id="rId615" xr:uid="{E07927AB-6153-4BAB-9264-BD5163F60B7D}"/>
    <hyperlink ref="AW96" r:id="rId616" xr:uid="{63FDCC7C-FE4F-4372-8DC1-64BCC5C5C630}"/>
    <hyperlink ref="AW97" r:id="rId617" xr:uid="{E27C9752-2A60-4850-93FE-7022FA2C4D83}"/>
    <hyperlink ref="AW98" r:id="rId618" xr:uid="{F563698A-C660-415B-A095-A8DB1D4D8B09}"/>
    <hyperlink ref="AW99" r:id="rId619" xr:uid="{42D7F8B0-795B-4925-9097-1D33335C7EEA}"/>
    <hyperlink ref="AW100" r:id="rId620" xr:uid="{D61CFA23-BD33-445E-ADD7-F75EBD1A1A8D}"/>
    <hyperlink ref="AW101" r:id="rId621" xr:uid="{4413505C-F480-4F5D-9BDB-807720EF915F}"/>
    <hyperlink ref="AW102" r:id="rId622" xr:uid="{2528B9BB-CF25-4DA5-81DA-BD40FB6AC311}"/>
    <hyperlink ref="AW103" r:id="rId623" xr:uid="{6CF23B0C-B5C6-4C16-B012-9A4C0E38B329}"/>
    <hyperlink ref="AW104" r:id="rId624" xr:uid="{A37EB2D1-B344-4019-A942-1EAB4A7F1128}"/>
    <hyperlink ref="AW105" r:id="rId625" xr:uid="{B8DBD735-871C-4FA1-AB00-27C626AC3ED2}"/>
    <hyperlink ref="AW106" r:id="rId626" xr:uid="{ADEC2950-89AD-4CC4-B76D-DBEE47830107}"/>
    <hyperlink ref="AW107" r:id="rId627" xr:uid="{DCB39421-ACD0-4DB1-AC7D-5F0D4BCAA83A}"/>
    <hyperlink ref="AW108" r:id="rId628" xr:uid="{1278DD54-A536-4172-8B27-E2D682EB4FA3}"/>
    <hyperlink ref="AW109" r:id="rId629" xr:uid="{9D89E2E8-A86C-415A-9DC4-D571DF826152}"/>
    <hyperlink ref="AW110" r:id="rId630" xr:uid="{4C44EDDE-E7DE-4716-8460-4EF9C6CA1A4D}"/>
    <hyperlink ref="AW111" r:id="rId631" xr:uid="{CE8FAD4D-0609-4044-98AE-3B868615C06B}"/>
    <hyperlink ref="AW112" r:id="rId632" xr:uid="{0F7F6B1E-C51D-458E-91C3-2A1DB0A3C70C}"/>
    <hyperlink ref="AW113" r:id="rId633" xr:uid="{BC21836B-D866-45B4-953A-BA908B760B50}"/>
    <hyperlink ref="AW114" r:id="rId634" xr:uid="{153C27AF-6EBB-4688-8DFC-653159F5C955}"/>
    <hyperlink ref="AW115" r:id="rId635" xr:uid="{E199DC08-3C43-41B8-8DF9-76671B3D80F5}"/>
    <hyperlink ref="AW116" r:id="rId636" xr:uid="{96978283-A744-4ECE-9006-9312D26AC1D6}"/>
    <hyperlink ref="AW117" r:id="rId637" xr:uid="{4CBD1321-7DE6-4DF8-91DA-C616AD726A06}"/>
    <hyperlink ref="AW118" r:id="rId638" xr:uid="{883E57ED-700D-4678-82BE-55BA53936D4A}"/>
    <hyperlink ref="AW119" r:id="rId639" xr:uid="{C8188D86-B321-4B4B-9B62-A4BB3F614B8D}"/>
    <hyperlink ref="AW120" r:id="rId640" xr:uid="{5B95133F-028B-4874-9FA4-3087C2590893}"/>
    <hyperlink ref="AW121" r:id="rId641" xr:uid="{E76AC87A-119E-4AD3-9E5A-44AA6AB36A20}"/>
    <hyperlink ref="AW122" r:id="rId642" xr:uid="{050D715E-FF50-4BDA-B7C4-38947F44ECA6}"/>
    <hyperlink ref="AW123" r:id="rId643" xr:uid="{C92F1FB7-717F-41AA-A38F-849FE22F5EF3}"/>
    <hyperlink ref="AW124" r:id="rId644" xr:uid="{678335F4-A9CB-415F-B96C-7A027EC5E18F}"/>
    <hyperlink ref="AW125" r:id="rId645" xr:uid="{C50B2B7B-1D26-4995-B470-F8EF7B560E2C}"/>
    <hyperlink ref="AW126" r:id="rId646" xr:uid="{CFCC7D30-CC7B-402C-831C-7F7E42A64FA4}"/>
    <hyperlink ref="AW127" r:id="rId647" xr:uid="{B8523997-BE88-4F50-BDD1-82FBB8173D90}"/>
    <hyperlink ref="AW128" r:id="rId648" xr:uid="{AF4EC21B-9571-4434-93F2-CF89BA755A38}"/>
    <hyperlink ref="AW129" r:id="rId649" xr:uid="{65E96C77-A168-4D39-8B16-FDEDA1AE3F43}"/>
    <hyperlink ref="AW130" r:id="rId650" xr:uid="{867777B0-41B8-4C59-B9F5-774FB71B0F6C}"/>
    <hyperlink ref="AW131" r:id="rId651" xr:uid="{3B2E5B33-5DCF-4B62-A11A-7350DA1C335A}"/>
    <hyperlink ref="AW132" r:id="rId652" xr:uid="{98593054-3292-4287-9B5A-839FA59F3748}"/>
    <hyperlink ref="AW133" r:id="rId653" xr:uid="{19E52E73-2A7F-4650-9344-2322B5B8F8E1}"/>
    <hyperlink ref="AW134" r:id="rId654" xr:uid="{19F98396-3911-4E48-AE20-ED398387960F}"/>
    <hyperlink ref="AW135" r:id="rId655" xr:uid="{56E26B1A-0288-4783-BC28-C9E820B14295}"/>
    <hyperlink ref="AW136" r:id="rId656" xr:uid="{A2A79C4B-2212-47B3-AB62-5C792E7E7CAF}"/>
    <hyperlink ref="AW137" r:id="rId657" xr:uid="{72F22810-977C-4762-BB74-54F781CFF253}"/>
    <hyperlink ref="AW138" r:id="rId658" xr:uid="{F5D288C2-7F53-42DE-829E-AB410C007EA2}"/>
    <hyperlink ref="AW139" r:id="rId659" xr:uid="{BCF1C5CA-C69E-42F7-9B43-C9D2F0C059EB}"/>
    <hyperlink ref="AW140" r:id="rId660" xr:uid="{347BAEC6-174F-4480-8BF0-BAF8417820B2}"/>
    <hyperlink ref="AW141" r:id="rId661" xr:uid="{09844D77-77AA-4CA6-961E-36B89E5B9CB7}"/>
    <hyperlink ref="AW142" r:id="rId662" xr:uid="{D06ABC21-3662-4854-B9BD-C7C17F67BA81}"/>
    <hyperlink ref="AW143" r:id="rId663" xr:uid="{1A926AC1-1987-4788-A76C-48B2D797F6E0}"/>
    <hyperlink ref="AW144" r:id="rId664" xr:uid="{2D332DAB-455E-4063-AE36-7A6180B3E4DB}"/>
    <hyperlink ref="AW145" r:id="rId665" xr:uid="{C216812E-09D6-483F-8FB4-31692CE98EAF}"/>
    <hyperlink ref="AW146" r:id="rId666" xr:uid="{56C96A7E-C58E-4C6B-B18E-13FAB30F35F1}"/>
    <hyperlink ref="AW147" r:id="rId667" xr:uid="{1A51C342-D904-489D-9D8A-5F61BFC88B7B}"/>
    <hyperlink ref="AW148" r:id="rId668" xr:uid="{514D560E-03C8-4628-B6AC-48C0AFD12136}"/>
    <hyperlink ref="AW149" r:id="rId669" xr:uid="{D75E3DFF-BB6E-4942-9A18-582A060B4F8D}"/>
    <hyperlink ref="AW150" r:id="rId670" xr:uid="{C75C9321-F35C-4D55-AB03-2FE4B21BB98E}"/>
    <hyperlink ref="AW151" r:id="rId671" xr:uid="{A750F267-B75B-44A3-9DDC-22F1718FF1EC}"/>
    <hyperlink ref="AW152" r:id="rId672" xr:uid="{38B28F98-A81D-403A-A20F-F6EE657A4D7E}"/>
    <hyperlink ref="AW153" r:id="rId673" xr:uid="{595CD86C-D2CF-4967-BD2A-FA6C591679EE}"/>
    <hyperlink ref="AW154" r:id="rId674" xr:uid="{C1A97E4F-71DB-411E-BADA-7704AF86752A}"/>
    <hyperlink ref="AW155" r:id="rId675" xr:uid="{EFEDED08-659C-45C9-8289-1E0FE2F22E0F}"/>
    <hyperlink ref="AW156" r:id="rId676" xr:uid="{0E7AEEBC-B7F4-484C-8B88-7853407EF871}"/>
    <hyperlink ref="AW157" r:id="rId677" xr:uid="{7A9E103A-7F30-422A-BE33-A2D7573409C7}"/>
    <hyperlink ref="AW158" r:id="rId678" xr:uid="{6649D741-9321-4C61-A714-A55CE8119C6C}"/>
    <hyperlink ref="AW159" r:id="rId679" xr:uid="{616A1D1D-8373-4F5C-ABAC-F5E202BB2ADD}"/>
    <hyperlink ref="AW160" r:id="rId680" xr:uid="{D29AFA10-834E-4B74-B3EC-5CA13A2E5A10}"/>
    <hyperlink ref="AW161" r:id="rId681" xr:uid="{88AC2829-E5A3-41CF-B860-38D68CB9B78F}"/>
    <hyperlink ref="AW162" r:id="rId682" xr:uid="{A5953F4B-43A1-4A2D-AE8E-63EF4347B6A1}"/>
    <hyperlink ref="AW163" r:id="rId683" xr:uid="{9DDED3C2-6542-4055-BEEE-F33A9BBB2013}"/>
    <hyperlink ref="AW164" r:id="rId684" xr:uid="{AB1F8BB8-4C49-48DE-A617-78ADA0D9913C}"/>
    <hyperlink ref="AW165" r:id="rId685" xr:uid="{36F16540-8B1C-4824-8284-9C86B6B29683}"/>
    <hyperlink ref="AW166" r:id="rId686" xr:uid="{EEA12D04-9000-49D0-BFBF-A3E4D39F0794}"/>
    <hyperlink ref="AW167" r:id="rId687" xr:uid="{4FF48038-15FB-4687-887B-8FFC33C0063D}"/>
    <hyperlink ref="AW168" r:id="rId688" xr:uid="{79F6EB91-FBE1-447D-B765-41A0959DE590}"/>
    <hyperlink ref="AW169" r:id="rId689" xr:uid="{10F90307-0585-4E7A-A4F4-54CBB7E41209}"/>
    <hyperlink ref="AW170" r:id="rId690" xr:uid="{88A4CC63-1EFF-43F8-9980-10E5A07BA24E}"/>
    <hyperlink ref="AW171" r:id="rId691" xr:uid="{D6711D5F-AFBC-4A6D-93F7-7923A0F96907}"/>
    <hyperlink ref="AW172" r:id="rId692" xr:uid="{A0C3AC9D-C132-4385-8E41-7EEEFA378377}"/>
    <hyperlink ref="AW173" r:id="rId693" xr:uid="{B53B546B-6254-48C5-B97E-F59E281F9B82}"/>
    <hyperlink ref="AW174" r:id="rId694" xr:uid="{13F794BB-081A-4FAB-B716-D13D06DED912}"/>
    <hyperlink ref="AW175" r:id="rId695" xr:uid="{8F67A37D-A5E5-4550-B71F-2361CF3B9FD9}"/>
    <hyperlink ref="AW176" r:id="rId696" xr:uid="{2D0DB647-E9B5-4868-9C8E-BD1D8DF58FF3}"/>
    <hyperlink ref="AW177" r:id="rId697" xr:uid="{B8CECD43-FB97-4FFA-96D0-01AB1E123A3B}"/>
    <hyperlink ref="AW178" r:id="rId698" xr:uid="{CD482407-10FC-47C6-8194-715A8099DF0A}"/>
    <hyperlink ref="AW179" r:id="rId699" xr:uid="{8C36751B-999F-4BF5-9E30-70FC9ABCBDA9}"/>
    <hyperlink ref="AW180" r:id="rId700" xr:uid="{185883C2-9722-4018-9A30-CB719A99D1BF}"/>
    <hyperlink ref="AW181" r:id="rId701" xr:uid="{22A96976-CBEE-4115-94E5-0F7B16ADE26C}"/>
    <hyperlink ref="AW182" r:id="rId702" xr:uid="{05746EEF-716B-4849-82D1-66F148835EFA}"/>
    <hyperlink ref="AW183" r:id="rId703" xr:uid="{2727C1F5-9724-41A5-9FC0-18E17B8A0875}"/>
    <hyperlink ref="AW184" r:id="rId704" xr:uid="{9FF3BC28-8F11-45AD-B57A-81837771F6EF}"/>
    <hyperlink ref="AW185" r:id="rId705" xr:uid="{F901E83E-E784-4D6B-B12F-FBD3C103CB37}"/>
    <hyperlink ref="AW186" r:id="rId706" xr:uid="{1015C755-4602-4510-970E-E2891789FFF1}"/>
    <hyperlink ref="AW187" r:id="rId707" xr:uid="{C8FA5E2C-E9D4-4AB9-AB46-86C2EA3E3E2F}"/>
    <hyperlink ref="AW188" r:id="rId708" xr:uid="{24CFB000-E9F8-44C7-BE28-2E092D2D7CB4}"/>
    <hyperlink ref="AW189" r:id="rId709" xr:uid="{21134B09-CA80-4392-8D67-64DE9B9ED182}"/>
    <hyperlink ref="AW190" r:id="rId710" xr:uid="{983A07B0-E5AD-4D0B-9F6E-99A08D159669}"/>
    <hyperlink ref="AW191" r:id="rId711" xr:uid="{7A3AA6E1-B453-4D94-9743-B060566BF3CB}"/>
    <hyperlink ref="AW192" r:id="rId712" xr:uid="{158261D6-522A-42C4-A29F-553E9C43A381}"/>
    <hyperlink ref="AW193" r:id="rId713" xr:uid="{073F9B07-B19F-4F69-8F2D-3880F4B60618}"/>
    <hyperlink ref="AW194" r:id="rId714" xr:uid="{84632CC4-E92E-4814-A66D-72B4D742A3B5}"/>
    <hyperlink ref="AW195" r:id="rId715" xr:uid="{7DBFFA5D-8A34-4E85-8263-95E18CF71146}"/>
    <hyperlink ref="AW196" r:id="rId716" xr:uid="{EFF986D2-C643-4E7A-A04C-4F2120417888}"/>
    <hyperlink ref="AW197" r:id="rId717" xr:uid="{BCF9D939-2B22-41C8-B435-E8F28D5244CF}"/>
    <hyperlink ref="AW198" r:id="rId718" xr:uid="{A839A950-3FB4-4CF2-9ACB-B091A9C807D8}"/>
    <hyperlink ref="AW199" r:id="rId719" xr:uid="{2D8CC177-361B-46B9-B91B-0EB60289A2B9}"/>
    <hyperlink ref="AW200" r:id="rId720" xr:uid="{BDB87A20-7A0B-47A2-BAC2-936F01A6F304}"/>
    <hyperlink ref="AW201" r:id="rId721" xr:uid="{B8854A85-86DD-44F7-99E4-3077AE0ED9A7}"/>
    <hyperlink ref="AW202" r:id="rId722" xr:uid="{B6955130-9899-4468-AD27-44E2462E0BFE}"/>
    <hyperlink ref="AW203" r:id="rId723" xr:uid="{F0735A06-E1AD-4648-8CC9-05F194AAEE93}"/>
    <hyperlink ref="AW204" r:id="rId724" xr:uid="{B189F201-BD8E-4998-BE05-DEE90F82530B}"/>
    <hyperlink ref="AW205" r:id="rId725" xr:uid="{9AF9C23E-8936-4F59-9988-2217A35693B0}"/>
    <hyperlink ref="AW206" r:id="rId726" xr:uid="{1FF23640-39D4-40AA-97BB-002921E39EC3}"/>
    <hyperlink ref="AW207" r:id="rId727" xr:uid="{5A446E03-6843-4AAC-9949-081C84119389}"/>
    <hyperlink ref="AW208" r:id="rId728" xr:uid="{C22EB87A-DBC0-48C6-A12A-CFFEE8B8BE1B}"/>
    <hyperlink ref="AW209" r:id="rId729" xr:uid="{FCE232F0-6706-4D41-AE75-26113508E7D5}"/>
    <hyperlink ref="AW210" r:id="rId730" xr:uid="{117A2194-6AF5-48B6-BB90-87F6F3C2373C}"/>
    <hyperlink ref="AW211" r:id="rId731" xr:uid="{DE39D2CC-2B6C-4774-BA1D-BA7C8227FDEB}"/>
    <hyperlink ref="AW212" r:id="rId732" xr:uid="{310DD49A-E831-4AC2-A7F1-C7BC41A7E4A8}"/>
    <hyperlink ref="AW213" r:id="rId733" xr:uid="{46CE8C02-485D-4030-8BCB-291A3AD1DA09}"/>
    <hyperlink ref="AW214" r:id="rId734" xr:uid="{E93F4366-971C-4171-A541-4FEBC400D16A}"/>
    <hyperlink ref="AW215" r:id="rId735" xr:uid="{C46DB90D-AA68-4E39-8EEA-0258465F156A}"/>
    <hyperlink ref="AW216" r:id="rId736" xr:uid="{02C387EF-C085-493B-9ACD-3631B7269A02}"/>
    <hyperlink ref="AW217" r:id="rId737" xr:uid="{04766B27-A909-43CC-943E-04E5F24C8607}"/>
    <hyperlink ref="AW218" r:id="rId738" xr:uid="{D8AECC3E-8241-42EE-82B7-CF2CAE523ADE}"/>
    <hyperlink ref="AW219" r:id="rId739" xr:uid="{660982DF-4E59-48C0-884A-01A764280A9D}"/>
    <hyperlink ref="AW220" r:id="rId740" xr:uid="{16C5F813-44DE-43BB-89F0-73A8D7589906}"/>
    <hyperlink ref="AW221" r:id="rId741" xr:uid="{438CA8F5-312E-4768-A1E3-D4E7120AB5B3}"/>
    <hyperlink ref="AW222" r:id="rId742" xr:uid="{763727A3-A1D8-4A24-9EE8-B074C1594DE6}"/>
    <hyperlink ref="AW223" r:id="rId743" xr:uid="{D9CB346D-5445-4EFD-A430-B6EC4E7742AE}"/>
    <hyperlink ref="AW224" r:id="rId744" xr:uid="{CCFCA720-CB03-477D-B21F-0C910E7DB47C}"/>
    <hyperlink ref="AW225" r:id="rId745" xr:uid="{001605AA-988E-4460-AD0F-A20FC3FE8A74}"/>
    <hyperlink ref="AW226" r:id="rId746" xr:uid="{1AE677B2-0B4F-4D5B-95C4-1ADAFBC3CD65}"/>
    <hyperlink ref="AW227" r:id="rId747" xr:uid="{9D77FB87-D9A8-4067-81FA-16544D444F2E}"/>
    <hyperlink ref="AW228" r:id="rId748" xr:uid="{402AE744-987A-4F56-BD6B-F24F50C5CDB6}"/>
    <hyperlink ref="AW229" r:id="rId749" xr:uid="{B807A61C-3311-4D2C-9E96-32E548CFCC9D}"/>
    <hyperlink ref="AW230" r:id="rId750" xr:uid="{DD7A73F0-B12F-4DF7-9614-3425A6AB2892}"/>
    <hyperlink ref="AW231" r:id="rId751" xr:uid="{F7EC2CEE-9FEC-4274-9FAC-EEB6AA1C10BF}"/>
    <hyperlink ref="AW232" r:id="rId752" xr:uid="{CC7EE6BB-5EE9-4956-8E7B-4B4AF35867BA}"/>
    <hyperlink ref="AW233" r:id="rId753" xr:uid="{A2C88C30-1C7B-4E07-8357-DE0C54B7798B}"/>
    <hyperlink ref="AW234" r:id="rId754" xr:uid="{73B47A81-DE13-4F13-9F82-96E051B81BC0}"/>
    <hyperlink ref="AW235" r:id="rId755" xr:uid="{9D6B0425-D968-4E0A-869F-03B648DEE78B}"/>
    <hyperlink ref="AW236" r:id="rId756" xr:uid="{7D7F5445-86EF-4239-B486-2E7854D34DDD}"/>
    <hyperlink ref="AW237" r:id="rId757" xr:uid="{1BEB58AB-4CBE-4FA8-BEED-1243BAB5B2B6}"/>
    <hyperlink ref="AW238" r:id="rId758" xr:uid="{B7E7DA44-F572-4E97-82BB-C22E8BBEC3F6}"/>
    <hyperlink ref="AW239" r:id="rId759" xr:uid="{7D8B686E-E0B4-4AB0-B0F8-40F54E006080}"/>
    <hyperlink ref="AW240" r:id="rId760" xr:uid="{883C8092-3B4D-45EA-8CC6-53184D3B15CB}"/>
    <hyperlink ref="AW241" r:id="rId761" xr:uid="{1A26B417-B857-43BC-AF97-459BB6D0ED0F}"/>
    <hyperlink ref="AW242" r:id="rId762" xr:uid="{E9F52CFB-5F02-4F00-BE91-756BC13C3686}"/>
    <hyperlink ref="AW243" r:id="rId763" xr:uid="{A9F869FA-38A6-418C-AD64-7F53BDFFDF7D}"/>
    <hyperlink ref="AW244" r:id="rId764" xr:uid="{86A3D6FD-B5DE-4219-BAF4-FD83EF354877}"/>
    <hyperlink ref="AW245" r:id="rId765" xr:uid="{D6A7319F-A797-42F0-956F-1DDD97131665}"/>
    <hyperlink ref="AW246" r:id="rId766" xr:uid="{3DFA7495-E37F-4A42-803E-C5A79658FDF8}"/>
    <hyperlink ref="AW247" r:id="rId767" xr:uid="{F57303C8-F742-4CFB-8D26-3C3CD8D942DB}"/>
    <hyperlink ref="AW248" r:id="rId768" xr:uid="{3269F330-68C2-434E-B3AC-4A175FBA9B9F}"/>
    <hyperlink ref="AW249" r:id="rId769" xr:uid="{7E6282D4-2BCC-42FD-9A52-D6659C08668F}"/>
    <hyperlink ref="AW250" r:id="rId770" xr:uid="{804D12C4-84F3-4B70-851C-7484EB4CDA27}"/>
    <hyperlink ref="AW251" r:id="rId771" xr:uid="{94D21DA0-1358-4CEC-9632-6D79A218A563}"/>
    <hyperlink ref="AW252" r:id="rId772" xr:uid="{887EAAE9-2D42-4E0A-91CF-3C89DBD5BC4E}"/>
    <hyperlink ref="AW253" r:id="rId773" xr:uid="{6CD6F1F2-E1B0-4582-AD53-09F2AFC6FD38}"/>
    <hyperlink ref="AW254" r:id="rId774" xr:uid="{F0DE895C-C436-4E40-82E5-DA2FFE227698}"/>
    <hyperlink ref="AW255" r:id="rId775" xr:uid="{F3AAF6B7-5C50-4CEB-A32B-0F9F4A523645}"/>
    <hyperlink ref="AW256" r:id="rId776" xr:uid="{0B8257DA-6A22-4ED6-ADCC-056B1C470798}"/>
    <hyperlink ref="AW257" r:id="rId777" xr:uid="{9BF9C7C9-F95B-4CE4-BCA6-F4A11DB132AF}"/>
    <hyperlink ref="AW258" r:id="rId778" xr:uid="{C3A0B458-3C9A-4BA0-98BF-6E14E941A5D8}"/>
    <hyperlink ref="AW259" r:id="rId779" xr:uid="{237D208D-ACE3-4260-A354-ED708D77C3BD}"/>
    <hyperlink ref="AW260" r:id="rId780" xr:uid="{F7837DE1-495B-4D25-8421-99783F0B9911}"/>
    <hyperlink ref="AW261" r:id="rId781" xr:uid="{BC2C6D4F-D5D1-419F-81B7-D19A5D0738EB}"/>
    <hyperlink ref="AW262" r:id="rId782" xr:uid="{C7187A36-FF6C-49E1-ADA2-19D2E9838DDD}"/>
    <hyperlink ref="AW263" r:id="rId783" xr:uid="{42B97F6D-BE26-4823-85F4-C536DE020BF3}"/>
    <hyperlink ref="AW264" r:id="rId784" xr:uid="{FA1136E7-FCD5-4F53-A4E2-3512532C2074}"/>
    <hyperlink ref="AW265" r:id="rId785" xr:uid="{9BACC8F5-C4CA-41A9-AD93-3F6EF690E23E}"/>
    <hyperlink ref="AW266" r:id="rId786" xr:uid="{20E3C633-D2AD-4CA4-8C45-97BA43AEF402}"/>
    <hyperlink ref="AW267" r:id="rId787" xr:uid="{F210F660-7089-4399-8604-694F0728C05F}"/>
    <hyperlink ref="AW268" r:id="rId788" xr:uid="{D0EC0267-2810-419B-A79E-F8AF16D5B8D5}"/>
    <hyperlink ref="AW269" r:id="rId789" xr:uid="{E8F011D1-1ACB-4BD0-A4E6-981AB7217924}"/>
    <hyperlink ref="AW270" r:id="rId790" xr:uid="{C97A0C83-6FFE-416D-8FF4-DE9C5E6F9730}"/>
    <hyperlink ref="AW271" r:id="rId791" xr:uid="{0ACA6B68-CD1D-43A9-B86D-373AB0F4F650}"/>
    <hyperlink ref="AW272" r:id="rId792" xr:uid="{F65A8045-0885-44DC-A4F4-18263A3D4719}"/>
    <hyperlink ref="AW273" r:id="rId793" xr:uid="{6CCF924F-536C-4F8D-9321-FCC992433313}"/>
    <hyperlink ref="AW274" r:id="rId794" xr:uid="{9B4C50D6-584B-4E2E-AC03-1E432EEE2279}"/>
    <hyperlink ref="AW275" r:id="rId795" xr:uid="{9A7D9AC7-3EB5-418F-88FE-B00D746644FE}"/>
    <hyperlink ref="AW276" r:id="rId796" xr:uid="{A17CA693-32CB-40F9-B517-BF38AFCF9029}"/>
    <hyperlink ref="AW277" r:id="rId797" xr:uid="{221ABAAA-992C-41A6-BE69-6F0C9DAC59B9}"/>
    <hyperlink ref="AW278" r:id="rId798" xr:uid="{4D9247E1-5556-4597-9C02-04973373E763}"/>
    <hyperlink ref="AW279" r:id="rId799" xr:uid="{7714DC96-78EB-4657-87FB-B328FDEB415C}"/>
    <hyperlink ref="AW280" r:id="rId800" xr:uid="{FFF4A4D1-8266-4237-99B7-38BE9949E135}"/>
    <hyperlink ref="AW281" r:id="rId801" xr:uid="{1476E709-F739-43F9-8280-E48BD7276DE8}"/>
    <hyperlink ref="AW282" r:id="rId802" xr:uid="{D5AED3FA-DDDA-437B-A59D-B9F033C27CC6}"/>
    <hyperlink ref="AW283" r:id="rId803" xr:uid="{F1179AA0-FE12-43B8-893F-5A70DF962838}"/>
    <hyperlink ref="AW284" r:id="rId804" xr:uid="{36399423-D67D-4BAA-9BF7-455ADE2F9B5C}"/>
    <hyperlink ref="AW285" r:id="rId805" xr:uid="{FE816DC9-845C-4058-8835-D9358EBDAB5D}"/>
    <hyperlink ref="AW286" r:id="rId806" xr:uid="{CB10C4E8-F3D3-4FD6-8F12-A16266EC7C36}"/>
    <hyperlink ref="AW287" r:id="rId807" xr:uid="{A8076787-7EDE-46E8-B6EA-F5DA76E75E81}"/>
    <hyperlink ref="AW288" r:id="rId808" xr:uid="{813C7979-3643-4EA2-A578-96F1EF82AF32}"/>
    <hyperlink ref="AW289" r:id="rId809" xr:uid="{D7B346F1-7092-473D-A54E-BB229390DCB3}"/>
    <hyperlink ref="AW290" r:id="rId810" xr:uid="{3A7AE1CE-95BC-483B-87A5-AC48484D5A25}"/>
    <hyperlink ref="AW291" r:id="rId811" xr:uid="{E878B8B0-BC52-4E3C-AD9C-324727C842A4}"/>
    <hyperlink ref="AW292" r:id="rId812" xr:uid="{B2813559-C495-4077-83C6-0A2C2E762845}"/>
    <hyperlink ref="AW293" r:id="rId813" xr:uid="{918A997F-0605-4F97-B1D6-0C9F1CD209C6}"/>
    <hyperlink ref="AW294" r:id="rId814" xr:uid="{ABA90EA1-0708-40E2-BDBB-7A2DC04D25EC}"/>
    <hyperlink ref="AW295" r:id="rId815" xr:uid="{71ADDC07-C8ED-4AEB-BC5E-1A55A42B7ACD}"/>
    <hyperlink ref="AW296" r:id="rId816" xr:uid="{643EE9BD-B743-42F8-8BB1-EA8002C90F81}"/>
    <hyperlink ref="AW297" r:id="rId817" xr:uid="{69C95F56-3B76-4B4B-B7E5-8B234C6999E5}"/>
    <hyperlink ref="AW298" r:id="rId818" xr:uid="{0429166B-8B73-4E3D-BA2A-972A83F5CBB5}"/>
    <hyperlink ref="AW299" r:id="rId819" xr:uid="{13EEBD20-2D8B-410E-8970-15E3BBB5222F}"/>
    <hyperlink ref="AW300" r:id="rId820" xr:uid="{B78BDF1D-0E2E-4067-BE4F-CEBA7F66DD95}"/>
    <hyperlink ref="AW301" r:id="rId821" xr:uid="{2C15F747-33EE-416C-9752-7565FDDD6362}"/>
    <hyperlink ref="AW302" r:id="rId822" xr:uid="{DAE5FFF7-6A79-4C59-9ED9-F68901E7E7AA}"/>
    <hyperlink ref="AW303" r:id="rId823" xr:uid="{80C2C26C-FB27-45C1-BBE0-8919DAF10867}"/>
    <hyperlink ref="AW304" r:id="rId824" xr:uid="{E3D061E9-8036-4247-ACEF-76B09DEB6A93}"/>
    <hyperlink ref="AW305" r:id="rId825" xr:uid="{59465510-7132-4A98-B135-D144B86D9C0F}"/>
    <hyperlink ref="AW306" r:id="rId826" xr:uid="{BBBBB5DD-5E7E-4FBD-A8C1-9F9EDBCF78FF}"/>
    <hyperlink ref="AW307" r:id="rId827" xr:uid="{BC94B65A-3964-45D0-BA15-3714B06E290B}"/>
    <hyperlink ref="AW308" r:id="rId828" xr:uid="{A02803AF-46F6-4BAD-A9E6-552F6B215333}"/>
    <hyperlink ref="AW309" r:id="rId829" xr:uid="{3CF51487-29A5-4AB0-8067-08E7CCDE0F86}"/>
    <hyperlink ref="AW310" r:id="rId830" xr:uid="{05A36322-A0AA-496E-96EB-AA193B2F9247}"/>
    <hyperlink ref="AW311" r:id="rId831" xr:uid="{652DB0B3-040E-4798-8A39-8EE3C70F030A}"/>
    <hyperlink ref="AW312" r:id="rId832" xr:uid="{21D0426F-614E-4A6E-8BF5-DC89DFDB9908}"/>
    <hyperlink ref="AW313" r:id="rId833" xr:uid="{E19EE303-E914-40F7-BC10-824ECCBE325C}"/>
    <hyperlink ref="AW314" r:id="rId834" xr:uid="{8811067E-AA6F-409E-8CFD-DDF10D73BB33}"/>
    <hyperlink ref="AW315" r:id="rId835" xr:uid="{DBD6DF07-6B42-445D-8E22-41E06106070F}"/>
    <hyperlink ref="AW316" r:id="rId836" xr:uid="{F0C853DB-FD40-4BA4-B41E-A03AA99F0901}"/>
    <hyperlink ref="AW317" r:id="rId837" xr:uid="{F5F8329D-D756-4B46-B666-166603AF4717}"/>
    <hyperlink ref="AW318" r:id="rId838" xr:uid="{71DF0E2E-E44A-4B79-9D94-A0C93F8B805E}"/>
    <hyperlink ref="AW319" r:id="rId839" xr:uid="{1A505A2F-DAFA-4647-9C53-F785E50702E4}"/>
    <hyperlink ref="AW320" r:id="rId840" xr:uid="{34D35F16-F2B7-421B-B84B-27403AB88412}"/>
    <hyperlink ref="AW321" r:id="rId841" xr:uid="{98AFD619-9E0B-4856-9920-92B1A869A2C8}"/>
    <hyperlink ref="AW322" r:id="rId842" xr:uid="{B445812F-91BB-4AB7-BB2F-CC8B091B6065}"/>
    <hyperlink ref="AW323" r:id="rId843" xr:uid="{DBA08614-3F07-49B8-A38D-3104754E9D66}"/>
    <hyperlink ref="AW324" r:id="rId844" xr:uid="{FDF6880B-B6C3-403D-806C-933A5CF8A7DC}"/>
    <hyperlink ref="AW325" r:id="rId845" xr:uid="{10901DD1-1E3A-4520-98A6-3DA514870D15}"/>
    <hyperlink ref="AW326" r:id="rId846" xr:uid="{CDAADDA2-2BBC-435C-ACC8-F096DBB157AE}"/>
    <hyperlink ref="AW327" r:id="rId847" xr:uid="{F73D4B51-48F5-4DD3-8041-72C2DC872BF7}"/>
    <hyperlink ref="AW328" r:id="rId848" xr:uid="{39C372F7-76B6-4D53-B2B5-ED516FA9ACF0}"/>
    <hyperlink ref="AW329" r:id="rId849" xr:uid="{32852E73-DCBC-45E0-AE19-5E22F6631B81}"/>
    <hyperlink ref="AW330" r:id="rId850" xr:uid="{09F5C693-BA8C-4357-BDD8-A87FA87B72EB}"/>
    <hyperlink ref="AW331" r:id="rId851" xr:uid="{1C21E37A-6E4A-4B83-8937-3F4769964819}"/>
    <hyperlink ref="AW332" r:id="rId852" xr:uid="{9BA2B2A4-DBE0-40E4-B156-99D1A4B84EAB}"/>
    <hyperlink ref="AW333" r:id="rId853" xr:uid="{BEA20327-93BC-4D7B-AE23-F220E331EEB2}"/>
    <hyperlink ref="AW334" r:id="rId854" xr:uid="{8A4210C3-3E64-42C8-AD19-A1869574F15E}"/>
    <hyperlink ref="AW335" r:id="rId855" xr:uid="{9DDCBECA-AE83-4222-A8E5-D50AA6811ABA}"/>
    <hyperlink ref="AW336" r:id="rId856" xr:uid="{85266EF6-D5DA-4ABD-AE92-785929E77ACD}"/>
    <hyperlink ref="AW337" r:id="rId857" xr:uid="{496F97E7-54FF-4987-BB15-FBFD2853C6E5}"/>
    <hyperlink ref="AW338" r:id="rId858" xr:uid="{B99E530B-2E33-4F3E-BF88-3E8807A511EF}"/>
    <hyperlink ref="AW339" r:id="rId859" xr:uid="{42E8E880-334A-4A1B-A115-FAFB79633A39}"/>
    <hyperlink ref="AW340" r:id="rId860" xr:uid="{361E2644-7A2F-47E7-9A48-B53C3FED66A9}"/>
    <hyperlink ref="AW341" r:id="rId861" xr:uid="{F44D6156-E5CC-4498-923E-D72292226FBB}"/>
    <hyperlink ref="AW342" r:id="rId862" xr:uid="{200C4F77-0DBF-4A5E-A58C-53BAE6998C3F}"/>
    <hyperlink ref="AW343" r:id="rId863" xr:uid="{4F97E32A-6F64-4D76-8E0C-B7054A6BEE93}"/>
    <hyperlink ref="AW344" r:id="rId864" xr:uid="{8801D3E2-AE65-4345-944C-4F15FE60B1B2}"/>
    <hyperlink ref="AW345" r:id="rId865" xr:uid="{77249F52-A9A0-4F60-B54B-FF55626E0ED9}"/>
    <hyperlink ref="AW346" r:id="rId866" xr:uid="{65A33419-1251-4F86-B580-FA4205135BCC}"/>
    <hyperlink ref="AW347" r:id="rId867" xr:uid="{0F5436C8-8804-4BB4-911B-E597835BC9C7}"/>
    <hyperlink ref="AW348" r:id="rId868" xr:uid="{4B7DC569-D107-4420-8C60-36344C50B256}"/>
    <hyperlink ref="AW349" r:id="rId869" xr:uid="{7F944BA7-0DCA-42E0-B87F-C229093EA44D}"/>
    <hyperlink ref="AW350" r:id="rId870" xr:uid="{5649717B-3CCF-4806-9DFA-FB769623AA19}"/>
    <hyperlink ref="AW351" r:id="rId871" xr:uid="{FFD34718-F38E-49B5-AC93-0EA07DBC1DBA}"/>
    <hyperlink ref="AW352" r:id="rId872" xr:uid="{BBC815B3-A1DF-4116-959C-D3BC0B7B45FF}"/>
    <hyperlink ref="AW353" r:id="rId873" xr:uid="{CFA81F9F-071D-41E6-8442-CC61AE1CC370}"/>
    <hyperlink ref="AW354" r:id="rId874" xr:uid="{BD17D815-3882-4A92-AED1-0532CD7A6E1B}"/>
    <hyperlink ref="AW355" r:id="rId875" xr:uid="{61DCB236-2654-4C89-AE11-0BCD64599FEC}"/>
    <hyperlink ref="AW356" r:id="rId876" xr:uid="{6A489C64-F1A7-44DA-B662-FC8C9DA68203}"/>
    <hyperlink ref="AW357" r:id="rId877" xr:uid="{406F7864-A2F5-4313-9299-E53CA135602A}"/>
    <hyperlink ref="AW358" r:id="rId878" xr:uid="{C576F01F-B576-47D4-BEF2-810D0222126F}"/>
    <hyperlink ref="AW359" r:id="rId879" xr:uid="{43473A44-3952-430D-A248-AC570CD5A59C}"/>
    <hyperlink ref="AW360" r:id="rId880" xr:uid="{5C142C7A-B5E9-414F-BE14-707D784BBD55}"/>
    <hyperlink ref="AW361" r:id="rId881" xr:uid="{8A418008-9E12-41D4-9179-74F596481D45}"/>
    <hyperlink ref="AW362" r:id="rId882" xr:uid="{B86B5DA2-CA5B-4D02-9B65-5927B0F95F7D}"/>
    <hyperlink ref="AW363" r:id="rId883" xr:uid="{48C26D5C-FA0E-4D62-89F8-38772B5C8236}"/>
    <hyperlink ref="AW364" r:id="rId884" xr:uid="{FF69FA11-078F-44E5-8184-E3C6ECADF876}"/>
    <hyperlink ref="AW365" r:id="rId885" xr:uid="{E8228A86-D00E-407B-9850-54DF35D9287F}"/>
    <hyperlink ref="AW366" r:id="rId886" xr:uid="{7C40978E-6116-4F6A-8F26-13DB1EBE4558}"/>
    <hyperlink ref="AW367" r:id="rId887" xr:uid="{BCC4FFB1-8AD5-43BD-925B-791EA8F414C0}"/>
    <hyperlink ref="AW368" r:id="rId888" xr:uid="{D16338B0-6805-4487-B360-3D886D2C99FA}"/>
    <hyperlink ref="AW369" r:id="rId889" xr:uid="{AF33F2E1-C468-416C-9ED0-4A55E7825379}"/>
    <hyperlink ref="AW370" r:id="rId890" xr:uid="{D0FFD4DF-65AC-45AB-ABFD-597F94EE3219}"/>
    <hyperlink ref="AW371" r:id="rId891" xr:uid="{B9287ED4-B044-4536-A2B7-EF29B0963C83}"/>
    <hyperlink ref="AW372" r:id="rId892" xr:uid="{A140712D-6EC5-4696-9878-5B5D71D86A66}"/>
    <hyperlink ref="AW373" r:id="rId893" xr:uid="{284A5C76-6C09-4137-8D23-0250D41DEFC2}"/>
    <hyperlink ref="AW374" r:id="rId894" xr:uid="{89162AD3-00A8-4EC3-AC07-C5FFEC8CCE5F}"/>
    <hyperlink ref="AW375" r:id="rId895" xr:uid="{25DF9DC2-B68E-482D-9ADC-C6FD5D9800AA}"/>
    <hyperlink ref="AW376" r:id="rId896" xr:uid="{3B09E75D-EC87-4BA5-841C-66139B5691BD}"/>
    <hyperlink ref="AW377" r:id="rId897" xr:uid="{81BDAD30-A638-4328-AC3F-E2BB50C5CEE4}"/>
    <hyperlink ref="AW378" r:id="rId898" xr:uid="{838E0862-C67E-45CD-A839-DB3345ED6DC5}"/>
    <hyperlink ref="AW379" r:id="rId899" xr:uid="{A2D5CE41-E9DE-4871-BA2C-11535FD809CF}"/>
    <hyperlink ref="AW380" r:id="rId900" xr:uid="{C2E31D8F-A4C3-4F8E-9226-457001A748A2}"/>
    <hyperlink ref="AW381" r:id="rId901" xr:uid="{F03C16D2-B077-4F2B-8902-37F7736367AF}"/>
    <hyperlink ref="AW382" r:id="rId902" xr:uid="{C25A9C4D-E0D2-4815-A106-D094AC2529C3}"/>
    <hyperlink ref="AW383" r:id="rId903" xr:uid="{80B24A52-31AB-499C-AFC9-4BA953AE7922}"/>
    <hyperlink ref="AW384" r:id="rId904" xr:uid="{DABFCEBE-E3DC-48B6-8883-3DC1B01953C1}"/>
    <hyperlink ref="AW385" r:id="rId905" xr:uid="{8DA7EA85-5D7E-4418-99B5-FE855D86692A}"/>
    <hyperlink ref="AW386" r:id="rId906" xr:uid="{1FB688C6-DCF3-4BCE-8A65-36B2BA0C3894}"/>
    <hyperlink ref="AW387" r:id="rId907" xr:uid="{D5BE8120-A754-4FD0-A0E9-D6DEB53158B3}"/>
    <hyperlink ref="AW388" r:id="rId908" xr:uid="{E41ECFCC-2469-489A-9B3F-7190DDF5638D}"/>
    <hyperlink ref="AW389" r:id="rId909" xr:uid="{28C7579F-34F2-4831-AD29-1C6F0BBB0902}"/>
    <hyperlink ref="AW390" r:id="rId910" xr:uid="{4C204568-BC1A-4379-B32C-7BF3D75B36DE}"/>
    <hyperlink ref="AW391" r:id="rId911" xr:uid="{4FD490B6-18AA-40E9-A55E-38C4C55AF2F8}"/>
    <hyperlink ref="AW392" r:id="rId912" xr:uid="{148B82E3-973D-49FE-AD25-77A169773180}"/>
    <hyperlink ref="AW393" r:id="rId913" xr:uid="{925DA811-FD0C-429C-A244-ADEFD3E3F345}"/>
    <hyperlink ref="AW394" r:id="rId914" xr:uid="{BE70F886-ECEA-4BE3-BCC8-23B76D178D21}"/>
    <hyperlink ref="AW395" r:id="rId915" xr:uid="{6FCDE137-5CFD-42B9-943A-362376D8D1B6}"/>
    <hyperlink ref="AW396" r:id="rId916" xr:uid="{E660E5AE-0049-4B7B-B24F-EE98CF15078A}"/>
    <hyperlink ref="AW397" r:id="rId917" xr:uid="{8BDCA1E9-2047-41A9-A1C7-8B9D7EB3781C}"/>
    <hyperlink ref="AW398" r:id="rId918" xr:uid="{8593F8FE-8510-4B58-90D2-58075F059E44}"/>
    <hyperlink ref="AW399" r:id="rId919" xr:uid="{A6E72CFA-771C-4465-8BDD-A63397A89A50}"/>
    <hyperlink ref="AW400" r:id="rId920" xr:uid="{5C081D8C-ECF1-4AF3-838F-63F99BFCCB27}"/>
    <hyperlink ref="AW401" r:id="rId921" xr:uid="{705BA5C3-2970-4453-9D32-AA83CA303CE6}"/>
    <hyperlink ref="AW402" r:id="rId922" xr:uid="{F018AC78-50DE-4CAB-8AA1-459DCEAB1DA3}"/>
    <hyperlink ref="AW403" r:id="rId923" xr:uid="{B9A97306-CD1A-4CB1-B263-ED7AFADD8E4D}"/>
    <hyperlink ref="AW404" r:id="rId924" xr:uid="{396DE33A-0053-47CF-8968-F46FC994EBD7}"/>
    <hyperlink ref="AW405" r:id="rId925" xr:uid="{23F1E803-4EB2-484A-84F6-1B3D04BEA3DA}"/>
    <hyperlink ref="AW406" r:id="rId926" xr:uid="{2CC033D8-6D03-4D5C-AD63-13519CB1763A}"/>
    <hyperlink ref="AW407" r:id="rId927" xr:uid="{2EAD4F24-DCA7-42FC-ACCC-D5B3E381312F}"/>
    <hyperlink ref="AW408" r:id="rId928" xr:uid="{62E1FE06-28D1-4BA4-BFA8-F284D7C7CCC0}"/>
    <hyperlink ref="AW409" r:id="rId929" xr:uid="{0B5CE5E7-EDBE-4C12-8743-817F779DC622}"/>
    <hyperlink ref="AW410" r:id="rId930" xr:uid="{37735E0B-1E28-4A37-8CDA-D8A0D03BEE67}"/>
    <hyperlink ref="AW411" r:id="rId931" xr:uid="{34F191DA-FE72-4101-98F2-46AE01FE98E3}"/>
    <hyperlink ref="AW412" r:id="rId932" xr:uid="{12845CBD-A3CF-4B4F-B42D-05F2F151D15A}"/>
    <hyperlink ref="AW413" r:id="rId933" xr:uid="{8F3B89F1-8978-4BF7-8CB8-2E1E9B1F7570}"/>
    <hyperlink ref="AW414" r:id="rId934" xr:uid="{17270C34-0AA3-46B6-8A4C-D5761F4D4329}"/>
    <hyperlink ref="AW415" r:id="rId935" xr:uid="{E8EC8D1C-232C-4056-B600-5FB9C9FDACC0}"/>
    <hyperlink ref="AW416" r:id="rId936" xr:uid="{8823108A-64A2-42CC-9E1A-57B578016D19}"/>
    <hyperlink ref="AW417" r:id="rId937" xr:uid="{EE41B386-21BD-4F94-A2AC-4E4006BACE8E}"/>
    <hyperlink ref="AW418" r:id="rId938" xr:uid="{036E85C1-02D3-4B39-810F-CA71657DB1FB}"/>
    <hyperlink ref="AW419" r:id="rId939" xr:uid="{161DF317-BB13-489B-8F60-536DD8E52FE4}"/>
    <hyperlink ref="AW420" r:id="rId940" xr:uid="{7F416A4D-9F34-444C-9936-85725C3349BE}"/>
    <hyperlink ref="AW421" r:id="rId941" xr:uid="{7EFBAE81-0A47-47C2-9BF8-4CA275AA1075}"/>
    <hyperlink ref="AW422" r:id="rId942" xr:uid="{FA1C293C-937C-4DCC-AA94-BDE698AF794A}"/>
    <hyperlink ref="AW423" r:id="rId943" xr:uid="{45D7375F-D3A9-4583-BF7A-96322AC90474}"/>
    <hyperlink ref="AW424" r:id="rId944" xr:uid="{CE78996B-4AD9-4C8C-969E-8C6452160B2F}"/>
    <hyperlink ref="AW425" r:id="rId945" xr:uid="{BE763446-2525-4B50-BB7C-8B9F258A6C36}"/>
    <hyperlink ref="AW426" r:id="rId946" xr:uid="{6A81A554-F62A-4667-8DC9-B6ECA98A945E}"/>
    <hyperlink ref="AW427" r:id="rId947" xr:uid="{CAEA2C35-0E27-420B-8494-E63F0DE512FC}"/>
    <hyperlink ref="AW428" r:id="rId948" xr:uid="{A1100D2C-9A7D-478C-A28A-DF7EB370D4C5}"/>
    <hyperlink ref="AW429" r:id="rId949" xr:uid="{932B1EC0-3B73-46E4-9DAB-BA7F9763ECB7}"/>
    <hyperlink ref="AW430" r:id="rId950" xr:uid="{7E894C51-D77F-4FC8-AE85-645AB10B4687}"/>
    <hyperlink ref="AW431" r:id="rId951" xr:uid="{9182CF3D-18B7-4A45-9A3D-B5CAB531879E}"/>
    <hyperlink ref="AW432" r:id="rId952" xr:uid="{EF73BA89-7A5B-4E84-9D16-9268A7F526D6}"/>
    <hyperlink ref="AW433" r:id="rId953" xr:uid="{63958115-2B98-4369-80E3-422F0F471E57}"/>
    <hyperlink ref="AW434" r:id="rId954" xr:uid="{4C22E7E5-1994-41FB-BEC4-91E48B7F1ACA}"/>
    <hyperlink ref="AW435" r:id="rId955" xr:uid="{483E61FC-6C11-4CB4-9854-CFCDCDDD46A4}"/>
    <hyperlink ref="AW436" r:id="rId956" xr:uid="{974859C4-AFB4-4172-BC29-B677585DAF88}"/>
    <hyperlink ref="AW437" r:id="rId957" xr:uid="{FC965904-FEB5-4D12-9133-4B0F101686A5}"/>
    <hyperlink ref="AW438" r:id="rId958" xr:uid="{2107B127-F9A0-4236-A7B1-FE73883A5060}"/>
    <hyperlink ref="AW439" r:id="rId959" xr:uid="{953CBE5B-C330-45D3-9063-005DF40432E3}"/>
    <hyperlink ref="AW440" r:id="rId960" xr:uid="{8E0DFE44-F1FF-46E3-BF30-ADADA2326EC0}"/>
    <hyperlink ref="AW441" r:id="rId961" xr:uid="{877675B4-8A88-4C4B-9077-768883D5130D}"/>
    <hyperlink ref="AW442" r:id="rId962" xr:uid="{E76841EE-D454-461A-ACDF-7F1356FF816A}"/>
    <hyperlink ref="AW443" r:id="rId963" xr:uid="{11889E4B-FF79-4298-8A17-73BEDC490C06}"/>
    <hyperlink ref="AW444" r:id="rId964" xr:uid="{49FAA7B2-76A9-4053-97D5-2B8733310A94}"/>
    <hyperlink ref="AW445" r:id="rId965" xr:uid="{03FA0808-D848-43A0-9E10-186A9B226A3D}"/>
    <hyperlink ref="AW446" r:id="rId966" xr:uid="{5FC8631C-2366-4062-88DC-6D928CFDBC3A}"/>
    <hyperlink ref="AW447" r:id="rId967" xr:uid="{058F7388-139E-4166-BDAB-ED5E955D35BA}"/>
    <hyperlink ref="AW448" r:id="rId968" xr:uid="{891893AC-E10D-4A1F-ACA0-78F9B38396DA}"/>
    <hyperlink ref="AW449" r:id="rId969" xr:uid="{E5FAA47B-1C9C-46B5-AF0A-DB4DDF4ECC14}"/>
    <hyperlink ref="AW450" r:id="rId970" xr:uid="{5BB700C6-002D-43A3-8533-895C3F22AE5D}"/>
    <hyperlink ref="AW451" r:id="rId971" xr:uid="{3147EB33-5A45-4B9C-99AC-8C07D77A6BE2}"/>
    <hyperlink ref="AW452" r:id="rId972" xr:uid="{722C3D9C-3B91-4C5D-829C-7A9BFBB5D02F}"/>
    <hyperlink ref="AW453" r:id="rId973" xr:uid="{2D6FBF3D-0ECB-4F34-A3EE-0C8D33D826A6}"/>
    <hyperlink ref="AW454" r:id="rId974" xr:uid="{9E08C569-936A-44F8-9DFF-A14FBE690D66}"/>
    <hyperlink ref="AW455" r:id="rId975" xr:uid="{9A96934D-050C-4D97-ACEA-2B86F6A3B6DE}"/>
    <hyperlink ref="AW456" r:id="rId976" xr:uid="{E7B6E10F-682B-4014-A6D4-1789A609D9AC}"/>
    <hyperlink ref="AW457" r:id="rId977" xr:uid="{FC144115-3729-41EB-954A-A63693C163D0}"/>
    <hyperlink ref="AW458" r:id="rId978" xr:uid="{F1993475-CE1F-4638-919F-BF74CFE52D47}"/>
    <hyperlink ref="AW459" r:id="rId979" xr:uid="{F4A9F588-36A3-4338-866E-FFCFD4E89835}"/>
    <hyperlink ref="AW460" r:id="rId980" xr:uid="{0CF7DC5B-5E46-462E-B89C-7B5BD7F385A7}"/>
    <hyperlink ref="AW461" r:id="rId981" xr:uid="{FC4020D4-7742-4617-8DB5-8CA826ED4110}"/>
    <hyperlink ref="AW462" r:id="rId982" xr:uid="{4726D5DC-CB43-46DB-9840-B64DCD513726}"/>
    <hyperlink ref="AW463" r:id="rId983" xr:uid="{E200414A-A446-475B-AA43-5576B409B816}"/>
    <hyperlink ref="AW464" r:id="rId984" xr:uid="{7D800B20-095E-4E2D-BED9-2479F754BAFE}"/>
    <hyperlink ref="AW465" r:id="rId985" xr:uid="{8D901110-EB4D-4BFE-A6E9-166C405C50A9}"/>
    <hyperlink ref="AW466" r:id="rId986" xr:uid="{3711E62C-4CFB-4E60-8C73-31D847BF0007}"/>
    <hyperlink ref="AW467" r:id="rId987" xr:uid="{4CB7638D-2B83-40F6-B6D6-030686F9C630}"/>
    <hyperlink ref="AW468" r:id="rId988" xr:uid="{C81D7208-D268-4BCC-AF08-545F323CCA1D}"/>
    <hyperlink ref="AW469" r:id="rId989" xr:uid="{6BD92BF3-957C-49A6-A9AC-8CD7DB69050A}"/>
    <hyperlink ref="AW470" r:id="rId990" xr:uid="{A842FF84-A720-4222-8BE1-63C6D019C798}"/>
    <hyperlink ref="AW471" r:id="rId991" xr:uid="{E497BF6A-E947-4259-B782-F44FB4000213}"/>
    <hyperlink ref="AW472" r:id="rId992" xr:uid="{D5F917C4-4C2C-4D3F-A465-992CF78FD47A}"/>
    <hyperlink ref="AW473" r:id="rId993" xr:uid="{52CB956E-810D-4124-93E2-4D6FEF4734DE}"/>
    <hyperlink ref="AW474" r:id="rId994" xr:uid="{62D554AF-7536-4362-AA90-16FB9C21AA9C}"/>
    <hyperlink ref="AW475" r:id="rId995" xr:uid="{5EC2FA20-94A3-4940-8FE4-460A08B22E08}"/>
    <hyperlink ref="AW476" r:id="rId996" xr:uid="{EC0269FD-5225-4EB5-B11A-835C5D9ED8BA}"/>
    <hyperlink ref="AW477" r:id="rId997" xr:uid="{E083019F-A4FE-4A1D-A904-8E59487D18C9}"/>
    <hyperlink ref="AW478" r:id="rId998" xr:uid="{E952FE16-C04C-4F91-913C-84B353308461}"/>
    <hyperlink ref="AW479" r:id="rId999" xr:uid="{37227F8F-BB55-4AD7-A303-E543233A3629}"/>
    <hyperlink ref="AW480" r:id="rId1000" xr:uid="{8DA3CD53-AD4D-4632-868B-F4774A57F7CA}"/>
    <hyperlink ref="AW481" r:id="rId1001" xr:uid="{E424B003-0986-40B4-BFE0-1BDC0B3E1766}"/>
    <hyperlink ref="AW482" r:id="rId1002" xr:uid="{D486ABB5-39F0-42F4-A9AA-63DC902AFEE9}"/>
    <hyperlink ref="AW483" r:id="rId1003" xr:uid="{725D1D65-A91C-4088-86CA-00EA01EB0650}"/>
    <hyperlink ref="AW484" r:id="rId1004" xr:uid="{A152C8B2-E093-4BF4-A569-49D3604E6339}"/>
    <hyperlink ref="AW485" r:id="rId1005" xr:uid="{C74BFA6A-E947-4AA7-8154-AEEFE33B5FC8}"/>
    <hyperlink ref="AW486" r:id="rId1006" xr:uid="{EAB85ADA-B126-427D-93DB-B0AB957F9C09}"/>
    <hyperlink ref="AW487" r:id="rId1007" xr:uid="{AF251D7B-DC20-4E2C-8E7F-DED758B9341B}"/>
    <hyperlink ref="AW488" r:id="rId1008" xr:uid="{49C6FADB-1C15-4A84-939A-A94B487A6BCA}"/>
    <hyperlink ref="AW489" r:id="rId1009" xr:uid="{D5403201-7B76-4A38-9B31-A13FB21F08CA}"/>
    <hyperlink ref="AW490" r:id="rId1010" xr:uid="{B6325BE0-03AB-4F9D-BE18-C442013D67FB}"/>
    <hyperlink ref="AW491" r:id="rId1011" xr:uid="{E157B0E4-0181-4D69-AA3A-4EDC5A2F3A05}"/>
    <hyperlink ref="AW492" r:id="rId1012" xr:uid="{F92D5A4D-A5ED-4572-BF4A-CDA0E49D8769}"/>
    <hyperlink ref="AW493" r:id="rId1013" xr:uid="{3C1BBC11-149C-4036-8353-DC088DCBE1B8}"/>
    <hyperlink ref="AW494" r:id="rId1014" xr:uid="{35ECB629-9185-42ED-AA31-116218D9B37E}"/>
    <hyperlink ref="AW495" r:id="rId1015" xr:uid="{1DD2FB33-6510-4DBF-890D-8954A807552B}"/>
    <hyperlink ref="AW496" r:id="rId1016" xr:uid="{EA705926-F047-4E74-9798-9F9FDE162D81}"/>
    <hyperlink ref="AW497" r:id="rId1017" xr:uid="{61AA4955-1CE3-4F92-961A-91D90D320F31}"/>
    <hyperlink ref="AW498" r:id="rId1018" xr:uid="{E703230F-CD72-4847-BACC-F77AF1D8A638}"/>
    <hyperlink ref="AW499" r:id="rId1019" xr:uid="{B4B2E0C6-F804-44B9-B306-BACF6C917E0D}"/>
    <hyperlink ref="AW500" r:id="rId1020" xr:uid="{BB7CDC0A-8F09-4DDE-9892-2E43470744A6}"/>
    <hyperlink ref="AW501" r:id="rId1021" xr:uid="{2F795037-26C3-4C16-85E2-159229581258}"/>
    <hyperlink ref="AW502" r:id="rId1022" xr:uid="{050C3BF8-F345-47D9-BD6D-3878AF7B684C}"/>
    <hyperlink ref="AW503" r:id="rId1023" xr:uid="{0C1F94E1-DA16-4EBC-B909-B8378CE0C3AD}"/>
    <hyperlink ref="AW504" r:id="rId1024" xr:uid="{02A0EFC8-F205-48A9-B726-A050BB43A836}"/>
    <hyperlink ref="AW505" r:id="rId1025" xr:uid="{76625D65-AAAD-4909-BF58-F3F1CE2E960D}"/>
    <hyperlink ref="AW506" r:id="rId1026" xr:uid="{61D47DCC-A47E-4F10-98F8-5D02B33FF7CE}"/>
    <hyperlink ref="AW507" r:id="rId1027" xr:uid="{4FCD83EF-C816-496A-BE34-E331C9F541DD}"/>
    <hyperlink ref="AW508" r:id="rId1028" xr:uid="{5D399AC9-F13B-4EED-AE9A-67EAE90DF163}"/>
    <hyperlink ref="AW509" r:id="rId1029" xr:uid="{9F425E2E-D158-46F8-9B35-588598819839}"/>
    <hyperlink ref="AW510" r:id="rId1030" xr:uid="{96AC93BE-717E-4BB5-84EC-3F07D024E432}"/>
    <hyperlink ref="AW511" r:id="rId1031" xr:uid="{CEA9D4AC-BBD7-435F-BB0C-84EA0F4DF176}"/>
    <hyperlink ref="AW512" r:id="rId1032" xr:uid="{1539497C-E24B-4D6F-891A-971E2FE8C45D}"/>
    <hyperlink ref="AW513" r:id="rId1033" xr:uid="{A2FBDC9C-E845-456F-AAE6-A4BEEE2456C8}"/>
    <hyperlink ref="AW514" r:id="rId1034" xr:uid="{1E7B913C-8C2B-4E20-A937-D48EE41038D7}"/>
    <hyperlink ref="AW515" r:id="rId1035" xr:uid="{57D12D13-9CE0-4B08-BC9B-05F3F8E12C20}"/>
    <hyperlink ref="AW516" r:id="rId1036" xr:uid="{E62AFB9A-75A0-4552-B844-4FD97E4AFF5D}"/>
    <hyperlink ref="AW517" r:id="rId1037" xr:uid="{EFEC0B05-ACB3-47B1-8868-EE8E782F35DE}"/>
    <hyperlink ref="AW518" r:id="rId1038" xr:uid="{A54C8533-30C6-4819-A4F3-78CDC355CF65}"/>
    <hyperlink ref="AW519" r:id="rId1039" xr:uid="{5F17EBE2-77C1-4710-B349-0EEFF233AA1C}"/>
    <hyperlink ref="AW520" r:id="rId1040" xr:uid="{C554224D-0DA4-4867-B40D-B51CEE380D19}"/>
    <hyperlink ref="AW521" r:id="rId1041" xr:uid="{8C8BAB13-61EF-47D7-9661-679E4EDAE5E3}"/>
    <hyperlink ref="AW522" r:id="rId1042" xr:uid="{4AA0B3E6-4E08-4DC5-8655-DA7587F7BA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2026-10-26T01:12:30Z</dcterms:created>
  <dcterms:modified xsi:type="dcterms:W3CDTF">2026-10-26T08:37:39Z</dcterms:modified>
</cp:coreProperties>
</file>
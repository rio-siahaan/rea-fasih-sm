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TSAR RIO\rea\fasih-sm\"/>
    </mc:Choice>
  </mc:AlternateContent>
  <xr:revisionPtr revIDLastSave="0" documentId="13_ncr:1_{499C7D46-383C-44C5-BF53-60EFED50BDAF}" xr6:coauthVersionLast="47" xr6:coauthVersionMax="47" xr10:uidLastSave="{00000000-0000-0000-0000-000000000000}"/>
  <bookViews>
    <workbookView xWindow="-120" yWindow="-120" windowWidth="29040" windowHeight="15720" xr2:uid="{B6ABA142-1B89-4232-9649-BE62125CB967}"/>
  </bookViews>
  <sheets>
    <sheet name="Sheet2" sheetId="2" r:id="rId1"/>
    <sheet name="Sheet1" sheetId="3" r:id="rId2"/>
  </sheets>
  <definedNames>
    <definedName name="_xlnm._FilterDatabase" localSheetId="0" hidden="1">Sheet2!$A$3:$AC$275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5" i="2" l="1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4" i="2"/>
</calcChain>
</file>

<file path=xl/sharedStrings.xml><?xml version="1.0" encoding="utf-8"?>
<sst xmlns="http://schemas.openxmlformats.org/spreadsheetml/2006/main" count="2126" uniqueCount="1052">
  <si>
    <t>KBLI G</t>
  </si>
  <si>
    <t>Tanggal</t>
  </si>
  <si>
    <t>level_2_full_code</t>
  </si>
  <si>
    <t>level_6_full_code</t>
  </si>
  <si>
    <t>nama_usaha</t>
  </si>
  <si>
    <t>Produk</t>
  </si>
  <si>
    <t>Kegiatan Utama</t>
  </si>
  <si>
    <t>metrik_biaya_produksi</t>
  </si>
  <si>
    <t>metrik_biaya_pembelian</t>
  </si>
  <si>
    <t>metrik_biaya_operasional</t>
  </si>
  <si>
    <t>metrik_biaya_non_operasional</t>
  </si>
  <si>
    <t>total_pengeluaran</t>
  </si>
  <si>
    <t>metrik_pendapatan_barang_jasa</t>
  </si>
  <si>
    <t>metrik_pendapatan_lainnya</t>
  </si>
  <si>
    <t>metrik_nilai_tambah</t>
  </si>
  <si>
    <t>metrik_total_aset</t>
  </si>
  <si>
    <t>metrik_output</t>
  </si>
  <si>
    <t>rasio_biaya_pembelian_barang_terhadap_omzet</t>
  </si>
  <si>
    <t>rasio_ntb</t>
  </si>
  <si>
    <t>link_fasih_sm</t>
  </si>
  <si>
    <t>Kode Remark</t>
  </si>
  <si>
    <t>Tindak Lanjut Fasih</t>
  </si>
  <si>
    <t>G</t>
  </si>
  <si>
    <t>SEMBAKO DAN TEMBAKAU</t>
  </si>
  <si>
    <t>Sembako</t>
  </si>
  <si>
    <t>Makanan ringan dan minuman</t>
  </si>
  <si>
    <t>Menjual makanan ringan dan minuman</t>
  </si>
  <si>
    <t>PERDAGANGAN ECERAN SEMBAKO</t>
  </si>
  <si>
    <t>Tidak ada</t>
  </si>
  <si>
    <t>Menjual sembako</t>
  </si>
  <si>
    <t>SEMBAKO</t>
  </si>
  <si>
    <t>Menjual Sembako</t>
  </si>
  <si>
    <t>MENJUAL SEMBAKO ECERAN</t>
  </si>
  <si>
    <t>MENJUAL BARANG SEMBAKO</t>
  </si>
  <si>
    <t>JAMBU METE</t>
  </si>
  <si>
    <t>MENJUAL ANEKA SEMBAKO</t>
  </si>
  <si>
    <t>Menjual sembako eceran</t>
  </si>
  <si>
    <t>MENJUAL SEMBAKO DAN JAJANAN ECERAN</t>
  </si>
  <si>
    <t>BABI</t>
  </si>
  <si>
    <t>#4</t>
  </si>
  <si>
    <t>KIOS SEMBAKO</t>
  </si>
  <si>
    <t>USAHA KIOS (NURHANI ABONG)</t>
  </si>
  <si>
    <t>SEMBAKO, ROKO, SNACK, SABUN MANDI, SABUN CUCI</t>
  </si>
  <si>
    <t>perdagangan enceran sembako</t>
  </si>
  <si>
    <t>https://fasih-sm.bps.go.id/app/assignment/fd68e454-ba45-4b85-8205-f3bf777ded24/0c5a5069-af0d-4f49-88e9-62e371a31303</t>
  </si>
  <si>
    <t>KIOS CALISTA</t>
  </si>
  <si>
    <t>Menjual sembako eceran di kios</t>
  </si>
  <si>
    <t>https://fasih-sm.bps.go.id/app/assignment/fd68e454-ba45-4b85-8205-f3bf777ded24/e6e22d92-52c2-4d20-85da-61a3c5d3decf</t>
  </si>
  <si>
    <t>USAHA PERDAGANGAN (MARTINA HOPILERA GAMUR)</t>
  </si>
  <si>
    <t>ECERAN SEMBAKO</t>
  </si>
  <si>
    <t>MENJUAL ECERAN SEMBAKO</t>
  </si>
  <si>
    <t>https://fasih-sm.bps.go.id/app/assignment/fd68e454-ba45-4b85-8205-f3bf777ded24/f31c5b7f-d79f-4a86-b395-f981fa38f7e3</t>
  </si>
  <si>
    <t>USAHA PERDAGANGAN (HENDRIKUS PATARAYA KOLIN)</t>
  </si>
  <si>
    <t>MEMBUDIDAYAKAN TANAMAN PERKEBUNAN</t>
  </si>
  <si>
    <t>https://fasih-sm.bps.go.id/app/assignment/fd68e454-ba45-4b85-8205-f3bf777ded24/1e215243-5f26-4440-81c3-c5bbb8b51a06</t>
  </si>
  <si>
    <t>KIOS ECERAN (AGUS SALIM)</t>
  </si>
  <si>
    <t>Makanan minuman eceran</t>
  </si>
  <si>
    <t>Menjual makanan minuman dan tembakau eceran di dalam rumah</t>
  </si>
  <si>
    <t>https://fasih-sm.bps.go.id/app/assignment/fd68e454-ba45-4b85-8205-f3bf777ded24/213e3b07-2ba7-42e2-a01f-f3d81f84233f</t>
  </si>
  <si>
    <t>USAHA KIOS SEMBAKO(MARTINA)</t>
  </si>
  <si>
    <t>BUAH KELAPA BULAT</t>
  </si>
  <si>
    <t>TANAM,RAWAT,PANEN DAN DI JUAL</t>
  </si>
  <si>
    <t>https://fasih-sm.bps.go.id/app/assignment/fd68e454-ba45-4b85-8205-f3bf777ded24/3b816d64-7a54-4b25-bb48-563c1725fa49</t>
  </si>
  <si>
    <t>KIOS (BUNGA HULER)</t>
  </si>
  <si>
    <t>JAJANAN ECERAN</t>
  </si>
  <si>
    <t>https://fasih-sm.bps.go.id/app/assignment/fd68e454-ba45-4b85-8205-f3bf777ded24/2f5a774e-4d8b-4b0a-9d63-f951717ffd7b</t>
  </si>
  <si>
    <t>KIOS SEMBAKO (MAISAROH)</t>
  </si>
  <si>
    <t>Minyak goreng, telur, beras, mie dll</t>
  </si>
  <si>
    <t>https://fasih-sm.bps.go.id/app/assignment/fd68e454-ba45-4b85-8205-f3bf777ded24/9b3773d8-b8bc-4231-bfaa-c8d777a7c8d6</t>
  </si>
  <si>
    <t>KIOS ( FATIMA ABDULLAH)</t>
  </si>
  <si>
    <t>Jajanan</t>
  </si>
  <si>
    <t>Menjual jajanan</t>
  </si>
  <si>
    <t>https://fasih-sm.bps.go.id/app/assignment/fd68e454-ba45-4b85-8205-f3bf777ded24/92e51f2d-5375-459b-b5bb-b075846eb6e9</t>
  </si>
  <si>
    <t>USAHA KIOS(KATARINA SURAT BALA)</t>
  </si>
  <si>
    <t>MEMBUDIDAYAKAN TANAMAN JAMBU MENTE</t>
  </si>
  <si>
    <t>https://fasih-sm.bps.go.id/app/assignment/fd68e454-ba45-4b85-8205-f3bf777ded24/7b4f943a-5b15-4053-b728-96ad994ed715</t>
  </si>
  <si>
    <t>JATI</t>
  </si>
  <si>
    <t>KIOS SEMBAKO(MUSLIMIN GAFUR)</t>
  </si>
  <si>
    <t>DAUN LONTAR</t>
  </si>
  <si>
    <t>KUAL BELI DAUN LONTAR</t>
  </si>
  <si>
    <t>https://fasih-sm.bps.go.id/app/assignment/fd68e454-ba45-4b85-8205-f3bf777ded24/b4cead52-469c-43b0-b85e-01f8ff49d8e5</t>
  </si>
  <si>
    <t>KIOS (LUKMAN BUGA SENARI)</t>
  </si>
  <si>
    <t>Barang makanan dan non makanan</t>
  </si>
  <si>
    <t>Menjual barang makanan dan non makanan</t>
  </si>
  <si>
    <t>https://fasih-sm.bps.go.id/app/assignment/fd68e454-ba45-4b85-8205-f3bf777ded24/c6050d89-ea90-44cc-aa48-559b89e0c1d4</t>
  </si>
  <si>
    <t>KIOS NURJINUNG (NURJINUNG LAMABLAWA)</t>
  </si>
  <si>
    <t>BARANG SEMBAKO ECERAN</t>
  </si>
  <si>
    <t>MENGUSAHAKAN PENJUALAN BARANG SEMBAKO ECERAN TIDAK DENGAN SISTEM SEWALAYAN</t>
  </si>
  <si>
    <t>https://fasih-sm.bps.go.id/app/assignment/fd68e454-ba45-4b85-8205-f3bf777ded24/bdba3061-0756-4039-b42a-fd29f4a89f3b</t>
  </si>
  <si>
    <t>USAHA KIOS</t>
  </si>
  <si>
    <t>JASA TRANSPORTASI</t>
  </si>
  <si>
    <t>JASA ANGKUTAN PENUMPANG DAN BARANG DENGAN MOBIL PICKUP</t>
  </si>
  <si>
    <t>https://fasih-sm.bps.go.id/app/assignment/fd68e454-ba45-4b85-8205-f3bf777ded24/fb36adff-e874-439f-81ca-2d99b74ffb7e</t>
  </si>
  <si>
    <t>USAHA KIOS(MARIA ANGELA YUNIATI TAA</t>
  </si>
  <si>
    <t>UBI KAYU</t>
  </si>
  <si>
    <t>BUDIDAYA UBI KAYU</t>
  </si>
  <si>
    <t>https://fasih-sm.bps.go.id/app/assignment/fd68e454-ba45-4b85-8205-f3bf777ded24/f02ff524-6273-45d8-bdff-81b914991d2a</t>
  </si>
  <si>
    <t>JUALAN SEMBAKO</t>
  </si>
  <si>
    <t>MAKANAN DAN MINUMAN INSTAN</t>
  </si>
  <si>
    <t>MENJUAL BAHAN MAKANAN BERUPA SEMBAKO</t>
  </si>
  <si>
    <t>https://fasih-sm.bps.go.id/app/assignment/fd68e454-ba45-4b85-8205-f3bf777ded24/28c6069f-b451-45ba-bf68-b92461c28ebd</t>
  </si>
  <si>
    <t>PEDAGANG ECERAN KIOS BAHRIA BAREK</t>
  </si>
  <si>
    <t>TERUNG</t>
  </si>
  <si>
    <t>PENANAMAN SAYUR BUAH</t>
  </si>
  <si>
    <t>https://fasih-sm.bps.go.id/app/assignment/fd68e454-ba45-4b85-8205-f3bf777ded24/4ec72325-33a1-453c-9ef2-86de8ecdfe85</t>
  </si>
  <si>
    <t>KIOS ( CRISTINA F TUKAN )</t>
  </si>
  <si>
    <t>MENJUAL SEMBAKO</t>
  </si>
  <si>
    <t>https://fasih-sm.bps.go.id/app/assignment/fd68e454-ba45-4b85-8205-f3bf777ded24/61899405-44af-4f43-a101-8c8e3332af67</t>
  </si>
  <si>
    <t>KIOS SEMBAKO(SAIDAH H KASIM</t>
  </si>
  <si>
    <t>Jual sembako</t>
  </si>
  <si>
    <t>Perdagangan sembako</t>
  </si>
  <si>
    <t>https://fasih-sm.bps.go.id/app/assignment/fd68e454-ba45-4b85-8205-f3bf777ded24/6a9120f8-6dd3-4399-9ea2-65998b0f6a9b</t>
  </si>
  <si>
    <t>KIOS SEMBAKO (SARLOTA SUNARTI MENA)</t>
  </si>
  <si>
    <t>Penyewaan kamar</t>
  </si>
  <si>
    <t>https://fasih-sm.bps.go.id/app/assignment/fd68e454-ba45-4b85-8205-f3bf777ded24/61758925-3dc5-4e72-8130-6b9243feff10</t>
  </si>
  <si>
    <t>PEDAGANG ECERAN HAJALIA TUTO</t>
  </si>
  <si>
    <t>BEBEK</t>
  </si>
  <si>
    <t>PERKEMBANGBIAKAN BEBEK</t>
  </si>
  <si>
    <t>https://fasih-sm.bps.go.id/app/assignment/fd68e454-ba45-4b85-8205-f3bf777ded24/94c4f66b-c060-4de7-b4e9-2ed3fdbfe118</t>
  </si>
  <si>
    <t>https://fasih-sm.bps.go.id/app/assignment/fd68e454-ba45-4b85-8205-f3bf777ded24/a57df11b-0bdb-468f-89e1-0e2b5547cbc7</t>
  </si>
  <si>
    <t>KIOS (SYAFRUDIN BURHAN)</t>
  </si>
  <si>
    <t>https://fasih-sm.bps.go.id/app/assignment/fd68e454-ba45-4b85-8205-f3bf777ded24/eadc6b9c-9776-464d-8b0d-6ba82fe3e3ee</t>
  </si>
  <si>
    <t>PAPALELE BERAS JAGUNG (HABIBA MAMANG)</t>
  </si>
  <si>
    <t>BERAS JAGUNG</t>
  </si>
  <si>
    <t>MENJUAL BERAS JAGUNG</t>
  </si>
  <si>
    <t>https://fasih-sm.bps.go.id/app/assignment/fd68e454-ba45-4b85-8205-f3bf777ded24/a58f17b5-19b7-44a4-a54f-106fcb19448c</t>
  </si>
  <si>
    <t>USAHA PERDAGANGAN (KELEMENTINA SABU KOTEN)</t>
  </si>
  <si>
    <t>https://fasih-sm.bps.go.id/app/assignment/fd68e454-ba45-4b85-8205-f3bf777ded24/b6f9893d-5387-4dd7-8eec-44c7fe738bb7</t>
  </si>
  <si>
    <t>USAHA KELILING (YOVITA TANTI)</t>
  </si>
  <si>
    <t>Ubi, pisang</t>
  </si>
  <si>
    <t>Menjual berbagai hasil perkebunan</t>
  </si>
  <si>
    <t>https://fasih-sm.bps.go.id/app/assignment/fd68e454-ba45-4b85-8205-f3bf777ded24/fe8ab7f7-2f6f-4747-ada0-884c8695d98c</t>
  </si>
  <si>
    <t>PERDAGANGAN KELILING (REGINA JAWA MANUK)</t>
  </si>
  <si>
    <t>NYIRU</t>
  </si>
  <si>
    <t>MENGANYAM DAUN LONTAR</t>
  </si>
  <si>
    <t>https://fasih-sm.bps.go.id/app/assignment/fd68e454-ba45-4b85-8205-f3bf777ded24/1ab2badc-8b50-404b-853e-e7b2ef389c8e</t>
  </si>
  <si>
    <t>Pisang</t>
  </si>
  <si>
    <t>UD JUAL PISANG (YAYA)</t>
  </si>
  <si>
    <t>PISANG KEPOK</t>
  </si>
  <si>
    <t>MENJUAL PISANG KEPOK</t>
  </si>
  <si>
    <t>https://fasih-sm.bps.go.id/app/assignment/fd68e454-ba45-4b85-8205-f3bf777ded24/b9b4d04c-d8be-4e0d-bd06-d68a04dff133</t>
  </si>
  <si>
    <t>JUALAN BUAH ( MARIA PENI TUKAN)</t>
  </si>
  <si>
    <t>BUAH</t>
  </si>
  <si>
    <t>MEMBELI BUAH DI PASAR DAN MENJUALNYA KEMBALI</t>
  </si>
  <si>
    <t>https://fasih-sm.bps.go.id/app/assignment/fd68e454-ba45-4b85-8205-f3bf777ded24/a62e38c0-1e13-4eb6-853c-b037f396a731</t>
  </si>
  <si>
    <t>KELAPA</t>
  </si>
  <si>
    <t>BUDIDAYA TANAMAN KELAPA</t>
  </si>
  <si>
    <t>Arak</t>
  </si>
  <si>
    <t>ARAK ( NATHAN KOSMAS)</t>
  </si>
  <si>
    <t>Penjualan minuman beralkohol</t>
  </si>
  <si>
    <t>https://fasih-sm.bps.go.id/app/assignment/fd68e454-ba45-4b85-8205-f3bf777ded24/8b5fb992-1edd-40b5-ad7c-990dc78fe0a9</t>
  </si>
  <si>
    <t>JUAL ARAK ( NIKOLAUS NAGA NOTAN)</t>
  </si>
  <si>
    <t>https://fasih-sm.bps.go.id/app/assignment/fd68e454-ba45-4b85-8205-f3bf777ded24/90b7f49b-bc68-4edf-8c29-3fdf21ebcde2</t>
  </si>
  <si>
    <t>GALON ISI ULANG FATIH (SUMARSONO ADIL)</t>
  </si>
  <si>
    <t>AIR GALON ISIA ULANG</t>
  </si>
  <si>
    <t>MENJUAL AIR GALON ISI ULANG DARI DEPOT AIR</t>
  </si>
  <si>
    <t>https://fasih-sm.bps.go.id/app/assignment/fd68e454-ba45-4b85-8205-f3bf777ded24/79667ff5-9109-443b-abb9-76089413ffca</t>
  </si>
  <si>
    <t>JUAL AIR (YOSEP TUE)</t>
  </si>
  <si>
    <t>Air bersih</t>
  </si>
  <si>
    <t>Jual air untuk kebutuhan sehari hari</t>
  </si>
  <si>
    <t>https://fasih-sm.bps.go.id/app/assignment/fd68e454-ba45-4b85-8205-f3bf777ded24/a4fc3ed7-4939-4a02-a507-5b912b2fc96c</t>
  </si>
  <si>
    <t>Ikan</t>
  </si>
  <si>
    <t>JUALAN KUE(MARTINA)</t>
  </si>
  <si>
    <t>KUE BASAH</t>
  </si>
  <si>
    <t>JUALAN KUE (MARTINA)</t>
  </si>
  <si>
    <t>https://fasih-sm.bps.go.id/app/assignment/fd68e454-ba45-4b85-8205-f3bf777ded24/a2c3c646-0cb9-40f7-ba29-ec52482e556e</t>
  </si>
  <si>
    <t>USAHA ROTI BAKAR</t>
  </si>
  <si>
    <t>ROTI BAKAR</t>
  </si>
  <si>
    <t>MEMBUAT ROTI BAKAR</t>
  </si>
  <si>
    <t>https://fasih-sm.bps.go.id/app/assignment/fd68e454-ba45-4b85-8205-f3bf777ded24/49d7586b-a925-4d0d-b0e0-d0c6013e46b3</t>
  </si>
  <si>
    <t>JUAL KUE(MONIKA BUNGA BUKAN)</t>
  </si>
  <si>
    <t>Ternak Babi hidup siap potong</t>
  </si>
  <si>
    <t>Penggemukan dan pemeliharaan ternak Babi secara berkelanjutan</t>
  </si>
  <si>
    <t>https://fasih-sm.bps.go.id/app/assignment/fd68e454-ba45-4b85-8205-f3bf777ded24/5953cf94-e18c-42af-8c9b-6ed25756253d</t>
  </si>
  <si>
    <t>USAHA JUALAN GARAM (MARIAMA)</t>
  </si>
  <si>
    <t>MENJUAL GARAM</t>
  </si>
  <si>
    <t>USAHA JUALAN GARAM ( MARIAMA)</t>
  </si>
  <si>
    <t>https://fasih-sm.bps.go.id/app/assignment/fd68e454-ba45-4b85-8205-f3bf777ded24/90a1f53c-65a0-4566-a957-122aebff3308</t>
  </si>
  <si>
    <t>JASA PERDAGANGAN BENSIN ECERAN(SARIMA MASUD)</t>
  </si>
  <si>
    <t>https://fasih-sm.bps.go.id/app/assignment/fd68e454-ba45-4b85-8205-f3bf777ded24/e235d7a9-cb9f-4ac4-8a7b-b07d6f92538b</t>
  </si>
  <si>
    <t>JAGUNG LOKAL</t>
  </si>
  <si>
    <t>Minyak tanah</t>
  </si>
  <si>
    <t>KUD MINA GONSALU RAYA</t>
  </si>
  <si>
    <t>https://fasih-sm.bps.go.id/app/assignment/fd68e454-ba45-4b85-8205-f3bf777ded24/144ed904-d0bf-4477-b284-c92cc8afe676</t>
  </si>
  <si>
    <t>JUAL BENSIN (MANSUR BAHRUDIN)</t>
  </si>
  <si>
    <t>PISANG NUGGET DAN KLEPON</t>
  </si>
  <si>
    <t>MEMBUAT DAN MENJUAL KUE</t>
  </si>
  <si>
    <t>https://fasih-sm.bps.go.id/app/assignment/fd68e454-ba45-4b85-8205-f3bf777ded24/8caa52a3-7d04-49a9-9947-afb518886978</t>
  </si>
  <si>
    <t>USAHA PERDAGANGAN (MENSI KEBAN)</t>
  </si>
  <si>
    <t>ECERAN BENSIN</t>
  </si>
  <si>
    <t>MENJUAL ECERAN BENSIN</t>
  </si>
  <si>
    <t>https://fasih-sm.bps.go.id/app/assignment/fd68e454-ba45-4b85-8205-f3bf777ded24/bd7ffe31-3900-4c35-b87f-ee76b3436a15</t>
  </si>
  <si>
    <t>BENSIN</t>
  </si>
  <si>
    <t>USAHA PERDAGANGAN (MAXIMILIANUS KEWANI TUKAN)</t>
  </si>
  <si>
    <t>MENBUDIDAYAKAN TANAMAN JAGUNG</t>
  </si>
  <si>
    <t>https://fasih-sm.bps.go.id/app/assignment/fd68e454-ba45-4b85-8205-f3bf777ded24/9ed9c363-fce6-48da-bd02-83c176b005de</t>
  </si>
  <si>
    <t>PEDAGANG MINYAK ECERAN SNURI LEWAR</t>
  </si>
  <si>
    <t>Solar, minyak tanah, pertalite</t>
  </si>
  <si>
    <t>Penjualan minyak eceran</t>
  </si>
  <si>
    <t>https://fasih-sm.bps.go.id/app/assignment/fd68e454-ba45-4b85-8205-f3bf777ded24/042f84a9-9588-4867-b8dd-a2e5fefcaca1</t>
  </si>
  <si>
    <t>JUAL BENSIN ECERAN</t>
  </si>
  <si>
    <t>PENGEMBANGBIAKAN</t>
  </si>
  <si>
    <t>https://fasih-sm.bps.go.id/app/assignment/fd68e454-ba45-4b85-8205-f3bf777ded24/c7c36ece-b8d0-4c49-91aa-db05b8ce7d9b</t>
  </si>
  <si>
    <t>JUAL KAIN ( KRISTINA PENATEN BEDA )</t>
  </si>
  <si>
    <t>Kain sarung</t>
  </si>
  <si>
    <t>Penjualan kain sarung</t>
  </si>
  <si>
    <t>https://fasih-sm.bps.go.id/app/assignment/fd68e454-ba45-4b85-8205-f3bf777ded24/c3b5f6af-1910-4ba8-b7de-afb16c8ce7e2</t>
  </si>
  <si>
    <t>PEMASOK MATERIAL (KHAIRUL ABIDIN)</t>
  </si>
  <si>
    <t>SEMEN, SENG, BESI DAN LAINNYA</t>
  </si>
  <si>
    <t>MENJUAL BAHAN BANGUNAN</t>
  </si>
  <si>
    <t>https://fasih-sm.bps.go.id/app/assignment/fd68e454-ba45-4b85-8205-f3bf777ded24/9ce56cb9-f347-4bfa-a5f0-cfece604421f</t>
  </si>
  <si>
    <t>PAKAIAN</t>
  </si>
  <si>
    <t>KIOS PAKAIAN 1 (RIZAL)</t>
  </si>
  <si>
    <t>Menjual pakaian</t>
  </si>
  <si>
    <t>https://fasih-sm.bps.go.id/app/assignment/fd68e454-ba45-4b85-8205-f3bf777ded24/e56bccfc-852f-4d12-8c93-34d4005cee89</t>
  </si>
  <si>
    <t>KIOS PAKAIAN ASSIFA (FATCHUL MUNIF)</t>
  </si>
  <si>
    <t>Menjual pakain</t>
  </si>
  <si>
    <t>Menjual pakaian jadi</t>
  </si>
  <si>
    <t>https://fasih-sm.bps.go.id/app/assignment/fd68e454-ba45-4b85-8205-f3bf777ded24/fc193fcf-736d-421f-ac1a-cfd60653a3e8</t>
  </si>
  <si>
    <t>KIOS PAKAIAN &amp; PARFUM (RIZKA)</t>
  </si>
  <si>
    <t>Menjual Pakaian dan parfum</t>
  </si>
  <si>
    <t>https://fasih-sm.bps.go.id/app/assignment/fd68e454-ba45-4b85-8205-f3bf777ded24/a151b224-a1b1-47f0-9e57-db0216935331</t>
  </si>
  <si>
    <t>USAHA JUAL PAKAIAN</t>
  </si>
  <si>
    <t>BUSANA</t>
  </si>
  <si>
    <t>MENJUAL BERBAGAI JENIS BUSANA</t>
  </si>
  <si>
    <t>https://fasih-sm.bps.go.id/app/assignment/fd68e454-ba45-4b85-8205-f3bf777ded24/32b7419a-ac1e-4ba6-8894-51ac0548fe11</t>
  </si>
  <si>
    <t>MIATI FASHION (YUSRAN)</t>
  </si>
  <si>
    <t>https://fasih-sm.bps.go.id/app/assignment/fd68e454-ba45-4b85-8205-f3bf777ded24/814b8915-3c7f-49e4-82c4-2421d54370d1</t>
  </si>
  <si>
    <t>KIOS SENDAL SEPATU (ABDUL AZIZ 3)</t>
  </si>
  <si>
    <t>Menjual sendal sepatu</t>
  </si>
  <si>
    <t>https://fasih-sm.bps.go.id/app/assignment/fd68e454-ba45-4b85-8205-f3bf777ded24/f1481da1-eed2-44a2-8ea6-c51e29dda667</t>
  </si>
  <si>
    <t>SENDAL</t>
  </si>
  <si>
    <t>PERDAGANGAN KOSMETIK ONLINE</t>
  </si>
  <si>
    <t>KOSMETIK</t>
  </si>
  <si>
    <t>Perdagangan eceran kosmetik secara daring (online).</t>
  </si>
  <si>
    <t>https://fasih-sm.bps.go.id/app/assignment/fd68e454-ba45-4b85-8205-f3bf777ded24/e80dc8bd-b04b-4380-b1d7-8cf864cd1bbf</t>
  </si>
  <si>
    <t>KIOS KOSMETIK (EDUARDUS LOE MAU)</t>
  </si>
  <si>
    <t>Menjual kosmetik</t>
  </si>
  <si>
    <t>https://fasih-sm.bps.go.id/app/assignment/fd68e454-ba45-4b85-8205-f3bf777ded24/1490d807-1057-49b6-b0f1-8df173f4d29e</t>
  </si>
  <si>
    <t>KIOS NUR AQILA EMAS (RISNAWATI)</t>
  </si>
  <si>
    <t>Menjual perhiasan emas</t>
  </si>
  <si>
    <t>https://fasih-sm.bps.go.id/app/assignment/fd68e454-ba45-4b85-8205-f3bf777ded24/4941802e-2a1f-4976-9fbf-a24e8d96ea65</t>
  </si>
  <si>
    <t>Jual minyak tanah</t>
  </si>
  <si>
    <t>MINYAK TANAH ( FRANSISKA P TUKAN )</t>
  </si>
  <si>
    <t>MINYAK TANAH</t>
  </si>
  <si>
    <t>MENJUAL MINYAK TANAH</t>
  </si>
  <si>
    <t>https://fasih-sm.bps.go.id/app/assignment/fd68e454-ba45-4b85-8205-f3bf777ded24/11f16704-8f32-4edc-be15-ad82815dd24b</t>
  </si>
  <si>
    <t>USAHA MINYAK TANAH (MARIA GEMA)</t>
  </si>
  <si>
    <t>KOPRA</t>
  </si>
  <si>
    <t>MEMBELI KELAPA BULAT DARI ORANG LAIN DAN MENGELOLANYA MENJADI KOPRA.</t>
  </si>
  <si>
    <t>https://fasih-sm.bps.go.id/app/assignment/fd68e454-ba45-4b85-8205-f3bf777ded24/4f3ee94b-12d4-4792-8b75-de1d8d9d909a</t>
  </si>
  <si>
    <t>PANGKALAN MINYAK TANAH</t>
  </si>
  <si>
    <t>Perdagangan eceran minyak tanah</t>
  </si>
  <si>
    <t>Perdagangan minyak tanah</t>
  </si>
  <si>
    <t>https://fasih-sm.bps.go.id/app/assignment/fd68e454-ba45-4b85-8205-f3bf777ded24/505b3ff7-222d-4f6d-858b-1ad365fc6c01</t>
  </si>
  <si>
    <t>PANGKALAN MINYAK TANAH (MARIANUS BALA HAYON)</t>
  </si>
  <si>
    <t>Padi Ladang</t>
  </si>
  <si>
    <t>Membudidayakan Tanaman Padi</t>
  </si>
  <si>
    <t>https://fasih-sm.bps.go.id/app/assignment/fd68e454-ba45-4b85-8205-f3bf777ded24/b440cd26-bda6-4fbf-9d65-f310158c3de9</t>
  </si>
  <si>
    <t>Pangkalan minyak tanah (Rafael)</t>
  </si>
  <si>
    <t>Jagung</t>
  </si>
  <si>
    <t>Menanam tanaman pangan</t>
  </si>
  <si>
    <t>https://fasih-sm.bps.go.id/app/assignment/fd68e454-ba45-4b85-8205-f3bf777ded24/d26e379b-c2fb-437d-8121-19cf9cf32810</t>
  </si>
  <si>
    <t>PANGKALAN MINYAK TANAH (KORNELIS DONI TAKA)</t>
  </si>
  <si>
    <t>https://fasih-sm.bps.go.id/app/assignment/fd68e454-ba45-4b85-8205-f3bf777ded24/b2019225-14c6-4b89-af2a-599706e762ad</t>
  </si>
  <si>
    <t>PANGKALAN MINYAK TANAH ( MAGDALENA TULI LUAT )</t>
  </si>
  <si>
    <t>MENJUAL MINYAK TANAH ECERAN</t>
  </si>
  <si>
    <t>https://fasih-sm.bps.go.id/app/assignment/fd68e454-ba45-4b85-8205-f3bf777ded24/c7809f51-9d27-4e34-b0d2-76d1d8c7a926</t>
  </si>
  <si>
    <t>PMTBANGJAI (YEREMIAS LAMA EWAK)</t>
  </si>
  <si>
    <t>Menjual minyak tanah eceran</t>
  </si>
  <si>
    <t>https://fasih-sm.bps.go.id/app/assignment/fd68e454-ba45-4b85-8205-f3bf777ded24/7208c78f-f11a-4a5a-97d8-e32331bdc6ec</t>
  </si>
  <si>
    <t>KEMIRI</t>
  </si>
  <si>
    <t>USAHA JUALAN LONTAR DAN TEMBAKO &lt;FRANSISKA TUTO&gt;</t>
  </si>
  <si>
    <t>DAUN LONTAR DAN TEMBAKO</t>
  </si>
  <si>
    <t>MEMBERS DAUN LONTAR DAN TEMBAKO DAN MENJUAL KEMBALI</t>
  </si>
  <si>
    <t>https://fasih-sm.bps.go.id/app/assignment/fd68e454-ba45-4b85-8205-f3bf777ded24/a5c1b66c-0444-4522-a8d1-30ca802b4ab4</t>
  </si>
  <si>
    <t>USAHA PENIMBANG &lt;RAHMAN HASYIM&gt;</t>
  </si>
  <si>
    <t>Biji dan bunga pala</t>
  </si>
  <si>
    <t>Budidaya tanaman pala</t>
  </si>
  <si>
    <t>https://fasih-sm.bps.go.id/app/assignment/fd68e454-ba45-4b85-8205-f3bf777ded24/8600e8e7-2374-4b09-a509-682a2d00a5cf</t>
  </si>
  <si>
    <t>KIOS NAFATA(MASITAH MAS'UD)</t>
  </si>
  <si>
    <t>TENUN IKAT</t>
  </si>
  <si>
    <t>MERANGKAI MENENUM MENGGUNAKAN ALAT TRADISIONAL</t>
  </si>
  <si>
    <t>https://fasih-sm.bps.go.id/app/assignment/fd68e454-ba45-4b85-8205-f3bf777ded24/41ee4c1a-9b06-4da2-8eaf-966ae274050a</t>
  </si>
  <si>
    <t>JUALAN SAYUR (SAIDAH KARIM)</t>
  </si>
  <si>
    <t>Menjual sayur-sayuran</t>
  </si>
  <si>
    <t>https://fasih-sm.bps.go.id/app/assignment/fd68e454-ba45-4b85-8205-f3bf777ded24/c3a6e686-11f0-4e3f-8f36-2e5f33967832</t>
  </si>
  <si>
    <t>FORT DISTRO</t>
  </si>
  <si>
    <t>ROKOK ELEKTRIK(VAPE)</t>
  </si>
  <si>
    <t>MENJUAL ROKOK ELEKTRIK(VAPE)</t>
  </si>
  <si>
    <t>https://fasih-sm.bps.go.id/app/assignment/fd68e454-ba45-4b85-8205-f3bf777ded24/fd70a967-aa00-4795-b28e-5ca6eb2d30cb</t>
  </si>
  <si>
    <t>USAHA KIOS &lt;KATARINA KEWA DATENG&gt;</t>
  </si>
  <si>
    <t>https://fasih-sm.bps.go.id/app/assignment/fd68e454-ba45-4b85-8205-f3bf777ded24/3338e1ee-c3ba-4d5e-bf10-7dc33403e2aa</t>
  </si>
  <si>
    <t>KIOS KELONTONG&lt;YUSTINA SURAT&gt;</t>
  </si>
  <si>
    <t>TALAS</t>
  </si>
  <si>
    <t>BUDIDAYA, MENANAM,MERAWAT DAN MEMANEN</t>
  </si>
  <si>
    <t>https://fasih-sm.bps.go.id/app/assignment/fd68e454-ba45-4b85-8205-f3bf777ded24/23acbd59-2054-41fc-bb22-554e8c1449c3</t>
  </si>
  <si>
    <t>KIOS SEMBAKO (NURSIA BONDA)</t>
  </si>
  <si>
    <t>Beras, gula pasir, minyak goreng, telur, tepung , kopi, sabun dan kebutuhan pokok lainya.</t>
  </si>
  <si>
    <t>Pedagang eceran berbagai macam kebutuhan pokok sehari hari</t>
  </si>
  <si>
    <t>https://fasih-sm.bps.go.id/app/assignment/fd68e454-ba45-4b85-8205-f3bf777ded24/5ab56717-d068-4487-90ca-dd5b2ba3e8be</t>
  </si>
  <si>
    <t>KIOS °MARIA NINI KELEN°</t>
  </si>
  <si>
    <t>BUAH MENTE</t>
  </si>
  <si>
    <t>BUDIDAYA BIJI MENTE</t>
  </si>
  <si>
    <t>https://fasih-sm.bps.go.id/app/assignment/fd68e454-ba45-4b85-8205-f3bf777ded24/1c66c7ae-8287-4b6d-9033-fa45636e2c8b</t>
  </si>
  <si>
    <t>KIOS SEMBAKO - MARIA LUJI FERNANDEZ</t>
  </si>
  <si>
    <t>HASIL KEMIRI YANG DIJUAL KE PENGEPUL</t>
  </si>
  <si>
    <t>https://fasih-sm.bps.go.id/app/assignment/fd68e454-ba45-4b85-8205-f3bf777ded24/2c841149-140a-409f-9f5a-d89bf6c35a25</t>
  </si>
  <si>
    <t>KIOS SEMBAKO (AMBROSIUS IVAN DIAZ)</t>
  </si>
  <si>
    <t>MENJUAL SEMBAKO DI KIOS</t>
  </si>
  <si>
    <t>https://fasih-sm.bps.go.id/app/assignment/fd68e454-ba45-4b85-8205-f3bf777ded24/31ae6c45-ed6d-4d1f-8800-ad0403d1e25b</t>
  </si>
  <si>
    <t>KIOS ARDI KOLIN&lt;YUSTINA ALFIN SOGEN&gt;</t>
  </si>
  <si>
    <t>Membudidayakan jagung lokal</t>
  </si>
  <si>
    <t>https://fasih-sm.bps.go.id/app/assignment/fd68e454-ba45-4b85-8205-f3bf777ded24/6c53fe3d-0696-48c6-90b3-e6107495fb45</t>
  </si>
  <si>
    <t>PEDANG ENCERAN SEMBAKO</t>
  </si>
  <si>
    <t>TANAM RAWAT PANEN JUAL</t>
  </si>
  <si>
    <t>https://fasih-sm.bps.go.id/app/assignment/fd68e454-ba45-4b85-8205-f3bf777ded24/9c612a13-c54d-4e15-a435-26c166019742</t>
  </si>
  <si>
    <t>KIOS SEMBAKO (KALIMAN)</t>
  </si>
  <si>
    <t>https://fasih-sm.bps.go.id/app/assignment/fd68e454-ba45-4b85-8205-f3bf777ded24/852bb234-4ba3-42d5-993c-ef56ae314926</t>
  </si>
  <si>
    <t>KIOS AL-AMIN (IBRAHIM JOU)</t>
  </si>
  <si>
    <t>SEMBAKO, JAJANAN DAN LAINNYA</t>
  </si>
  <si>
    <t>MENJUAL SEMBAKO, JAJANAN RINGAN, AYAM BEKU DAN LAINNYA</t>
  </si>
  <si>
    <t>https://fasih-sm.bps.go.id/app/assignment/fd68e454-ba45-4b85-8205-f3bf777ded24/e841452a-97a1-427c-8a2f-d2d4684ab21c</t>
  </si>
  <si>
    <t>KIOS BERKAT JAYA</t>
  </si>
  <si>
    <t>https://fasih-sm.bps.go.id/app/assignment/fd68e454-ba45-4b85-8205-f3bf777ded24/c6ab2af4-2cc2-411d-b482-2a26815bcc03</t>
  </si>
  <si>
    <t>KIOS MASTURA &lt;MASTURA ADOK&gt;</t>
  </si>
  <si>
    <t>METE</t>
  </si>
  <si>
    <t>BUDIDAYA METE MULAI DARI PERAWATAN HINGGA PEMANENAN</t>
  </si>
  <si>
    <t>https://fasih-sm.bps.go.id/app/assignment/fd68e454-ba45-4b85-8205-f3bf777ded24/1c557ee7-2091-4773-a887-f385d5b262b7</t>
  </si>
  <si>
    <t>KIOS ASRIL&lt;KRISTINA HODEAPAN MELUR&gt;</t>
  </si>
  <si>
    <t>SEMBAKO ROKOK JAJAN</t>
  </si>
  <si>
    <t>Jual barang Sembako jajan</t>
  </si>
  <si>
    <t>https://fasih-sm.bps.go.id/app/assignment/fd68e454-ba45-4b85-8205-f3bf777ded24/dc36513d-4410-4cb1-8ab7-85fc411fb855</t>
  </si>
  <si>
    <t>KIOS JUNIOR (MUHAMMAD TAHER)</t>
  </si>
  <si>
    <t>Perdagangan sembako eceran</t>
  </si>
  <si>
    <t>https://fasih-sm.bps.go.id/app/assignment/fd68e454-ba45-4b85-8205-f3bf777ded24/e4e2a123-c3da-485c-a0d2-b951f31c4f49</t>
  </si>
  <si>
    <t>KIOS SEMBAKO ECERAN (KAMRULLAH BOLENG)</t>
  </si>
  <si>
    <t>Makanan, minuman &amp; tembakau eceran</t>
  </si>
  <si>
    <t>Menjual Makanan, minuman &amp; tembakau eceran</t>
  </si>
  <si>
    <t>https://fasih-sm.bps.go.id/app/assignment/fd68e454-ba45-4b85-8205-f3bf777ded24/d8a2e9a8-4219-4223-9486-a508816e233a</t>
  </si>
  <si>
    <t>KIOS SEMBAKO ECERAN HAJON ANTONIUS</t>
  </si>
  <si>
    <t>BARANG KEBUTUHAN RUMAH TANGGA</t>
  </si>
  <si>
    <t>PERDAGANGAN ECERAN BERBAGAI MACAM BARANG YANG UTAMANYA KEBUTUHAN RUMAH TANGGA</t>
  </si>
  <si>
    <t>https://fasih-sm.bps.go.id/app/assignment/fd68e454-ba45-4b85-8205-f3bf777ded24/e8b59520-936a-431c-8df8-d1b0f8da32c4</t>
  </si>
  <si>
    <t>KIOS LEWIS SARTO</t>
  </si>
  <si>
    <t>https://fasih-sm.bps.go.id/app/assignment/fd68e454-ba45-4b85-8205-f3bf777ded24/1632e1e6-4161-4cac-b2e6-f1565a185f19</t>
  </si>
  <si>
    <t>KIOS SEMBAKO FEBBY (MUHAMAD ARIF)</t>
  </si>
  <si>
    <t>Menjual berbagai kebutuhan rumah tangga</t>
  </si>
  <si>
    <t>https://fasih-sm.bps.go.id/app/assignment/fd68e454-ba45-4b85-8205-f3bf777ded24/34d1673b-a278-4cdc-97c9-f96529792be0</t>
  </si>
  <si>
    <t>KIOS LAURENSIUS LUSI DARANG</t>
  </si>
  <si>
    <t>Semua kebutuhan pokok (sembako)</t>
  </si>
  <si>
    <t>Perdagangan eceran berbagai macam barang kebutuhan pokok (sembako) di kios</t>
  </si>
  <si>
    <t>https://fasih-sm.bps.go.id/app/assignment/fd68e454-ba45-4b85-8205-f3bf777ded24/3fdd1982-2661-49a5-a4be-09b2b1953838</t>
  </si>
  <si>
    <t>KIOS SEMBAKO ( MASTURA IDRIS)</t>
  </si>
  <si>
    <t>Jualan kios sembako</t>
  </si>
  <si>
    <t>https://fasih-sm.bps.go.id/app/assignment/fd68e454-ba45-4b85-8205-f3bf777ded24/4c35a086-99a7-4e01-b561-11dde9705cb1</t>
  </si>
  <si>
    <t>Kios sembako( Idris maleng)</t>
  </si>
  <si>
    <t>Jualan sembako</t>
  </si>
  <si>
    <t>Jual sembako( Idris Maleng)</t>
  </si>
  <si>
    <t>https://fasih-sm.bps.go.id/app/assignment/fd68e454-ba45-4b85-8205-f3bf777ded24/9c6c93d3-3d60-4f2b-bbf9-69d43eb494c4</t>
  </si>
  <si>
    <t>KIOS (SYARIFAH COREBIMA)</t>
  </si>
  <si>
    <t>TEH CUS, NUTRISARI SERBA SERIBUAN</t>
  </si>
  <si>
    <t>MENJUAL MINUMAN SERBA SACHETAN</t>
  </si>
  <si>
    <t>https://fasih-sm.bps.go.id/app/assignment/fd68e454-ba45-4b85-8205-f3bf777ded24/c5283f7f-1f73-4043-b593-51284c47abbe</t>
  </si>
  <si>
    <t>KIOS DAN GERAI SEPATU MERCUSUAR</t>
  </si>
  <si>
    <t>Kios sepatu</t>
  </si>
  <si>
    <t>Kios sembako dan gerai sepatu</t>
  </si>
  <si>
    <t>https://fasih-sm.bps.go.id/app/assignment/fd68e454-ba45-4b85-8205-f3bf777ded24/9b3f56d0-8c23-4643-90cd-62b24ef27996</t>
  </si>
  <si>
    <t>KIOS SEMBAKO KRISHANTY</t>
  </si>
  <si>
    <t>Aneka sembako</t>
  </si>
  <si>
    <t>Menjual aneka sembako</t>
  </si>
  <si>
    <t>https://fasih-sm.bps.go.id/app/assignment/fd68e454-ba45-4b85-8205-f3bf777ded24/db817f6f-fed2-47b5-986b-7153f75658bf</t>
  </si>
  <si>
    <t>JASA PERDAGANGAN ECERAN(THERESIA SOLOT NAMA)</t>
  </si>
  <si>
    <t>JASA PERDAGANGAN KIOS ECERAN</t>
  </si>
  <si>
    <t>https://fasih-sm.bps.go.id/app/assignment/fd68e454-ba45-4b85-8205-f3bf777ded24/0394e74b-7be6-4236-927f-9c07083f3217</t>
  </si>
  <si>
    <t>KIOS MAMA MONI</t>
  </si>
  <si>
    <t>https://fasih-sm.bps.go.id/app/assignment/fd68e454-ba45-4b85-8205-f3bf777ded24/4b1f233e-5ffc-45b9-a9a1-741beef1149b</t>
  </si>
  <si>
    <t>KIOS (MAGDALENA)</t>
  </si>
  <si>
    <t>Menjual berbagai macam sembako dalam rumah</t>
  </si>
  <si>
    <t>https://fasih-sm.bps.go.id/app/assignment/fd68e454-ba45-4b85-8205-f3bf777ded24/8a5676e7-2036-4567-9b22-4f33b79df776</t>
  </si>
  <si>
    <t>KIOS ECERAN MAKANAN DAN MINUMAN (SITTI RUBIAH)</t>
  </si>
  <si>
    <t>Barang eceran makanan dan minuman</t>
  </si>
  <si>
    <t>Menjual barang eceran makanan dan minuman</t>
  </si>
  <si>
    <t>https://fasih-sm.bps.go.id/app/assignment/fd68e454-ba45-4b85-8205-f3bf777ded24/89455ed7-b5df-45ff-81ab-cd9019473326</t>
  </si>
  <si>
    <t>BARANG SEMBAKO</t>
  </si>
  <si>
    <t>BUMBU DAPUR REMPAH (SITI SARAH MUHAMMAD)</t>
  </si>
  <si>
    <t>MENJUAL BERBAGAI MACAM REMPAH</t>
  </si>
  <si>
    <t>MENJUAL BUMBU DAPUR &amp; REMPAH</t>
  </si>
  <si>
    <t>https://fasih-sm.bps.go.id/app/assignment/fd68e454-ba45-4b85-8205-f3bf777ded24/9cfb3d0a-7ab4-4aae-88e9-21e19c6f29bb</t>
  </si>
  <si>
    <t>PERDAGANGAN ECERAN KELILING GARAM NON YODIUM GERSIANA PENI WOTAN</t>
  </si>
  <si>
    <t>GARAM NON YODIUM (LOKAL)</t>
  </si>
  <si>
    <t>MENGUMPULKAN TANAH,PASIR LALU DI CAMPURKAN DENGAN AIR LAUT. SETELAH ITU SARING DENGAN MENGGUNAKAN TIKAR,AIR SISA DARI SARINGAN DI MASAK SAMPAI KERING DAN MENJADI GARAM</t>
  </si>
  <si>
    <t>https://fasih-sm.bps.go.id/app/assignment/fd68e454-ba45-4b85-8205-f3bf777ded24/c0f06105-c947-45ca-b1d5-b4c444091903</t>
  </si>
  <si>
    <t>KIOS UD.ASS (AFLIANI PATI)</t>
  </si>
  <si>
    <t>BUDIDAYA TERNAK BABI</t>
  </si>
  <si>
    <t>https://fasih-sm.bps.go.id/app/assignment/fd68e454-ba45-4b85-8205-f3bf777ded24/1b30f47e-e1c8-4cee-b273-8c08b4819d48</t>
  </si>
  <si>
    <t>PERDAGANGAN</t>
  </si>
  <si>
    <t>JASA TAMBAL BAN</t>
  </si>
  <si>
    <t>USAHA TAMBAL BAN</t>
  </si>
  <si>
    <t>https://fasih-sm.bps.go.id/app/assignment/fd68e454-ba45-4b85-8205-f3bf777ded24/15218b8f-17f6-42ce-967b-21c29ef48b7d</t>
  </si>
  <si>
    <t>KIOS YUSRIL RATE IKEN</t>
  </si>
  <si>
    <t>https://fasih-sm.bps.go.id/app/assignment/fd68e454-ba45-4b85-8205-f3bf777ded24/49258a06-f360-484b-a969-ec50d80b0d11</t>
  </si>
  <si>
    <t>KIOS MANDIRI ( PHILOMENA )</t>
  </si>
  <si>
    <t>https://fasih-sm.bps.go.id/app/assignment/fd68e454-ba45-4b85-8205-f3bf777ded24/68a4ee26-57a3-41d5-a67c-118da776514c</t>
  </si>
  <si>
    <t>USAHA KIOS (AGNES KEWA MANUK )</t>
  </si>
  <si>
    <t>SEMBAKO YANG TERJUAL</t>
  </si>
  <si>
    <t>https://fasih-sm.bps.go.id/app/assignment/fd68e454-ba45-4b85-8205-f3bf777ded24/797a5328-ddd9-4329-870c-290f444460e9</t>
  </si>
  <si>
    <t>USAHA KIOS JUALAN SEMBAKO EMELINDA</t>
  </si>
  <si>
    <t>makanan dalam kemasan</t>
  </si>
  <si>
    <t>Menjual kebutuhan sembako</t>
  </si>
  <si>
    <t>https://fasih-sm.bps.go.id/app/assignment/fd68e454-ba45-4b85-8205-f3bf777ded24/7b51c5cd-bd7f-4351-9316-4c02797df1f0</t>
  </si>
  <si>
    <t>USAHA KIOS SEMBAKO( HAWIA)</t>
  </si>
  <si>
    <t>KIOS SEMBAKO( HAWIA)</t>
  </si>
  <si>
    <t>https://fasih-sm.bps.go.id/app/assignment/fd68e454-ba45-4b85-8205-f3bf777ded24/67117330-c489-497c-8ea3-7634f46c7050</t>
  </si>
  <si>
    <t>KIOS ONCU ANTONIA BAREK KELASA</t>
  </si>
  <si>
    <t>JASA PERDAGANGAN</t>
  </si>
  <si>
    <t>https://fasih-sm.bps.go.id/app/assignment/fd68e454-ba45-4b85-8205-f3bf777ded24/8edac1a4-31b6-4da8-89ee-641e4986d4b9</t>
  </si>
  <si>
    <t>KIOS °FRANSISKA YOSEFINA BITA°</t>
  </si>
  <si>
    <t>MAKANAN, MINUMAN DAN KEBUTUHAN RUMAH TANGGA LAINNYA</t>
  </si>
  <si>
    <t>PERDAGANGAN BERBAGAI MACAM BARANG, YANG UTAMANYA MAKANAN, MINUMAN DAN TEMBAKAU</t>
  </si>
  <si>
    <t>https://fasih-sm.bps.go.id/app/assignment/fd68e454-ba45-4b85-8205-f3bf777ded24/cc677b13-2841-4f73-8d32-c736af82bd75</t>
  </si>
  <si>
    <t>MENJUAL BUMBU REMPAH ECERAN (MARIA MIKAELA)</t>
  </si>
  <si>
    <t>Penjualan rempah</t>
  </si>
  <si>
    <t>https://fasih-sm.bps.go.id/app/assignment/fd68e454-ba45-4b85-8205-f3bf777ded24/6db9452f-e710-40dd-8bee-b3b255fa4081</t>
  </si>
  <si>
    <t>PEDAGANG PISANG &lt;MARIA TUTO SEKO&gt;</t>
  </si>
  <si>
    <t>BUDIDAYA TANAMAN HUTAN JATI</t>
  </si>
  <si>
    <t>https://fasih-sm.bps.go.id/app/assignment/fd68e454-ba45-4b85-8205-f3bf777ded24/790df53c-a18d-4d62-9690-dc281b16b57b</t>
  </si>
  <si>
    <t>USAHA PERDAGANGAN( URSULA ABON)</t>
  </si>
  <si>
    <t>Daging beku</t>
  </si>
  <si>
    <t>Menjual daging beku</t>
  </si>
  <si>
    <t>https://fasih-sm.bps.go.id/app/assignment/fd68e454-ba45-4b85-8205-f3bf777ded24/bb557492-104c-44f6-843e-aff0d2730f35</t>
  </si>
  <si>
    <t>USAHA PENGEPUL BARANG HASIL</t>
  </si>
  <si>
    <t>HASIL KOMODITI PERKEBUNAN</t>
  </si>
  <si>
    <t>MEMBELI HASIL PERKEBUNAN KEMIRI</t>
  </si>
  <si>
    <t>https://fasih-sm.bps.go.id/app/assignment/fd68e454-ba45-4b85-8205-f3bf777ded24/4fd2a5e3-f5f9-468f-b840-29958a6a6304</t>
  </si>
  <si>
    <t>USAHA PERDAGANGAN (THERESIA TULIN LAMEN)</t>
  </si>
  <si>
    <t>ARAK</t>
  </si>
  <si>
    <t>MENJUAL ARAK YANG DIBELI DARI TANGGAN PERTAMA</t>
  </si>
  <si>
    <t>https://fasih-sm.bps.go.id/app/assignment/fd68e454-ba45-4b85-8205-f3bf777ded24/53d5b6b9-621b-4255-bcd7-88fab952bfdc</t>
  </si>
  <si>
    <t>SELERA ARAK BESIRA</t>
  </si>
  <si>
    <t>ARAK MIRAS</t>
  </si>
  <si>
    <t>Membeli arak dan menjualnya kembali</t>
  </si>
  <si>
    <t>https://fasih-sm.bps.go.id/app/assignment/fd68e454-ba45-4b85-8205-f3bf777ded24/f5cd0e33-5a8d-4e51-88fd-6e1c2c6bdef9</t>
  </si>
  <si>
    <t>ARAK ( MARIANUS PERADA NIMUNUHO)</t>
  </si>
  <si>
    <t>https://fasih-sm.bps.go.id/app/assignment/fd68e454-ba45-4b85-8205-f3bf777ded24/b959ed6a-2801-4fb0-b0f6-6d9c5aef2f13</t>
  </si>
  <si>
    <t>ISTRI KE 2</t>
  </si>
  <si>
    <t>Minuman beralkohol</t>
  </si>
  <si>
    <t>Perdagangan eceran berbagai jenis minuman beralkohol (seperti bir, anggur, atau spirit) yang dibeli dari distributor untuk dijual kembali ke konsumen akhir</t>
  </si>
  <si>
    <t>https://fasih-sm.bps.go.id/app/assignment/fd68e454-ba45-4b85-8205-f3bf777ded24/d9c274ed-ff78-4c23-a5a4-46f237025a62</t>
  </si>
  <si>
    <t>USAHA JUAL TEMBAKAU FRANSISKA TUTO MASAN</t>
  </si>
  <si>
    <t>Tembakau</t>
  </si>
  <si>
    <t>Menjual tembakau</t>
  </si>
  <si>
    <t>https://fasih-sm.bps.go.id/app/assignment/fd68e454-ba45-4b85-8205-f3bf777ded24/745bd94b-2ed5-44bb-a585-303d1d6dca54</t>
  </si>
  <si>
    <t>JUALAN KUE MOLENG</t>
  </si>
  <si>
    <t>Kue moleng</t>
  </si>
  <si>
    <t>Menjual kue moleng</t>
  </si>
  <si>
    <t>https://fasih-sm.bps.go.id/app/assignment/fd68e454-ba45-4b85-8205-f3bf777ded24/43f02e2d-b599-480e-96df-ff62e4e16a5e</t>
  </si>
  <si>
    <t>PENJUAL KUE BASAH DAN KERING (HENDRIKA)</t>
  </si>
  <si>
    <t>Kue kering dan basah</t>
  </si>
  <si>
    <t>Proses dan pencampuran bahan untuk menghasilkan sebuah kue</t>
  </si>
  <si>
    <t>https://fasih-sm.bps.go.id/app/assignment/fd68e454-ba45-4b85-8205-f3bf777ded24/f452c000-f322-4f2e-bd4e-e652cd93103f</t>
  </si>
  <si>
    <t>USAHA KIOS SEMBAKO (DANIEL TAIN TUKAN)</t>
  </si>
  <si>
    <t>KOPI, GULA, BERAS, MINYAK GORENG</t>
  </si>
  <si>
    <t>MENJUAL BERBAGAI KEBUTUHAN POKOK MASYARAKAT SEHARI HARI</t>
  </si>
  <si>
    <t>https://fasih-sm.bps.go.id/app/assignment/fd68e454-ba45-4b85-8205-f3bf777ded24/3afdb7e2-8982-4058-af1b-34998e9d4f16</t>
  </si>
  <si>
    <t>JUALAN BENSIN ECERAN SIMEON DEROSARI</t>
  </si>
  <si>
    <t>Jualan bensin eceran</t>
  </si>
  <si>
    <t>https://fasih-sm.bps.go.id/app/assignment/fd68e454-ba45-4b85-8205-f3bf777ded24/f4e9f717-29ee-4def-be9d-7783c3aa11e1</t>
  </si>
  <si>
    <t>USAHA ECERAN BENSIN(MARGARETA TONU KROWIN)</t>
  </si>
  <si>
    <t>JASA</t>
  </si>
  <si>
    <t>Menjual eceran bensin</t>
  </si>
  <si>
    <t>https://fasih-sm.bps.go.id/app/assignment/fd68e454-ba45-4b85-8205-f3bf777ded24/fd2a74f2-2b29-4015-a9a1-adf59ab250ef</t>
  </si>
  <si>
    <t>ARTOMORO SOLAR ECERAN (MUHAMADKIRAMAN)</t>
  </si>
  <si>
    <t>Solar</t>
  </si>
  <si>
    <t>Menjual bahan bakar Solar</t>
  </si>
  <si>
    <t>https://fasih-sm.bps.go.id/app/assignment/fd68e454-ba45-4b85-8205-f3bf777ded24/6dba99c5-857d-474e-bf68-b288e1c814e4</t>
  </si>
  <si>
    <t>BUDIDAYA TANAMAN MENTE</t>
  </si>
  <si>
    <t>KONTER SASFA CELL</t>
  </si>
  <si>
    <t>Aksesoris handphone</t>
  </si>
  <si>
    <t>Perdagangan enceran aksesoris handphone</t>
  </si>
  <si>
    <t>https://fasih-sm.bps.go.id/app/assignment/fd68e454-ba45-4b85-8205-f3bf777ded24/f55c2064-6b4f-40b1-824a-0b3760b138f6</t>
  </si>
  <si>
    <t>JASA MEBEL (BARTHO LEWAR)</t>
  </si>
  <si>
    <t>Lemari</t>
  </si>
  <si>
    <t>Pembuatan lemari,kursi,meja</t>
  </si>
  <si>
    <t>https://fasih-sm.bps.go.id/app/assignment/fd68e454-ba45-4b85-8205-f3bf777ded24/a8c581f9-261b-4374-9493-89ae6bf7a012</t>
  </si>
  <si>
    <t>TOKO NUSANTARA</t>
  </si>
  <si>
    <t>PERDAGANGAN ECERAN BERBAGAI MACam spon, alat elektronik</t>
  </si>
  <si>
    <t>https://fasih-sm.bps.go.id/app/assignment/fd68e454-ba45-4b85-8205-f3bf777ded24/65c56bc4-2fc8-4f66-b8b3-0f7221173892</t>
  </si>
  <si>
    <t>JUALAN MAINAN (MASWAHDIYAH)</t>
  </si>
  <si>
    <t>Mainan anak-anak</t>
  </si>
  <si>
    <t>Menjual berbagai jenis mainan anak-anak</t>
  </si>
  <si>
    <t>https://fasih-sm.bps.go.id/app/assignment/fd68e454-ba45-4b85-8205-f3bf777ded24/39921e53-e47b-43ff-9b95-b0a0008f2d04</t>
  </si>
  <si>
    <t>JUALAN PAKAIAN (SUMANTI BETHAN)</t>
  </si>
  <si>
    <t>https://fasih-sm.bps.go.id/app/assignment/fd68e454-ba45-4b85-8205-f3bf777ded24/f58c43e7-21b9-4525-8640-a9b6665e1560</t>
  </si>
  <si>
    <t>SAERA URAN</t>
  </si>
  <si>
    <t>https://fasih-sm.bps.go.id/app/assignment/fd68e454-ba45-4b85-8205-f3bf777ded24/3469d625-d8fd-42bf-ac22-5fe72dd20847</t>
  </si>
  <si>
    <t>JUAL PAKAIAN (KISMAN)</t>
  </si>
  <si>
    <t>Pakaian</t>
  </si>
  <si>
    <t>Menjual Pakaian</t>
  </si>
  <si>
    <t>https://fasih-sm.bps.go.id/app/assignment/fd68e454-ba45-4b85-8205-f3bf777ded24/952342cf-a532-4d92-9f81-6ac6d2288d24</t>
  </si>
  <si>
    <t>KIOS SENDAL SEPATU (LUKMAN)</t>
  </si>
  <si>
    <t>https://fasih-sm.bps.go.id/app/assignment/fd68e454-ba45-4b85-8205-f3bf777ded24/14c73987-f96f-48c6-817a-c97a82d74ab8</t>
  </si>
  <si>
    <t>PENJUALAN MINYAK TANAH</t>
  </si>
  <si>
    <t>https://fasih-sm.bps.go.id/app/assignment/fd68e454-ba45-4b85-8205-f3bf777ded24/e55e88f2-7be7-4571-b39d-882ec00f3de8</t>
  </si>
  <si>
    <t>MANGGA</t>
  </si>
  <si>
    <t>PANGKALAN MINYAK TANAH (MARIA KIDI SABON)</t>
  </si>
  <si>
    <t>Mengusahakan tanaman pangan</t>
  </si>
  <si>
    <t>https://fasih-sm.bps.go.id/app/assignment/fd68e454-ba45-4b85-8205-f3bf777ded24/bb47f9f3-8c38-4567-90e3-ba672e92a6b6</t>
  </si>
  <si>
    <t>PANGKALAN MINYAK TANA (TASLIM SYAMSUDIN)</t>
  </si>
  <si>
    <t>Membeli minyak tanah secara banyak ke pertamina untuk di jual di masyarakat dengan harga yang di tentukan oleh pertamina</t>
  </si>
  <si>
    <t>https://fasih-sm.bps.go.id/app/assignment/fd68e454-ba45-4b85-8205-f3bf777ded24/7c421fa9-3acf-4f76-a9d7-ebfa717e69c0</t>
  </si>
  <si>
    <t>USAHA MINYAK MURNI( HELENA)</t>
  </si>
  <si>
    <t>MINYAK MURNI</t>
  </si>
  <si>
    <t>JUALAN MINYAK MURNI</t>
  </si>
  <si>
    <t>https://fasih-sm.bps.go.id/app/assignment/fd68e454-ba45-4b85-8205-f3bf777ded24/3a0bedee-d393-45aa-88a1-2397a884d56c</t>
  </si>
  <si>
    <t>LEIKA PARFUM (EDWIN ALI)</t>
  </si>
  <si>
    <t>PARFUM</t>
  </si>
  <si>
    <t>MENJUAL ANEKA PEWANGI (PARFUM)</t>
  </si>
  <si>
    <t>https://fasih-sm.bps.go.id/app/assignment/fd68e454-ba45-4b85-8205-f3bf777ded24/5e997936-f185-46df-b43f-29aeddc33514</t>
  </si>
  <si>
    <t>GLOBAL OFFSET SEJATHERA</t>
  </si>
  <si>
    <t>KEBUTUHAN LOGISTIK DAN KOMODITAS</t>
  </si>
  <si>
    <t>PENGADAAN BARANG</t>
  </si>
  <si>
    <t>https://fasih-sm.bps.go.id/app/assignment/fd68e454-ba45-4b85-8205-f3bf777ded24/62577f5b-3bc8-4e5c-9e8f-b4c22bb8babf</t>
  </si>
  <si>
    <t>UD HASIL PERKEBUNAN ( SILVESTER NASIP )</t>
  </si>
  <si>
    <t>HASIL PERKEBUNAN</t>
  </si>
  <si>
    <t>MEMBELI HASIL KOMUDITAS PERKEBUNAN LALU MENJUAL KEMBALI</t>
  </si>
  <si>
    <t>https://fasih-sm.bps.go.id/app/assignment/fd68e454-ba45-4b85-8205-f3bf777ded24/99777333-e7b4-457c-a81f-d5bc4b873f84</t>
  </si>
  <si>
    <t>USAHA PENGEPUL HASIL PERTANIAN PERKEBUNAN(MIKAEL DARE LOSOR)</t>
  </si>
  <si>
    <t>SEMBAKO DAN JAJANAN</t>
  </si>
  <si>
    <t>MENJUAL BERBAGAI JENIS SEMBAKO DAN JAJANAN</t>
  </si>
  <si>
    <t>https://fasih-sm.bps.go.id/app/assignment/fd68e454-ba45-4b85-8205-f3bf777ded24/f0d78ee6-0a6c-4b3d-8074-6fe3860f0066</t>
  </si>
  <si>
    <t>DAKAPER MOTOR</t>
  </si>
  <si>
    <t>Jual Beli barang sperpat Motor</t>
  </si>
  <si>
    <t>https://fasih-sm.bps.go.id/app/assignment/fd68e454-ba45-4b85-8205-f3bf777ded24/72f87ffd-7889-4f72-b944-119d6313ff53</t>
  </si>
  <si>
    <t>KIOS BISARA (YOHANES OLA SUA)</t>
  </si>
  <si>
    <t>Barang sembako</t>
  </si>
  <si>
    <t>https://fasih-sm.bps.go.id/app/assignment/fd68e454-ba45-4b85-8205-f3bf777ded24/340a5cb1-ee9b-4ec8-aae8-9a7d54a25c8d</t>
  </si>
  <si>
    <t>KIOS (MARIA TUTO OLA)</t>
  </si>
  <si>
    <t>BUAH KELAPA TUA</t>
  </si>
  <si>
    <t>MEMBUDIDAYAKAN TANAMAN KELAPA MELIPUTI PENANAMAN, PEMELIHARAAN DAN PEMANENAN BUAH KELAPA TUA</t>
  </si>
  <si>
    <t>https://fasih-sm.bps.go.id/app/assignment/fd68e454-ba45-4b85-8205-f3bf777ded24/e6bc22a2-ae70-406a-9938-d713b598817d</t>
  </si>
  <si>
    <t>KIOS (MONIKA PENI MASAN)</t>
  </si>
  <si>
    <t>Jajan, sembako, tembakau</t>
  </si>
  <si>
    <t>Menjual jajanan, sembako, dan tembakau</t>
  </si>
  <si>
    <t>https://fasih-sm.bps.go.id/app/assignment/fd68e454-ba45-4b85-8205-f3bf777ded24/4485e691-ef32-4be3-be08-3094d892946d</t>
  </si>
  <si>
    <t>KIOS SEMBAKO DUA PUTRA (NURASIAH)</t>
  </si>
  <si>
    <t>https://fasih-sm.bps.go.id/app/assignment/fd68e454-ba45-4b85-8205-f3bf777ded24/120f458c-61b4-4f31-9c2e-1f1e444b6302</t>
  </si>
  <si>
    <t>USAHA KIOS SEMBAKO (KATARINA PENI WUJON)</t>
  </si>
  <si>
    <t>JUAL BELI BARANG SEMBAKO</t>
  </si>
  <si>
    <t>https://fasih-sm.bps.go.id/app/assignment/fd68e454-ba45-4b85-8205-f3bf777ded24/147d2d50-d706-4e6c-a7a8-4fec51568715</t>
  </si>
  <si>
    <t>menjual sembako</t>
  </si>
  <si>
    <t>KIOS LENY</t>
  </si>
  <si>
    <t>Eceran Sembako</t>
  </si>
  <si>
    <t>Kios jualan eceran sembako</t>
  </si>
  <si>
    <t>https://fasih-sm.bps.go.id/app/assignment/fd68e454-ba45-4b85-8205-f3bf777ded24/934fdab2-b3b5-448c-be73-20de34ed5d7b</t>
  </si>
  <si>
    <t>KIOS SEMBAKO (DAHLIA ALI)</t>
  </si>
  <si>
    <t>SEMBAKO DAN LAINNYA</t>
  </si>
  <si>
    <t>MENJUAL KEBUTUHAN POKOK DAN KEPRLUAN LAINNYA</t>
  </si>
  <si>
    <t>https://fasih-sm.bps.go.id/app/assignment/fd68e454-ba45-4b85-8205-f3bf777ded24/905cfed2-b769-40cb-9450-500e08feca56</t>
  </si>
  <si>
    <t>BUDIDAYA TANAMAN PISANG KEPOK</t>
  </si>
  <si>
    <t>https://fasih-sm.bps.go.id/app/assignment/fd68e454-ba45-4b85-8205-f3bf777ded24/d123e948-3235-46b1-b021-28518d1321e3</t>
  </si>
  <si>
    <t>KIOS ERLEN</t>
  </si>
  <si>
    <t>menjual sarimie, telur, rokok</t>
  </si>
  <si>
    <t>https://fasih-sm.bps.go.id/app/assignment/fd68e454-ba45-4b85-8205-f3bf777ded24/e1b51513-4b0b-44ca-bb06-477e3a9e9624</t>
  </si>
  <si>
    <t>KIOS OSE BALE (OSE BALE)</t>
  </si>
  <si>
    <t>Jualan Aneka Sembako</t>
  </si>
  <si>
    <t>https://fasih-sm.bps.go.id/app/assignment/fd68e454-ba45-4b85-8205-f3bf777ded24/dd38301a-428e-4c43-97b1-920efbd23b01</t>
  </si>
  <si>
    <t>KIOS SEMBAKO (LASARUS GULA OPUN HULER)</t>
  </si>
  <si>
    <t>https://fasih-sm.bps.go.id/app/assignment/fd68e454-ba45-4b85-8205-f3bf777ded24/04e8469a-7281-4143-883f-460bc88a93a3</t>
  </si>
  <si>
    <t>Menjual barang sembako</t>
  </si>
  <si>
    <t>JUAL GARAM LOKAL (JOHOR)</t>
  </si>
  <si>
    <t>Menangkap ikan konsumsi</t>
  </si>
  <si>
    <t>https://fasih-sm.bps.go.id/app/assignment/fd68e454-ba45-4b85-8205-f3bf777ded24/06964471-82b9-4abb-b4c1-1c15e2094a3c</t>
  </si>
  <si>
    <t>KIOS WATO EKOT</t>
  </si>
  <si>
    <t>https://fasih-sm.bps.go.id/app/assignment/fd68e454-ba45-4b85-8205-f3bf777ded24/4c01fdb4-f383-4f1d-8fef-c66a85abe708</t>
  </si>
  <si>
    <t>USAHA KIOS ( YANTO B. ARNOLDUSAMO )</t>
  </si>
  <si>
    <t>PADI LADANG INBRIDA</t>
  </si>
  <si>
    <t>MEMBUDIDAYAKAN TANAMAN PANGAN UNTUK DIKONSUMSI SENDIRI</t>
  </si>
  <si>
    <t>https://fasih-sm.bps.go.id/app/assignment/fd68e454-ba45-4b85-8205-f3bf777ded24/209e3a00-77d7-4b07-b64f-e6c67c49d5d9</t>
  </si>
  <si>
    <t>KIOS SEMBAKO (ANESTA INA METE)</t>
  </si>
  <si>
    <t>jualan sembako;tugu buaya,shampoo,jasjus,</t>
  </si>
  <si>
    <t>jualan sembako;tugu buaya,shampoo,jasjus,permen,coriorio,columbia,daia,energen,telur ayam,mie instan,wings,gula pasir,ajinomoto</t>
  </si>
  <si>
    <t>https://fasih-sm.bps.go.id/app/assignment/fd68e454-ba45-4b85-8205-f3bf777ded24/59507922-709f-4411-9778-43e92f119da9</t>
  </si>
  <si>
    <t>ANEKA SEMBAKO</t>
  </si>
  <si>
    <t>KIOS SEMBAKO (LUSIA SOMI MARAN)</t>
  </si>
  <si>
    <t>https://fasih-sm.bps.go.id/app/assignment/fd68e454-ba45-4b85-8205-f3bf777ded24/a6ca222c-2e2b-4995-ada0-5926408a3092</t>
  </si>
  <si>
    <t>USAHA KIOS (ELISABETH JAWA ARAN)</t>
  </si>
  <si>
    <t>JAMBU MENTE</t>
  </si>
  <si>
    <t>https://fasih-sm.bps.go.id/app/assignment/fd68e454-ba45-4b85-8205-f3bf777ded24/66f262b3-aa67-4664-96f8-d12b8a4c1bd7</t>
  </si>
  <si>
    <t>https://fasih-sm.bps.go.id/app/assignment/fd68e454-ba45-4b85-8205-f3bf777ded24/812c68f2-9ad6-4758-be00-9d1a0f8274a5</t>
  </si>
  <si>
    <t>KIOS &lt;EMILIA ERO&gt;</t>
  </si>
  <si>
    <t>UBI TALAS</t>
  </si>
  <si>
    <t>BUDIDAYA TANAMAN PANGAN UBI TALAS</t>
  </si>
  <si>
    <t>https://fasih-sm.bps.go.id/app/assignment/fd68e454-ba45-4b85-8205-f3bf777ded24/d7cb1b32-525e-4d5a-a0fb-ab03fc775dba</t>
  </si>
  <si>
    <t>KIOS SEMBAKO (SESILIA KENEKA MULI)</t>
  </si>
  <si>
    <t>MENANAM JAGUNG</t>
  </si>
  <si>
    <t>https://fasih-sm.bps.go.id/app/assignment/fd68e454-ba45-4b85-8205-f3bf777ded24/b24c043c-10a8-48e3-a388-1f33a96a32e0</t>
  </si>
  <si>
    <t>USAHA KIOS SEMBAKO NASRIL ( NURUL HIDAYAH ABDULLAH )</t>
  </si>
  <si>
    <t>INDUSTRI AIR MINUM ISI ULANG</t>
  </si>
  <si>
    <t>MEMPRODUKSI AIR MINUM ISI ULANG DARI AIR BAKU MELALUI PROSES PENJERNIHAN</t>
  </si>
  <si>
    <t>https://fasih-sm.bps.go.id/app/assignment/fd68e454-ba45-4b85-8205-f3bf777ded24/e97bc598-5f0a-4aaf-a90f-e4eee5f61374</t>
  </si>
  <si>
    <t>KIOS (NONA RIDWAN)</t>
  </si>
  <si>
    <t>BARANG ENCERAN MAKANAN DAN MINUMAN</t>
  </si>
  <si>
    <t>MENJUAL SEMBAKO, BARANG ENCERAN MAKANAN DAN MINUMAN SERTA TEMBAKAU.</t>
  </si>
  <si>
    <t>https://fasih-sm.bps.go.id/app/assignment/fd68e454-ba45-4b85-8205-f3bf777ded24/f23ab874-37cf-4a24-8463-f3da94e3df61</t>
  </si>
  <si>
    <t>KIOS ( MM THERESIA WAIN)</t>
  </si>
  <si>
    <t>KAIN SARUNG KEWATEK</t>
  </si>
  <si>
    <t>MENGIKAT MOTIF PADA BENANG LALU MENENUNNYA MENJADI KAIN SARUNG KEWATEK</t>
  </si>
  <si>
    <t>https://fasih-sm.bps.go.id/app/assignment/fd68e454-ba45-4b85-8205-f3bf777ded24/1a0dc985-b7de-417a-bf77-cd076ed6b685</t>
  </si>
  <si>
    <t>KIOS (BENEDIKTA JARI)</t>
  </si>
  <si>
    <t>Menjual berbagai berbagai macam sembako</t>
  </si>
  <si>
    <t>https://fasih-sm.bps.go.id/app/assignment/fd68e454-ba45-4b85-8205-f3bf777ded24/01492feb-db47-4bad-a0b4-cefce2122b2b</t>
  </si>
  <si>
    <t>https://fasih-sm.bps.go.id/app/assignment/fd68e454-ba45-4b85-8205-f3bf777ded24/005f2aed-8b02-4cfd-859a-6594b525af6c</t>
  </si>
  <si>
    <t>WARUNG SEMBAKO REGINA</t>
  </si>
  <si>
    <t>https://fasih-sm.bps.go.id/app/assignment/fd68e454-ba45-4b85-8205-f3bf777ded24/69f19224-61fe-44a4-b9af-01a00b77ee04</t>
  </si>
  <si>
    <t>UTP KIOS SEMBAKO (KATARINA SURAT WURIN)</t>
  </si>
  <si>
    <t>https://fasih-sm.bps.go.id/app/assignment/fd68e454-ba45-4b85-8205-f3bf777ded24/9236f300-3d4c-44a9-b037-2e86b494a7c1</t>
  </si>
  <si>
    <t>UTP TANAMAN PANGAN (HELENA HUPAR TAPO)</t>
  </si>
  <si>
    <t>PENJUALAN SEMBAKO</t>
  </si>
  <si>
    <t>USAHA KIOS SEMBAKO</t>
  </si>
  <si>
    <t>https://fasih-sm.bps.go.id/app/assignment/fd68e454-ba45-4b85-8205-f3bf777ded24/88ffbc76-3f71-4c7a-ab43-b76303fd38fd</t>
  </si>
  <si>
    <t>TOKO CEMERLANG</t>
  </si>
  <si>
    <t>Menjual berbagai kebutuhan</t>
  </si>
  <si>
    <t>https://fasih-sm.bps.go.id/app/assignment/fd68e454-ba45-4b85-8205-f3bf777ded24/f8eabee4-727c-4feb-929e-a0dc49c59b15</t>
  </si>
  <si>
    <t>KIOS VERREL</t>
  </si>
  <si>
    <t>BARANG KEBUTUHAN SEHARI-HARI</t>
  </si>
  <si>
    <t>MEMBELI DAN MENJUAL BARANG ECERAN</t>
  </si>
  <si>
    <t>https://fasih-sm.bps.go.id/app/assignment/fd68e454-ba45-4b85-8205-f3bf777ded24/fb2e8b1c-1504-4427-904e-3a131a3745f4</t>
  </si>
  <si>
    <t>PERDAGANGAN SEMBAKO (LUSIA UTO KAPITAN)</t>
  </si>
  <si>
    <t>Berbagai barang kebutuhan pokok (sembako)</t>
  </si>
  <si>
    <t>Perdagangan Eceran Sembako / Kebutuhan Pokok</t>
  </si>
  <si>
    <t>https://fasih-sm.bps.go.id/app/assignment/fd68e454-ba45-4b85-8205-f3bf777ded24/f991f533-473f-4e60-aa1a-982e564e5d02</t>
  </si>
  <si>
    <t>JUAL MAKANAN DAN MINUMAN RINGAN (JAINAB AHMAB)</t>
  </si>
  <si>
    <t>SNACK DAN MINUMAN RINGAN</t>
  </si>
  <si>
    <t>MENJUAL SNACK DAN MINUMAN RINGAN</t>
  </si>
  <si>
    <t>https://fasih-sm.bps.go.id/app/assignment/fd68e454-ba45-4b85-8205-f3bf777ded24/28808619-a2b1-4124-9faf-4b2ae4106d20</t>
  </si>
  <si>
    <t>KIOS SEMBAKO SAYID ALI</t>
  </si>
  <si>
    <t>Sembako sayid ali</t>
  </si>
  <si>
    <t>Kios sembako sayid ali</t>
  </si>
  <si>
    <t>https://fasih-sm.bps.go.id/app/assignment/fd68e454-ba45-4b85-8205-f3bf777ded24/34816d1e-676a-421e-8940-14967184a5ca</t>
  </si>
  <si>
    <t>USAHA KIOS SEMBAKO ( RAHMI ALWAN )</t>
  </si>
  <si>
    <t>https://fasih-sm.bps.go.id/app/assignment/fd68e454-ba45-4b85-8205-f3bf777ded24/2184c3f5-7d63-4728-a0d2-abb98dcf264e</t>
  </si>
  <si>
    <t>KIOS &lt;MARIA FLORIDA NINI LAOT&gt;</t>
  </si>
  <si>
    <t>BUDIDAYA MULAI DARI PENANAMAN HINGGA OEMANENAN</t>
  </si>
  <si>
    <t>https://fasih-sm.bps.go.id/app/assignment/fd68e454-ba45-4b85-8205-f3bf777ded24/67e4c373-4add-412b-a640-8fb49fd35513</t>
  </si>
  <si>
    <t>USAHA SEMBAKO</t>
  </si>
  <si>
    <t>BIJI PALA</t>
  </si>
  <si>
    <t>BUDIDAYA PALA &lt;SAMBORA&gt;</t>
  </si>
  <si>
    <t>https://fasih-sm.bps.go.id/app/assignment/fd68e454-ba45-4b85-8205-f3bf777ded24/9126d1b1-9515-4f81-84ce-9fb8b2e1fbd7</t>
  </si>
  <si>
    <t>USAHA HOLTIKULTURA(PENATEN KELON MARIA)</t>
  </si>
  <si>
    <t>MEMETIK DAN MENJUAL MANGGA</t>
  </si>
  <si>
    <t>https://fasih-sm.bps.go.id/app/assignment/fd68e454-ba45-4b85-8205-f3bf777ded24/723a29fb-b326-40e3-98d4-b8a924b28eb1</t>
  </si>
  <si>
    <t>USAHA KELILING (KRISTINA RIKA)</t>
  </si>
  <si>
    <t>Menjual pisang di pasar</t>
  </si>
  <si>
    <t>https://fasih-sm.bps.go.id/app/assignment/fd68e454-ba45-4b85-8205-f3bf777ded24/db8813f6-ed6d-46f0-8a1f-83df768d62c3</t>
  </si>
  <si>
    <t>KIOS(MASYITA KURNIAWAN)</t>
  </si>
  <si>
    <t>TELUR</t>
  </si>
  <si>
    <t>MENJUAL BARANG ECERAN MAKANAN DAN MINUMAN</t>
  </si>
  <si>
    <t>https://fasih-sm.bps.go.id/app/assignment/fd68e454-ba45-4b85-8205-f3bf777ded24/81f24160-c681-4b3a-9fbe-65f2eb7c0b32</t>
  </si>
  <si>
    <t>ROYAL BAKERY</t>
  </si>
  <si>
    <t>Berbagai macam jenis roti</t>
  </si>
  <si>
    <t>Menjual Aneka kue basah</t>
  </si>
  <si>
    <t>https://fasih-sm.bps.go.id/app/assignment/fd68e454-ba45-4b85-8205-f3bf777ded24/a881e8b9-6d2c-4ac8-a363-8baac158cd88</t>
  </si>
  <si>
    <t>USAHA KIOS SEMBAKO (MARIA STEFANIA MARAN)</t>
  </si>
  <si>
    <t>MENJUAL SEMBAKO DAN KEBUTUHAN POKOK DEHARI HARI SEPERTI KOPI GULA DAN PRODUK KEBUTUHAN MASYARAKAT</t>
  </si>
  <si>
    <t>MENJUAL BERBAGGAI KEBUTUHAN POKOK DAN KEBUTUHAN SEHARI HARI KEPADA MASYARAKAT</t>
  </si>
  <si>
    <t>https://fasih-sm.bps.go.id/app/assignment/fd68e454-ba45-4b85-8205-f3bf777ded24/716d8c96-d888-484f-90d0-0b573c33eb84</t>
  </si>
  <si>
    <t>Menjual eceran sembako</t>
  </si>
  <si>
    <t>WARUNG KOPI (BULU)</t>
  </si>
  <si>
    <t>Kopi dan teh</t>
  </si>
  <si>
    <t>Penyediaan minuman kopi dan teh siap saji</t>
  </si>
  <si>
    <t>https://fasih-sm.bps.go.id/app/assignment/fd68e454-ba45-4b85-8205-f3bf777ded24/fc0075cf-e366-442c-9bcf-3f677dd08781</t>
  </si>
  <si>
    <t>Bensin</t>
  </si>
  <si>
    <t>Membeli dan menjual bensin eceran</t>
  </si>
  <si>
    <t>USAHA JUAL BENSIN (KURNIYATI YAHYA)</t>
  </si>
  <si>
    <t>JASA ANGKUT PENUMPANG</t>
  </si>
  <si>
    <t>https://fasih-sm.bps.go.id/app/assignment/fd68e454-ba45-4b85-8205-f3bf777ded24/c6e6ed72-ff62-4497-a420-9b09dfc98c55</t>
  </si>
  <si>
    <t>JUALAN BENSIN( MAMA MERI)</t>
  </si>
  <si>
    <t>https://fasih-sm.bps.go.id/app/assignment/fd68e454-ba45-4b85-8205-f3bf777ded24/1fb893d8-1d6f-4c97-8771-44e9da85c6ed</t>
  </si>
  <si>
    <t>POM MINI DAN KIOS (YONAS DAKROWE)</t>
  </si>
  <si>
    <t>Bahan bakar</t>
  </si>
  <si>
    <t>Menjual bahan bakar Bensin</t>
  </si>
  <si>
    <t>https://fasih-sm.bps.go.id/app/assignment/fd68e454-ba45-4b85-8205-f3bf777ded24/4b03ef1e-ec54-4acf-8552-cb17347f255f</t>
  </si>
  <si>
    <t>JUAL BENSIN ECERAN (DIDI DEROSARI)</t>
  </si>
  <si>
    <t>Jual bensin eceran</t>
  </si>
  <si>
    <t>https://fasih-sm.bps.go.id/app/assignment/fd68e454-ba45-4b85-8205-f3bf777ded24/745922af-4c1f-45e7-a2fb-91d61f559ee1</t>
  </si>
  <si>
    <t>JUAL SOLAR (RAMADHAN BUNGA)</t>
  </si>
  <si>
    <t>Jual Minyak Tanah Pangkalan</t>
  </si>
  <si>
    <t>https://fasih-sm.bps.go.id/app/assignment/fd68e454-ba45-4b85-8205-f3bf777ded24/82deba89-00b0-45ce-b2a5-0368ab4fb2c0</t>
  </si>
  <si>
    <t>USAHA PERDAGANGAN( UMAR RAYA DAEN)</t>
  </si>
  <si>
    <t>Bensin eceran</t>
  </si>
  <si>
    <t>Jual Bensin Eceran</t>
  </si>
  <si>
    <t>https://fasih-sm.bps.go.id/app/assignment/fd68e454-ba45-4b85-8205-f3bf777ded24/98082252-895f-44ad-b03b-cf1371e6f262</t>
  </si>
  <si>
    <t>KIOS APLIANA LELE</t>
  </si>
  <si>
    <t>BUDIDAYA TANAMAN PANGAN</t>
  </si>
  <si>
    <t>https://fasih-sm.bps.go.id/app/assignment/fd68e454-ba45-4b85-8205-f3bf777ded24/e490c599-564d-469c-8b02-dcb91c10ad89</t>
  </si>
  <si>
    <t>PENJUAL KASUR (SANIA)</t>
  </si>
  <si>
    <t>Kasur dan bantal</t>
  </si>
  <si>
    <t>Menjual kasur dan bantal</t>
  </si>
  <si>
    <t>https://fasih-sm.bps.go.id/app/assignment/fd68e454-ba45-4b85-8205-f3bf777ded24/01d3dc9c-6153-494f-88a5-4b38de6f4ff0</t>
  </si>
  <si>
    <t>USAHA JUAL BATU (LUKMAN)</t>
  </si>
  <si>
    <t>Menangkap Ikan Konsusmsi</t>
  </si>
  <si>
    <t>https://fasih-sm.bps.go.id/app/assignment/fd68e454-ba45-4b85-8205-f3bf777ded24/66670cfd-d66c-4763-a612-13fea5df009e</t>
  </si>
  <si>
    <t>USAHA JUAL KAYU KELAS 2</t>
  </si>
  <si>
    <t>PERSIAPAN LAHAN, PENANAMAN, PEMELIHARAAN DAN PEMANENAN</t>
  </si>
  <si>
    <t>https://fasih-sm.bps.go.id/app/assignment/fd68e454-ba45-4b85-8205-f3bf777ded24/c65104e1-4e03-4505-9838-4853e9917f74</t>
  </si>
  <si>
    <t>PENJUALAN PERABOTAN PENERANGAN (DEWIYATI WUJON)</t>
  </si>
  <si>
    <t>JUAL LAMPU PENERANGAN</t>
  </si>
  <si>
    <t>MENJUAL PERABOTAN PENERANGAN</t>
  </si>
  <si>
    <t>https://fasih-sm.bps.go.id/app/assignment/fd68e454-ba45-4b85-8205-f3bf777ded24/c54da39b-4a06-44a7-9a09-56b7e8154f1f</t>
  </si>
  <si>
    <t>KIOS KARYA DAMAI ( BERNADUS PELATIN KEIN )</t>
  </si>
  <si>
    <t>Peralatan listrik</t>
  </si>
  <si>
    <t>JUAL PERALATAN LISTRIK</t>
  </si>
  <si>
    <t>https://fasih-sm.bps.go.id/app/assignment/fd68e454-ba45-4b85-8205-f3bf777ded24/cb1b2830-4549-43ca-8e35-f358777f3c87</t>
  </si>
  <si>
    <t>PERABOTAN RUMAH (RIANTI)</t>
  </si>
  <si>
    <t>Menjual perabotan rumah</t>
  </si>
  <si>
    <t>https://fasih-sm.bps.go.id/app/assignment/fd68e454-ba45-4b85-8205-f3bf777ded24/752a3020-5e04-4d42-9f36-a78157e3ba1e</t>
  </si>
  <si>
    <t>KIOS PERABOTAN RUMAH (SUSILO HIMAWAN)</t>
  </si>
  <si>
    <t>Menjual perabotan</t>
  </si>
  <si>
    <t>https://fasih-sm.bps.go.id/app/assignment/fd68e454-ba45-4b85-8205-f3bf777ded24/40c2d95c-f376-41ec-934e-b4d946c1faac</t>
  </si>
  <si>
    <t>DAGANG PAKAIAN ( ABDURAHMAN SENGAJI )</t>
  </si>
  <si>
    <t>MEMBELI DAN MENJUAL KEMBALI PAKAIAN</t>
  </si>
  <si>
    <t>https://fasih-sm.bps.go.id/app/assignment/fd68e454-ba45-4b85-8205-f3bf777ded24/ef7072ca-e5c2-4d45-8a65-bf659d44be74</t>
  </si>
  <si>
    <t>KIOS PAKAIAN (NONA)</t>
  </si>
  <si>
    <t>https://fasih-sm.bps.go.id/app/assignment/fd68e454-ba45-4b85-8205-f3bf777ded24/47013344-6852-4f23-a654-0664b83e8ddb</t>
  </si>
  <si>
    <t>USAHA JUAL PAKAIAN RAMLA</t>
  </si>
  <si>
    <t>Menjual berbagai model pakaian</t>
  </si>
  <si>
    <t>https://fasih-sm.bps.go.id/app/assignment/fd68e454-ba45-4b85-8205-f3bf777ded24/60ab3d93-b21b-47ba-a11b-0e273fb2ee86</t>
  </si>
  <si>
    <t>JUALAN PAKAIAN SITI ROHANIA</t>
  </si>
  <si>
    <t>Jualan pakaian siti rohania</t>
  </si>
  <si>
    <t>Jualan pakaian siti koharia</t>
  </si>
  <si>
    <t>https://fasih-sm.bps.go.id/app/assignment/fd68e454-ba45-4b85-8205-f3bf777ded24/99b4885b-68c7-4a12-9f6b-fda214a212cc</t>
  </si>
  <si>
    <t>CITRA ABADI</t>
  </si>
  <si>
    <t>Kosmetik</t>
  </si>
  <si>
    <t>Menjual aneka barang , seperti kosmetik</t>
  </si>
  <si>
    <t>https://fasih-sm.bps.go.id/app/assignment/fd68e454-ba45-4b85-8205-f3bf777ded24/c6b1bd59-6f67-40aa-b26b-46401e4cae0a</t>
  </si>
  <si>
    <t>KIOS VERONIKA L.BEOANG</t>
  </si>
  <si>
    <t>MENJUAL BERBAGAI MACAM PUPUK CAIR UNTUK SEMPROT PADI</t>
  </si>
  <si>
    <t>https://fasih-sm.bps.go.id/app/assignment/fd68e454-ba45-4b85-8205-f3bf777ded24/0a787213-1e6e-41a5-912c-496dbb26c9df</t>
  </si>
  <si>
    <t>Pangkalan Minyak Tanah (Ramadhan Bunga)</t>
  </si>
  <si>
    <t>PANGKALAN MINYAK TANAH AGUSTINUS KLEDEN</t>
  </si>
  <si>
    <t>https://fasih-sm.bps.go.id/app/assignment/fd68e454-ba45-4b85-8205-f3bf777ded24/c4eb031c-87a6-4a11-80f0-cced109640f9</t>
  </si>
  <si>
    <t>PANGKALAN MINYAK TANAH (KRISTINA MURIN)</t>
  </si>
  <si>
    <t>BERUSAHA MENJUAL MINYAK TANAH DI KIOS MILIK SENDIRI</t>
  </si>
  <si>
    <t>https://fasih-sm.bps.go.id/app/assignment/fd68e454-ba45-4b85-8205-f3bf777ded24/9ee7b7a7-6898-4582-be9b-9d3979763f97</t>
  </si>
  <si>
    <t>PENJUAL BAJU ONLINE MARLIA</t>
  </si>
  <si>
    <t>Jual Pulsa</t>
  </si>
  <si>
    <t>Aktivitas telekomunikasi</t>
  </si>
  <si>
    <t>https://fasih-sm.bps.go.id/app/assignment/fd68e454-ba45-4b85-8205-f3bf777ded24/34523e79-5630-44ae-96dd-9ff8c455714a</t>
  </si>
  <si>
    <t>JUALAN ONLINE ROSANTI</t>
  </si>
  <si>
    <t>Jualan keliling</t>
  </si>
  <si>
    <t>https://fasih-sm.bps.go.id/app/assignment/fd68e454-ba45-4b85-8205-f3bf777ded24/78903638-009c-4599-bad4-fb8d63038875</t>
  </si>
  <si>
    <t>KIOS DAMAI INDAH</t>
  </si>
  <si>
    <t>https://fasih-sm.bps.go.id/app/assignment/fd68e454-ba45-4b85-8205-f3bf777ded24/05b19947-f1f1-4e12-8e5e-a82a7b92f783</t>
  </si>
  <si>
    <t>PENIMBANG(DIDIMUS KOPONG MITEN)</t>
  </si>
  <si>
    <t>JASA PERDAGANGAN HASIL PERKEBUNAN</t>
  </si>
  <si>
    <t>KELILING UNTUK MENIMBANG PALA</t>
  </si>
  <si>
    <t>https://fasih-sm.bps.go.id/app/assignment/fd68e454-ba45-4b85-8205-f3bf777ded24/5669419d-99fb-49a8-9073-0b8346f7ce1c</t>
  </si>
  <si>
    <t>TIMBANG HASIL BUMI (YOHANES BALO BUKAN)</t>
  </si>
  <si>
    <t>Jasa perdagangan hasil komoditi , kopra kemiri dan mente</t>
  </si>
  <si>
    <t>Melakukan perdagangan besar hasil pertanian kopra, kemiri dan mente dengan cara membeli dari petani untuk dijual kembali</t>
  </si>
  <si>
    <t>https://fasih-sm.bps.go.id/app/assignment/fd68e454-ba45-4b85-8205-f3bf777ded24/52a9e86e-2980-43dd-bfae-5ac35ea37e7d</t>
  </si>
  <si>
    <t>DUMP TRUCK PASIR (SERVASIUS SERE KEDANG)</t>
  </si>
  <si>
    <t>Pasir dan batu</t>
  </si>
  <si>
    <t>Membeli dan menjual kembali batu dan pasir</t>
  </si>
  <si>
    <t>https://fasih-sm.bps.go.id/app/assignment/fd68e454-ba45-4b85-8205-f3bf777ded24/fe09a520-8164-4c33-979a-264a8aece2a6</t>
  </si>
  <si>
    <t>GUDANG SEMEN</t>
  </si>
  <si>
    <t>SEMEN</t>
  </si>
  <si>
    <t>JUAL BAHAN BANGUNA</t>
  </si>
  <si>
    <t>https://fasih-sm.bps.go.id/app/assignment/fd68e454-ba45-4b85-8205-f3bf777ded24/a78d0e66-c2c1-447e-80bf-f0052fc4ff98</t>
  </si>
  <si>
    <t>USAHA KIOS MAKAN RINGAN</t>
  </si>
  <si>
    <t>MAKANAN RINGAN</t>
  </si>
  <si>
    <t>https://fasih-sm.bps.go.id/app/assignment/fd68e454-ba45-4b85-8205-f3bf777ded24/9e7a7c2b-f0fd-4617-aa73-c835070df5ae</t>
  </si>
  <si>
    <t>KIOS MAJU TERUS ( ELISABETH NOGO TUKAN )</t>
  </si>
  <si>
    <t>https://fasih-sm.bps.go.id/app/assignment/fd68e454-ba45-4b85-8205-f3bf777ded24/554b2407-f613-4569-921b-c78fb1400a80</t>
  </si>
  <si>
    <t>KIOS EMANUEL (THERESIA KEWA)</t>
  </si>
  <si>
    <t>MEMBUDIDAYAKAN TANAMAN METE</t>
  </si>
  <si>
    <t>https://fasih-sm.bps.go.id/app/assignment/fd68e454-ba45-4b85-8205-f3bf777ded24/0ce8abdf-776c-4d49-a370-50d50ab3953f</t>
  </si>
  <si>
    <t>KIOS EDITA AVELINA</t>
  </si>
  <si>
    <t>Soundsistem music</t>
  </si>
  <si>
    <t>Sewa alat soundsistem</t>
  </si>
  <si>
    <t>https://fasih-sm.bps.go.id/app/assignment/fd68e454-ba45-4b85-8205-f3bf777ded24/75c247a7-12b5-4046-a1f9-cd33bc997293</t>
  </si>
  <si>
    <t>KIOS SEMBAKO (FATIMAH ASAR) oo</t>
  </si>
  <si>
    <t>Ikan segar</t>
  </si>
  <si>
    <t>Jual ikan keliling ( Fatimah Asar)</t>
  </si>
  <si>
    <t>https://fasih-sm.bps.go.id/app/assignment/fd68e454-ba45-4b85-8205-f3bf777ded24/8cbe5ba1-b1ab-4c7d-a4df-30a676362e7a</t>
  </si>
  <si>
    <t>KIOS FOJA</t>
  </si>
  <si>
    <t>SEMBAKO,JAJAN,ROKOK</t>
  </si>
  <si>
    <t>https://fasih-sm.bps.go.id/app/assignment/fd68e454-ba45-4b85-8205-f3bf777ded24/ed0501f6-4757-4448-8090-43c1c0166df7</t>
  </si>
  <si>
    <t>USAHA NASI KUNING (MARIA KOMO)</t>
  </si>
  <si>
    <t>Budidaya jambu mete</t>
  </si>
  <si>
    <t>https://fasih-sm.bps.go.id/app/assignment/fd68e454-ba45-4b85-8205-f3bf777ded24/ddb8dc7c-32c6-4f76-8dd8-0a8267ef1d2d</t>
  </si>
  <si>
    <t>KIOS (DANIEL SUBAN)</t>
  </si>
  <si>
    <t>Gula, terigu, susu, rokok, jajan-jajanan atau makanan dan minuman dalam kemasan</t>
  </si>
  <si>
    <t>Menjual sembako, makanan dan minuman ringan dalam kemasan, rokok</t>
  </si>
  <si>
    <t>https://fasih-sm.bps.go.id/app/assignment/fd68e454-ba45-4b85-8205-f3bf777ded24/d09f31df-6891-4c76-9350-1988ded32f89</t>
  </si>
  <si>
    <t>SUWADI JUALAN BUMBU DAPUR INSTANT</t>
  </si>
  <si>
    <t>Menjual bumbu dapur</t>
  </si>
  <si>
    <t>https://fasih-sm.bps.go.id/app/assignment/fd68e454-ba45-4b85-8205-f3bf777ded24/236cda10-03e6-43f2-b638-ced85fb425d1</t>
  </si>
  <si>
    <t>KIOS PAPILAYA (MARICE PAPILAYA)</t>
  </si>
  <si>
    <t>MENJUAL BARANG ECERANSEMABKO DIKIOS</t>
  </si>
  <si>
    <t>https://fasih-sm.bps.go.id/app/assignment/fd68e454-ba45-4b85-8205-f3bf777ded24/0cfe6537-521c-46b3-a5fc-6d4eb3824e9f</t>
  </si>
  <si>
    <t>Penjualan sembako</t>
  </si>
  <si>
    <t>KIOS (SALMIAH ABDULAH COREBIMA)</t>
  </si>
  <si>
    <t>MEMBELI DAN MENJUAL ECERAN SEMBAKO</t>
  </si>
  <si>
    <t>https://fasih-sm.bps.go.id/app/assignment/fd68e454-ba45-4b85-8205-f3bf777ded24/4dc0985a-1c19-4cd1-bd9a-cb08945821a7</t>
  </si>
  <si>
    <t>KIOS KLEMENS DEMON</t>
  </si>
  <si>
    <t>Beras, kopi saset, gula pasir, tepung terigu, masako</t>
  </si>
  <si>
    <t>https://fasih-sm.bps.go.id/app/assignment/fd68e454-ba45-4b85-8205-f3bf777ded24/1ee6c250-64d4-42c0-8f0a-6da178693efa</t>
  </si>
  <si>
    <t>KIOS MA IMA</t>
  </si>
  <si>
    <t>https://fasih-sm.bps.go.id/app/assignment/fd68e454-ba45-4b85-8205-f3bf777ded24/794026dc-b0e5-4164-9a8b-ae2886472bdd</t>
  </si>
  <si>
    <t>KIOS(AGNES BOLENG)</t>
  </si>
  <si>
    <t>Usaha kios sembako</t>
  </si>
  <si>
    <t>https://fasih-sm.bps.go.id/app/assignment/fd68e454-ba45-4b85-8205-f3bf777ded24/7bd96eaa-68df-41e5-a2b5-29aa686e4089</t>
  </si>
  <si>
    <t>KIOS (AGUSTINA WALENG HURIT)</t>
  </si>
  <si>
    <t>Barang sembako eceran</t>
  </si>
  <si>
    <t>pedagang barang eceran</t>
  </si>
  <si>
    <t>https://fasih-sm.bps.go.id/app/assignment/fd68e454-ba45-4b85-8205-f3bf777ded24/a42699fc-d662-492b-957f-4c4f3997d154</t>
  </si>
  <si>
    <t>JUAL SEMBAKO KELILING (RAHMAT HARIS)</t>
  </si>
  <si>
    <t>Jualan sembako keliling</t>
  </si>
  <si>
    <t>https://fasih-sm.bps.go.id/app/assignment/fd68e454-ba45-4b85-8205-f3bf777ded24/ae63a6e9-0845-476b-9ca0-907e30e8f74a</t>
  </si>
  <si>
    <t>ANEKA MINUMAN ES (ANIS)</t>
  </si>
  <si>
    <t>Jualan es</t>
  </si>
  <si>
    <t>Jualan es pisang, pop Ice, teh jus</t>
  </si>
  <si>
    <t>https://fasih-sm.bps.go.id/app/assignment/fd68e454-ba45-4b85-8205-f3bf777ded24/97399e02-b2d0-4e0a-8cbf-62bafbc66e8d</t>
  </si>
  <si>
    <t>KIOS MARTOYO (MUHAMMAD NASIR)</t>
  </si>
  <si>
    <t>Menjual berbagai kerupuk</t>
  </si>
  <si>
    <t>https://fasih-sm.bps.go.id/app/assignment/fd68e454-ba45-4b85-8205-f3bf777ded24/d3781700-da2e-4f29-803d-846f5ce3fab8</t>
  </si>
  <si>
    <t>USAHA JUALAN ES</t>
  </si>
  <si>
    <t>ES KEMASAN</t>
  </si>
  <si>
    <t>MENJUAL ES KEMASAN DENGAN BERBAGAI VARIAN RASA</t>
  </si>
  <si>
    <t>https://fasih-sm.bps.go.id/app/assignment/fd68e454-ba45-4b85-8205-f3bf777ded24/c89a179d-3b3f-49bd-a1f4-d20262196950</t>
  </si>
  <si>
    <t>KIOS LESTARI SARTENG(ERNESTA KATANA)</t>
  </si>
  <si>
    <t>https://fasih-sm.bps.go.id/app/assignment/fd68e454-ba45-4b85-8205-f3bf777ded24/c03048f9-47ea-4518-a20b-20bac6ecca69</t>
  </si>
  <si>
    <t>KIOS (YUSTINA RELU DULI)</t>
  </si>
  <si>
    <t>Jagung titi</t>
  </si>
  <si>
    <t>Usaha pengolahan jagung menjadi jagung titi untuk dijual</t>
  </si>
  <si>
    <t>https://fasih-sm.bps.go.id/app/assignment/fd68e454-ba45-4b85-8205-f3bf777ded24/e532a517-a876-49e6-9627-9614e60bf6ed</t>
  </si>
  <si>
    <t>KIOS SEMBAKO (MUHAMMAD BAZHER)</t>
  </si>
  <si>
    <t>https://fasih-sm.bps.go.id/app/assignment/fd68e454-ba45-4b85-8205-f3bf777ded24/e7600f43-f1f3-4c7b-bf1f-15fb3411715f</t>
  </si>
  <si>
    <t>KIOS( MARIA UBA OLA)</t>
  </si>
  <si>
    <t>Aneka makanan ringan</t>
  </si>
  <si>
    <t>Perdagangan makanan ringan</t>
  </si>
  <si>
    <t>https://fasih-sm.bps.go.id/app/assignment/fd68e454-ba45-4b85-8205-f3bf777ded24/efd12a48-e15c-4392-ac3f-07af452f695d</t>
  </si>
  <si>
    <t>LIKRI KLEDEN KIOS (IBRAHIM KOPONG BOLI)</t>
  </si>
  <si>
    <t>Barang eceran makanan dan minuman serta tembakau</t>
  </si>
  <si>
    <t>Perdagangan barang eceran makanan dan minuman serta tembakau</t>
  </si>
  <si>
    <t>https://fasih-sm.bps.go.id/app/assignment/fd68e454-ba45-4b85-8205-f3bf777ded24/00c3a62f-cf6d-44b0-811b-a06334cf665d</t>
  </si>
  <si>
    <t>UTP KIOS SEMBAKO (THERESIA TERE DAHE)</t>
  </si>
  <si>
    <t>INDUSTRI PENGOLAHAN KELAPA MENJADI KOPRA</t>
  </si>
  <si>
    <t>https://fasih-sm.bps.go.id/app/assignment/fd68e454-ba45-4b85-8205-f3bf777ded24/23c0fd6c-baec-402b-a699-9df1eb4144ee</t>
  </si>
  <si>
    <t>USAHA KIOS &lt;DEMENTRIUS DONI BOLEN&gt;</t>
  </si>
  <si>
    <t>JASA PERDAGANGAN BENSIN ENCERAN</t>
  </si>
  <si>
    <t>JUAL ENCERAN BBM</t>
  </si>
  <si>
    <t>https://fasih-sm.bps.go.id/app/assignment/fd68e454-ba45-4b85-8205-f3bf777ded24/5cdf107e-9101-4447-b07a-fd80a8632819</t>
  </si>
  <si>
    <t>SEMBAKO SAEMAH DAUD</t>
  </si>
  <si>
    <t>USAHA JUALAN SEMBAKO</t>
  </si>
  <si>
    <t>https://fasih-sm.bps.go.id/app/assignment/fd68e454-ba45-4b85-8205-f3bf777ded24/6a23e483-8e08-4165-bf79-57c99bcd72c3</t>
  </si>
  <si>
    <t>USAHA KIOS (ENDANG BUGIS)</t>
  </si>
  <si>
    <t>IKAN AIR LAUT</t>
  </si>
  <si>
    <t>PENANGKAPAN IKAN DAN BIAOTA LAUT</t>
  </si>
  <si>
    <t>https://fasih-sm.bps.go.id/app/assignment/fd68e454-ba45-4b85-8205-f3bf777ded24/bf9cace1-4bc5-4a72-aa03-afcf8dc9bbb1</t>
  </si>
  <si>
    <t>KIOS ECERAN HAFSAH</t>
  </si>
  <si>
    <t>PERDAGANGAN MAKANAN ECERAN</t>
  </si>
  <si>
    <t>PERDAGANGAN ECERAN MAKANAN</t>
  </si>
  <si>
    <t>https://fasih-sm.bps.go.id/app/assignment/fd68e454-ba45-4b85-8205-f3bf777ded24/a8751130-6674-45dc-9700-c0dc4f0f975a</t>
  </si>
  <si>
    <t>KIOS PUTERA MANDIRI</t>
  </si>
  <si>
    <t>SEMBAKO DAN MAKANAN RINGAN</t>
  </si>
  <si>
    <t>Menjual Sembako Eceran untuk kebutuhan sehari hari</t>
  </si>
  <si>
    <t>https://fasih-sm.bps.go.id/app/assignment/fd68e454-ba45-4b85-8205-f3bf777ded24/a01d8180-9629-426f-ae41-29e5ca70144d</t>
  </si>
  <si>
    <t>USAHA PERDAGANGAN ECERAN ( SITI)</t>
  </si>
  <si>
    <t>MENGELOLAH KELAPA MENJADI KOPRA</t>
  </si>
  <si>
    <t>https://fasih-sm.bps.go.id/app/assignment/fd68e454-ba45-4b85-8205-f3bf777ded24/aacf9e4a-a619-4687-9d32-9da134085f02</t>
  </si>
  <si>
    <t>KIOS ENCERAN (MARIA BULU DEMON)</t>
  </si>
  <si>
    <t>KACANG TANAH</t>
  </si>
  <si>
    <t>BUDIDAYA KACANG TANAH</t>
  </si>
  <si>
    <t>https://fasih-sm.bps.go.id/app/assignment/fd68e454-ba45-4b85-8205-f3bf777ded24/bb16c2ed-fdb0-44c8-aab2-3369b2db3324</t>
  </si>
  <si>
    <t>KIOS SEMBAKO(EMERENSIA J.LEYN)</t>
  </si>
  <si>
    <t>KURSI</t>
  </si>
  <si>
    <t>PENYEWAAN KURSI UNTUK ACARA</t>
  </si>
  <si>
    <t>https://fasih-sm.bps.go.id/app/assignment/fd68e454-ba45-4b85-8205-f3bf777ded24/cf10fca4-1075-4fdd-8893-fc4157406742</t>
  </si>
  <si>
    <t>KIOS REALIN (ASTRY FERNANDEZ AIKOLI)</t>
  </si>
  <si>
    <t>https://fasih-sm.bps.go.id/app/assignment/fd68e454-ba45-4b85-8205-f3bf777ded24/e97c62ab-dca9-4ec2-99d7-c85dfdd11bf5</t>
  </si>
  <si>
    <t>KIOS (MARNI)</t>
  </si>
  <si>
    <t>Menjual berbagai jenis barang eceran kebutuhan makan minum rumah tangga</t>
  </si>
  <si>
    <t>https://fasih-sm.bps.go.id/app/assignment/fd68e454-ba45-4b85-8205-f3bf777ded24/1a23961c-95ab-4d0d-bbc5-c63794daf67e</t>
  </si>
  <si>
    <t>KIOS DUA BERSAUDARA MARSELINUS&lt;TERAAMA HERIN&gt;</t>
  </si>
  <si>
    <t>SEMBAKO,ROKOK JAJAN</t>
  </si>
  <si>
    <t>https://fasih-sm.bps.go.id/app/assignment/fd68e454-ba45-4b85-8205-f3bf777ded24/343f86d6-32dd-4c64-bb88-4c7f60d233b6</t>
  </si>
  <si>
    <t>KIOS HIDIN</t>
  </si>
  <si>
    <t>Makanan eceran</t>
  </si>
  <si>
    <t>Perdagangan makanan Eceran</t>
  </si>
  <si>
    <t>https://fasih-sm.bps.go.id/app/assignment/fd68e454-ba45-4b85-8205-f3bf777ded24/907643c9-9155-4796-ae41-3c8a4ee6c193</t>
  </si>
  <si>
    <t>KIOS BRYDHINNA (MARLINA MASI KOPON)</t>
  </si>
  <si>
    <t>SNACK, MIE INSTAN, ROKOK, MINUMAN DINGIN</t>
  </si>
  <si>
    <t>PERDAGANGAN ECERAN SEMBAKO DI KIOS</t>
  </si>
  <si>
    <t>https://fasih-sm.bps.go.id/app/assignment/fd68e454-ba45-4b85-8205-f3bf777ded24/c9c36d28-f31d-44a2-9aa6-e0d6ca19e666</t>
  </si>
  <si>
    <t>KIOS FAIZ (SITI HASAN)</t>
  </si>
  <si>
    <t>https://fasih-sm.bps.go.id/app/assignment/fd68e454-ba45-4b85-8205-f3bf777ded24/cba676ec-5cfd-4644-88bf-62bf3c776cf9</t>
  </si>
  <si>
    <t>UTP KIOS SEMBAKO (MARIA BENGA BORO)</t>
  </si>
  <si>
    <t>SAYUR DAUN DAN BUAH</t>
  </si>
  <si>
    <t>JUAL SAYUR KELILING</t>
  </si>
  <si>
    <t>https://fasih-sm.bps.go.id/app/assignment/fd68e454-ba45-4b85-8205-f3bf777ded24/f6003171-c6c1-49ed-9522-a49dc98c5d54</t>
  </si>
  <si>
    <t>KIOS SABAR (SAMSIA)</t>
  </si>
  <si>
    <t>Makanan dan minuman dan kebutuhan rumh tangga</t>
  </si>
  <si>
    <t>Menjual berbagai jajanan anak dan kebutuhan rumah tangga</t>
  </si>
  <si>
    <t>https://fasih-sm.bps.go.id/app/assignment/fd68e454-ba45-4b85-8205-f3bf777ded24/fc27d4f3-85ea-4f62-a34f-ea54767f9794</t>
  </si>
  <si>
    <t>JUALAN SAWO MARVIANA MITAN</t>
  </si>
  <si>
    <t>BUAH SAWO</t>
  </si>
  <si>
    <t>menjual buah sawo matan</t>
  </si>
  <si>
    <t>https://fasih-sm.bps.go.id/app/assignment/fd68e454-ba45-4b85-8205-f3bf777ded24/05833d34-3df8-4f4b-b246-c843b802fc5e</t>
  </si>
  <si>
    <t>Penjual minuman tradisional martinus riung</t>
  </si>
  <si>
    <t>BUDIDAYA TANAMAN PERKEBUNAN</t>
  </si>
  <si>
    <t>https://fasih-sm.bps.go.id/app/assignment/fd68e454-ba45-4b85-8205-f3bf777ded24/cb0ea229-388a-469b-b6b1-062fe0efe3ca</t>
  </si>
  <si>
    <t>PENJUAL ROKOK KELILING (BAHRUDIN DAHLAN)</t>
  </si>
  <si>
    <t>MENJUAL SEMBAKO, JAJANAN DAN LAIN SEBAGAINYA</t>
  </si>
  <si>
    <t>https://fasih-sm.bps.go.id/app/assignment/fd68e454-ba45-4b85-8205-f3bf777ded24/ca31d394-b126-4015-8eed-6075004aaae8</t>
  </si>
  <si>
    <t>USAHA KUE ANI DASANTO</t>
  </si>
  <si>
    <t>Aneka kue</t>
  </si>
  <si>
    <t>Penjualan aneka kue</t>
  </si>
  <si>
    <t>https://fasih-sm.bps.go.id/app/assignment/fd68e454-ba45-4b85-8205-f3bf777ded24/ae7419cb-8d22-41f1-896c-c0119d222a37</t>
  </si>
  <si>
    <t>PERDANGANGAN ECERAN KUE &lt; JULIANA PRADA MASAN&gt;</t>
  </si>
  <si>
    <t>KUE</t>
  </si>
  <si>
    <t>PEDAGANG ECERAN KUE</t>
  </si>
  <si>
    <t>https://fasih-sm.bps.go.id/app/assignment/fd68e454-ba45-4b85-8205-f3bf777ded24/a7fad7fa-3db0-41da-aa4d-82cb2407925a</t>
  </si>
  <si>
    <t>KIOS DIVO HEKIN(LODOVIKUS SUBAN HEKIN)</t>
  </si>
  <si>
    <t>KIOS JUALAN SEMBAKO</t>
  </si>
  <si>
    <t>https://fasih-sm.bps.go.id/app/assignment/fd68e454-ba45-4b85-8205-f3bf777ded24/57433dfe-8db5-4f4b-977c-b6a0f121fa52</t>
  </si>
  <si>
    <t>GULA TUAK</t>
  </si>
  <si>
    <t>Memasak arak alkohol</t>
  </si>
  <si>
    <t>https://fasih-sm.bps.go.id/app/assignment/fd68e454-ba45-4b85-8205-f3bf777ded24/b0eae117-1bb7-4a31-843c-025af490f342</t>
  </si>
  <si>
    <t>MENJUAL BENSIN ECERAN</t>
  </si>
  <si>
    <t>USAHA BENSIN ECERAN FENDY DEORNAY</t>
  </si>
  <si>
    <t>Aktivitas penjualan bensin eceran</t>
  </si>
  <si>
    <t>https://fasih-sm.bps.go.id/app/assignment/fd68e454-ba45-4b85-8205-f3bf777ded24/5f39a54c-415d-46fb-8970-2649d38dae6f</t>
  </si>
  <si>
    <t>KIOS ADITYA FILOMENA ARAN</t>
  </si>
  <si>
    <t>Sembako, makanan ,minuman</t>
  </si>
  <si>
    <t>Kios makanan ,minuman</t>
  </si>
  <si>
    <t>https://fasih-sm.bps.go.id/app/assignment/fd68e454-ba45-4b85-8205-f3bf777ded24/25d044bb-d790-46b6-99cd-1484eeaa819c</t>
  </si>
  <si>
    <t>USAHA JUAL BENSIN (LUSIA)</t>
  </si>
  <si>
    <t>Usaha Jual Bensin</t>
  </si>
  <si>
    <t>https://fasih-sm.bps.go.id/app/assignment/fd68e454-ba45-4b85-8205-f3bf777ded24/34499b5d-9fec-4bf1-ad3f-0856a1dd5912</t>
  </si>
  <si>
    <t>JUALAN BBM ECERAN</t>
  </si>
  <si>
    <t>Bahan bakar minyak</t>
  </si>
  <si>
    <t>Menjual bahan bakar minyak (BBM) eceran</t>
  </si>
  <si>
    <t>https://fasih-sm.bps.go.id/app/assignment/fd68e454-ba45-4b85-8205-f3bf777ded24/3d4773b7-7e90-4409-996a-d9783655b9f5</t>
  </si>
  <si>
    <t>USAHA JUAL BENSIN&lt;DEMENTRIUS DONI BOLEN&gt;</t>
  </si>
  <si>
    <t>JB (ROSNAWATI TOKAN)</t>
  </si>
  <si>
    <t>https://fasih-sm.bps.go.id/app/assignment/fd68e454-ba45-4b85-8205-f3bf777ded24/96464126-8f00-4f2f-80f4-4cdf897cd30f</t>
  </si>
  <si>
    <t>USAHA PARANG ( TOMAS UMAR)</t>
  </si>
  <si>
    <t>AYAM KAMPUNG BIASA</t>
  </si>
  <si>
    <t>https://fasih-sm.bps.go.id/app/assignment/fd68e454-ba45-4b85-8205-f3bf777ded24/80f0adf1-fd72-489c-92d8-45b8fa001a90</t>
  </si>
  <si>
    <t>USAHA JUAL ALAT MANCING (MARIA GORAN)</t>
  </si>
  <si>
    <t>Jasa cetak foto</t>
  </si>
  <si>
    <t>Mencetak foto dari file digital ke berbagai ukuran dan media serta menyediakan jasa edit, produk turunan foto, dan layanan pendukungnyaffo</t>
  </si>
  <si>
    <t>https://fasih-sm.bps.go.id/app/assignment/fd68e454-ba45-4b85-8205-f3bf777ded24/9aef6c6c-c0f0-4d95-b3f3-28606de56cbe</t>
  </si>
  <si>
    <t>JUAL MAINAN (MUSTAIN)</t>
  </si>
  <si>
    <t>Mainan anak anak</t>
  </si>
  <si>
    <t>Jual mainan anak anak</t>
  </si>
  <si>
    <t>https://fasih-sm.bps.go.id/app/assignment/fd68e454-ba45-4b85-8205-f3bf777ded24/eb654618-1004-4042-b2f2-d5e3953f2e58</t>
  </si>
  <si>
    <t>KIOS MAINAN (SUL HIDAYAH)</t>
  </si>
  <si>
    <t>https://fasih-sm.bps.go.id/app/assignment/fd68e454-ba45-4b85-8205-f3bf777ded24/70e368c2-28a4-4ef3-9ad0-849e5bf4e02b</t>
  </si>
  <si>
    <t>SENGAJI SPORT LOHAYONG (FADHILAH SYAHRULFITRAH)</t>
  </si>
  <si>
    <t>SEPATU</t>
  </si>
  <si>
    <t>JUAL SEPATU DNA LAINNYA</t>
  </si>
  <si>
    <t>https://fasih-sm.bps.go.id/app/assignment/fd68e454-ba45-4b85-8205-f3bf777ded24/2d7d93ba-c94d-479b-bfd8-aa56f07bbc08</t>
  </si>
  <si>
    <t>KIOS SENDAL SEPATU (BASO MARZUKI)</t>
  </si>
  <si>
    <t>https://fasih-sm.bps.go.id/app/assignment/fd68e454-ba45-4b85-8205-f3bf777ded24/9ed7efb3-6a41-4b7c-b9c9-b6f3481f478e</t>
  </si>
  <si>
    <t>PENJUAL SENDAL NURYANTI MUAHAMAD</t>
  </si>
  <si>
    <t>USAHA JUALAN SENDAL</t>
  </si>
  <si>
    <t>https://fasih-sm.bps.go.id/app/assignment/fd68e454-ba45-4b85-8205-f3bf777ded24/df8f8644-42d2-4e82-875e-98ed9610746a</t>
  </si>
  <si>
    <t>kategori_baru</t>
  </si>
  <si>
    <t>kode_kbli_baru</t>
  </si>
  <si>
    <t>biaya_operasional_baru</t>
  </si>
  <si>
    <t>biaya_produksi_baru</t>
  </si>
  <si>
    <t>komentar</t>
  </si>
  <si>
    <t>baris</t>
  </si>
  <si>
    <t>assignment</t>
  </si>
  <si>
    <t>status</t>
  </si>
  <si>
    <t>alasan</t>
  </si>
  <si>
    <t>link</t>
  </si>
  <si>
    <t>3d6a943b</t>
  </si>
  <si>
    <t>KELEWAT-BULK</t>
  </si>
  <si>
    <t>tidak tercatat OK/GAGAL di bulk-repair â€” jalankan bulk-repair --resume</t>
  </si>
  <si>
    <t>e235d7a9</t>
  </si>
  <si>
    <t>REPAIR-GAGAL</t>
  </si>
  <si>
    <t>presign-url (s3/edit) gagal: No access for assignment 5309073006000600 - DTSEN - 7 (e235d7a9-cb9f-4ac4-8a7b-b0</t>
  </si>
  <si>
    <t>144ed904</t>
  </si>
  <si>
    <t xml:space="preserve">GET https://fasih-sm.bps.go.id/app/api/assignment-general/api/assignment-history/get-by-assignment-id -&gt; HTTP </t>
  </si>
  <si>
    <t>9ed9c363</t>
  </si>
  <si>
    <t>presign-url (s3/edit) gagal: No access for assignment 5309040010001100 - MAXIMILIANUS KEWANI KOLIN / ANTONIA S</t>
  </si>
  <si>
    <t>c3b5f6af</t>
  </si>
  <si>
    <t>presign-url (s3/edit) gagal: No access for assignment 5309071006001800 - BANGUNAN KOSONG - 8 /  (c3b5f6af-1910</t>
  </si>
  <si>
    <t>98de06b9</t>
  </si>
  <si>
    <t>4f3ee94b</t>
  </si>
  <si>
    <t>presign-url (s3/edit) gagal: No access for assignment 5309070058000300 - PETRUS SELI TUPEN / MARIA GEMA GALGAN</t>
  </si>
  <si>
    <t>41ee4c1a</t>
  </si>
  <si>
    <t>presign-url (s3/edit) gagal: No access for assignment 5309073001001400 - DTSEN - 3 (41ee4c1a-9b06-4da2-8eaf-96</t>
  </si>
  <si>
    <t>c0f06105</t>
  </si>
  <si>
    <t>presign-url (s3/edit) gagal: No access for assignment 5309011006000200 - DTSEN - 21 (c0f06105-c947-45ca-b1d5-b</t>
  </si>
  <si>
    <t>15218b8f</t>
  </si>
  <si>
    <t>presign-url (s3/edit) gagal: No access for assignment 5309011007000200 - DTSEN - 8 (15218b8f-17f6-42ce-967b-21</t>
  </si>
  <si>
    <t>49258a06</t>
  </si>
  <si>
    <t>presign-url (s3/edit) gagal: No access for assignment 5309073010001000 - KIOS YUSRIL RATE IKEN - 25 /  - 1 - 8</t>
  </si>
  <si>
    <t>f487e0bd</t>
  </si>
  <si>
    <t>7b51c5cd</t>
  </si>
  <si>
    <t>presign-url (s3/edit) gagal: No access for assignment 5309010004001500 - DTSEN - 3 (7b51c5cd-bd7f-4351-9316-4c</t>
  </si>
  <si>
    <t>KIOS Â°FRANSISKA YOSEFINA BITAÂ°</t>
  </si>
  <si>
    <t>cc677b13</t>
  </si>
  <si>
    <t>TANPA-MATCH</t>
  </si>
  <si>
    <t>blok usaha tidak kena di mana pun (peta NONE) â€” isi manual dari link</t>
  </si>
  <si>
    <t>bb557492</t>
  </si>
  <si>
    <t>presign-url (s3/edit) gagal: No access for assignment 5309073002001100 - DTSEN - 6 (bb557492-104c-44f6-843e-af</t>
  </si>
  <si>
    <t>7c421fa9</t>
  </si>
  <si>
    <t>POST https://fasih-sm.bps.go.id/app/api/assignment-submit/api/assignment/s3/edit -&gt; HTTP 504: &lt;html&gt;&lt;body&gt;&lt;h1&gt;</t>
  </si>
  <si>
    <t>62577f5b</t>
  </si>
  <si>
    <t>POST https://fasih-sm.bps.go.id/app/api/assignment-submit/api/assignment/s3/edit/presign-url -&gt; HTTP 404: {"ti</t>
  </si>
  <si>
    <t>e6bc22a2</t>
  </si>
  <si>
    <t>Respons bukan JSON dari https://fasih-sm.bps.go.id/app/api/assignment-general/api/assignment-history/get-by-as</t>
  </si>
  <si>
    <t>120f458c</t>
  </si>
  <si>
    <t>presign-url (s3/edit) gagal: No access for assignment 5309030023000300 - DTSEN - 26 (120f458c-61b4-4f31-9c2e-1</t>
  </si>
  <si>
    <t>d7cb1b32</t>
  </si>
  <si>
    <t>presign-url (s3/edit) gagal: No access for assignment 5309060040000200 - DTSEN - 1 (d7cb1b32-525e-4d5a-a0fb-ab</t>
  </si>
  <si>
    <t>9126d1b1</t>
  </si>
  <si>
    <t>presign-url (s3/edit) gagal: No access for assignment 5309074001000100 - DTSEN - 24 (9126d1b1-9515-4f81-84ce-9</t>
  </si>
  <si>
    <t>723a29fb</t>
  </si>
  <si>
    <t>presign-url (s3/edit) gagal: No access for assignment 5309073001001300 - DTSEN - 11 (723a29fb-b326-40e3-98d4-b</t>
  </si>
  <si>
    <t>db8813f6</t>
  </si>
  <si>
    <t>presign-url (s3/edit) gagal: No access for assignment 5309061008000900 - DTSEN - 1 (db8813f6-ed6d-46f0-8a1f-83</t>
  </si>
  <si>
    <t>81f24160</t>
  </si>
  <si>
    <t>presign-url (s3/edit) gagal: No access for assignment 5309073001000300 - DTSEN - 4 (81f24160-c681-4b3a-9fbe-65</t>
  </si>
  <si>
    <t>fc0075cf</t>
  </si>
  <si>
    <t>presign-url (s3/edit) gagal: No access for assignment 5309072007000800 - DTSEN - 21 (fc0075cf-e366-442c-9bcf-3</t>
  </si>
  <si>
    <t>e490c599</t>
  </si>
  <si>
    <t>presign-url (s3/edit) gagal: No access for assignment 5309060040000500 - DASIANUS MULI / APLIANA LELE - 1 /  -</t>
  </si>
  <si>
    <t>d09f31df</t>
  </si>
  <si>
    <t>presign-url (s3/edit) gagal: No access for assignment 5309070003000800 - DTSEN - 18 (d09f31df-6891-4c76-9350-1</t>
  </si>
  <si>
    <t>19fed708</t>
  </si>
  <si>
    <t>1a23961c</t>
  </si>
  <si>
    <t>presign-url (s3/edit) gagal: No access for assignment 5309061008001600 - ZAKARIAS LUIT / MARIA MAXILIANA DERAN</t>
  </si>
  <si>
    <t>cba676ec</t>
  </si>
  <si>
    <t>POST https://fasih-sm.bps.go.id/app/api/assignment-submit/api/assignment/s3/edit/presign-url -&gt; HTTP 504: &lt;htm</t>
  </si>
  <si>
    <t>f6003171</t>
  </si>
  <si>
    <t>Respons bukan JSON dari https://fasih-sm.bps.go.id/app/api/assignment-general/api/assignment/get-by-assignment</t>
  </si>
  <si>
    <t>fc27d4f3</t>
  </si>
  <si>
    <t>05833d34</t>
  </si>
  <si>
    <t>cb0ea229</t>
  </si>
  <si>
    <t>ca31d394</t>
  </si>
  <si>
    <t>ae7419cb</t>
  </si>
  <si>
    <t>9aef6c6c</t>
  </si>
  <si>
    <t>Respons bukan JSON dari https://fasih-sm.bps.go.id/app/api/assignment-submit/api/assignment/s3/edit: &lt;!DOCTYPE</t>
  </si>
  <si>
    <t>cek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</si>
</sst>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E36C09"/>
        <bgColor indexed="64"/>
      </patternFill>
    </fill>
    <fill>
      <patternFill patternType="solid">
        <fgColor theme="4" tint="0.7999511703848384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14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vertical="center"/>
    </xf>
    <xf numFmtId="0" fontId="4" fillId="4" borderId="0" xfId="0" applyFont="1" applyFill="1" applyAlignment="1">
      <alignment vertical="top"/>
    </xf>
    <xf numFmtId="3" fontId="5" fillId="0" borderId="0" xfId="0" applyNumberFormat="1" applyFont="1" applyAlignment="1">
      <alignment vertical="top"/>
    </xf>
    <xf numFmtId="0" fontId="4" fillId="4" borderId="0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AA00-037B-4B69-A476-08BCF735BCA3}">
  <dimension ref="A1:AD275"/>
  <sheetViews>
    <sheetView tabSelected="1" topLeftCell="C4" workbookViewId="0">
      <selection activeCell="AD4" sqref="AD4:AD275"/>
    </sheetView>
  </sheetViews>
  <sheetFormatPr defaultRowHeight="15" x14ac:dyDescent="0.25"/>
  <cols>
    <col min="1" max="1" width="15.42578125" customWidth="1"/>
    <col min="3" max="3" width="12.140625" customWidth="1"/>
    <col min="5" max="5" width="13" customWidth="1"/>
  </cols>
  <sheetData>
    <row r="1" spans="1:30" ht="21.75" thickBot="1" x14ac:dyDescent="0.4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30" ht="15.7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30" ht="90.75" thickBot="1" x14ac:dyDescent="0.3">
      <c r="A3" s="3" t="s">
        <v>1</v>
      </c>
      <c r="B3" s="3" t="s">
        <v>2</v>
      </c>
      <c r="C3" s="3" t="s">
        <v>3</v>
      </c>
      <c r="D3" s="3" t="s">
        <v>971</v>
      </c>
      <c r="E3" s="3" t="s">
        <v>972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4" t="s">
        <v>20</v>
      </c>
      <c r="W3" s="4" t="s">
        <v>21</v>
      </c>
      <c r="X3" s="8" t="s">
        <v>973</v>
      </c>
      <c r="Y3" s="8" t="s">
        <v>974</v>
      </c>
      <c r="Z3" s="8" t="s">
        <v>971</v>
      </c>
      <c r="AA3" s="8" t="s">
        <v>972</v>
      </c>
      <c r="AB3" s="8" t="s">
        <v>975</v>
      </c>
      <c r="AC3" s="10" t="s">
        <v>1051</v>
      </c>
    </row>
    <row r="4" spans="1:30" ht="270.75" thickBot="1" x14ac:dyDescent="0.3">
      <c r="A4" s="5">
        <v>46310</v>
      </c>
      <c r="B4" s="1">
        <v>5309</v>
      </c>
      <c r="C4" s="1">
        <v>5309070001001100</v>
      </c>
      <c r="D4" s="1" t="s">
        <v>22</v>
      </c>
      <c r="E4" s="1">
        <v>47112</v>
      </c>
      <c r="F4" s="1" t="s">
        <v>41</v>
      </c>
      <c r="G4" s="1" t="s">
        <v>42</v>
      </c>
      <c r="H4" s="1" t="s">
        <v>43</v>
      </c>
      <c r="I4" s="6">
        <v>13000000</v>
      </c>
      <c r="J4" s="6">
        <v>0</v>
      </c>
      <c r="K4" s="6">
        <v>500000</v>
      </c>
      <c r="L4" s="6">
        <v>0</v>
      </c>
      <c r="M4" s="1">
        <v>13500000</v>
      </c>
      <c r="N4" s="6">
        <v>20000000</v>
      </c>
      <c r="O4" s="6">
        <v>0</v>
      </c>
      <c r="P4" s="6">
        <v>6500000</v>
      </c>
      <c r="Q4" s="6">
        <v>2000000</v>
      </c>
      <c r="R4" s="6">
        <v>20000000</v>
      </c>
      <c r="S4" s="6">
        <v>0</v>
      </c>
      <c r="T4" s="6">
        <v>0.32500000000000001</v>
      </c>
      <c r="U4" s="1" t="s">
        <v>44</v>
      </c>
      <c r="V4" s="1"/>
      <c r="W4" s="1"/>
      <c r="X4" s="9">
        <v>266667</v>
      </c>
      <c r="Y4" s="9">
        <v>6933333</v>
      </c>
      <c r="Z4" s="1" t="s">
        <v>22</v>
      </c>
      <c r="AA4" s="1">
        <v>47112</v>
      </c>
      <c r="AB4" t="s">
        <v>39</v>
      </c>
      <c r="AC4" t="e">
        <f>VLOOKUP(U4,Sheet1!$F$1:$F$39,1,FALSE)</f>
        <v>#N/A</v>
      </c>
      <c r="AD4">
        <f>IF(ISNA(AC4),1,0)</f>
        <v>1</v>
      </c>
    </row>
    <row r="5" spans="1:30" ht="270.75" thickBot="1" x14ac:dyDescent="0.3">
      <c r="A5" s="5">
        <v>46310</v>
      </c>
      <c r="B5" s="1">
        <v>5309</v>
      </c>
      <c r="C5" s="1">
        <v>5309011007000800</v>
      </c>
      <c r="D5" s="1" t="s">
        <v>22</v>
      </c>
      <c r="E5" s="1">
        <v>47112</v>
      </c>
      <c r="F5" s="1" t="s">
        <v>45</v>
      </c>
      <c r="G5" s="1" t="s">
        <v>24</v>
      </c>
      <c r="H5" s="1" t="s">
        <v>46</v>
      </c>
      <c r="I5" s="6">
        <v>20000000</v>
      </c>
      <c r="J5" s="6">
        <v>100000000</v>
      </c>
      <c r="K5" s="6">
        <v>10000000</v>
      </c>
      <c r="L5" s="6">
        <v>300000</v>
      </c>
      <c r="M5" s="1">
        <v>130300000</v>
      </c>
      <c r="N5" s="6">
        <v>166000000</v>
      </c>
      <c r="O5" s="6">
        <v>16000000</v>
      </c>
      <c r="P5" s="6">
        <v>36000000</v>
      </c>
      <c r="Q5" s="6">
        <v>13000000</v>
      </c>
      <c r="R5" s="6">
        <v>66000000</v>
      </c>
      <c r="S5" s="6">
        <v>0.60241</v>
      </c>
      <c r="T5" s="6">
        <v>0.54545500000000002</v>
      </c>
      <c r="U5" s="1" t="s">
        <v>47</v>
      </c>
      <c r="V5" s="1"/>
      <c r="W5" s="1"/>
      <c r="X5" s="9">
        <v>7920000</v>
      </c>
      <c r="Y5" s="9">
        <v>15840000</v>
      </c>
      <c r="Z5" s="1" t="s">
        <v>22</v>
      </c>
      <c r="AA5" s="1">
        <v>47112</v>
      </c>
      <c r="AB5" t="s">
        <v>39</v>
      </c>
      <c r="AC5" t="e">
        <f>VLOOKUP(U5,Sheet1!$F$1:$F$39,1,FALSE)</f>
        <v>#N/A</v>
      </c>
      <c r="AD5">
        <f t="shared" ref="AD5:AD68" si="0">IF(ISNA(AC5),1,0)</f>
        <v>1</v>
      </c>
    </row>
    <row r="6" spans="1:30" ht="270.75" thickBot="1" x14ac:dyDescent="0.3">
      <c r="A6" s="5">
        <v>46310</v>
      </c>
      <c r="B6" s="1">
        <v>5309</v>
      </c>
      <c r="C6" s="1">
        <v>5309040011000300</v>
      </c>
      <c r="D6" s="1" t="s">
        <v>22</v>
      </c>
      <c r="E6" s="1">
        <v>47112</v>
      </c>
      <c r="F6" s="1" t="s">
        <v>48</v>
      </c>
      <c r="G6" s="1" t="s">
        <v>49</v>
      </c>
      <c r="H6" s="1" t="s">
        <v>50</v>
      </c>
      <c r="I6" s="6">
        <v>0</v>
      </c>
      <c r="J6" s="6">
        <v>36000000</v>
      </c>
      <c r="K6" s="6">
        <v>1320000</v>
      </c>
      <c r="L6" s="6">
        <v>0</v>
      </c>
      <c r="M6" s="1">
        <v>37320000</v>
      </c>
      <c r="N6" s="6">
        <v>46920000</v>
      </c>
      <c r="O6" s="6">
        <v>0</v>
      </c>
      <c r="P6" s="6">
        <v>9600000</v>
      </c>
      <c r="Q6" s="6">
        <v>0</v>
      </c>
      <c r="R6" s="6">
        <v>10920000</v>
      </c>
      <c r="S6" s="6">
        <v>0.76726300000000003</v>
      </c>
      <c r="T6" s="6">
        <v>0.87912100000000004</v>
      </c>
      <c r="U6" s="1" t="s">
        <v>51</v>
      </c>
      <c r="V6" s="1"/>
      <c r="W6" s="1"/>
      <c r="X6" s="9">
        <v>2402400</v>
      </c>
      <c r="Y6" s="9">
        <v>0</v>
      </c>
      <c r="Z6" s="1" t="s">
        <v>22</v>
      </c>
      <c r="AA6" s="1">
        <v>47112</v>
      </c>
      <c r="AB6" t="s">
        <v>39</v>
      </c>
      <c r="AC6" t="e">
        <f>VLOOKUP(U6,Sheet1!$F$1:$F$39,1,FALSE)</f>
        <v>#N/A</v>
      </c>
      <c r="AD6">
        <f t="shared" si="0"/>
        <v>1</v>
      </c>
    </row>
    <row r="7" spans="1:30" ht="270.75" thickBot="1" x14ac:dyDescent="0.3">
      <c r="A7" s="5">
        <v>46310</v>
      </c>
      <c r="B7" s="1">
        <v>5309</v>
      </c>
      <c r="C7" s="1">
        <v>5309040010000100</v>
      </c>
      <c r="D7" s="1" t="s">
        <v>22</v>
      </c>
      <c r="E7" s="1">
        <v>47112</v>
      </c>
      <c r="F7" s="1" t="s">
        <v>52</v>
      </c>
      <c r="G7" s="1" t="s">
        <v>34</v>
      </c>
      <c r="H7" s="1" t="s">
        <v>53</v>
      </c>
      <c r="I7" s="6">
        <v>0</v>
      </c>
      <c r="J7" s="6">
        <v>28800000</v>
      </c>
      <c r="K7" s="6">
        <v>0</v>
      </c>
      <c r="L7" s="6">
        <v>0</v>
      </c>
      <c r="M7" s="1">
        <v>0</v>
      </c>
      <c r="N7" s="6">
        <v>34800000</v>
      </c>
      <c r="O7" s="6">
        <v>0</v>
      </c>
      <c r="P7" s="6">
        <v>6000000</v>
      </c>
      <c r="Q7" s="6">
        <v>38200000</v>
      </c>
      <c r="R7" s="6">
        <v>6000000</v>
      </c>
      <c r="S7" s="6">
        <v>0.82758600000000004</v>
      </c>
      <c r="T7" s="6">
        <v>1</v>
      </c>
      <c r="U7" s="1" t="s">
        <v>54</v>
      </c>
      <c r="V7" s="1"/>
      <c r="W7" s="1"/>
      <c r="X7" s="9">
        <v>1320000</v>
      </c>
      <c r="Y7" s="9">
        <v>0</v>
      </c>
      <c r="Z7" s="1" t="s">
        <v>22</v>
      </c>
      <c r="AA7" s="1">
        <v>47112</v>
      </c>
      <c r="AB7" t="s">
        <v>39</v>
      </c>
      <c r="AC7" t="e">
        <f>VLOOKUP(U7,Sheet1!$F$1:$F$39,1,FALSE)</f>
        <v>#N/A</v>
      </c>
      <c r="AD7">
        <f t="shared" si="0"/>
        <v>1</v>
      </c>
    </row>
    <row r="8" spans="1:30" ht="270.75" thickBot="1" x14ac:dyDescent="0.3">
      <c r="A8" s="5">
        <v>46310</v>
      </c>
      <c r="B8" s="1">
        <v>5309</v>
      </c>
      <c r="C8" s="1">
        <v>5309070006000200</v>
      </c>
      <c r="D8" s="1" t="s">
        <v>22</v>
      </c>
      <c r="E8" s="1">
        <v>47112</v>
      </c>
      <c r="F8" s="1" t="s">
        <v>55</v>
      </c>
      <c r="G8" s="1" t="s">
        <v>56</v>
      </c>
      <c r="H8" s="1" t="s">
        <v>57</v>
      </c>
      <c r="I8" s="6">
        <v>100000</v>
      </c>
      <c r="J8" s="6">
        <v>22000000</v>
      </c>
      <c r="K8" s="6">
        <v>3000000</v>
      </c>
      <c r="L8" s="6">
        <v>500000</v>
      </c>
      <c r="M8" s="1">
        <v>25600000</v>
      </c>
      <c r="N8" s="6">
        <v>29000000</v>
      </c>
      <c r="O8" s="6">
        <v>0</v>
      </c>
      <c r="P8" s="6">
        <v>3900000</v>
      </c>
      <c r="Q8" s="6">
        <v>2500000</v>
      </c>
      <c r="R8" s="6">
        <v>7000000</v>
      </c>
      <c r="S8" s="6">
        <v>0.75862099999999999</v>
      </c>
      <c r="T8" s="6">
        <v>0.55714300000000005</v>
      </c>
      <c r="U8" s="1" t="s">
        <v>58</v>
      </c>
      <c r="V8" s="1"/>
      <c r="W8" s="1"/>
      <c r="X8" s="9">
        <v>2438710</v>
      </c>
      <c r="Y8" s="9">
        <v>81290</v>
      </c>
      <c r="Z8" s="1" t="s">
        <v>22</v>
      </c>
      <c r="AA8" s="1">
        <v>47112</v>
      </c>
      <c r="AB8" t="s">
        <v>39</v>
      </c>
      <c r="AC8" t="e">
        <f>VLOOKUP(U8,Sheet1!$F$1:$F$39,1,FALSE)</f>
        <v>#N/A</v>
      </c>
      <c r="AD8">
        <f t="shared" si="0"/>
        <v>1</v>
      </c>
    </row>
    <row r="9" spans="1:30" ht="270.75" thickBot="1" x14ac:dyDescent="0.3">
      <c r="A9" s="5">
        <v>46310</v>
      </c>
      <c r="B9" s="1">
        <v>5309</v>
      </c>
      <c r="C9" s="1">
        <v>5309062003000100</v>
      </c>
      <c r="D9" s="1" t="s">
        <v>22</v>
      </c>
      <c r="E9" s="1">
        <v>47112</v>
      </c>
      <c r="F9" s="1" t="s">
        <v>59</v>
      </c>
      <c r="G9" s="1" t="s">
        <v>60</v>
      </c>
      <c r="H9" s="1" t="s">
        <v>61</v>
      </c>
      <c r="I9" s="6">
        <v>300000</v>
      </c>
      <c r="J9" s="6">
        <v>10000000</v>
      </c>
      <c r="K9" s="6">
        <v>500000</v>
      </c>
      <c r="L9" s="6">
        <v>0</v>
      </c>
      <c r="M9" s="1">
        <v>1100000</v>
      </c>
      <c r="N9" s="6">
        <v>15000000</v>
      </c>
      <c r="O9" s="6">
        <v>0</v>
      </c>
      <c r="P9" s="6">
        <v>4200000</v>
      </c>
      <c r="Q9" s="6">
        <v>5400000</v>
      </c>
      <c r="R9" s="6">
        <v>5000000</v>
      </c>
      <c r="S9" s="6">
        <v>0.66666700000000001</v>
      </c>
      <c r="T9" s="6">
        <v>0.84</v>
      </c>
      <c r="U9" s="1" t="s">
        <v>62</v>
      </c>
      <c r="V9" s="1"/>
      <c r="W9" s="1"/>
      <c r="X9" s="9">
        <v>687500</v>
      </c>
      <c r="Y9" s="9">
        <v>412500</v>
      </c>
      <c r="Z9" s="1" t="s">
        <v>22</v>
      </c>
      <c r="AA9" s="1">
        <v>47112</v>
      </c>
      <c r="AB9" t="s">
        <v>39</v>
      </c>
      <c r="AC9" t="e">
        <f>VLOOKUP(U9,Sheet1!$F$1:$F$39,1,FALSE)</f>
        <v>#N/A</v>
      </c>
      <c r="AD9">
        <f t="shared" si="0"/>
        <v>1</v>
      </c>
    </row>
    <row r="10" spans="1:30" ht="270.75" thickBot="1" x14ac:dyDescent="0.3">
      <c r="A10" s="5">
        <v>46310</v>
      </c>
      <c r="B10" s="1">
        <v>5309</v>
      </c>
      <c r="C10" s="1">
        <v>5309030012001700</v>
      </c>
      <c r="D10" s="1" t="s">
        <v>22</v>
      </c>
      <c r="E10" s="1">
        <v>47112</v>
      </c>
      <c r="F10" s="1" t="s">
        <v>63</v>
      </c>
      <c r="G10" s="1" t="s">
        <v>64</v>
      </c>
      <c r="H10" s="1" t="s">
        <v>37</v>
      </c>
      <c r="I10" s="6">
        <v>0</v>
      </c>
      <c r="J10" s="6">
        <v>36000000</v>
      </c>
      <c r="K10" s="6">
        <v>4200000</v>
      </c>
      <c r="L10" s="6">
        <v>0</v>
      </c>
      <c r="M10" s="1">
        <v>3350000</v>
      </c>
      <c r="N10" s="6">
        <v>158400000</v>
      </c>
      <c r="O10" s="6">
        <v>0</v>
      </c>
      <c r="P10" s="6">
        <v>118200000</v>
      </c>
      <c r="Q10" s="6">
        <v>0</v>
      </c>
      <c r="R10" s="6">
        <v>122400000</v>
      </c>
      <c r="S10" s="6">
        <v>0.227273</v>
      </c>
      <c r="T10" s="6">
        <v>0.96568600000000004</v>
      </c>
      <c r="U10" s="1" t="s">
        <v>65</v>
      </c>
      <c r="V10" s="1"/>
      <c r="W10" s="1"/>
      <c r="X10" s="9">
        <v>26928000</v>
      </c>
      <c r="Y10" s="9">
        <v>0</v>
      </c>
      <c r="Z10" s="1" t="s">
        <v>22</v>
      </c>
      <c r="AA10" s="1">
        <v>47112</v>
      </c>
      <c r="AB10" t="s">
        <v>39</v>
      </c>
      <c r="AC10" t="e">
        <f>VLOOKUP(U10,Sheet1!$F$1:$F$39,1,FALSE)</f>
        <v>#N/A</v>
      </c>
      <c r="AD10">
        <f t="shared" si="0"/>
        <v>1</v>
      </c>
    </row>
    <row r="11" spans="1:30" ht="270.75" thickBot="1" x14ac:dyDescent="0.3">
      <c r="A11" s="5">
        <v>46310</v>
      </c>
      <c r="B11" s="1">
        <v>5309</v>
      </c>
      <c r="C11" s="1">
        <v>5309071007001700</v>
      </c>
      <c r="D11" s="1" t="s">
        <v>22</v>
      </c>
      <c r="E11" s="1">
        <v>47112</v>
      </c>
      <c r="F11" s="1" t="s">
        <v>66</v>
      </c>
      <c r="G11" s="1" t="s">
        <v>67</v>
      </c>
      <c r="H11" s="1" t="s">
        <v>29</v>
      </c>
      <c r="I11" s="6">
        <v>0</v>
      </c>
      <c r="J11" s="6">
        <v>8000000</v>
      </c>
      <c r="K11" s="6">
        <v>900000</v>
      </c>
      <c r="L11" s="6">
        <v>0</v>
      </c>
      <c r="M11" s="1">
        <v>8900000</v>
      </c>
      <c r="N11" s="6">
        <v>9500000</v>
      </c>
      <c r="O11" s="6">
        <v>0</v>
      </c>
      <c r="P11" s="6">
        <v>600000</v>
      </c>
      <c r="Q11" s="6">
        <v>2800000</v>
      </c>
      <c r="R11" s="6">
        <v>1500000</v>
      </c>
      <c r="S11" s="6">
        <v>0.84210499999999999</v>
      </c>
      <c r="T11" s="6">
        <v>0.4</v>
      </c>
      <c r="U11" s="1" t="s">
        <v>68</v>
      </c>
      <c r="V11" s="1"/>
      <c r="W11" s="1"/>
      <c r="X11" s="9">
        <v>540000</v>
      </c>
      <c r="Y11" s="9">
        <v>0</v>
      </c>
      <c r="Z11" s="1" t="s">
        <v>22</v>
      </c>
      <c r="AA11" s="1">
        <v>47112</v>
      </c>
      <c r="AB11" t="s">
        <v>39</v>
      </c>
      <c r="AC11" t="e">
        <f>VLOOKUP(U11,Sheet1!$F$1:$F$39,1,FALSE)</f>
        <v>#N/A</v>
      </c>
      <c r="AD11">
        <f t="shared" si="0"/>
        <v>1</v>
      </c>
    </row>
    <row r="12" spans="1:30" ht="270.75" thickBot="1" x14ac:dyDescent="0.3">
      <c r="A12" s="5">
        <v>46310</v>
      </c>
      <c r="B12" s="1">
        <v>5309</v>
      </c>
      <c r="C12" s="1">
        <v>5309070007000700</v>
      </c>
      <c r="D12" s="1" t="s">
        <v>22</v>
      </c>
      <c r="E12" s="1">
        <v>47112</v>
      </c>
      <c r="F12" s="1" t="s">
        <v>69</v>
      </c>
      <c r="G12" s="1" t="s">
        <v>70</v>
      </c>
      <c r="H12" s="1" t="s">
        <v>71</v>
      </c>
      <c r="I12" s="6">
        <v>100000</v>
      </c>
      <c r="J12" s="6">
        <v>24000000</v>
      </c>
      <c r="K12" s="6">
        <v>960000</v>
      </c>
      <c r="L12" s="6">
        <v>0</v>
      </c>
      <c r="M12" s="1">
        <v>25060000</v>
      </c>
      <c r="N12" s="6">
        <v>36000000</v>
      </c>
      <c r="O12" s="6">
        <v>0</v>
      </c>
      <c r="P12" s="6">
        <v>10940000</v>
      </c>
      <c r="Q12" s="6">
        <v>600000</v>
      </c>
      <c r="R12" s="6">
        <v>12000000</v>
      </c>
      <c r="S12" s="6">
        <v>0.66666700000000001</v>
      </c>
      <c r="T12" s="6">
        <v>0.91166700000000001</v>
      </c>
      <c r="U12" s="1" t="s">
        <v>72</v>
      </c>
      <c r="V12" s="1"/>
      <c r="W12" s="1"/>
      <c r="X12" s="9">
        <v>2390943</v>
      </c>
      <c r="Y12" s="9">
        <v>249057</v>
      </c>
      <c r="Z12" s="1" t="s">
        <v>22</v>
      </c>
      <c r="AA12" s="1">
        <v>47112</v>
      </c>
      <c r="AB12" t="s">
        <v>39</v>
      </c>
      <c r="AC12" t="e">
        <f>VLOOKUP(U12,Sheet1!$F$1:$F$39,1,FALSE)</f>
        <v>#N/A</v>
      </c>
      <c r="AD12">
        <f t="shared" si="0"/>
        <v>1</v>
      </c>
    </row>
    <row r="13" spans="1:30" ht="270.75" thickBot="1" x14ac:dyDescent="0.3">
      <c r="A13" s="5">
        <v>46310</v>
      </c>
      <c r="B13" s="1">
        <v>5309</v>
      </c>
      <c r="C13" s="1">
        <v>5309072002000500</v>
      </c>
      <c r="D13" s="1" t="s">
        <v>22</v>
      </c>
      <c r="E13" s="1">
        <v>47112</v>
      </c>
      <c r="F13" s="1" t="s">
        <v>73</v>
      </c>
      <c r="G13" s="1" t="s">
        <v>34</v>
      </c>
      <c r="H13" s="1" t="s">
        <v>74</v>
      </c>
      <c r="I13" s="6">
        <v>1000000</v>
      </c>
      <c r="J13" s="6">
        <v>250000</v>
      </c>
      <c r="K13" s="6">
        <v>0</v>
      </c>
      <c r="L13" s="6">
        <v>0</v>
      </c>
      <c r="M13" s="1">
        <v>300000</v>
      </c>
      <c r="N13" s="6">
        <v>8000000</v>
      </c>
      <c r="O13" s="6">
        <v>0</v>
      </c>
      <c r="P13" s="6">
        <v>6750000</v>
      </c>
      <c r="Q13" s="6">
        <v>1000000</v>
      </c>
      <c r="R13" s="6">
        <v>7750000</v>
      </c>
      <c r="S13" s="6">
        <v>3.125E-2</v>
      </c>
      <c r="T13" s="6">
        <v>0.87096799999999996</v>
      </c>
      <c r="U13" s="1" t="s">
        <v>75</v>
      </c>
      <c r="V13" s="1"/>
      <c r="W13" s="1"/>
      <c r="X13" s="9">
        <v>0</v>
      </c>
      <c r="Y13" s="9">
        <v>1705000</v>
      </c>
      <c r="Z13" s="1" t="s">
        <v>22</v>
      </c>
      <c r="AA13" s="1">
        <v>47112</v>
      </c>
      <c r="AB13" t="s">
        <v>39</v>
      </c>
      <c r="AC13" t="e">
        <f>VLOOKUP(U13,Sheet1!$F$1:$F$39,1,FALSE)</f>
        <v>#N/A</v>
      </c>
      <c r="AD13">
        <f t="shared" si="0"/>
        <v>1</v>
      </c>
    </row>
    <row r="14" spans="1:30" ht="270.75" thickBot="1" x14ac:dyDescent="0.3">
      <c r="A14" s="5">
        <v>46310</v>
      </c>
      <c r="B14" s="1">
        <v>5309</v>
      </c>
      <c r="C14" s="1">
        <v>5309050008001200</v>
      </c>
      <c r="D14" s="1" t="s">
        <v>22</v>
      </c>
      <c r="E14" s="1">
        <v>47112</v>
      </c>
      <c r="F14" s="1" t="s">
        <v>77</v>
      </c>
      <c r="G14" s="1" t="s">
        <v>78</v>
      </c>
      <c r="H14" s="1" t="s">
        <v>79</v>
      </c>
      <c r="I14" s="6">
        <v>0</v>
      </c>
      <c r="J14" s="6">
        <v>14000000</v>
      </c>
      <c r="K14" s="6">
        <v>100000</v>
      </c>
      <c r="L14" s="6">
        <v>0</v>
      </c>
      <c r="M14" s="1">
        <v>15000000</v>
      </c>
      <c r="N14" s="6">
        <v>18000000</v>
      </c>
      <c r="O14" s="6">
        <v>0</v>
      </c>
      <c r="P14" s="6">
        <v>3900000</v>
      </c>
      <c r="Q14" s="6">
        <v>7400000</v>
      </c>
      <c r="R14" s="6">
        <v>4000000</v>
      </c>
      <c r="S14" s="6">
        <v>0.77777799999999997</v>
      </c>
      <c r="T14" s="6">
        <v>0.97499999999999998</v>
      </c>
      <c r="U14" s="1" t="s">
        <v>80</v>
      </c>
      <c r="V14" s="1"/>
      <c r="W14" s="1"/>
      <c r="X14" s="9">
        <v>880000</v>
      </c>
      <c r="Y14" s="9">
        <v>0</v>
      </c>
      <c r="Z14" s="1" t="s">
        <v>22</v>
      </c>
      <c r="AA14" s="1">
        <v>47112</v>
      </c>
      <c r="AB14" t="s">
        <v>39</v>
      </c>
      <c r="AC14" t="e">
        <f>VLOOKUP(U14,Sheet1!$F$1:$F$39,1,FALSE)</f>
        <v>#N/A</v>
      </c>
      <c r="AD14">
        <f t="shared" si="0"/>
        <v>1</v>
      </c>
    </row>
    <row r="15" spans="1:30" ht="270.75" thickBot="1" x14ac:dyDescent="0.3">
      <c r="A15" s="5">
        <v>46310</v>
      </c>
      <c r="B15" s="1">
        <v>5309</v>
      </c>
      <c r="C15" s="1">
        <v>5309073009000100</v>
      </c>
      <c r="D15" s="1" t="s">
        <v>22</v>
      </c>
      <c r="E15" s="1">
        <v>47112</v>
      </c>
      <c r="F15" s="1" t="s">
        <v>81</v>
      </c>
      <c r="G15" s="1" t="s">
        <v>82</v>
      </c>
      <c r="H15" s="1" t="s">
        <v>83</v>
      </c>
      <c r="I15" s="6">
        <v>0</v>
      </c>
      <c r="J15" s="6">
        <v>60000000</v>
      </c>
      <c r="K15" s="6">
        <v>600000</v>
      </c>
      <c r="L15" s="6">
        <v>0</v>
      </c>
      <c r="M15" s="1">
        <v>60600000</v>
      </c>
      <c r="N15" s="6">
        <v>108000000</v>
      </c>
      <c r="O15" s="6">
        <v>0</v>
      </c>
      <c r="P15" s="6">
        <v>47400000</v>
      </c>
      <c r="Q15" s="6">
        <v>12500000</v>
      </c>
      <c r="R15" s="6">
        <v>48000000</v>
      </c>
      <c r="S15" s="6">
        <v>0.55555600000000005</v>
      </c>
      <c r="T15" s="6">
        <v>0.98750000000000004</v>
      </c>
      <c r="U15" s="1" t="s">
        <v>84</v>
      </c>
      <c r="V15" s="1"/>
      <c r="W15" s="1"/>
      <c r="X15" s="9">
        <v>10560000</v>
      </c>
      <c r="Y15" s="9">
        <v>0</v>
      </c>
      <c r="Z15" s="1" t="s">
        <v>22</v>
      </c>
      <c r="AA15" s="1">
        <v>47112</v>
      </c>
      <c r="AB15" t="s">
        <v>39</v>
      </c>
      <c r="AC15" t="e">
        <f>VLOOKUP(U15,Sheet1!$F$1:$F$39,1,FALSE)</f>
        <v>#N/A</v>
      </c>
      <c r="AD15">
        <f t="shared" si="0"/>
        <v>1</v>
      </c>
    </row>
    <row r="16" spans="1:30" ht="270.75" thickBot="1" x14ac:dyDescent="0.3">
      <c r="A16" s="5">
        <v>46310</v>
      </c>
      <c r="B16" s="1">
        <v>5309</v>
      </c>
      <c r="C16" s="1">
        <v>5309031008001800</v>
      </c>
      <c r="D16" s="1" t="s">
        <v>22</v>
      </c>
      <c r="E16" s="1">
        <v>47112</v>
      </c>
      <c r="F16" s="1" t="s">
        <v>85</v>
      </c>
      <c r="G16" s="1" t="s">
        <v>86</v>
      </c>
      <c r="H16" s="1" t="s">
        <v>87</v>
      </c>
      <c r="I16" s="6">
        <v>0</v>
      </c>
      <c r="J16" s="6">
        <v>24000000</v>
      </c>
      <c r="K16" s="6">
        <v>4800000</v>
      </c>
      <c r="L16" s="6">
        <v>0</v>
      </c>
      <c r="M16" s="1">
        <v>28800000</v>
      </c>
      <c r="N16" s="6">
        <v>33600000</v>
      </c>
      <c r="O16" s="6">
        <v>0</v>
      </c>
      <c r="P16" s="6">
        <v>4800000</v>
      </c>
      <c r="Q16" s="6">
        <v>25000000</v>
      </c>
      <c r="R16" s="6">
        <v>9600000</v>
      </c>
      <c r="S16" s="6">
        <v>0.71428599999999998</v>
      </c>
      <c r="T16" s="6">
        <v>0.5</v>
      </c>
      <c r="U16" s="1" t="s">
        <v>88</v>
      </c>
      <c r="V16" s="1"/>
      <c r="W16" s="1"/>
      <c r="X16" s="9">
        <v>3456000</v>
      </c>
      <c r="Y16" s="9">
        <v>0</v>
      </c>
      <c r="Z16" s="1" t="s">
        <v>22</v>
      </c>
      <c r="AA16" s="1">
        <v>47112</v>
      </c>
      <c r="AB16" t="s">
        <v>39</v>
      </c>
      <c r="AC16" t="e">
        <f>VLOOKUP(U16,Sheet1!$F$1:$F$39,1,FALSE)</f>
        <v>#N/A</v>
      </c>
      <c r="AD16">
        <f t="shared" si="0"/>
        <v>1</v>
      </c>
    </row>
    <row r="17" spans="1:30" ht="270.75" thickBot="1" x14ac:dyDescent="0.3">
      <c r="A17" s="5">
        <v>46310</v>
      </c>
      <c r="B17" s="1">
        <v>5309</v>
      </c>
      <c r="C17" s="1">
        <v>5309062002000500</v>
      </c>
      <c r="D17" s="1" t="s">
        <v>22</v>
      </c>
      <c r="E17" s="1">
        <v>47112</v>
      </c>
      <c r="F17" s="1" t="s">
        <v>89</v>
      </c>
      <c r="G17" s="1" t="s">
        <v>90</v>
      </c>
      <c r="H17" s="1" t="s">
        <v>91</v>
      </c>
      <c r="I17" s="6">
        <v>150000</v>
      </c>
      <c r="J17" s="6">
        <v>2000000</v>
      </c>
      <c r="K17" s="6">
        <v>500000</v>
      </c>
      <c r="L17" s="6">
        <v>0</v>
      </c>
      <c r="M17" s="1">
        <v>900000</v>
      </c>
      <c r="N17" s="6">
        <v>6000000</v>
      </c>
      <c r="O17" s="6">
        <v>0</v>
      </c>
      <c r="P17" s="6">
        <v>3350000</v>
      </c>
      <c r="Q17" s="6">
        <v>19000000</v>
      </c>
      <c r="R17" s="6">
        <v>4000000</v>
      </c>
      <c r="S17" s="6">
        <v>0.33333299999999999</v>
      </c>
      <c r="T17" s="6">
        <v>0.83750000000000002</v>
      </c>
      <c r="U17" s="1" t="s">
        <v>92</v>
      </c>
      <c r="V17" s="1"/>
      <c r="W17" s="1"/>
      <c r="X17" s="9">
        <v>676923</v>
      </c>
      <c r="Y17" s="9">
        <v>203077</v>
      </c>
      <c r="Z17" s="1" t="s">
        <v>22</v>
      </c>
      <c r="AA17" s="1">
        <v>47112</v>
      </c>
      <c r="AB17" t="s">
        <v>39</v>
      </c>
      <c r="AC17" t="e">
        <f>VLOOKUP(U17,Sheet1!$F$1:$F$39,1,FALSE)</f>
        <v>#N/A</v>
      </c>
      <c r="AD17">
        <f t="shared" si="0"/>
        <v>1</v>
      </c>
    </row>
    <row r="18" spans="1:30" ht="270.75" thickBot="1" x14ac:dyDescent="0.3">
      <c r="A18" s="5">
        <v>46310</v>
      </c>
      <c r="B18" s="1">
        <v>5309</v>
      </c>
      <c r="C18" s="1">
        <v>5309030012000700</v>
      </c>
      <c r="D18" s="1" t="s">
        <v>22</v>
      </c>
      <c r="E18" s="1">
        <v>47112</v>
      </c>
      <c r="F18" s="1" t="s">
        <v>93</v>
      </c>
      <c r="G18" s="1" t="s">
        <v>94</v>
      </c>
      <c r="H18" s="1" t="s">
        <v>95</v>
      </c>
      <c r="I18" s="6">
        <v>5000000</v>
      </c>
      <c r="J18" s="6">
        <v>1000000</v>
      </c>
      <c r="K18" s="6">
        <v>100000</v>
      </c>
      <c r="L18" s="6">
        <v>0</v>
      </c>
      <c r="M18" s="1">
        <v>200000</v>
      </c>
      <c r="N18" s="6">
        <v>7500000</v>
      </c>
      <c r="O18" s="6">
        <v>0</v>
      </c>
      <c r="P18" s="6">
        <v>1400000</v>
      </c>
      <c r="Q18" s="6">
        <v>8600000</v>
      </c>
      <c r="R18" s="6">
        <v>6500000</v>
      </c>
      <c r="S18" s="6">
        <v>0.13333300000000001</v>
      </c>
      <c r="T18" s="6">
        <v>0.21538499999999999</v>
      </c>
      <c r="U18" s="1" t="s">
        <v>96</v>
      </c>
      <c r="V18" s="1"/>
      <c r="W18" s="1"/>
      <c r="X18" s="9">
        <v>45882</v>
      </c>
      <c r="Y18" s="9">
        <v>2294118</v>
      </c>
      <c r="Z18" s="1" t="s">
        <v>22</v>
      </c>
      <c r="AA18" s="1">
        <v>47112</v>
      </c>
      <c r="AB18" t="s">
        <v>39</v>
      </c>
      <c r="AC18" t="e">
        <f>VLOOKUP(U18,Sheet1!$F$1:$F$39,1,FALSE)</f>
        <v>#N/A</v>
      </c>
      <c r="AD18">
        <f t="shared" si="0"/>
        <v>1</v>
      </c>
    </row>
    <row r="19" spans="1:30" ht="270.75" thickBot="1" x14ac:dyDescent="0.3">
      <c r="A19" s="5">
        <v>46310</v>
      </c>
      <c r="B19" s="1">
        <v>5309</v>
      </c>
      <c r="C19" s="1">
        <v>5309074001000100</v>
      </c>
      <c r="D19" s="1" t="s">
        <v>22</v>
      </c>
      <c r="E19" s="1">
        <v>47112</v>
      </c>
      <c r="F19" s="1" t="s">
        <v>97</v>
      </c>
      <c r="G19" s="1" t="s">
        <v>98</v>
      </c>
      <c r="H19" s="1" t="s">
        <v>99</v>
      </c>
      <c r="I19" s="6">
        <v>500000</v>
      </c>
      <c r="J19" s="6">
        <v>5000000</v>
      </c>
      <c r="K19" s="6">
        <v>500000</v>
      </c>
      <c r="L19" s="6">
        <v>0</v>
      </c>
      <c r="M19" s="1">
        <v>6000000</v>
      </c>
      <c r="N19" s="6">
        <v>10000000</v>
      </c>
      <c r="O19" s="6">
        <v>0</v>
      </c>
      <c r="P19" s="6">
        <v>4000000</v>
      </c>
      <c r="Q19" s="6">
        <v>11200000</v>
      </c>
      <c r="R19" s="6">
        <v>5000000</v>
      </c>
      <c r="S19" s="6">
        <v>0.5</v>
      </c>
      <c r="T19" s="6">
        <v>0.8</v>
      </c>
      <c r="U19" s="1" t="s">
        <v>100</v>
      </c>
      <c r="V19" s="1"/>
      <c r="W19" s="1"/>
      <c r="X19" s="9">
        <v>550000</v>
      </c>
      <c r="Y19" s="9">
        <v>550000</v>
      </c>
      <c r="Z19" s="1" t="s">
        <v>22</v>
      </c>
      <c r="AA19" s="1">
        <v>47112</v>
      </c>
      <c r="AB19" t="s">
        <v>39</v>
      </c>
      <c r="AC19" t="e">
        <f>VLOOKUP(U19,Sheet1!$F$1:$F$39,1,FALSE)</f>
        <v>#N/A</v>
      </c>
      <c r="AD19">
        <f t="shared" si="0"/>
        <v>1</v>
      </c>
    </row>
    <row r="20" spans="1:30" ht="270.75" thickBot="1" x14ac:dyDescent="0.3">
      <c r="A20" s="5">
        <v>46310</v>
      </c>
      <c r="B20" s="1">
        <v>5309</v>
      </c>
      <c r="C20" s="1">
        <v>5309074004001200</v>
      </c>
      <c r="D20" s="1" t="s">
        <v>22</v>
      </c>
      <c r="E20" s="1">
        <v>47112</v>
      </c>
      <c r="F20" s="1" t="s">
        <v>101</v>
      </c>
      <c r="G20" s="1" t="s">
        <v>102</v>
      </c>
      <c r="H20" s="1" t="s">
        <v>103</v>
      </c>
      <c r="I20" s="6">
        <v>150000</v>
      </c>
      <c r="J20" s="6">
        <v>7500000</v>
      </c>
      <c r="K20" s="6">
        <v>375000</v>
      </c>
      <c r="L20" s="6">
        <v>0</v>
      </c>
      <c r="M20" s="1">
        <v>1950000</v>
      </c>
      <c r="N20" s="6">
        <v>11000000</v>
      </c>
      <c r="O20" s="6">
        <v>0</v>
      </c>
      <c r="P20" s="6">
        <v>2975000</v>
      </c>
      <c r="Q20" s="6">
        <v>3850000</v>
      </c>
      <c r="R20" s="6">
        <v>3500000</v>
      </c>
      <c r="S20" s="6">
        <v>0.68181800000000004</v>
      </c>
      <c r="T20" s="6">
        <v>0.85</v>
      </c>
      <c r="U20" s="1" t="s">
        <v>104</v>
      </c>
      <c r="V20" s="1"/>
      <c r="W20" s="1"/>
      <c r="X20" s="9">
        <v>550000</v>
      </c>
      <c r="Y20" s="9">
        <v>220000</v>
      </c>
      <c r="Z20" s="1" t="s">
        <v>22</v>
      </c>
      <c r="AA20" s="1">
        <v>47112</v>
      </c>
      <c r="AB20" t="s">
        <v>39</v>
      </c>
      <c r="AC20" t="e">
        <f>VLOOKUP(U20,Sheet1!$F$1:$F$39,1,FALSE)</f>
        <v>#N/A</v>
      </c>
      <c r="AD20">
        <f t="shared" si="0"/>
        <v>1</v>
      </c>
    </row>
    <row r="21" spans="1:30" ht="255.75" thickBot="1" x14ac:dyDescent="0.3">
      <c r="A21" s="5">
        <v>46310</v>
      </c>
      <c r="B21" s="1">
        <v>5309</v>
      </c>
      <c r="C21" s="1">
        <v>5309030011000700</v>
      </c>
      <c r="D21" s="1" t="s">
        <v>22</v>
      </c>
      <c r="E21" s="1">
        <v>47112</v>
      </c>
      <c r="F21" s="1" t="s">
        <v>105</v>
      </c>
      <c r="G21" s="1" t="s">
        <v>30</v>
      </c>
      <c r="H21" s="1" t="s">
        <v>106</v>
      </c>
      <c r="I21" s="6">
        <v>1500000</v>
      </c>
      <c r="J21" s="6">
        <v>300000</v>
      </c>
      <c r="K21" s="6">
        <v>50000</v>
      </c>
      <c r="L21" s="6">
        <v>0</v>
      </c>
      <c r="M21" s="1">
        <v>1850000</v>
      </c>
      <c r="N21" s="6">
        <v>3500000</v>
      </c>
      <c r="O21" s="6">
        <v>0</v>
      </c>
      <c r="P21" s="6">
        <v>1650000</v>
      </c>
      <c r="Q21" s="6">
        <v>5000000</v>
      </c>
      <c r="R21" s="6">
        <v>3200000</v>
      </c>
      <c r="S21" s="6">
        <v>8.5713999999999999E-2</v>
      </c>
      <c r="T21" s="6">
        <v>0.515625</v>
      </c>
      <c r="U21" s="1" t="s">
        <v>107</v>
      </c>
      <c r="V21" s="1"/>
      <c r="W21" s="1"/>
      <c r="X21" s="9">
        <v>37161</v>
      </c>
      <c r="Y21" s="9">
        <v>1114839</v>
      </c>
      <c r="Z21" s="1" t="s">
        <v>22</v>
      </c>
      <c r="AA21" s="1">
        <v>47112</v>
      </c>
      <c r="AB21" t="s">
        <v>39</v>
      </c>
      <c r="AC21" t="e">
        <f>VLOOKUP(U21,Sheet1!$F$1:$F$39,1,FALSE)</f>
        <v>#N/A</v>
      </c>
      <c r="AD21">
        <f t="shared" si="0"/>
        <v>1</v>
      </c>
    </row>
    <row r="22" spans="1:30" ht="270.75" thickBot="1" x14ac:dyDescent="0.3">
      <c r="A22" s="5">
        <v>46310</v>
      </c>
      <c r="B22" s="1">
        <v>5309</v>
      </c>
      <c r="C22" s="1">
        <v>5309050017000500</v>
      </c>
      <c r="D22" s="1" t="s">
        <v>22</v>
      </c>
      <c r="E22" s="1">
        <v>47112</v>
      </c>
      <c r="F22" s="1" t="s">
        <v>108</v>
      </c>
      <c r="G22" s="1" t="s">
        <v>109</v>
      </c>
      <c r="H22" s="1" t="s">
        <v>110</v>
      </c>
      <c r="I22" s="6">
        <v>0</v>
      </c>
      <c r="J22" s="6">
        <v>15000000</v>
      </c>
      <c r="K22" s="6">
        <v>7000000</v>
      </c>
      <c r="L22" s="6">
        <v>0</v>
      </c>
      <c r="M22" s="1">
        <v>22000000</v>
      </c>
      <c r="N22" s="6">
        <v>29000000</v>
      </c>
      <c r="O22" s="6">
        <v>0</v>
      </c>
      <c r="P22" s="6">
        <v>7000000</v>
      </c>
      <c r="Q22" s="6">
        <v>6500000</v>
      </c>
      <c r="R22" s="6">
        <v>14000000</v>
      </c>
      <c r="S22" s="6">
        <v>0.51724099999999995</v>
      </c>
      <c r="T22" s="6">
        <v>0.5</v>
      </c>
      <c r="U22" s="1" t="s">
        <v>111</v>
      </c>
      <c r="V22" s="1"/>
      <c r="W22" s="1"/>
      <c r="X22" s="9">
        <v>5040000</v>
      </c>
      <c r="Y22" s="9">
        <v>0</v>
      </c>
      <c r="Z22" s="1" t="s">
        <v>22</v>
      </c>
      <c r="AA22" s="1">
        <v>47112</v>
      </c>
      <c r="AB22" t="s">
        <v>39</v>
      </c>
      <c r="AC22" t="e">
        <f>VLOOKUP(U22,Sheet1!$F$1:$F$39,1,FALSE)</f>
        <v>#N/A</v>
      </c>
      <c r="AD22">
        <f t="shared" si="0"/>
        <v>1</v>
      </c>
    </row>
    <row r="23" spans="1:30" ht="270.75" thickBot="1" x14ac:dyDescent="0.3">
      <c r="A23" s="5">
        <v>46310</v>
      </c>
      <c r="B23" s="1">
        <v>5309</v>
      </c>
      <c r="C23" s="1">
        <v>5309030028000300</v>
      </c>
      <c r="D23" s="1" t="s">
        <v>22</v>
      </c>
      <c r="E23" s="1">
        <v>47112</v>
      </c>
      <c r="F23" s="1" t="s">
        <v>112</v>
      </c>
      <c r="G23" s="1" t="s">
        <v>113</v>
      </c>
      <c r="H23" s="1" t="s">
        <v>113</v>
      </c>
      <c r="I23" s="6">
        <v>14400000</v>
      </c>
      <c r="J23" s="6">
        <v>0</v>
      </c>
      <c r="K23" s="6">
        <v>0</v>
      </c>
      <c r="L23" s="6">
        <v>0</v>
      </c>
      <c r="M23" s="1">
        <v>500000</v>
      </c>
      <c r="N23" s="6">
        <v>24000000</v>
      </c>
      <c r="O23" s="6">
        <v>0</v>
      </c>
      <c r="P23" s="6">
        <v>9600000</v>
      </c>
      <c r="Q23" s="6">
        <v>40000000</v>
      </c>
      <c r="R23" s="6">
        <v>24000000</v>
      </c>
      <c r="S23" s="6">
        <v>0</v>
      </c>
      <c r="T23" s="6">
        <v>0.4</v>
      </c>
      <c r="U23" s="1" t="s">
        <v>114</v>
      </c>
      <c r="V23" s="1"/>
      <c r="W23" s="1"/>
      <c r="X23" s="9">
        <v>0</v>
      </c>
      <c r="Y23" s="9">
        <v>8640000</v>
      </c>
      <c r="Z23" s="1" t="s">
        <v>22</v>
      </c>
      <c r="AA23" s="1">
        <v>47112</v>
      </c>
      <c r="AB23" t="s">
        <v>39</v>
      </c>
      <c r="AC23" t="e">
        <f>VLOOKUP(U23,Sheet1!$F$1:$F$39,1,FALSE)</f>
        <v>#N/A</v>
      </c>
      <c r="AD23">
        <f t="shared" si="0"/>
        <v>1</v>
      </c>
    </row>
    <row r="24" spans="1:30" ht="270.75" thickBot="1" x14ac:dyDescent="0.3">
      <c r="A24" s="5">
        <v>46310</v>
      </c>
      <c r="B24" s="1">
        <v>5309</v>
      </c>
      <c r="C24" s="1">
        <v>5309074004001100</v>
      </c>
      <c r="D24" s="1" t="s">
        <v>22</v>
      </c>
      <c r="E24" s="1">
        <v>47112</v>
      </c>
      <c r="F24" s="1" t="s">
        <v>115</v>
      </c>
      <c r="G24" s="1" t="s">
        <v>116</v>
      </c>
      <c r="H24" s="1" t="s">
        <v>117</v>
      </c>
      <c r="I24" s="6">
        <v>500000</v>
      </c>
      <c r="J24" s="6">
        <v>8500000</v>
      </c>
      <c r="K24" s="6">
        <v>0</v>
      </c>
      <c r="L24" s="6">
        <v>0</v>
      </c>
      <c r="M24" s="1">
        <v>350000</v>
      </c>
      <c r="N24" s="6">
        <v>15000000</v>
      </c>
      <c r="O24" s="6">
        <v>0</v>
      </c>
      <c r="P24" s="6">
        <v>6000000</v>
      </c>
      <c r="Q24" s="6">
        <v>0</v>
      </c>
      <c r="R24" s="6">
        <v>6500000</v>
      </c>
      <c r="S24" s="6">
        <v>0.56666700000000003</v>
      </c>
      <c r="T24" s="6">
        <v>0.92307700000000004</v>
      </c>
      <c r="U24" s="1" t="s">
        <v>118</v>
      </c>
      <c r="V24" s="1"/>
      <c r="W24" s="1"/>
      <c r="X24" s="9">
        <v>0</v>
      </c>
      <c r="Y24" s="9">
        <v>1430000</v>
      </c>
      <c r="Z24" s="1" t="s">
        <v>22</v>
      </c>
      <c r="AA24" s="1">
        <v>47112</v>
      </c>
      <c r="AB24" t="s">
        <v>39</v>
      </c>
      <c r="AC24" t="e">
        <f>VLOOKUP(U24,Sheet1!$F$1:$F$39,1,FALSE)</f>
        <v>#N/A</v>
      </c>
      <c r="AD24">
        <f t="shared" si="0"/>
        <v>1</v>
      </c>
    </row>
    <row r="25" spans="1:30" ht="270.75" thickBot="1" x14ac:dyDescent="0.3">
      <c r="A25" s="5">
        <v>46310</v>
      </c>
      <c r="B25" s="1">
        <v>5309</v>
      </c>
      <c r="C25" s="1">
        <v>5309021003001300</v>
      </c>
      <c r="D25" s="1" t="s">
        <v>22</v>
      </c>
      <c r="E25" s="1">
        <v>47112</v>
      </c>
      <c r="F25" s="1" t="s">
        <v>89</v>
      </c>
      <c r="G25" s="1" t="s">
        <v>30</v>
      </c>
      <c r="H25" s="1" t="s">
        <v>29</v>
      </c>
      <c r="I25" s="6">
        <v>0</v>
      </c>
      <c r="J25" s="6">
        <v>8500000</v>
      </c>
      <c r="K25" s="6">
        <v>250000</v>
      </c>
      <c r="L25" s="6">
        <v>50000</v>
      </c>
      <c r="M25" s="1">
        <v>8800000</v>
      </c>
      <c r="N25" s="6">
        <v>13500000</v>
      </c>
      <c r="O25" s="6">
        <v>0</v>
      </c>
      <c r="P25" s="6">
        <v>4750000</v>
      </c>
      <c r="Q25" s="6">
        <v>18500000</v>
      </c>
      <c r="R25" s="6">
        <v>5000000</v>
      </c>
      <c r="S25" s="6">
        <v>0.62963000000000002</v>
      </c>
      <c r="T25" s="6">
        <v>0.95</v>
      </c>
      <c r="U25" s="1" t="s">
        <v>119</v>
      </c>
      <c r="V25" s="1"/>
      <c r="W25" s="1"/>
      <c r="X25" s="9">
        <v>1100000</v>
      </c>
      <c r="Y25" s="9">
        <v>0</v>
      </c>
      <c r="Z25" s="1" t="s">
        <v>22</v>
      </c>
      <c r="AA25" s="1">
        <v>47112</v>
      </c>
      <c r="AB25" t="s">
        <v>39</v>
      </c>
      <c r="AC25" t="e">
        <f>VLOOKUP(U25,Sheet1!$F$1:$F$39,1,FALSE)</f>
        <v>#N/A</v>
      </c>
      <c r="AD25">
        <f t="shared" si="0"/>
        <v>1</v>
      </c>
    </row>
    <row r="26" spans="1:30" ht="270.75" thickBot="1" x14ac:dyDescent="0.3">
      <c r="A26" s="5">
        <v>46310</v>
      </c>
      <c r="B26" s="1">
        <v>5309</v>
      </c>
      <c r="C26" s="1">
        <v>5309070002000300</v>
      </c>
      <c r="D26" s="1" t="s">
        <v>22</v>
      </c>
      <c r="E26" s="1">
        <v>47112</v>
      </c>
      <c r="F26" s="1" t="s">
        <v>120</v>
      </c>
      <c r="G26" s="1" t="s">
        <v>24</v>
      </c>
      <c r="H26" s="1" t="s">
        <v>29</v>
      </c>
      <c r="I26" s="6">
        <v>300000</v>
      </c>
      <c r="J26" s="6">
        <v>60000000</v>
      </c>
      <c r="K26" s="6">
        <v>1500000</v>
      </c>
      <c r="L26" s="6">
        <v>0</v>
      </c>
      <c r="M26" s="1">
        <v>61800000</v>
      </c>
      <c r="N26" s="6">
        <v>75000000</v>
      </c>
      <c r="O26" s="6">
        <v>0</v>
      </c>
      <c r="P26" s="6">
        <v>13200000</v>
      </c>
      <c r="Q26" s="6">
        <v>48500000</v>
      </c>
      <c r="R26" s="6">
        <v>15000000</v>
      </c>
      <c r="S26" s="6">
        <v>0.8</v>
      </c>
      <c r="T26" s="6">
        <v>0.88</v>
      </c>
      <c r="U26" s="1" t="s">
        <v>121</v>
      </c>
      <c r="V26" s="1"/>
      <c r="W26" s="1"/>
      <c r="X26" s="9">
        <v>2750000</v>
      </c>
      <c r="Y26" s="9">
        <v>550000</v>
      </c>
      <c r="Z26" s="1" t="s">
        <v>22</v>
      </c>
      <c r="AA26" s="1">
        <v>47112</v>
      </c>
      <c r="AB26" t="s">
        <v>39</v>
      </c>
      <c r="AC26" t="e">
        <f>VLOOKUP(U26,Sheet1!$F$1:$F$39,1,FALSE)</f>
        <v>#N/A</v>
      </c>
      <c r="AD26">
        <f t="shared" si="0"/>
        <v>1</v>
      </c>
    </row>
    <row r="27" spans="1:30" ht="270.75" thickBot="1" x14ac:dyDescent="0.3">
      <c r="A27" s="5">
        <v>46310</v>
      </c>
      <c r="B27" s="1">
        <v>5309</v>
      </c>
      <c r="C27" s="1">
        <v>5309050016000300</v>
      </c>
      <c r="D27" s="1" t="s">
        <v>22</v>
      </c>
      <c r="E27" s="1">
        <v>47211</v>
      </c>
      <c r="F27" s="1" t="s">
        <v>122</v>
      </c>
      <c r="G27" s="1" t="s">
        <v>123</v>
      </c>
      <c r="H27" s="1" t="s">
        <v>124</v>
      </c>
      <c r="I27" s="6">
        <v>0</v>
      </c>
      <c r="J27" s="6">
        <v>5000000</v>
      </c>
      <c r="K27" s="6">
        <v>1000000</v>
      </c>
      <c r="L27" s="6">
        <v>0</v>
      </c>
      <c r="M27" s="1">
        <v>6000000</v>
      </c>
      <c r="N27" s="6">
        <v>10200000</v>
      </c>
      <c r="O27" s="6">
        <v>0</v>
      </c>
      <c r="P27" s="6">
        <v>4200000</v>
      </c>
      <c r="Q27" s="6">
        <v>200000</v>
      </c>
      <c r="R27" s="6">
        <v>5200000</v>
      </c>
      <c r="S27" s="6">
        <v>0.49019600000000002</v>
      </c>
      <c r="T27" s="6">
        <v>0.80769199999999997</v>
      </c>
      <c r="U27" s="1" t="s">
        <v>125</v>
      </c>
      <c r="V27" s="1"/>
      <c r="W27" s="1"/>
      <c r="X27" s="9">
        <v>1144000</v>
      </c>
      <c r="Y27" s="9">
        <v>0</v>
      </c>
      <c r="Z27" s="1" t="s">
        <v>22</v>
      </c>
      <c r="AA27" s="1">
        <v>47211</v>
      </c>
      <c r="AB27" t="s">
        <v>39</v>
      </c>
      <c r="AC27" t="e">
        <f>VLOOKUP(U27,Sheet1!$F$1:$F$39,1,FALSE)</f>
        <v>#N/A</v>
      </c>
      <c r="AD27">
        <f t="shared" si="0"/>
        <v>1</v>
      </c>
    </row>
    <row r="28" spans="1:30" ht="270.75" thickBot="1" x14ac:dyDescent="0.3">
      <c r="A28" s="5">
        <v>46310</v>
      </c>
      <c r="B28" s="1">
        <v>5309</v>
      </c>
      <c r="C28" s="1">
        <v>5309040010000600</v>
      </c>
      <c r="D28" s="1" t="s">
        <v>22</v>
      </c>
      <c r="E28" s="1">
        <v>47211</v>
      </c>
      <c r="F28" s="1" t="s">
        <v>126</v>
      </c>
      <c r="G28" s="1" t="s">
        <v>123</v>
      </c>
      <c r="H28" s="1" t="s">
        <v>124</v>
      </c>
      <c r="I28" s="6">
        <v>0</v>
      </c>
      <c r="J28" s="6">
        <v>1200000</v>
      </c>
      <c r="K28" s="6">
        <v>120000</v>
      </c>
      <c r="L28" s="6">
        <v>0</v>
      </c>
      <c r="M28" s="1">
        <v>110000</v>
      </c>
      <c r="N28" s="6">
        <v>2760000</v>
      </c>
      <c r="O28" s="6">
        <v>0</v>
      </c>
      <c r="P28" s="6">
        <v>1440000</v>
      </c>
      <c r="Q28" s="6">
        <v>0</v>
      </c>
      <c r="R28" s="6">
        <v>1560000</v>
      </c>
      <c r="S28" s="6">
        <v>0.43478299999999998</v>
      </c>
      <c r="T28" s="6">
        <v>0.92307700000000004</v>
      </c>
      <c r="U28" s="1" t="s">
        <v>127</v>
      </c>
      <c r="V28" s="1"/>
      <c r="W28" s="1"/>
      <c r="X28" s="9">
        <v>343200</v>
      </c>
      <c r="Y28" s="9">
        <v>0</v>
      </c>
      <c r="Z28" s="1" t="s">
        <v>22</v>
      </c>
      <c r="AA28" s="1">
        <v>47211</v>
      </c>
      <c r="AB28" t="s">
        <v>39</v>
      </c>
      <c r="AC28" t="e">
        <f>VLOOKUP(U28,Sheet1!$F$1:$F$39,1,FALSE)</f>
        <v>#N/A</v>
      </c>
      <c r="AD28">
        <f t="shared" si="0"/>
        <v>1</v>
      </c>
    </row>
    <row r="29" spans="1:30" ht="255.75" thickBot="1" x14ac:dyDescent="0.3">
      <c r="A29" s="5">
        <v>46310</v>
      </c>
      <c r="B29" s="1">
        <v>5309</v>
      </c>
      <c r="C29" s="1">
        <v>5309061008001200</v>
      </c>
      <c r="D29" s="1" t="s">
        <v>22</v>
      </c>
      <c r="E29" s="1">
        <v>47211</v>
      </c>
      <c r="F29" s="1" t="s">
        <v>128</v>
      </c>
      <c r="G29" s="1" t="s">
        <v>129</v>
      </c>
      <c r="H29" s="1" t="s">
        <v>130</v>
      </c>
      <c r="I29" s="6">
        <v>0</v>
      </c>
      <c r="J29" s="6">
        <v>0</v>
      </c>
      <c r="K29" s="6">
        <v>100000</v>
      </c>
      <c r="L29" s="6">
        <v>0</v>
      </c>
      <c r="M29" s="1">
        <v>100000</v>
      </c>
      <c r="N29" s="6">
        <v>7200000</v>
      </c>
      <c r="O29" s="6">
        <v>0</v>
      </c>
      <c r="P29" s="6">
        <v>7100000</v>
      </c>
      <c r="Q29" s="6">
        <v>0</v>
      </c>
      <c r="R29" s="6">
        <v>7200000</v>
      </c>
      <c r="S29" s="6">
        <v>0</v>
      </c>
      <c r="T29" s="6">
        <v>0.98611099999999996</v>
      </c>
      <c r="U29" s="1" t="s">
        <v>131</v>
      </c>
      <c r="V29" s="1"/>
      <c r="W29" s="1"/>
      <c r="X29" s="9">
        <v>1584000</v>
      </c>
      <c r="Y29" s="9">
        <v>0</v>
      </c>
      <c r="Z29" s="1" t="s">
        <v>22</v>
      </c>
      <c r="AA29" s="1">
        <v>47211</v>
      </c>
      <c r="AB29" t="s">
        <v>39</v>
      </c>
      <c r="AC29" t="e">
        <f>VLOOKUP(U29,Sheet1!$F$1:$F$39,1,FALSE)</f>
        <v>#N/A</v>
      </c>
      <c r="AD29">
        <f t="shared" si="0"/>
        <v>1</v>
      </c>
    </row>
    <row r="30" spans="1:30" ht="270.75" thickBot="1" x14ac:dyDescent="0.3">
      <c r="A30" s="5">
        <v>46310</v>
      </c>
      <c r="B30" s="1">
        <v>5309</v>
      </c>
      <c r="C30" s="1">
        <v>5309050018000500</v>
      </c>
      <c r="D30" s="1" t="s">
        <v>22</v>
      </c>
      <c r="E30" s="1">
        <v>47211</v>
      </c>
      <c r="F30" s="1" t="s">
        <v>132</v>
      </c>
      <c r="G30" s="1" t="s">
        <v>133</v>
      </c>
      <c r="H30" s="1" t="s">
        <v>134</v>
      </c>
      <c r="I30" s="6">
        <v>2000000</v>
      </c>
      <c r="J30" s="6">
        <v>5000000</v>
      </c>
      <c r="K30" s="6">
        <v>1000000</v>
      </c>
      <c r="L30" s="6">
        <v>0</v>
      </c>
      <c r="M30" s="1">
        <v>100000</v>
      </c>
      <c r="N30" s="6">
        <v>10000000</v>
      </c>
      <c r="O30" s="6">
        <v>0</v>
      </c>
      <c r="P30" s="6">
        <v>2000000</v>
      </c>
      <c r="Q30" s="6">
        <v>200000</v>
      </c>
      <c r="R30" s="6">
        <v>5000000</v>
      </c>
      <c r="S30" s="6">
        <v>0.5</v>
      </c>
      <c r="T30" s="6">
        <v>0.4</v>
      </c>
      <c r="U30" s="1" t="s">
        <v>135</v>
      </c>
      <c r="V30" s="1"/>
      <c r="W30" s="1"/>
      <c r="X30" s="9">
        <v>600000</v>
      </c>
      <c r="Y30" s="9">
        <v>1200000</v>
      </c>
      <c r="Z30" s="1" t="s">
        <v>22</v>
      </c>
      <c r="AA30" s="1">
        <v>47211</v>
      </c>
      <c r="AB30" t="s">
        <v>39</v>
      </c>
      <c r="AC30" t="e">
        <f>VLOOKUP(U30,Sheet1!$F$1:$F$39,1,FALSE)</f>
        <v>#N/A</v>
      </c>
      <c r="AD30">
        <f t="shared" si="0"/>
        <v>1</v>
      </c>
    </row>
    <row r="31" spans="1:30" ht="270.75" thickBot="1" x14ac:dyDescent="0.3">
      <c r="A31" s="5">
        <v>46310</v>
      </c>
      <c r="B31" s="1">
        <v>5309</v>
      </c>
      <c r="C31" s="1">
        <v>5309060018000400</v>
      </c>
      <c r="D31" s="1" t="s">
        <v>22</v>
      </c>
      <c r="E31" s="1">
        <v>47212</v>
      </c>
      <c r="F31" s="1" t="s">
        <v>137</v>
      </c>
      <c r="G31" s="1" t="s">
        <v>138</v>
      </c>
      <c r="H31" s="1" t="s">
        <v>139</v>
      </c>
      <c r="I31" s="6">
        <v>0</v>
      </c>
      <c r="J31" s="6">
        <v>1000000</v>
      </c>
      <c r="K31" s="6">
        <v>2000000</v>
      </c>
      <c r="L31" s="6">
        <v>0</v>
      </c>
      <c r="M31" s="1">
        <v>3000000</v>
      </c>
      <c r="N31" s="6">
        <v>5000000</v>
      </c>
      <c r="O31" s="6">
        <v>0</v>
      </c>
      <c r="P31" s="6">
        <v>2000000</v>
      </c>
      <c r="Q31" s="6">
        <v>500000</v>
      </c>
      <c r="R31" s="6">
        <v>4000000</v>
      </c>
      <c r="S31" s="6">
        <v>0.2</v>
      </c>
      <c r="T31" s="6">
        <v>0.5</v>
      </c>
      <c r="U31" s="1" t="s">
        <v>140</v>
      </c>
      <c r="V31" s="1"/>
      <c r="W31" s="1"/>
      <c r="X31" s="9">
        <v>1440000</v>
      </c>
      <c r="Y31" s="9">
        <v>0</v>
      </c>
      <c r="Z31" s="1" t="s">
        <v>22</v>
      </c>
      <c r="AA31" s="1">
        <v>47212</v>
      </c>
      <c r="AB31" t="s">
        <v>39</v>
      </c>
      <c r="AC31" t="e">
        <f>VLOOKUP(U31,Sheet1!$F$1:$F$39,1,FALSE)</f>
        <v>#N/A</v>
      </c>
      <c r="AD31">
        <f t="shared" si="0"/>
        <v>1</v>
      </c>
    </row>
    <row r="32" spans="1:30" ht="270.75" thickBot="1" x14ac:dyDescent="0.3">
      <c r="A32" s="5">
        <v>46310</v>
      </c>
      <c r="B32" s="1">
        <v>5309</v>
      </c>
      <c r="C32" s="1">
        <v>5309030011000500</v>
      </c>
      <c r="D32" s="1" t="s">
        <v>22</v>
      </c>
      <c r="E32" s="1">
        <v>47212</v>
      </c>
      <c r="F32" s="1" t="s">
        <v>141</v>
      </c>
      <c r="G32" s="1" t="s">
        <v>142</v>
      </c>
      <c r="H32" s="1" t="s">
        <v>143</v>
      </c>
      <c r="I32" s="6">
        <v>5600000</v>
      </c>
      <c r="J32" s="6">
        <v>0</v>
      </c>
      <c r="K32" s="6">
        <v>350000</v>
      </c>
      <c r="L32" s="6">
        <v>0</v>
      </c>
      <c r="M32" s="1">
        <v>5950000</v>
      </c>
      <c r="N32" s="6">
        <v>12250000</v>
      </c>
      <c r="O32" s="6">
        <v>0</v>
      </c>
      <c r="P32" s="6">
        <v>6300000</v>
      </c>
      <c r="Q32" s="6">
        <v>0</v>
      </c>
      <c r="R32" s="6">
        <v>12250000</v>
      </c>
      <c r="S32" s="6">
        <v>0</v>
      </c>
      <c r="T32" s="6">
        <v>0.51428600000000002</v>
      </c>
      <c r="U32" s="1" t="s">
        <v>144</v>
      </c>
      <c r="V32" s="1"/>
      <c r="W32" s="1"/>
      <c r="X32" s="9">
        <v>259412</v>
      </c>
      <c r="Y32" s="9">
        <v>4150588</v>
      </c>
      <c r="Z32" s="1" t="s">
        <v>22</v>
      </c>
      <c r="AA32" s="1">
        <v>47212</v>
      </c>
      <c r="AB32" t="s">
        <v>39</v>
      </c>
      <c r="AC32" t="e">
        <f>VLOOKUP(U32,Sheet1!$F$1:$F$39,1,FALSE)</f>
        <v>#N/A</v>
      </c>
      <c r="AD32">
        <f t="shared" si="0"/>
        <v>1</v>
      </c>
    </row>
    <row r="33" spans="1:30" ht="270.75" thickBot="1" x14ac:dyDescent="0.3">
      <c r="A33" s="5">
        <v>46310</v>
      </c>
      <c r="B33" s="1">
        <v>5309</v>
      </c>
      <c r="C33" s="1">
        <v>5309071007000800</v>
      </c>
      <c r="D33" s="1" t="s">
        <v>22</v>
      </c>
      <c r="E33" s="1">
        <v>47221</v>
      </c>
      <c r="F33" s="1" t="s">
        <v>148</v>
      </c>
      <c r="G33" s="1" t="s">
        <v>147</v>
      </c>
      <c r="H33" s="1" t="s">
        <v>149</v>
      </c>
      <c r="I33" s="6">
        <v>0</v>
      </c>
      <c r="J33" s="6">
        <v>1500000</v>
      </c>
      <c r="K33" s="6">
        <v>0</v>
      </c>
      <c r="L33" s="6">
        <v>0</v>
      </c>
      <c r="M33" s="1">
        <v>1500000</v>
      </c>
      <c r="N33" s="6">
        <v>5000000</v>
      </c>
      <c r="O33" s="6">
        <v>0</v>
      </c>
      <c r="P33" s="6">
        <v>3500000</v>
      </c>
      <c r="Q33" s="6">
        <v>2250000</v>
      </c>
      <c r="R33" s="6">
        <v>3500000</v>
      </c>
      <c r="S33" s="6">
        <v>0.3</v>
      </c>
      <c r="T33" s="6">
        <v>1</v>
      </c>
      <c r="U33" s="1" t="s">
        <v>150</v>
      </c>
      <c r="V33" s="1"/>
      <c r="W33" s="1"/>
      <c r="X33" s="9">
        <v>770000</v>
      </c>
      <c r="Y33" s="9">
        <v>0</v>
      </c>
      <c r="Z33" s="1" t="s">
        <v>22</v>
      </c>
      <c r="AA33" s="1">
        <v>47221</v>
      </c>
      <c r="AB33" t="s">
        <v>39</v>
      </c>
      <c r="AC33" t="str">
        <f>VLOOKUP(U33,Sheet1!$F$1:$F$39,1,FALSE)</f>
        <v>https://fasih-sm.bps.go.id/app/assignment/fd68e454-ba45-4b85-8205-f3bf777ded24/8b5fb992-1edd-40b5-ad7c-990dc78fe0a9</v>
      </c>
      <c r="AD33">
        <f t="shared" si="0"/>
        <v>0</v>
      </c>
    </row>
    <row r="34" spans="1:30" ht="270.75" thickBot="1" x14ac:dyDescent="0.3">
      <c r="A34" s="5">
        <v>46310</v>
      </c>
      <c r="B34" s="1">
        <v>5309</v>
      </c>
      <c r="C34" s="1">
        <v>5309071007000900</v>
      </c>
      <c r="D34" s="1" t="s">
        <v>22</v>
      </c>
      <c r="E34" s="1">
        <v>47221</v>
      </c>
      <c r="F34" s="1" t="s">
        <v>151</v>
      </c>
      <c r="G34" s="1" t="s">
        <v>147</v>
      </c>
      <c r="H34" s="1" t="s">
        <v>149</v>
      </c>
      <c r="I34" s="6">
        <v>0</v>
      </c>
      <c r="J34" s="6">
        <v>2000000</v>
      </c>
      <c r="K34" s="6">
        <v>0</v>
      </c>
      <c r="L34" s="6">
        <v>0</v>
      </c>
      <c r="M34" s="1">
        <v>2000000</v>
      </c>
      <c r="N34" s="6">
        <v>5000000</v>
      </c>
      <c r="O34" s="6">
        <v>0</v>
      </c>
      <c r="P34" s="6">
        <v>3000000</v>
      </c>
      <c r="Q34" s="6">
        <v>2250000</v>
      </c>
      <c r="R34" s="6">
        <v>3000000</v>
      </c>
      <c r="S34" s="6">
        <v>0.4</v>
      </c>
      <c r="T34" s="6">
        <v>1</v>
      </c>
      <c r="U34" s="1" t="s">
        <v>152</v>
      </c>
      <c r="V34" s="1"/>
      <c r="W34" s="1"/>
      <c r="X34" s="9">
        <v>660000</v>
      </c>
      <c r="Y34" s="9">
        <v>0</v>
      </c>
      <c r="Z34" s="1" t="s">
        <v>22</v>
      </c>
      <c r="AA34" s="1">
        <v>47221</v>
      </c>
      <c r="AB34" t="s">
        <v>39</v>
      </c>
      <c r="AC34" t="e">
        <f>VLOOKUP(U34,Sheet1!$F$1:$F$39,1,FALSE)</f>
        <v>#N/A</v>
      </c>
      <c r="AD34">
        <f t="shared" si="0"/>
        <v>1</v>
      </c>
    </row>
    <row r="35" spans="1:30" ht="270.75" thickBot="1" x14ac:dyDescent="0.3">
      <c r="A35" s="5">
        <v>46310</v>
      </c>
      <c r="B35" s="1">
        <v>5309</v>
      </c>
      <c r="C35" s="1">
        <v>5309050016001600</v>
      </c>
      <c r="D35" s="1" t="s">
        <v>22</v>
      </c>
      <c r="E35" s="1">
        <v>47222</v>
      </c>
      <c r="F35" s="1" t="s">
        <v>153</v>
      </c>
      <c r="G35" s="1" t="s">
        <v>154</v>
      </c>
      <c r="H35" s="1" t="s">
        <v>155</v>
      </c>
      <c r="I35" s="6">
        <v>500000</v>
      </c>
      <c r="J35" s="6">
        <v>10000000</v>
      </c>
      <c r="K35" s="6">
        <v>500000</v>
      </c>
      <c r="L35" s="6">
        <v>0</v>
      </c>
      <c r="M35" s="1">
        <v>11000000</v>
      </c>
      <c r="N35" s="6">
        <v>20000000</v>
      </c>
      <c r="O35" s="6">
        <v>0</v>
      </c>
      <c r="P35" s="6">
        <v>9000000</v>
      </c>
      <c r="Q35" s="6">
        <v>2500000</v>
      </c>
      <c r="R35" s="6">
        <v>10000000</v>
      </c>
      <c r="S35" s="6">
        <v>0.5</v>
      </c>
      <c r="T35" s="6">
        <v>0.9</v>
      </c>
      <c r="U35" s="1" t="s">
        <v>156</v>
      </c>
      <c r="V35" s="1"/>
      <c r="W35" s="1"/>
      <c r="X35" s="9">
        <v>1100000</v>
      </c>
      <c r="Y35" s="9">
        <v>1100000</v>
      </c>
      <c r="Z35" s="1" t="s">
        <v>22</v>
      </c>
      <c r="AA35" s="1">
        <v>47222</v>
      </c>
      <c r="AB35" t="s">
        <v>39</v>
      </c>
      <c r="AC35" t="e">
        <f>VLOOKUP(U35,Sheet1!$F$1:$F$39,1,FALSE)</f>
        <v>#N/A</v>
      </c>
      <c r="AD35">
        <f t="shared" si="0"/>
        <v>1</v>
      </c>
    </row>
    <row r="36" spans="1:30" ht="270.75" thickBot="1" x14ac:dyDescent="0.3">
      <c r="A36" s="5">
        <v>46310</v>
      </c>
      <c r="B36" s="1">
        <v>5309</v>
      </c>
      <c r="C36" s="1">
        <v>5309030028000500</v>
      </c>
      <c r="D36" s="1" t="s">
        <v>22</v>
      </c>
      <c r="E36" s="1">
        <v>47222</v>
      </c>
      <c r="F36" s="1" t="s">
        <v>157</v>
      </c>
      <c r="G36" s="1" t="s">
        <v>158</v>
      </c>
      <c r="H36" s="1" t="s">
        <v>159</v>
      </c>
      <c r="I36" s="6">
        <v>600000</v>
      </c>
      <c r="J36" s="6">
        <v>0</v>
      </c>
      <c r="K36" s="6">
        <v>6000000</v>
      </c>
      <c r="L36" s="6">
        <v>0</v>
      </c>
      <c r="M36" s="1">
        <v>6600000</v>
      </c>
      <c r="N36" s="6">
        <v>36000000</v>
      </c>
      <c r="O36" s="6">
        <v>0</v>
      </c>
      <c r="P36" s="6">
        <v>29400000</v>
      </c>
      <c r="Q36" s="6">
        <v>70000000</v>
      </c>
      <c r="R36" s="6">
        <v>36000000</v>
      </c>
      <c r="S36" s="6">
        <v>0</v>
      </c>
      <c r="T36" s="6">
        <v>0.81666700000000003</v>
      </c>
      <c r="U36" s="1" t="s">
        <v>160</v>
      </c>
      <c r="V36" s="1"/>
      <c r="W36" s="1"/>
      <c r="X36" s="9">
        <v>7200000</v>
      </c>
      <c r="Y36" s="9">
        <v>720000</v>
      </c>
      <c r="Z36" s="1" t="s">
        <v>22</v>
      </c>
      <c r="AA36" s="1">
        <v>47222</v>
      </c>
      <c r="AB36" t="s">
        <v>39</v>
      </c>
      <c r="AC36" t="e">
        <f>VLOOKUP(U36,Sheet1!$F$1:$F$39,1,FALSE)</f>
        <v>#N/A</v>
      </c>
      <c r="AD36">
        <f t="shared" si="0"/>
        <v>1</v>
      </c>
    </row>
    <row r="37" spans="1:30" ht="270.75" thickBot="1" x14ac:dyDescent="0.3">
      <c r="A37" s="5">
        <v>46310</v>
      </c>
      <c r="B37" s="1">
        <v>5309</v>
      </c>
      <c r="C37" s="1">
        <v>5309073005000200</v>
      </c>
      <c r="D37" s="1" t="s">
        <v>22</v>
      </c>
      <c r="E37" s="1">
        <v>47242</v>
      </c>
      <c r="F37" s="1" t="s">
        <v>162</v>
      </c>
      <c r="G37" s="1" t="s">
        <v>163</v>
      </c>
      <c r="H37" s="1" t="s">
        <v>164</v>
      </c>
      <c r="I37" s="6">
        <v>420000</v>
      </c>
      <c r="J37" s="6">
        <v>50000</v>
      </c>
      <c r="K37" s="6">
        <v>55000</v>
      </c>
      <c r="L37" s="6">
        <v>0</v>
      </c>
      <c r="M37" s="1">
        <v>525000</v>
      </c>
      <c r="N37" s="6">
        <v>1000000</v>
      </c>
      <c r="O37" s="6">
        <v>0</v>
      </c>
      <c r="P37" s="6">
        <v>475000</v>
      </c>
      <c r="Q37" s="6">
        <v>300000</v>
      </c>
      <c r="R37" s="6">
        <v>950000</v>
      </c>
      <c r="S37" s="6">
        <v>0.05</v>
      </c>
      <c r="T37" s="6">
        <v>0.5</v>
      </c>
      <c r="U37" s="1" t="s">
        <v>165</v>
      </c>
      <c r="V37" s="1"/>
      <c r="W37" s="1"/>
      <c r="X37" s="9">
        <v>39600</v>
      </c>
      <c r="Y37" s="9">
        <v>302400</v>
      </c>
      <c r="Z37" s="1" t="s">
        <v>22</v>
      </c>
      <c r="AA37" s="1">
        <v>47242</v>
      </c>
      <c r="AB37" t="s">
        <v>39</v>
      </c>
      <c r="AC37" t="e">
        <f>VLOOKUP(U37,Sheet1!$F$1:$F$39,1,FALSE)</f>
        <v>#N/A</v>
      </c>
      <c r="AD37">
        <f t="shared" si="0"/>
        <v>1</v>
      </c>
    </row>
    <row r="38" spans="1:30" ht="270.75" thickBot="1" x14ac:dyDescent="0.3">
      <c r="A38" s="5">
        <v>46310</v>
      </c>
      <c r="B38" s="1">
        <v>5309</v>
      </c>
      <c r="C38" s="1">
        <v>5309074004001000</v>
      </c>
      <c r="D38" s="1" t="s">
        <v>22</v>
      </c>
      <c r="E38" s="1">
        <v>47242</v>
      </c>
      <c r="F38" s="1" t="s">
        <v>166</v>
      </c>
      <c r="G38" s="1" t="s">
        <v>167</v>
      </c>
      <c r="H38" s="1" t="s">
        <v>168</v>
      </c>
      <c r="I38" s="6">
        <v>6000000</v>
      </c>
      <c r="J38" s="6">
        <v>0</v>
      </c>
      <c r="K38" s="6">
        <v>500000</v>
      </c>
      <c r="L38" s="6">
        <v>0</v>
      </c>
      <c r="M38" s="1">
        <v>6500000</v>
      </c>
      <c r="N38" s="6">
        <v>15000000</v>
      </c>
      <c r="O38" s="6">
        <v>0</v>
      </c>
      <c r="P38" s="6">
        <v>8500000</v>
      </c>
      <c r="Q38" s="6">
        <v>1650000</v>
      </c>
      <c r="R38" s="6">
        <v>15000000</v>
      </c>
      <c r="S38" s="6">
        <v>0</v>
      </c>
      <c r="T38" s="6">
        <v>0.56666700000000003</v>
      </c>
      <c r="U38" s="1" t="s">
        <v>169</v>
      </c>
      <c r="V38" s="1"/>
      <c r="W38" s="1"/>
      <c r="X38" s="9">
        <v>415385</v>
      </c>
      <c r="Y38" s="9">
        <v>4984615</v>
      </c>
      <c r="Z38" s="1" t="s">
        <v>22</v>
      </c>
      <c r="AA38" s="1">
        <v>47242</v>
      </c>
      <c r="AB38" t="s">
        <v>39</v>
      </c>
      <c r="AC38" t="e">
        <f>VLOOKUP(U38,Sheet1!$F$1:$F$39,1,FALSE)</f>
        <v>#N/A</v>
      </c>
      <c r="AD38">
        <f t="shared" si="0"/>
        <v>1</v>
      </c>
    </row>
    <row r="39" spans="1:30" ht="270.75" thickBot="1" x14ac:dyDescent="0.3">
      <c r="A39" s="5">
        <v>46310</v>
      </c>
      <c r="B39" s="1">
        <v>5309</v>
      </c>
      <c r="C39" s="1">
        <v>5309012005000700</v>
      </c>
      <c r="D39" s="1" t="s">
        <v>22</v>
      </c>
      <c r="E39" s="1">
        <v>47242</v>
      </c>
      <c r="F39" s="1" t="s">
        <v>170</v>
      </c>
      <c r="G39" s="1" t="s">
        <v>171</v>
      </c>
      <c r="H39" s="1" t="s">
        <v>172</v>
      </c>
      <c r="I39" s="6">
        <v>100000</v>
      </c>
      <c r="J39" s="6">
        <v>18828000</v>
      </c>
      <c r="K39" s="6">
        <v>0</v>
      </c>
      <c r="L39" s="6">
        <v>0</v>
      </c>
      <c r="M39" s="1">
        <v>3000000</v>
      </c>
      <c r="N39" s="6">
        <v>16320000</v>
      </c>
      <c r="O39" s="6">
        <v>0</v>
      </c>
      <c r="P39" s="6">
        <v>-2608000</v>
      </c>
      <c r="Q39" s="6">
        <v>35500000</v>
      </c>
      <c r="R39" s="6">
        <v>-2508000</v>
      </c>
      <c r="S39" s="6">
        <v>1.1536759999999999</v>
      </c>
      <c r="T39" s="6">
        <v>1.0398719999999999</v>
      </c>
      <c r="U39" s="1" t="s">
        <v>173</v>
      </c>
      <c r="V39" s="1"/>
      <c r="W39" s="1"/>
      <c r="X39" s="9">
        <v>0</v>
      </c>
      <c r="Y39" s="9">
        <v>100000</v>
      </c>
      <c r="Z39" s="1" t="s">
        <v>22</v>
      </c>
      <c r="AA39" s="1">
        <v>47242</v>
      </c>
      <c r="AB39" t="s">
        <v>39</v>
      </c>
      <c r="AC39" t="e">
        <f>VLOOKUP(U39,Sheet1!$F$1:$F$39,1,FALSE)</f>
        <v>#N/A</v>
      </c>
      <c r="AD39">
        <f t="shared" si="0"/>
        <v>1</v>
      </c>
    </row>
    <row r="40" spans="1:30" ht="270.75" thickBot="1" x14ac:dyDescent="0.3">
      <c r="A40" s="5">
        <v>46310</v>
      </c>
      <c r="B40" s="1">
        <v>5309</v>
      </c>
      <c r="C40" s="1">
        <v>5309031008000400</v>
      </c>
      <c r="D40" s="1" t="s">
        <v>22</v>
      </c>
      <c r="E40" s="1">
        <v>47243</v>
      </c>
      <c r="F40" s="1" t="s">
        <v>174</v>
      </c>
      <c r="G40" s="1" t="s">
        <v>175</v>
      </c>
      <c r="H40" s="1" t="s">
        <v>176</v>
      </c>
      <c r="I40" s="6">
        <v>100000</v>
      </c>
      <c r="J40" s="6">
        <v>2750000</v>
      </c>
      <c r="K40" s="6">
        <v>150000</v>
      </c>
      <c r="L40" s="6">
        <v>0</v>
      </c>
      <c r="M40" s="1">
        <v>3000000</v>
      </c>
      <c r="N40" s="6">
        <v>6450000</v>
      </c>
      <c r="O40" s="6">
        <v>0</v>
      </c>
      <c r="P40" s="6">
        <v>3450000</v>
      </c>
      <c r="Q40" s="6">
        <v>25150000</v>
      </c>
      <c r="R40" s="6">
        <v>3700000</v>
      </c>
      <c r="S40" s="6">
        <v>0.42635699999999999</v>
      </c>
      <c r="T40" s="6">
        <v>0.93243200000000004</v>
      </c>
      <c r="U40" s="1" t="s">
        <v>177</v>
      </c>
      <c r="V40" s="1"/>
      <c r="W40" s="1"/>
      <c r="X40" s="9">
        <v>488400</v>
      </c>
      <c r="Y40" s="9">
        <v>325600</v>
      </c>
      <c r="Z40" s="1" t="s">
        <v>22</v>
      </c>
      <c r="AA40" s="1">
        <v>47243</v>
      </c>
      <c r="AB40" t="s">
        <v>39</v>
      </c>
      <c r="AC40" t="e">
        <f>VLOOKUP(U40,Sheet1!$F$1:$F$39,1,FALSE)</f>
        <v>#N/A</v>
      </c>
      <c r="AD40">
        <f t="shared" si="0"/>
        <v>1</v>
      </c>
    </row>
    <row r="41" spans="1:30" ht="270.75" thickBot="1" x14ac:dyDescent="0.3">
      <c r="A41" s="5">
        <v>46310</v>
      </c>
      <c r="B41" s="1">
        <v>5309</v>
      </c>
      <c r="C41" s="1">
        <v>5309073006000600</v>
      </c>
      <c r="D41" s="1" t="s">
        <v>22</v>
      </c>
      <c r="E41" s="1">
        <v>47301</v>
      </c>
      <c r="F41" s="1" t="s">
        <v>178</v>
      </c>
      <c r="G41" s="1" t="s">
        <v>145</v>
      </c>
      <c r="H41" s="1" t="s">
        <v>146</v>
      </c>
      <c r="I41" s="6">
        <v>0</v>
      </c>
      <c r="J41" s="6">
        <v>48000000</v>
      </c>
      <c r="K41" s="6">
        <v>0</v>
      </c>
      <c r="L41" s="6">
        <v>0</v>
      </c>
      <c r="M41" s="1">
        <v>1750000</v>
      </c>
      <c r="N41" s="6">
        <v>48480000</v>
      </c>
      <c r="O41" s="6">
        <v>0</v>
      </c>
      <c r="P41" s="6">
        <v>480000</v>
      </c>
      <c r="Q41" s="6">
        <v>5780000</v>
      </c>
      <c r="R41" s="6">
        <v>480000</v>
      </c>
      <c r="S41" s="6">
        <v>0.99009899999999995</v>
      </c>
      <c r="T41" s="6">
        <v>1</v>
      </c>
      <c r="U41" s="1" t="s">
        <v>179</v>
      </c>
      <c r="V41" s="1"/>
      <c r="W41" s="1"/>
      <c r="X41" s="9">
        <v>105600</v>
      </c>
      <c r="Y41" s="9">
        <v>0</v>
      </c>
      <c r="Z41" s="1" t="s">
        <v>22</v>
      </c>
      <c r="AA41" s="1">
        <v>47301</v>
      </c>
      <c r="AB41" t="s">
        <v>39</v>
      </c>
      <c r="AC41" t="str">
        <f>VLOOKUP(U41,Sheet1!$F$1:$F$39,1,FALSE)</f>
        <v>https://fasih-sm.bps.go.id/app/assignment/fd68e454-ba45-4b85-8205-f3bf777ded24/e235d7a9-cb9f-4ac4-8a7b-b07d6f92538b</v>
      </c>
      <c r="AD41">
        <f t="shared" si="0"/>
        <v>0</v>
      </c>
    </row>
    <row r="42" spans="1:30" ht="270.75" thickBot="1" x14ac:dyDescent="0.3">
      <c r="A42" s="5">
        <v>46310</v>
      </c>
      <c r="B42" s="1">
        <v>5309</v>
      </c>
      <c r="C42" s="1"/>
      <c r="D42" s="1" t="s">
        <v>22</v>
      </c>
      <c r="E42" s="1">
        <v>47301</v>
      </c>
      <c r="F42" s="7" t="s">
        <v>182</v>
      </c>
      <c r="G42" s="1"/>
      <c r="H42" s="1"/>
      <c r="I42" s="6">
        <v>30000000</v>
      </c>
      <c r="J42" s="6">
        <v>9380927103</v>
      </c>
      <c r="K42" s="6">
        <v>46600000</v>
      </c>
      <c r="L42" s="6">
        <v>19686136</v>
      </c>
      <c r="M42" s="1"/>
      <c r="N42" s="6">
        <v>9954268400</v>
      </c>
      <c r="O42" s="6">
        <v>0</v>
      </c>
      <c r="P42" s="6">
        <v>496741297</v>
      </c>
      <c r="Q42" s="6">
        <v>569000000</v>
      </c>
      <c r="R42" s="6">
        <v>573341297</v>
      </c>
      <c r="S42" s="6">
        <v>0.94240199999999996</v>
      </c>
      <c r="T42" s="6">
        <v>0.86639699999999997</v>
      </c>
      <c r="U42" s="1" t="s">
        <v>183</v>
      </c>
      <c r="V42" s="1"/>
      <c r="W42" s="1"/>
      <c r="X42" s="9">
        <v>76734922</v>
      </c>
      <c r="Y42" s="9">
        <v>49400164</v>
      </c>
      <c r="Z42" s="1" t="s">
        <v>22</v>
      </c>
      <c r="AA42" s="1">
        <v>47301</v>
      </c>
      <c r="AB42" t="s">
        <v>39</v>
      </c>
      <c r="AC42" t="str">
        <f>VLOOKUP(U42,Sheet1!$F$1:$F$39,1,FALSE)</f>
        <v>https://fasih-sm.bps.go.id/app/assignment/fd68e454-ba45-4b85-8205-f3bf777ded24/144ed904-d0bf-4477-b284-c92cc8afe676</v>
      </c>
      <c r="AD42">
        <f t="shared" si="0"/>
        <v>0</v>
      </c>
    </row>
    <row r="43" spans="1:30" ht="270.75" thickBot="1" x14ac:dyDescent="0.3">
      <c r="A43" s="5">
        <v>46310</v>
      </c>
      <c r="B43" s="1">
        <v>5309</v>
      </c>
      <c r="C43" s="1">
        <v>5309050016001600</v>
      </c>
      <c r="D43" s="1" t="s">
        <v>22</v>
      </c>
      <c r="E43" s="1">
        <v>47302</v>
      </c>
      <c r="F43" s="1" t="s">
        <v>184</v>
      </c>
      <c r="G43" s="1" t="s">
        <v>185</v>
      </c>
      <c r="H43" s="1" t="s">
        <v>186</v>
      </c>
      <c r="I43" s="6">
        <v>2000000</v>
      </c>
      <c r="J43" s="6">
        <v>6720000</v>
      </c>
      <c r="K43" s="6">
        <v>1000000</v>
      </c>
      <c r="L43" s="6">
        <v>0</v>
      </c>
      <c r="M43" s="1">
        <v>4300000</v>
      </c>
      <c r="N43" s="6">
        <v>12720000</v>
      </c>
      <c r="O43" s="6">
        <v>0</v>
      </c>
      <c r="P43" s="6">
        <v>3000000</v>
      </c>
      <c r="Q43" s="6">
        <v>300000</v>
      </c>
      <c r="R43" s="6">
        <v>6000000</v>
      </c>
      <c r="S43" s="6">
        <v>0.52830200000000005</v>
      </c>
      <c r="T43" s="6">
        <v>0.5</v>
      </c>
      <c r="U43" s="1" t="s">
        <v>187</v>
      </c>
      <c r="V43" s="1"/>
      <c r="W43" s="1"/>
      <c r="X43" s="9">
        <v>720000</v>
      </c>
      <c r="Y43" s="9">
        <v>1440000</v>
      </c>
      <c r="Z43" s="1" t="s">
        <v>22</v>
      </c>
      <c r="AA43" s="1">
        <v>47302</v>
      </c>
      <c r="AB43" t="s">
        <v>39</v>
      </c>
      <c r="AC43" t="e">
        <f>VLOOKUP(U43,Sheet1!$F$1:$F$39,1,FALSE)</f>
        <v>#N/A</v>
      </c>
      <c r="AD43">
        <f t="shared" si="0"/>
        <v>1</v>
      </c>
    </row>
    <row r="44" spans="1:30" ht="270.75" thickBot="1" x14ac:dyDescent="0.3">
      <c r="A44" s="5">
        <v>46310</v>
      </c>
      <c r="B44" s="1">
        <v>5309</v>
      </c>
      <c r="C44" s="1">
        <v>5309040002000400</v>
      </c>
      <c r="D44" s="1" t="s">
        <v>22</v>
      </c>
      <c r="E44" s="1">
        <v>47302</v>
      </c>
      <c r="F44" s="1" t="s">
        <v>188</v>
      </c>
      <c r="G44" s="1" t="s">
        <v>189</v>
      </c>
      <c r="H44" s="1" t="s">
        <v>190</v>
      </c>
      <c r="I44" s="6">
        <v>0</v>
      </c>
      <c r="J44" s="6">
        <v>4830000</v>
      </c>
      <c r="K44" s="6">
        <v>20000</v>
      </c>
      <c r="L44" s="6">
        <v>0</v>
      </c>
      <c r="M44" s="1">
        <v>4850000</v>
      </c>
      <c r="N44" s="6">
        <v>6596000</v>
      </c>
      <c r="O44" s="6">
        <v>0</v>
      </c>
      <c r="P44" s="6">
        <v>1746000</v>
      </c>
      <c r="Q44" s="6">
        <v>25000000</v>
      </c>
      <c r="R44" s="6">
        <v>1766000</v>
      </c>
      <c r="S44" s="6">
        <v>0.73226199999999997</v>
      </c>
      <c r="T44" s="6">
        <v>0.98867499999999997</v>
      </c>
      <c r="U44" s="1" t="s">
        <v>191</v>
      </c>
      <c r="V44" s="1"/>
      <c r="W44" s="1"/>
      <c r="X44" s="9">
        <v>388520</v>
      </c>
      <c r="Y44" s="9">
        <v>0</v>
      </c>
      <c r="Z44" s="1" t="s">
        <v>22</v>
      </c>
      <c r="AA44" s="1">
        <v>47302</v>
      </c>
      <c r="AB44" t="s">
        <v>39</v>
      </c>
      <c r="AC44" t="e">
        <f>VLOOKUP(U44,Sheet1!$F$1:$F$39,1,FALSE)</f>
        <v>#N/A</v>
      </c>
      <c r="AD44">
        <f t="shared" si="0"/>
        <v>1</v>
      </c>
    </row>
    <row r="45" spans="1:30" ht="270.75" thickBot="1" x14ac:dyDescent="0.3">
      <c r="A45" s="5">
        <v>46310</v>
      </c>
      <c r="B45" s="1">
        <v>5309</v>
      </c>
      <c r="C45" s="1">
        <v>5309040010001100</v>
      </c>
      <c r="D45" s="1" t="s">
        <v>22</v>
      </c>
      <c r="E45" s="1">
        <v>47302</v>
      </c>
      <c r="F45" s="1" t="s">
        <v>193</v>
      </c>
      <c r="G45" s="1" t="s">
        <v>180</v>
      </c>
      <c r="H45" s="1" t="s">
        <v>194</v>
      </c>
      <c r="I45" s="6">
        <v>0</v>
      </c>
      <c r="J45" s="6">
        <v>141120000</v>
      </c>
      <c r="K45" s="6">
        <v>5760000</v>
      </c>
      <c r="L45" s="6">
        <v>0</v>
      </c>
      <c r="M45" s="1">
        <v>1105000</v>
      </c>
      <c r="N45" s="6">
        <v>151200000</v>
      </c>
      <c r="O45" s="6">
        <v>0</v>
      </c>
      <c r="P45" s="6">
        <v>4320000</v>
      </c>
      <c r="Q45" s="6">
        <v>0</v>
      </c>
      <c r="R45" s="6">
        <v>10080000</v>
      </c>
      <c r="S45" s="6">
        <v>0.93333299999999997</v>
      </c>
      <c r="T45" s="6">
        <v>0.42857099999999998</v>
      </c>
      <c r="U45" s="1" t="s">
        <v>195</v>
      </c>
      <c r="V45" s="1"/>
      <c r="W45" s="1"/>
      <c r="X45" s="9">
        <v>3628800</v>
      </c>
      <c r="Y45" s="9">
        <v>0</v>
      </c>
      <c r="Z45" s="1" t="s">
        <v>22</v>
      </c>
      <c r="AA45" s="1">
        <v>47302</v>
      </c>
      <c r="AB45" t="s">
        <v>39</v>
      </c>
      <c r="AC45" t="str">
        <f>VLOOKUP(U45,Sheet1!$F$1:$F$39,1,FALSE)</f>
        <v>https://fasih-sm.bps.go.id/app/assignment/fd68e454-ba45-4b85-8205-f3bf777ded24/9ed9c363-fce6-48da-bd02-83c176b005de</v>
      </c>
      <c r="AD45">
        <f t="shared" si="0"/>
        <v>0</v>
      </c>
    </row>
    <row r="46" spans="1:30" ht="270.75" thickBot="1" x14ac:dyDescent="0.3">
      <c r="A46" s="5">
        <v>46310</v>
      </c>
      <c r="B46" s="1">
        <v>5309</v>
      </c>
      <c r="C46" s="1">
        <v>5309030021001600</v>
      </c>
      <c r="D46" s="1" t="s">
        <v>22</v>
      </c>
      <c r="E46" s="1">
        <v>47302</v>
      </c>
      <c r="F46" s="1" t="s">
        <v>196</v>
      </c>
      <c r="G46" s="1" t="s">
        <v>197</v>
      </c>
      <c r="H46" s="1" t="s">
        <v>198</v>
      </c>
      <c r="I46" s="6">
        <v>200000</v>
      </c>
      <c r="J46" s="6">
        <v>45000000</v>
      </c>
      <c r="K46" s="6">
        <v>2000000</v>
      </c>
      <c r="L46" s="6">
        <v>0</v>
      </c>
      <c r="M46" s="1">
        <v>47200000</v>
      </c>
      <c r="N46" s="6">
        <v>56000000</v>
      </c>
      <c r="O46" s="6">
        <v>0</v>
      </c>
      <c r="P46" s="6">
        <v>8800000</v>
      </c>
      <c r="Q46" s="6">
        <v>85000000</v>
      </c>
      <c r="R46" s="6">
        <v>11000000</v>
      </c>
      <c r="S46" s="6">
        <v>0.80357100000000004</v>
      </c>
      <c r="T46" s="6">
        <v>0.8</v>
      </c>
      <c r="U46" s="1" t="s">
        <v>199</v>
      </c>
      <c r="V46" s="1"/>
      <c r="W46" s="1"/>
      <c r="X46" s="9">
        <v>2200000</v>
      </c>
      <c r="Y46" s="9">
        <v>220000</v>
      </c>
      <c r="Z46" s="1" t="s">
        <v>22</v>
      </c>
      <c r="AA46" s="1">
        <v>47302</v>
      </c>
      <c r="AB46" t="s">
        <v>39</v>
      </c>
      <c r="AC46" t="e">
        <f>VLOOKUP(U46,Sheet1!$F$1:$F$39,1,FALSE)</f>
        <v>#N/A</v>
      </c>
      <c r="AD46">
        <f t="shared" si="0"/>
        <v>1</v>
      </c>
    </row>
    <row r="47" spans="1:30" ht="270.75" thickBot="1" x14ac:dyDescent="0.3">
      <c r="A47" s="5">
        <v>46310</v>
      </c>
      <c r="B47" s="1">
        <v>5309</v>
      </c>
      <c r="C47" s="1">
        <v>5309061011000700</v>
      </c>
      <c r="D47" s="1" t="s">
        <v>22</v>
      </c>
      <c r="E47" s="1">
        <v>47302</v>
      </c>
      <c r="F47" s="1" t="s">
        <v>200</v>
      </c>
      <c r="G47" s="1" t="s">
        <v>38</v>
      </c>
      <c r="H47" s="1" t="s">
        <v>201</v>
      </c>
      <c r="I47" s="6">
        <v>0</v>
      </c>
      <c r="J47" s="6">
        <v>11000000</v>
      </c>
      <c r="K47" s="6">
        <v>0</v>
      </c>
      <c r="L47" s="6">
        <v>0</v>
      </c>
      <c r="M47" s="1">
        <v>6000000</v>
      </c>
      <c r="N47" s="6">
        <v>12000000</v>
      </c>
      <c r="O47" s="6">
        <v>0</v>
      </c>
      <c r="P47" s="6">
        <v>1000000</v>
      </c>
      <c r="Q47" s="6">
        <v>300000</v>
      </c>
      <c r="R47" s="6">
        <v>1000000</v>
      </c>
      <c r="S47" s="6">
        <v>0.91666700000000001</v>
      </c>
      <c r="T47" s="6">
        <v>1</v>
      </c>
      <c r="U47" s="1" t="s">
        <v>202</v>
      </c>
      <c r="V47" s="1"/>
      <c r="W47" s="1"/>
      <c r="X47" s="9">
        <v>220000</v>
      </c>
      <c r="Y47" s="9">
        <v>0</v>
      </c>
      <c r="Z47" s="1" t="s">
        <v>22</v>
      </c>
      <c r="AA47" s="1">
        <v>47302</v>
      </c>
      <c r="AB47" t="s">
        <v>39</v>
      </c>
      <c r="AC47" t="e">
        <f>VLOOKUP(U47,Sheet1!$F$1:$F$39,1,FALSE)</f>
        <v>#N/A</v>
      </c>
      <c r="AD47">
        <f t="shared" si="0"/>
        <v>1</v>
      </c>
    </row>
    <row r="48" spans="1:30" ht="270.75" thickBot="1" x14ac:dyDescent="0.3">
      <c r="A48" s="5">
        <v>46310</v>
      </c>
      <c r="B48" s="1">
        <v>5309</v>
      </c>
      <c r="C48" s="1">
        <v>5309071006001800</v>
      </c>
      <c r="D48" s="1" t="s">
        <v>22</v>
      </c>
      <c r="E48" s="1">
        <v>47511</v>
      </c>
      <c r="F48" s="1" t="s">
        <v>203</v>
      </c>
      <c r="G48" s="1" t="s">
        <v>204</v>
      </c>
      <c r="H48" s="1" t="s">
        <v>205</v>
      </c>
      <c r="I48" s="6">
        <v>0</v>
      </c>
      <c r="J48" s="6">
        <v>48000000</v>
      </c>
      <c r="K48" s="6">
        <v>3000000</v>
      </c>
      <c r="L48" s="6">
        <v>0</v>
      </c>
      <c r="M48" s="1">
        <v>51000000</v>
      </c>
      <c r="N48" s="6">
        <v>54000000</v>
      </c>
      <c r="O48" s="6">
        <v>0</v>
      </c>
      <c r="P48" s="6">
        <v>3000000</v>
      </c>
      <c r="Q48" s="6">
        <v>3000000</v>
      </c>
      <c r="R48" s="6">
        <v>6000000</v>
      </c>
      <c r="S48" s="6">
        <v>0.88888900000000004</v>
      </c>
      <c r="T48" s="6">
        <v>0.5</v>
      </c>
      <c r="U48" s="1" t="s">
        <v>206</v>
      </c>
      <c r="V48" s="1"/>
      <c r="W48" s="1"/>
      <c r="X48" s="9">
        <v>2160000</v>
      </c>
      <c r="Y48" s="9">
        <v>0</v>
      </c>
      <c r="Z48" s="1" t="s">
        <v>22</v>
      </c>
      <c r="AA48" s="1">
        <v>47511</v>
      </c>
      <c r="AB48" t="s">
        <v>39</v>
      </c>
      <c r="AC48" t="str">
        <f>VLOOKUP(U48,Sheet1!$F$1:$F$39,1,FALSE)</f>
        <v>https://fasih-sm.bps.go.id/app/assignment/fd68e454-ba45-4b85-8205-f3bf777ded24/c3b5f6af-1910-4ba8-b7de-afb16c8ce7e2</v>
      </c>
      <c r="AD48">
        <f t="shared" si="0"/>
        <v>0</v>
      </c>
    </row>
    <row r="49" spans="1:30" ht="270.75" thickBot="1" x14ac:dyDescent="0.3">
      <c r="A49" s="5">
        <v>46310</v>
      </c>
      <c r="B49" s="1">
        <v>5309</v>
      </c>
      <c r="C49" s="1">
        <v>5309050016000200</v>
      </c>
      <c r="D49" s="1" t="s">
        <v>22</v>
      </c>
      <c r="E49" s="1">
        <v>47521</v>
      </c>
      <c r="F49" s="1" t="s">
        <v>207</v>
      </c>
      <c r="G49" s="1" t="s">
        <v>208</v>
      </c>
      <c r="H49" s="1" t="s">
        <v>209</v>
      </c>
      <c r="I49" s="6">
        <v>8000000</v>
      </c>
      <c r="J49" s="6">
        <v>900000000</v>
      </c>
      <c r="K49" s="6">
        <v>2000000</v>
      </c>
      <c r="L49" s="6">
        <v>0</v>
      </c>
      <c r="M49" s="1">
        <v>922000000</v>
      </c>
      <c r="N49" s="6">
        <v>970000000</v>
      </c>
      <c r="O49" s="6">
        <v>0</v>
      </c>
      <c r="P49" s="6">
        <v>60000000</v>
      </c>
      <c r="Q49" s="6">
        <v>51800000</v>
      </c>
      <c r="R49" s="6">
        <v>70000000</v>
      </c>
      <c r="S49" s="6">
        <v>0.92783499999999997</v>
      </c>
      <c r="T49" s="6">
        <v>0.85714299999999999</v>
      </c>
      <c r="U49" s="1" t="s">
        <v>210</v>
      </c>
      <c r="V49" s="1"/>
      <c r="W49" s="1"/>
      <c r="X49" s="9">
        <v>3080000</v>
      </c>
      <c r="Y49" s="9">
        <v>12320000</v>
      </c>
      <c r="Z49" s="1" t="s">
        <v>22</v>
      </c>
      <c r="AA49" s="1">
        <v>47521</v>
      </c>
      <c r="AB49" t="s">
        <v>39</v>
      </c>
      <c r="AC49" t="e">
        <f>VLOOKUP(U49,Sheet1!$F$1:$F$39,1,FALSE)</f>
        <v>#N/A</v>
      </c>
      <c r="AD49">
        <f t="shared" si="0"/>
        <v>1</v>
      </c>
    </row>
    <row r="50" spans="1:30" ht="270.75" thickBot="1" x14ac:dyDescent="0.3">
      <c r="A50" s="5">
        <v>46310</v>
      </c>
      <c r="B50" s="1">
        <v>5309</v>
      </c>
      <c r="C50" s="1">
        <v>5309030021000700</v>
      </c>
      <c r="D50" s="1" t="s">
        <v>22</v>
      </c>
      <c r="E50" s="1">
        <v>47711</v>
      </c>
      <c r="F50" s="1" t="s">
        <v>212</v>
      </c>
      <c r="G50" s="1" t="s">
        <v>213</v>
      </c>
      <c r="H50" s="1" t="s">
        <v>213</v>
      </c>
      <c r="I50" s="6">
        <v>200000</v>
      </c>
      <c r="J50" s="6">
        <v>40000000</v>
      </c>
      <c r="K50" s="6">
        <v>2200000</v>
      </c>
      <c r="L50" s="6">
        <v>700000</v>
      </c>
      <c r="M50" s="1">
        <v>54620000</v>
      </c>
      <c r="N50" s="6">
        <v>93600000</v>
      </c>
      <c r="O50" s="6">
        <v>0</v>
      </c>
      <c r="P50" s="6">
        <v>51200000</v>
      </c>
      <c r="Q50" s="6">
        <v>50000000</v>
      </c>
      <c r="R50" s="6">
        <v>53600000</v>
      </c>
      <c r="S50" s="6">
        <v>0.42735000000000001</v>
      </c>
      <c r="T50" s="6">
        <v>0.95522399999999996</v>
      </c>
      <c r="U50" s="1" t="s">
        <v>214</v>
      </c>
      <c r="V50" s="1"/>
      <c r="W50" s="1"/>
      <c r="X50" s="9">
        <v>10809333</v>
      </c>
      <c r="Y50" s="9">
        <v>982667</v>
      </c>
      <c r="Z50" s="1" t="s">
        <v>22</v>
      </c>
      <c r="AA50" s="1">
        <v>47711</v>
      </c>
      <c r="AB50" t="s">
        <v>39</v>
      </c>
      <c r="AC50" t="e">
        <f>VLOOKUP(U50,Sheet1!$F$1:$F$39,1,FALSE)</f>
        <v>#N/A</v>
      </c>
      <c r="AD50">
        <f t="shared" si="0"/>
        <v>1</v>
      </c>
    </row>
    <row r="51" spans="1:30" ht="270.75" thickBot="1" x14ac:dyDescent="0.3">
      <c r="A51" s="5">
        <v>46310</v>
      </c>
      <c r="B51" s="1">
        <v>5309</v>
      </c>
      <c r="C51" s="1">
        <v>5309030021000700</v>
      </c>
      <c r="D51" s="1" t="s">
        <v>22</v>
      </c>
      <c r="E51" s="1">
        <v>47711</v>
      </c>
      <c r="F51" s="1" t="s">
        <v>215</v>
      </c>
      <c r="G51" s="1" t="s">
        <v>216</v>
      </c>
      <c r="H51" s="1" t="s">
        <v>217</v>
      </c>
      <c r="I51" s="6">
        <v>90000</v>
      </c>
      <c r="J51" s="6">
        <v>40000000</v>
      </c>
      <c r="K51" s="6">
        <v>600000</v>
      </c>
      <c r="L51" s="6">
        <v>1080000</v>
      </c>
      <c r="M51" s="1">
        <v>41770000</v>
      </c>
      <c r="N51" s="6">
        <v>62400000</v>
      </c>
      <c r="O51" s="6">
        <v>0</v>
      </c>
      <c r="P51" s="6">
        <v>21710000</v>
      </c>
      <c r="Q51" s="6">
        <v>30000000</v>
      </c>
      <c r="R51" s="6">
        <v>22400000</v>
      </c>
      <c r="S51" s="6">
        <v>0.64102599999999998</v>
      </c>
      <c r="T51" s="6">
        <v>0.96919599999999995</v>
      </c>
      <c r="U51" s="1" t="s">
        <v>218</v>
      </c>
      <c r="V51" s="1"/>
      <c r="W51" s="1"/>
      <c r="X51" s="9">
        <v>4285217</v>
      </c>
      <c r="Y51" s="9">
        <v>642783</v>
      </c>
      <c r="Z51" s="1" t="s">
        <v>22</v>
      </c>
      <c r="AA51" s="1">
        <v>47711</v>
      </c>
      <c r="AB51" t="s">
        <v>39</v>
      </c>
      <c r="AC51" t="e">
        <f>VLOOKUP(U51,Sheet1!$F$1:$F$39,1,FALSE)</f>
        <v>#N/A</v>
      </c>
      <c r="AD51">
        <f t="shared" si="0"/>
        <v>1</v>
      </c>
    </row>
    <row r="52" spans="1:30" ht="270.75" thickBot="1" x14ac:dyDescent="0.3">
      <c r="A52" s="5">
        <v>46310</v>
      </c>
      <c r="B52" s="1">
        <v>5309</v>
      </c>
      <c r="C52" s="1">
        <v>5309030021000700</v>
      </c>
      <c r="D52" s="1" t="s">
        <v>22</v>
      </c>
      <c r="E52" s="1">
        <v>47711</v>
      </c>
      <c r="F52" s="1" t="s">
        <v>219</v>
      </c>
      <c r="G52" s="1" t="s">
        <v>220</v>
      </c>
      <c r="H52" s="1" t="s">
        <v>220</v>
      </c>
      <c r="I52" s="6">
        <v>160000</v>
      </c>
      <c r="J52" s="6">
        <v>60000000</v>
      </c>
      <c r="K52" s="6">
        <v>300000</v>
      </c>
      <c r="L52" s="6">
        <v>1704000</v>
      </c>
      <c r="M52" s="1">
        <v>62164000</v>
      </c>
      <c r="N52" s="6">
        <v>86164000</v>
      </c>
      <c r="O52" s="6">
        <v>0</v>
      </c>
      <c r="P52" s="6">
        <v>25704000</v>
      </c>
      <c r="Q52" s="6">
        <v>50000000</v>
      </c>
      <c r="R52" s="6">
        <v>26164000</v>
      </c>
      <c r="S52" s="6">
        <v>0.69634700000000005</v>
      </c>
      <c r="T52" s="6">
        <v>0.98241900000000004</v>
      </c>
      <c r="U52" s="1" t="s">
        <v>221</v>
      </c>
      <c r="V52" s="1"/>
      <c r="W52" s="1"/>
      <c r="X52" s="9">
        <v>3753965</v>
      </c>
      <c r="Y52" s="9">
        <v>2002115</v>
      </c>
      <c r="Z52" s="1" t="s">
        <v>22</v>
      </c>
      <c r="AA52" s="1">
        <v>47711</v>
      </c>
      <c r="AB52" t="s">
        <v>39</v>
      </c>
      <c r="AC52" t="e">
        <f>VLOOKUP(U52,Sheet1!$F$1:$F$39,1,FALSE)</f>
        <v>#N/A</v>
      </c>
      <c r="AD52">
        <f t="shared" si="0"/>
        <v>1</v>
      </c>
    </row>
    <row r="53" spans="1:30" ht="270.75" thickBot="1" x14ac:dyDescent="0.3">
      <c r="A53" s="5">
        <v>46310</v>
      </c>
      <c r="B53" s="1">
        <v>5309</v>
      </c>
      <c r="C53" s="1">
        <v>5309074001000300</v>
      </c>
      <c r="D53" s="1" t="s">
        <v>22</v>
      </c>
      <c r="E53" s="1">
        <v>47711</v>
      </c>
      <c r="F53" s="1" t="s">
        <v>222</v>
      </c>
      <c r="G53" s="1" t="s">
        <v>223</v>
      </c>
      <c r="H53" s="1" t="s">
        <v>224</v>
      </c>
      <c r="I53" s="6">
        <v>150000</v>
      </c>
      <c r="J53" s="6">
        <v>3000000</v>
      </c>
      <c r="K53" s="6">
        <v>250000</v>
      </c>
      <c r="L53" s="6">
        <v>0</v>
      </c>
      <c r="M53" s="1">
        <v>3400000</v>
      </c>
      <c r="N53" s="6">
        <v>12000000</v>
      </c>
      <c r="O53" s="6">
        <v>0</v>
      </c>
      <c r="P53" s="6">
        <v>8600000</v>
      </c>
      <c r="Q53" s="6">
        <v>1100000</v>
      </c>
      <c r="R53" s="6">
        <v>9000000</v>
      </c>
      <c r="S53" s="6">
        <v>0.25</v>
      </c>
      <c r="T53" s="6">
        <v>0.95555599999999996</v>
      </c>
      <c r="U53" s="1" t="s">
        <v>225</v>
      </c>
      <c r="V53" s="1"/>
      <c r="W53" s="1"/>
      <c r="X53" s="9">
        <v>1237500</v>
      </c>
      <c r="Y53" s="9">
        <v>742500</v>
      </c>
      <c r="Z53" s="1" t="s">
        <v>22</v>
      </c>
      <c r="AA53" s="1">
        <v>47711</v>
      </c>
      <c r="AB53" t="s">
        <v>39</v>
      </c>
      <c r="AC53" t="e">
        <f>VLOOKUP(U53,Sheet1!$F$1:$F$39,1,FALSE)</f>
        <v>#N/A</v>
      </c>
      <c r="AD53">
        <f t="shared" si="0"/>
        <v>1</v>
      </c>
    </row>
    <row r="54" spans="1:30" ht="270.75" thickBot="1" x14ac:dyDescent="0.3">
      <c r="A54" s="5">
        <v>46310</v>
      </c>
      <c r="B54" s="1">
        <v>5309</v>
      </c>
      <c r="C54" s="1">
        <v>5309030021000700</v>
      </c>
      <c r="D54" s="1" t="s">
        <v>22</v>
      </c>
      <c r="E54" s="1">
        <v>47711</v>
      </c>
      <c r="F54" s="1" t="s">
        <v>226</v>
      </c>
      <c r="G54" s="1" t="s">
        <v>213</v>
      </c>
      <c r="H54" s="1" t="s">
        <v>213</v>
      </c>
      <c r="I54" s="6">
        <v>240000</v>
      </c>
      <c r="J54" s="6">
        <v>12000000</v>
      </c>
      <c r="K54" s="6">
        <v>2400000</v>
      </c>
      <c r="L54" s="6">
        <v>4400000</v>
      </c>
      <c r="M54" s="1">
        <v>19040000</v>
      </c>
      <c r="N54" s="6">
        <v>30000000</v>
      </c>
      <c r="O54" s="6">
        <v>0</v>
      </c>
      <c r="P54" s="6">
        <v>15360000</v>
      </c>
      <c r="Q54" s="6">
        <v>50000000</v>
      </c>
      <c r="R54" s="6">
        <v>18000000</v>
      </c>
      <c r="S54" s="6">
        <v>0.4</v>
      </c>
      <c r="T54" s="6">
        <v>0.85333300000000001</v>
      </c>
      <c r="U54" s="1" t="s">
        <v>227</v>
      </c>
      <c r="V54" s="1"/>
      <c r="W54" s="1"/>
      <c r="X54" s="9">
        <v>3600000</v>
      </c>
      <c r="Y54" s="9">
        <v>360000</v>
      </c>
      <c r="Z54" s="1" t="s">
        <v>22</v>
      </c>
      <c r="AA54" s="1">
        <v>47711</v>
      </c>
      <c r="AB54" t="s">
        <v>39</v>
      </c>
      <c r="AC54" t="e">
        <f>VLOOKUP(U54,Sheet1!$F$1:$F$39,1,FALSE)</f>
        <v>#N/A</v>
      </c>
      <c r="AD54">
        <f t="shared" si="0"/>
        <v>1</v>
      </c>
    </row>
    <row r="55" spans="1:30" ht="270.75" thickBot="1" x14ac:dyDescent="0.3">
      <c r="A55" s="5">
        <v>46310</v>
      </c>
      <c r="B55" s="1">
        <v>5309</v>
      </c>
      <c r="C55" s="1">
        <v>5309030021000700</v>
      </c>
      <c r="D55" s="1" t="s">
        <v>22</v>
      </c>
      <c r="E55" s="1">
        <v>47712</v>
      </c>
      <c r="F55" s="1" t="s">
        <v>228</v>
      </c>
      <c r="G55" s="1" t="s">
        <v>229</v>
      </c>
      <c r="H55" s="1" t="s">
        <v>229</v>
      </c>
      <c r="I55" s="6">
        <v>728000</v>
      </c>
      <c r="J55" s="6">
        <v>20000000</v>
      </c>
      <c r="K55" s="6">
        <v>733000</v>
      </c>
      <c r="L55" s="6">
        <v>1200000</v>
      </c>
      <c r="M55" s="1">
        <v>32261000</v>
      </c>
      <c r="N55" s="6">
        <v>41600000</v>
      </c>
      <c r="O55" s="6">
        <v>0</v>
      </c>
      <c r="P55" s="6">
        <v>20139000</v>
      </c>
      <c r="Q55" s="6">
        <v>30000000</v>
      </c>
      <c r="R55" s="6">
        <v>21600000</v>
      </c>
      <c r="S55" s="6">
        <v>0.480769</v>
      </c>
      <c r="T55" s="6">
        <v>0.932361</v>
      </c>
      <c r="U55" s="1" t="s">
        <v>230</v>
      </c>
      <c r="V55" s="1"/>
      <c r="W55" s="1"/>
      <c r="X55" s="9">
        <v>2384131</v>
      </c>
      <c r="Y55" s="9">
        <v>2367869</v>
      </c>
      <c r="Z55" s="1" t="s">
        <v>22</v>
      </c>
      <c r="AA55" s="1">
        <v>47712</v>
      </c>
      <c r="AB55" t="s">
        <v>39</v>
      </c>
      <c r="AC55" t="str">
        <f>VLOOKUP(U55,Sheet1!$F$1:$F$39,1,FALSE)</f>
        <v>https://fasih-sm.bps.go.id/app/assignment/fd68e454-ba45-4b85-8205-f3bf777ded24/f1481da1-eed2-44a2-8ea6-c51e29dda667</v>
      </c>
      <c r="AD55">
        <f t="shared" si="0"/>
        <v>0</v>
      </c>
    </row>
    <row r="56" spans="1:30" ht="270.75" thickBot="1" x14ac:dyDescent="0.3">
      <c r="A56" s="5">
        <v>46310</v>
      </c>
      <c r="B56" s="1">
        <v>5309</v>
      </c>
      <c r="C56" s="1">
        <v>5309074002000200</v>
      </c>
      <c r="D56" s="1" t="s">
        <v>22</v>
      </c>
      <c r="E56" s="1">
        <v>47724</v>
      </c>
      <c r="F56" s="1" t="s">
        <v>232</v>
      </c>
      <c r="G56" s="1" t="s">
        <v>233</v>
      </c>
      <c r="H56" s="1" t="s">
        <v>234</v>
      </c>
      <c r="I56" s="6">
        <v>0</v>
      </c>
      <c r="J56" s="6">
        <v>15000000</v>
      </c>
      <c r="K56" s="6">
        <v>5000000</v>
      </c>
      <c r="L56" s="6">
        <v>0</v>
      </c>
      <c r="M56" s="1">
        <v>20000000</v>
      </c>
      <c r="N56" s="6">
        <v>24000000</v>
      </c>
      <c r="O56" s="6">
        <v>0</v>
      </c>
      <c r="P56" s="6">
        <v>4000000</v>
      </c>
      <c r="Q56" s="6">
        <v>7500000</v>
      </c>
      <c r="R56" s="6">
        <v>9000000</v>
      </c>
      <c r="S56" s="6">
        <v>0.625</v>
      </c>
      <c r="T56" s="6">
        <v>0.44444400000000001</v>
      </c>
      <c r="U56" s="1" t="s">
        <v>235</v>
      </c>
      <c r="V56" s="1"/>
      <c r="W56" s="1"/>
      <c r="X56" s="9">
        <v>3240000</v>
      </c>
      <c r="Y56" s="9">
        <v>0</v>
      </c>
      <c r="Z56" s="1" t="s">
        <v>22</v>
      </c>
      <c r="AA56" s="1">
        <v>47724</v>
      </c>
      <c r="AB56" t="s">
        <v>39</v>
      </c>
      <c r="AC56" t="e">
        <f>VLOOKUP(U56,Sheet1!$F$1:$F$39,1,FALSE)</f>
        <v>#N/A</v>
      </c>
      <c r="AD56">
        <f t="shared" si="0"/>
        <v>1</v>
      </c>
    </row>
    <row r="57" spans="1:30" ht="270.75" thickBot="1" x14ac:dyDescent="0.3">
      <c r="A57" s="5">
        <v>46310</v>
      </c>
      <c r="B57" s="1">
        <v>5309</v>
      </c>
      <c r="C57" s="1">
        <v>5309030021000700</v>
      </c>
      <c r="D57" s="1" t="s">
        <v>22</v>
      </c>
      <c r="E57" s="1">
        <v>47724</v>
      </c>
      <c r="F57" s="1" t="s">
        <v>236</v>
      </c>
      <c r="G57" s="1" t="s">
        <v>237</v>
      </c>
      <c r="H57" s="1" t="s">
        <v>237</v>
      </c>
      <c r="I57" s="6">
        <v>360000</v>
      </c>
      <c r="J57" s="6">
        <v>90000000</v>
      </c>
      <c r="K57" s="6">
        <v>600000</v>
      </c>
      <c r="L57" s="6">
        <v>1638000</v>
      </c>
      <c r="M57" s="1">
        <v>92598000</v>
      </c>
      <c r="N57" s="6">
        <v>109200000</v>
      </c>
      <c r="O57" s="6">
        <v>0</v>
      </c>
      <c r="P57" s="6">
        <v>18240000</v>
      </c>
      <c r="Q57" s="6">
        <v>50000000</v>
      </c>
      <c r="R57" s="6">
        <v>19200000</v>
      </c>
      <c r="S57" s="6">
        <v>0.82417600000000002</v>
      </c>
      <c r="T57" s="6">
        <v>0.95</v>
      </c>
      <c r="U57" s="1" t="s">
        <v>238</v>
      </c>
      <c r="V57" s="1"/>
      <c r="W57" s="1"/>
      <c r="X57" s="9">
        <v>2640000</v>
      </c>
      <c r="Y57" s="9">
        <v>1584000</v>
      </c>
      <c r="Z57" s="1" t="s">
        <v>22</v>
      </c>
      <c r="AA57" s="1">
        <v>47724</v>
      </c>
      <c r="AB57" t="s">
        <v>39</v>
      </c>
      <c r="AC57" t="e">
        <f>VLOOKUP(U57,Sheet1!$F$1:$F$39,1,FALSE)</f>
        <v>#N/A</v>
      </c>
      <c r="AD57">
        <f t="shared" si="0"/>
        <v>1</v>
      </c>
    </row>
    <row r="58" spans="1:30" ht="270.75" thickBot="1" x14ac:dyDescent="0.3">
      <c r="A58" s="5">
        <v>46310</v>
      </c>
      <c r="B58" s="1">
        <v>5309</v>
      </c>
      <c r="C58" s="1">
        <v>5309030021000700</v>
      </c>
      <c r="D58" s="1" t="s">
        <v>22</v>
      </c>
      <c r="E58" s="1">
        <v>47735</v>
      </c>
      <c r="F58" s="1" t="s">
        <v>239</v>
      </c>
      <c r="G58" s="1" t="s">
        <v>240</v>
      </c>
      <c r="H58" s="1" t="s">
        <v>240</v>
      </c>
      <c r="I58" s="6">
        <v>30000</v>
      </c>
      <c r="J58" s="6">
        <v>40000000</v>
      </c>
      <c r="K58" s="6">
        <v>300000</v>
      </c>
      <c r="L58" s="6">
        <v>624000</v>
      </c>
      <c r="M58" s="1">
        <v>40954000</v>
      </c>
      <c r="N58" s="6">
        <v>60000000</v>
      </c>
      <c r="O58" s="6">
        <v>0</v>
      </c>
      <c r="P58" s="6">
        <v>19670000</v>
      </c>
      <c r="Q58" s="6">
        <v>200000000</v>
      </c>
      <c r="R58" s="6">
        <v>20000000</v>
      </c>
      <c r="S58" s="6">
        <v>0.66666700000000001</v>
      </c>
      <c r="T58" s="6">
        <v>0.98350000000000004</v>
      </c>
      <c r="U58" s="1" t="s">
        <v>241</v>
      </c>
      <c r="V58" s="1"/>
      <c r="W58" s="1"/>
      <c r="X58" s="9">
        <v>4000000</v>
      </c>
      <c r="Y58" s="9">
        <v>400000</v>
      </c>
      <c r="Z58" s="1" t="s">
        <v>22</v>
      </c>
      <c r="AA58" s="1">
        <v>47735</v>
      </c>
      <c r="AB58" t="s">
        <v>39</v>
      </c>
      <c r="AC58" t="e">
        <f>VLOOKUP(U58,Sheet1!$F$1:$F$39,1,FALSE)</f>
        <v>#N/A</v>
      </c>
      <c r="AD58">
        <f t="shared" si="0"/>
        <v>1</v>
      </c>
    </row>
    <row r="59" spans="1:30" ht="270.75" thickBot="1" x14ac:dyDescent="0.3">
      <c r="A59" s="5">
        <v>46310</v>
      </c>
      <c r="B59" s="1">
        <v>5309</v>
      </c>
      <c r="C59" s="1">
        <v>5309030011001700</v>
      </c>
      <c r="D59" s="1" t="s">
        <v>22</v>
      </c>
      <c r="E59" s="1">
        <v>47771</v>
      </c>
      <c r="F59" s="1" t="s">
        <v>243</v>
      </c>
      <c r="G59" s="1" t="s">
        <v>244</v>
      </c>
      <c r="H59" s="1" t="s">
        <v>245</v>
      </c>
      <c r="I59" s="6">
        <v>1500000</v>
      </c>
      <c r="J59" s="6">
        <v>3500000</v>
      </c>
      <c r="K59" s="6">
        <v>250000</v>
      </c>
      <c r="L59" s="6">
        <v>0</v>
      </c>
      <c r="M59" s="1">
        <v>5250000</v>
      </c>
      <c r="N59" s="6">
        <v>25700000</v>
      </c>
      <c r="O59" s="6">
        <v>0</v>
      </c>
      <c r="P59" s="6">
        <v>20450000</v>
      </c>
      <c r="Q59" s="6">
        <v>3100000</v>
      </c>
      <c r="R59" s="6">
        <v>22200000</v>
      </c>
      <c r="S59" s="6">
        <v>0.136187</v>
      </c>
      <c r="T59" s="6">
        <v>0.92117099999999996</v>
      </c>
      <c r="U59" s="1" t="s">
        <v>246</v>
      </c>
      <c r="V59" s="1"/>
      <c r="W59" s="1"/>
      <c r="X59" s="9">
        <v>697714</v>
      </c>
      <c r="Y59" s="9">
        <v>4186286</v>
      </c>
      <c r="Z59" s="1" t="s">
        <v>22</v>
      </c>
      <c r="AA59" s="1">
        <v>47771</v>
      </c>
      <c r="AB59" t="s">
        <v>39</v>
      </c>
      <c r="AC59" t="e">
        <f>VLOOKUP(U59,Sheet1!$F$1:$F$39,1,FALSE)</f>
        <v>#N/A</v>
      </c>
      <c r="AD59">
        <f t="shared" si="0"/>
        <v>1</v>
      </c>
    </row>
    <row r="60" spans="1:30" ht="270.75" thickBot="1" x14ac:dyDescent="0.3">
      <c r="A60" s="5">
        <v>46310</v>
      </c>
      <c r="B60" s="1">
        <v>5309</v>
      </c>
      <c r="C60" s="1">
        <v>5309070058000300</v>
      </c>
      <c r="D60" s="1" t="s">
        <v>22</v>
      </c>
      <c r="E60" s="1">
        <v>47771</v>
      </c>
      <c r="F60" s="1" t="s">
        <v>247</v>
      </c>
      <c r="G60" s="1" t="s">
        <v>248</v>
      </c>
      <c r="H60" s="1" t="s">
        <v>249</v>
      </c>
      <c r="I60" s="6">
        <v>0</v>
      </c>
      <c r="J60" s="6">
        <v>15000000</v>
      </c>
      <c r="K60" s="6">
        <v>0</v>
      </c>
      <c r="L60" s="6">
        <v>0</v>
      </c>
      <c r="M60" s="1">
        <v>49400000</v>
      </c>
      <c r="N60" s="6">
        <v>17400000</v>
      </c>
      <c r="O60" s="6">
        <v>0</v>
      </c>
      <c r="P60" s="6">
        <v>2400000</v>
      </c>
      <c r="Q60" s="6">
        <v>0</v>
      </c>
      <c r="R60" s="6">
        <v>2400000</v>
      </c>
      <c r="S60" s="6">
        <v>0.86206899999999997</v>
      </c>
      <c r="T60" s="6">
        <v>1</v>
      </c>
      <c r="U60" s="1" t="s">
        <v>250</v>
      </c>
      <c r="V60" s="1"/>
      <c r="W60" s="1"/>
      <c r="X60" s="9">
        <v>528000</v>
      </c>
      <c r="Y60" s="9">
        <v>0</v>
      </c>
      <c r="Z60" s="1" t="s">
        <v>22</v>
      </c>
      <c r="AA60" s="1">
        <v>47771</v>
      </c>
      <c r="AB60" t="s">
        <v>39</v>
      </c>
      <c r="AC60" t="str">
        <f>VLOOKUP(U60,Sheet1!$F$1:$F$39,1,FALSE)</f>
        <v>https://fasih-sm.bps.go.id/app/assignment/fd68e454-ba45-4b85-8205-f3bf777ded24/4f3ee94b-12d4-4792-8b75-de1d8d9d909a</v>
      </c>
      <c r="AD60">
        <f t="shared" si="0"/>
        <v>0</v>
      </c>
    </row>
    <row r="61" spans="1:30" ht="270.75" thickBot="1" x14ac:dyDescent="0.3">
      <c r="A61" s="5">
        <v>46310</v>
      </c>
      <c r="B61" s="1">
        <v>5309</v>
      </c>
      <c r="C61" s="1">
        <v>5309050014000100</v>
      </c>
      <c r="D61" s="1" t="s">
        <v>22</v>
      </c>
      <c r="E61" s="1">
        <v>47771</v>
      </c>
      <c r="F61" s="1" t="s">
        <v>251</v>
      </c>
      <c r="G61" s="1" t="s">
        <v>252</v>
      </c>
      <c r="H61" s="1" t="s">
        <v>253</v>
      </c>
      <c r="I61" s="6">
        <v>0</v>
      </c>
      <c r="J61" s="6">
        <v>37440000</v>
      </c>
      <c r="K61" s="6">
        <v>300000</v>
      </c>
      <c r="L61" s="6">
        <v>0</v>
      </c>
      <c r="M61" s="1">
        <v>37740000</v>
      </c>
      <c r="N61" s="6">
        <v>40800000</v>
      </c>
      <c r="O61" s="6">
        <v>0</v>
      </c>
      <c r="P61" s="6">
        <v>3060000</v>
      </c>
      <c r="Q61" s="6">
        <v>2350000</v>
      </c>
      <c r="R61" s="6">
        <v>3360000</v>
      </c>
      <c r="S61" s="6">
        <v>0.91764699999999999</v>
      </c>
      <c r="T61" s="6">
        <v>0.91071400000000002</v>
      </c>
      <c r="U61" s="1" t="s">
        <v>254</v>
      </c>
      <c r="V61" s="1"/>
      <c r="W61" s="1"/>
      <c r="X61" s="9">
        <v>739200</v>
      </c>
      <c r="Y61" s="9">
        <v>0</v>
      </c>
      <c r="Z61" s="1" t="s">
        <v>22</v>
      </c>
      <c r="AA61" s="1">
        <v>47771</v>
      </c>
      <c r="AB61" t="s">
        <v>39</v>
      </c>
      <c r="AC61" t="e">
        <f>VLOOKUP(U61,Sheet1!$F$1:$F$39,1,FALSE)</f>
        <v>#N/A</v>
      </c>
      <c r="AD61">
        <f t="shared" si="0"/>
        <v>1</v>
      </c>
    </row>
    <row r="62" spans="1:30" ht="270.75" thickBot="1" x14ac:dyDescent="0.3">
      <c r="A62" s="5">
        <v>46310</v>
      </c>
      <c r="B62" s="1">
        <v>5309</v>
      </c>
      <c r="C62" s="1">
        <v>5309041005000800</v>
      </c>
      <c r="D62" s="1" t="s">
        <v>22</v>
      </c>
      <c r="E62" s="1">
        <v>47771</v>
      </c>
      <c r="F62" s="1" t="s">
        <v>255</v>
      </c>
      <c r="G62" s="1" t="s">
        <v>256</v>
      </c>
      <c r="H62" s="1" t="s">
        <v>257</v>
      </c>
      <c r="I62" s="6">
        <v>0</v>
      </c>
      <c r="J62" s="6">
        <v>36000000</v>
      </c>
      <c r="K62" s="6">
        <v>0</v>
      </c>
      <c r="L62" s="6">
        <v>59500</v>
      </c>
      <c r="M62" s="1">
        <v>875000</v>
      </c>
      <c r="N62" s="6">
        <v>51300000</v>
      </c>
      <c r="O62" s="6">
        <v>0</v>
      </c>
      <c r="P62" s="6">
        <v>15300000</v>
      </c>
      <c r="Q62" s="6">
        <v>900000</v>
      </c>
      <c r="R62" s="6">
        <v>15300000</v>
      </c>
      <c r="S62" s="6">
        <v>0.70175399999999999</v>
      </c>
      <c r="T62" s="6">
        <v>1</v>
      </c>
      <c r="U62" s="1" t="s">
        <v>258</v>
      </c>
      <c r="V62" s="1"/>
      <c r="W62" s="1"/>
      <c r="X62" s="9">
        <v>3366000</v>
      </c>
      <c r="Y62" s="9">
        <v>0</v>
      </c>
      <c r="Z62" s="1" t="s">
        <v>22</v>
      </c>
      <c r="AA62" s="1">
        <v>47771</v>
      </c>
      <c r="AB62" t="s">
        <v>39</v>
      </c>
      <c r="AC62" t="e">
        <f>VLOOKUP(U62,Sheet1!$F$1:$F$39,1,FALSE)</f>
        <v>#N/A</v>
      </c>
      <c r="AD62">
        <f t="shared" si="0"/>
        <v>1</v>
      </c>
    </row>
    <row r="63" spans="1:30" ht="270.75" thickBot="1" x14ac:dyDescent="0.3">
      <c r="A63" s="5">
        <v>46310</v>
      </c>
      <c r="B63" s="1">
        <v>5309</v>
      </c>
      <c r="C63" s="1">
        <v>5309071010001500</v>
      </c>
      <c r="D63" s="1" t="s">
        <v>22</v>
      </c>
      <c r="E63" s="1">
        <v>47771</v>
      </c>
      <c r="F63" s="1" t="s">
        <v>259</v>
      </c>
      <c r="G63" s="1" t="s">
        <v>260</v>
      </c>
      <c r="H63" s="1" t="s">
        <v>261</v>
      </c>
      <c r="I63" s="6">
        <v>0</v>
      </c>
      <c r="J63" s="6">
        <v>24960000</v>
      </c>
      <c r="K63" s="6">
        <v>0</v>
      </c>
      <c r="L63" s="6">
        <v>53000</v>
      </c>
      <c r="M63" s="1">
        <v>440000</v>
      </c>
      <c r="N63" s="6">
        <v>29760000</v>
      </c>
      <c r="O63" s="6">
        <v>0</v>
      </c>
      <c r="P63" s="6">
        <v>4800000</v>
      </c>
      <c r="Q63" s="6">
        <v>21200000</v>
      </c>
      <c r="R63" s="6">
        <v>4800000</v>
      </c>
      <c r="S63" s="6">
        <v>0.83870999999999996</v>
      </c>
      <c r="T63" s="6">
        <v>1</v>
      </c>
      <c r="U63" s="1" t="s">
        <v>262</v>
      </c>
      <c r="V63" s="1"/>
      <c r="W63" s="1"/>
      <c r="X63" s="9">
        <v>1056000</v>
      </c>
      <c r="Y63" s="9">
        <v>0</v>
      </c>
      <c r="Z63" s="1" t="s">
        <v>22</v>
      </c>
      <c r="AA63" s="1">
        <v>47771</v>
      </c>
      <c r="AB63" t="s">
        <v>39</v>
      </c>
      <c r="AC63" t="e">
        <f>VLOOKUP(U63,Sheet1!$F$1:$F$39,1,FALSE)</f>
        <v>#N/A</v>
      </c>
      <c r="AD63">
        <f t="shared" si="0"/>
        <v>1</v>
      </c>
    </row>
    <row r="64" spans="1:30" ht="270.75" thickBot="1" x14ac:dyDescent="0.3">
      <c r="A64" s="5">
        <v>46310</v>
      </c>
      <c r="B64" s="1">
        <v>5309</v>
      </c>
      <c r="C64" s="1">
        <v>5309071008001300</v>
      </c>
      <c r="D64" s="1" t="s">
        <v>22</v>
      </c>
      <c r="E64" s="1">
        <v>47771</v>
      </c>
      <c r="F64" s="1" t="s">
        <v>263</v>
      </c>
      <c r="G64" s="1" t="s">
        <v>244</v>
      </c>
      <c r="H64" s="1" t="s">
        <v>245</v>
      </c>
      <c r="I64" s="6">
        <v>1150000</v>
      </c>
      <c r="J64" s="6">
        <v>24960000</v>
      </c>
      <c r="K64" s="6">
        <v>0</v>
      </c>
      <c r="L64" s="6">
        <v>62000</v>
      </c>
      <c r="M64" s="1">
        <v>26172000</v>
      </c>
      <c r="N64" s="6">
        <v>27600000</v>
      </c>
      <c r="O64" s="6">
        <v>0</v>
      </c>
      <c r="P64" s="6">
        <v>1490000</v>
      </c>
      <c r="Q64" s="6">
        <v>11000000</v>
      </c>
      <c r="R64" s="6">
        <v>2640000</v>
      </c>
      <c r="S64" s="6">
        <v>0.90434800000000004</v>
      </c>
      <c r="T64" s="6">
        <v>0.56439399999999995</v>
      </c>
      <c r="U64" s="1" t="s">
        <v>264</v>
      </c>
      <c r="V64" s="1"/>
      <c r="W64" s="1"/>
      <c r="X64" s="9">
        <v>0</v>
      </c>
      <c r="Y64" s="9">
        <v>950400</v>
      </c>
      <c r="Z64" s="1" t="s">
        <v>22</v>
      </c>
      <c r="AA64" s="1">
        <v>47771</v>
      </c>
      <c r="AB64" t="s">
        <v>39</v>
      </c>
      <c r="AC64" t="e">
        <f>VLOOKUP(U64,Sheet1!$F$1:$F$39,1,FALSE)</f>
        <v>#N/A</v>
      </c>
      <c r="AD64">
        <f t="shared" si="0"/>
        <v>1</v>
      </c>
    </row>
    <row r="65" spans="1:30" ht="270.75" thickBot="1" x14ac:dyDescent="0.3">
      <c r="A65" s="5">
        <v>46310</v>
      </c>
      <c r="B65" s="1">
        <v>5309</v>
      </c>
      <c r="C65" s="1">
        <v>5309071006001100</v>
      </c>
      <c r="D65" s="1" t="s">
        <v>22</v>
      </c>
      <c r="E65" s="1">
        <v>47771</v>
      </c>
      <c r="F65" s="1" t="s">
        <v>265</v>
      </c>
      <c r="G65" s="1" t="s">
        <v>244</v>
      </c>
      <c r="H65" s="1" t="s">
        <v>266</v>
      </c>
      <c r="I65" s="6">
        <v>0</v>
      </c>
      <c r="J65" s="6">
        <v>24960000</v>
      </c>
      <c r="K65" s="6">
        <v>0</v>
      </c>
      <c r="L65" s="6">
        <v>0</v>
      </c>
      <c r="M65" s="1">
        <v>24960000</v>
      </c>
      <c r="N65" s="6">
        <v>27880000</v>
      </c>
      <c r="O65" s="6">
        <v>0</v>
      </c>
      <c r="P65" s="6">
        <v>2920000</v>
      </c>
      <c r="Q65" s="6">
        <v>15500000</v>
      </c>
      <c r="R65" s="6">
        <v>2920000</v>
      </c>
      <c r="S65" s="6">
        <v>0.89526499999999998</v>
      </c>
      <c r="T65" s="6">
        <v>1</v>
      </c>
      <c r="U65" s="1" t="s">
        <v>267</v>
      </c>
      <c r="V65" s="1"/>
      <c r="W65" s="1"/>
      <c r="X65" s="9">
        <v>642400</v>
      </c>
      <c r="Y65" s="9">
        <v>0</v>
      </c>
      <c r="Z65" s="1" t="s">
        <v>22</v>
      </c>
      <c r="AA65" s="1">
        <v>47771</v>
      </c>
      <c r="AB65" t="s">
        <v>39</v>
      </c>
      <c r="AC65" t="e">
        <f>VLOOKUP(U65,Sheet1!$F$1:$F$39,1,FALSE)</f>
        <v>#N/A</v>
      </c>
      <c r="AD65">
        <f t="shared" si="0"/>
        <v>1</v>
      </c>
    </row>
    <row r="66" spans="1:30" ht="270.75" thickBot="1" x14ac:dyDescent="0.3">
      <c r="A66" s="5">
        <v>46310</v>
      </c>
      <c r="B66" s="1">
        <v>5309</v>
      </c>
      <c r="C66" s="1">
        <v>5309070015000300</v>
      </c>
      <c r="D66" s="1" t="s">
        <v>22</v>
      </c>
      <c r="E66" s="1">
        <v>47771</v>
      </c>
      <c r="F66" s="1" t="s">
        <v>268</v>
      </c>
      <c r="G66" s="1" t="s">
        <v>181</v>
      </c>
      <c r="H66" s="1" t="s">
        <v>269</v>
      </c>
      <c r="I66" s="6">
        <v>50000</v>
      </c>
      <c r="J66" s="6">
        <v>24960000</v>
      </c>
      <c r="K66" s="6">
        <v>100000</v>
      </c>
      <c r="L66" s="6">
        <v>0</v>
      </c>
      <c r="M66" s="1">
        <v>25110000</v>
      </c>
      <c r="N66" s="6">
        <v>26400000</v>
      </c>
      <c r="O66" s="6">
        <v>0</v>
      </c>
      <c r="P66" s="6">
        <v>1290000</v>
      </c>
      <c r="Q66" s="6">
        <v>1400000</v>
      </c>
      <c r="R66" s="6">
        <v>1440000</v>
      </c>
      <c r="S66" s="6">
        <v>0.94545500000000005</v>
      </c>
      <c r="T66" s="6">
        <v>0.89583299999999999</v>
      </c>
      <c r="U66" s="1" t="s">
        <v>270</v>
      </c>
      <c r="V66" s="1"/>
      <c r="W66" s="1"/>
      <c r="X66" s="9">
        <v>211200</v>
      </c>
      <c r="Y66" s="9">
        <v>105600</v>
      </c>
      <c r="Z66" s="1" t="s">
        <v>22</v>
      </c>
      <c r="AA66" s="1">
        <v>47771</v>
      </c>
      <c r="AB66" t="s">
        <v>39</v>
      </c>
      <c r="AC66" t="e">
        <f>VLOOKUP(U66,Sheet1!$F$1:$F$39,1,FALSE)</f>
        <v>#N/A</v>
      </c>
      <c r="AD66">
        <f t="shared" si="0"/>
        <v>1</v>
      </c>
    </row>
    <row r="67" spans="1:30" ht="270.75" thickBot="1" x14ac:dyDescent="0.3">
      <c r="A67" s="5">
        <v>46310</v>
      </c>
      <c r="B67" s="1">
        <v>5309</v>
      </c>
      <c r="C67" s="1">
        <v>5309062006000300</v>
      </c>
      <c r="D67" s="1" t="s">
        <v>22</v>
      </c>
      <c r="E67" s="1">
        <v>46204</v>
      </c>
      <c r="F67" s="1" t="s">
        <v>272</v>
      </c>
      <c r="G67" s="1" t="s">
        <v>273</v>
      </c>
      <c r="H67" s="1" t="s">
        <v>274</v>
      </c>
      <c r="I67" s="6">
        <v>100000</v>
      </c>
      <c r="J67" s="6">
        <v>1500000</v>
      </c>
      <c r="K67" s="6">
        <v>50000</v>
      </c>
      <c r="L67" s="6">
        <v>0</v>
      </c>
      <c r="M67" s="1">
        <v>1650000</v>
      </c>
      <c r="N67" s="6">
        <v>2400000</v>
      </c>
      <c r="O67" s="6">
        <v>0</v>
      </c>
      <c r="P67" s="6">
        <v>750000</v>
      </c>
      <c r="Q67" s="6">
        <v>400000</v>
      </c>
      <c r="R67" s="6">
        <v>900000</v>
      </c>
      <c r="S67" s="6">
        <v>0.625</v>
      </c>
      <c r="T67" s="6">
        <v>0.83333299999999999</v>
      </c>
      <c r="U67" s="1" t="s">
        <v>275</v>
      </c>
      <c r="V67" s="1"/>
      <c r="W67" s="1"/>
      <c r="X67" s="9">
        <v>66000</v>
      </c>
      <c r="Y67" s="9">
        <v>132000</v>
      </c>
      <c r="Z67" s="1" t="s">
        <v>22</v>
      </c>
      <c r="AA67" s="1">
        <v>46204</v>
      </c>
      <c r="AB67" t="s">
        <v>39</v>
      </c>
      <c r="AC67" t="e">
        <f>VLOOKUP(U67,Sheet1!$F$1:$F$39,1,FALSE)</f>
        <v>#N/A</v>
      </c>
      <c r="AD67">
        <f t="shared" si="0"/>
        <v>1</v>
      </c>
    </row>
    <row r="68" spans="1:30" ht="270.75" thickBot="1" x14ac:dyDescent="0.3">
      <c r="A68" s="5">
        <v>46310</v>
      </c>
      <c r="B68" s="1">
        <v>5309</v>
      </c>
      <c r="C68" s="1">
        <v>5309062007000300</v>
      </c>
      <c r="D68" s="1" t="s">
        <v>22</v>
      </c>
      <c r="E68" s="1">
        <v>46209</v>
      </c>
      <c r="F68" s="1" t="s">
        <v>276</v>
      </c>
      <c r="G68" s="1" t="s">
        <v>277</v>
      </c>
      <c r="H68" s="1" t="s">
        <v>278</v>
      </c>
      <c r="I68" s="6">
        <v>5000000</v>
      </c>
      <c r="J68" s="6">
        <v>5308400000</v>
      </c>
      <c r="K68" s="6">
        <v>60000000</v>
      </c>
      <c r="L68" s="6">
        <v>0</v>
      </c>
      <c r="M68" s="1">
        <v>9000000</v>
      </c>
      <c r="N68" s="6">
        <v>5912800000</v>
      </c>
      <c r="O68" s="6">
        <v>0</v>
      </c>
      <c r="P68" s="6">
        <v>539400000</v>
      </c>
      <c r="Q68" s="6">
        <v>9600000</v>
      </c>
      <c r="R68" s="6">
        <v>604400000</v>
      </c>
      <c r="S68" s="6">
        <v>0.89778100000000005</v>
      </c>
      <c r="T68" s="6">
        <v>0.892455</v>
      </c>
      <c r="U68" s="1" t="s">
        <v>279</v>
      </c>
      <c r="V68" s="1"/>
      <c r="W68" s="1"/>
      <c r="X68" s="9">
        <v>122739692</v>
      </c>
      <c r="Y68" s="9">
        <v>10228308</v>
      </c>
      <c r="Z68" s="1" t="s">
        <v>22</v>
      </c>
      <c r="AA68" s="1">
        <v>46209</v>
      </c>
      <c r="AB68" t="s">
        <v>39</v>
      </c>
      <c r="AC68" t="e">
        <f>VLOOKUP(U68,Sheet1!$F$1:$F$39,1,FALSE)</f>
        <v>#N/A</v>
      </c>
      <c r="AD68">
        <f t="shared" si="0"/>
        <v>1</v>
      </c>
    </row>
    <row r="69" spans="1:30" ht="270.75" thickBot="1" x14ac:dyDescent="0.3">
      <c r="A69" s="5">
        <v>46310</v>
      </c>
      <c r="B69" s="1">
        <v>5309</v>
      </c>
      <c r="C69" s="1">
        <v>5309073001001400</v>
      </c>
      <c r="D69" s="1" t="s">
        <v>22</v>
      </c>
      <c r="E69" s="1">
        <v>46311</v>
      </c>
      <c r="F69" s="1" t="s">
        <v>280</v>
      </c>
      <c r="G69" s="1" t="s">
        <v>281</v>
      </c>
      <c r="H69" s="1" t="s">
        <v>282</v>
      </c>
      <c r="I69" s="6">
        <v>83000000</v>
      </c>
      <c r="J69" s="6">
        <v>5000000</v>
      </c>
      <c r="K69" s="6">
        <v>1800000</v>
      </c>
      <c r="L69" s="6">
        <v>0</v>
      </c>
      <c r="M69" s="1">
        <v>2650000</v>
      </c>
      <c r="N69" s="6">
        <v>96000000</v>
      </c>
      <c r="O69" s="6">
        <v>9600000</v>
      </c>
      <c r="P69" s="6">
        <v>6200000</v>
      </c>
      <c r="Q69" s="6">
        <v>0</v>
      </c>
      <c r="R69" s="6">
        <v>91000000</v>
      </c>
      <c r="S69" s="6">
        <v>5.2082999999999997E-2</v>
      </c>
      <c r="T69" s="6">
        <v>6.8131999999999998E-2</v>
      </c>
      <c r="U69" s="1" t="s">
        <v>283</v>
      </c>
      <c r="V69" s="1"/>
      <c r="W69" s="1"/>
      <c r="X69" s="9">
        <v>695377</v>
      </c>
      <c r="Y69" s="9">
        <v>32064623</v>
      </c>
      <c r="Z69" s="1" t="s">
        <v>22</v>
      </c>
      <c r="AA69" s="1">
        <v>46311</v>
      </c>
      <c r="AB69" t="s">
        <v>39</v>
      </c>
      <c r="AC69" t="str">
        <f>VLOOKUP(U69,Sheet1!$F$1:$F$39,1,FALSE)</f>
        <v>https://fasih-sm.bps.go.id/app/assignment/fd68e454-ba45-4b85-8205-f3bf777ded24/41ee4c1a-9b06-4da2-8eaf-966ae274050a</v>
      </c>
      <c r="AD69">
        <f t="shared" ref="AD69:AD132" si="1">IF(ISNA(AC69),1,0)</f>
        <v>0</v>
      </c>
    </row>
    <row r="70" spans="1:30" ht="270.75" thickBot="1" x14ac:dyDescent="0.3">
      <c r="A70" s="5">
        <v>46310</v>
      </c>
      <c r="B70" s="1">
        <v>5309</v>
      </c>
      <c r="C70" s="1">
        <v>5309030021000700</v>
      </c>
      <c r="D70" s="1" t="s">
        <v>22</v>
      </c>
      <c r="E70" s="1">
        <v>46313</v>
      </c>
      <c r="F70" s="1" t="s">
        <v>284</v>
      </c>
      <c r="G70" s="1" t="s">
        <v>285</v>
      </c>
      <c r="H70" s="1" t="s">
        <v>285</v>
      </c>
      <c r="I70" s="6">
        <v>7000000</v>
      </c>
      <c r="J70" s="6">
        <v>144000000</v>
      </c>
      <c r="K70" s="6">
        <v>20800000</v>
      </c>
      <c r="L70" s="6">
        <v>400000</v>
      </c>
      <c r="M70" s="1">
        <v>172200000</v>
      </c>
      <c r="N70" s="6">
        <v>184200000</v>
      </c>
      <c r="O70" s="6">
        <v>0</v>
      </c>
      <c r="P70" s="6">
        <v>12400000</v>
      </c>
      <c r="Q70" s="6">
        <v>70000000</v>
      </c>
      <c r="R70" s="6">
        <v>40200000</v>
      </c>
      <c r="S70" s="6">
        <v>0.78175899999999998</v>
      </c>
      <c r="T70" s="6">
        <v>0.30845800000000001</v>
      </c>
      <c r="U70" s="1" t="s">
        <v>286</v>
      </c>
      <c r="V70" s="1"/>
      <c r="W70" s="1"/>
      <c r="X70" s="9">
        <v>10827971</v>
      </c>
      <c r="Y70" s="9">
        <v>3644029</v>
      </c>
      <c r="Z70" s="1" t="s">
        <v>22</v>
      </c>
      <c r="AA70" s="1">
        <v>46313</v>
      </c>
      <c r="AB70" t="s">
        <v>39</v>
      </c>
      <c r="AC70" t="e">
        <f>VLOOKUP(U70,Sheet1!$F$1:$F$39,1,FALSE)</f>
        <v>#N/A</v>
      </c>
      <c r="AD70">
        <f t="shared" si="1"/>
        <v>1</v>
      </c>
    </row>
    <row r="71" spans="1:30" ht="270.75" thickBot="1" x14ac:dyDescent="0.3">
      <c r="A71" s="5">
        <v>46310</v>
      </c>
      <c r="B71" s="1">
        <v>5309</v>
      </c>
      <c r="C71" s="1">
        <v>5309030022001400</v>
      </c>
      <c r="D71" s="1" t="s">
        <v>22</v>
      </c>
      <c r="E71" s="1">
        <v>46335</v>
      </c>
      <c r="F71" s="1" t="s">
        <v>287</v>
      </c>
      <c r="G71" s="1" t="s">
        <v>288</v>
      </c>
      <c r="H71" s="1" t="s">
        <v>289</v>
      </c>
      <c r="I71" s="6">
        <v>0</v>
      </c>
      <c r="J71" s="6">
        <v>30000000</v>
      </c>
      <c r="K71" s="6">
        <v>2700000</v>
      </c>
      <c r="L71" s="6">
        <v>17100000</v>
      </c>
      <c r="M71" s="1">
        <v>5150000</v>
      </c>
      <c r="N71" s="6">
        <v>72000000</v>
      </c>
      <c r="O71" s="6">
        <v>0</v>
      </c>
      <c r="P71" s="6">
        <v>39300000</v>
      </c>
      <c r="Q71" s="6">
        <v>0</v>
      </c>
      <c r="R71" s="6">
        <v>42000000</v>
      </c>
      <c r="S71" s="6">
        <v>0.41666700000000001</v>
      </c>
      <c r="T71" s="6">
        <v>0.93571400000000005</v>
      </c>
      <c r="U71" s="1" t="s">
        <v>290</v>
      </c>
      <c r="V71" s="1"/>
      <c r="W71" s="1"/>
      <c r="X71" s="9">
        <v>9240000</v>
      </c>
      <c r="Y71" s="9">
        <v>0</v>
      </c>
      <c r="Z71" s="1" t="s">
        <v>22</v>
      </c>
      <c r="AA71" s="1">
        <v>46335</v>
      </c>
      <c r="AB71" t="s">
        <v>39</v>
      </c>
      <c r="AC71" t="e">
        <f>VLOOKUP(U71,Sheet1!$F$1:$F$39,1,FALSE)</f>
        <v>#N/A</v>
      </c>
      <c r="AD71">
        <f t="shared" si="1"/>
        <v>1</v>
      </c>
    </row>
    <row r="72" spans="1:30" ht="270.75" thickBot="1" x14ac:dyDescent="0.3">
      <c r="A72" s="5">
        <v>46310</v>
      </c>
      <c r="B72" s="1">
        <v>5309</v>
      </c>
      <c r="C72" s="1">
        <v>5309060022000100</v>
      </c>
      <c r="D72" s="1" t="s">
        <v>22</v>
      </c>
      <c r="E72" s="1">
        <v>47111</v>
      </c>
      <c r="F72" s="1" t="s">
        <v>291</v>
      </c>
      <c r="G72" s="1" t="s">
        <v>30</v>
      </c>
      <c r="H72" s="1" t="s">
        <v>106</v>
      </c>
      <c r="I72" s="6">
        <v>2500000</v>
      </c>
      <c r="J72" s="6">
        <v>1600000</v>
      </c>
      <c r="K72" s="6">
        <v>100000</v>
      </c>
      <c r="L72" s="6">
        <v>0</v>
      </c>
      <c r="M72" s="1">
        <v>4200000</v>
      </c>
      <c r="N72" s="6">
        <v>5500000</v>
      </c>
      <c r="O72" s="6">
        <v>0</v>
      </c>
      <c r="P72" s="6">
        <v>1300000</v>
      </c>
      <c r="Q72" s="6">
        <v>3200000</v>
      </c>
      <c r="R72" s="6">
        <v>3900000</v>
      </c>
      <c r="S72" s="6">
        <v>0.29090899999999997</v>
      </c>
      <c r="T72" s="6">
        <v>0.33333299999999999</v>
      </c>
      <c r="U72" s="1" t="s">
        <v>292</v>
      </c>
      <c r="V72" s="1"/>
      <c r="W72" s="1"/>
      <c r="X72" s="9">
        <v>54000</v>
      </c>
      <c r="Y72" s="9">
        <v>1350000</v>
      </c>
      <c r="Z72" s="1" t="s">
        <v>22</v>
      </c>
      <c r="AA72" s="1">
        <v>47111</v>
      </c>
      <c r="AB72" t="s">
        <v>39</v>
      </c>
      <c r="AC72" t="e">
        <f>VLOOKUP(U72,Sheet1!$F$1:$F$39,1,FALSE)</f>
        <v>#N/A</v>
      </c>
      <c r="AD72">
        <f t="shared" si="1"/>
        <v>1</v>
      </c>
    </row>
    <row r="73" spans="1:30" ht="270.75" thickBot="1" x14ac:dyDescent="0.3">
      <c r="A73" s="5">
        <v>46310</v>
      </c>
      <c r="B73" s="1">
        <v>5309</v>
      </c>
      <c r="C73" s="1">
        <v>5309062010000200</v>
      </c>
      <c r="D73" s="1" t="s">
        <v>22</v>
      </c>
      <c r="E73" s="1">
        <v>47111</v>
      </c>
      <c r="F73" s="1" t="s">
        <v>293</v>
      </c>
      <c r="G73" s="1" t="s">
        <v>294</v>
      </c>
      <c r="H73" s="1" t="s">
        <v>295</v>
      </c>
      <c r="I73" s="6">
        <v>1000000</v>
      </c>
      <c r="J73" s="6">
        <v>500000</v>
      </c>
      <c r="K73" s="6">
        <v>100000</v>
      </c>
      <c r="L73" s="6">
        <v>0</v>
      </c>
      <c r="M73" s="1">
        <v>135000</v>
      </c>
      <c r="N73" s="6">
        <v>6000000</v>
      </c>
      <c r="O73" s="6">
        <v>500000</v>
      </c>
      <c r="P73" s="6">
        <v>4400000</v>
      </c>
      <c r="Q73" s="6">
        <v>1800000</v>
      </c>
      <c r="R73" s="6">
        <v>5500000</v>
      </c>
      <c r="S73" s="6">
        <v>8.3333000000000004E-2</v>
      </c>
      <c r="T73" s="6">
        <v>0.8</v>
      </c>
      <c r="U73" s="1" t="s">
        <v>296</v>
      </c>
      <c r="V73" s="1"/>
      <c r="W73" s="1"/>
      <c r="X73" s="9">
        <v>110000</v>
      </c>
      <c r="Y73" s="9">
        <v>1100000</v>
      </c>
      <c r="Z73" s="1" t="s">
        <v>22</v>
      </c>
      <c r="AA73" s="1">
        <v>47111</v>
      </c>
      <c r="AB73" t="s">
        <v>39</v>
      </c>
      <c r="AC73" t="e">
        <f>VLOOKUP(U73,Sheet1!$F$1:$F$39,1,FALSE)</f>
        <v>#N/A</v>
      </c>
      <c r="AD73">
        <f t="shared" si="1"/>
        <v>1</v>
      </c>
    </row>
    <row r="74" spans="1:30" ht="270.75" thickBot="1" x14ac:dyDescent="0.3">
      <c r="A74" s="5">
        <v>46310</v>
      </c>
      <c r="B74" s="1">
        <v>5309</v>
      </c>
      <c r="C74" s="1">
        <v>5309071011001100</v>
      </c>
      <c r="D74" s="1" t="s">
        <v>22</v>
      </c>
      <c r="E74" s="1">
        <v>47111</v>
      </c>
      <c r="F74" s="1" t="s">
        <v>297</v>
      </c>
      <c r="G74" s="1" t="s">
        <v>298</v>
      </c>
      <c r="H74" s="1" t="s">
        <v>299</v>
      </c>
      <c r="I74" s="6">
        <v>500000</v>
      </c>
      <c r="J74" s="6">
        <v>72000000</v>
      </c>
      <c r="K74" s="6">
        <v>1200000</v>
      </c>
      <c r="L74" s="6">
        <v>0</v>
      </c>
      <c r="M74" s="1">
        <v>73700000</v>
      </c>
      <c r="N74" s="6">
        <v>84000000</v>
      </c>
      <c r="O74" s="6">
        <v>0</v>
      </c>
      <c r="P74" s="6">
        <v>10300000</v>
      </c>
      <c r="Q74" s="6">
        <v>30000000</v>
      </c>
      <c r="R74" s="6">
        <v>12000000</v>
      </c>
      <c r="S74" s="6">
        <v>0.85714299999999999</v>
      </c>
      <c r="T74" s="6">
        <v>0.85833300000000001</v>
      </c>
      <c r="U74" s="1" t="s">
        <v>300</v>
      </c>
      <c r="V74" s="1"/>
      <c r="W74" s="1"/>
      <c r="X74" s="9">
        <v>1863529</v>
      </c>
      <c r="Y74" s="9">
        <v>776471</v>
      </c>
      <c r="Z74" s="1" t="s">
        <v>22</v>
      </c>
      <c r="AA74" s="1">
        <v>47111</v>
      </c>
      <c r="AB74" t="s">
        <v>39</v>
      </c>
      <c r="AC74" t="e">
        <f>VLOOKUP(U74,Sheet1!$F$1:$F$39,1,FALSE)</f>
        <v>#N/A</v>
      </c>
      <c r="AD74">
        <f t="shared" si="1"/>
        <v>1</v>
      </c>
    </row>
    <row r="75" spans="1:30" ht="270.75" thickBot="1" x14ac:dyDescent="0.3">
      <c r="A75" s="5">
        <v>46310</v>
      </c>
      <c r="B75" s="1">
        <v>5309</v>
      </c>
      <c r="C75" s="1">
        <v>5309020017000200</v>
      </c>
      <c r="D75" s="1" t="s">
        <v>22</v>
      </c>
      <c r="E75" s="1">
        <v>47112</v>
      </c>
      <c r="F75" s="1" t="s">
        <v>301</v>
      </c>
      <c r="G75" s="1" t="s">
        <v>302</v>
      </c>
      <c r="H75" s="1" t="s">
        <v>303</v>
      </c>
      <c r="I75" s="6">
        <v>5000000</v>
      </c>
      <c r="J75" s="6">
        <v>10000000</v>
      </c>
      <c r="K75" s="6">
        <v>600000</v>
      </c>
      <c r="L75" s="6">
        <v>0</v>
      </c>
      <c r="M75" s="1">
        <v>840000</v>
      </c>
      <c r="N75" s="6">
        <v>20000000</v>
      </c>
      <c r="O75" s="6">
        <v>0</v>
      </c>
      <c r="P75" s="6">
        <v>4400000</v>
      </c>
      <c r="Q75" s="6">
        <v>24000000</v>
      </c>
      <c r="R75" s="6">
        <v>10000000</v>
      </c>
      <c r="S75" s="6">
        <v>0.5</v>
      </c>
      <c r="T75" s="6">
        <v>0.44</v>
      </c>
      <c r="U75" s="1" t="s">
        <v>304</v>
      </c>
      <c r="V75" s="1"/>
      <c r="W75" s="1"/>
      <c r="X75" s="9">
        <v>385714</v>
      </c>
      <c r="Y75" s="9">
        <v>3214286</v>
      </c>
      <c r="Z75" s="1" t="s">
        <v>22</v>
      </c>
      <c r="AA75" s="1">
        <v>47112</v>
      </c>
      <c r="AB75" t="s">
        <v>39</v>
      </c>
      <c r="AC75" t="e">
        <f>VLOOKUP(U75,Sheet1!$F$1:$F$39,1,FALSE)</f>
        <v>#N/A</v>
      </c>
      <c r="AD75">
        <f t="shared" si="1"/>
        <v>1</v>
      </c>
    </row>
    <row r="76" spans="1:30" ht="255.75" thickBot="1" x14ac:dyDescent="0.3">
      <c r="A76" s="5">
        <v>46310</v>
      </c>
      <c r="B76" s="1">
        <v>5309</v>
      </c>
      <c r="C76" s="1">
        <v>5309011008000900</v>
      </c>
      <c r="D76" s="1" t="s">
        <v>22</v>
      </c>
      <c r="E76" s="1">
        <v>47112</v>
      </c>
      <c r="F76" s="1" t="s">
        <v>305</v>
      </c>
      <c r="G76" s="1" t="s">
        <v>271</v>
      </c>
      <c r="H76" s="1" t="s">
        <v>306</v>
      </c>
      <c r="I76" s="6">
        <v>0</v>
      </c>
      <c r="J76" s="6">
        <v>14400000</v>
      </c>
      <c r="K76" s="6">
        <v>300000</v>
      </c>
      <c r="L76" s="6">
        <v>0</v>
      </c>
      <c r="M76" s="1">
        <v>250000</v>
      </c>
      <c r="N76" s="6">
        <v>21300000</v>
      </c>
      <c r="O76" s="6">
        <v>0</v>
      </c>
      <c r="P76" s="6">
        <v>6600000</v>
      </c>
      <c r="Q76" s="6">
        <v>1355000</v>
      </c>
      <c r="R76" s="6">
        <v>6900000</v>
      </c>
      <c r="S76" s="6">
        <v>0.67605599999999999</v>
      </c>
      <c r="T76" s="6">
        <v>0.95652199999999998</v>
      </c>
      <c r="U76" s="1" t="s">
        <v>307</v>
      </c>
      <c r="V76" s="1"/>
      <c r="W76" s="1"/>
      <c r="X76" s="9">
        <v>1518000</v>
      </c>
      <c r="Y76" s="9">
        <v>0</v>
      </c>
      <c r="Z76" s="1" t="s">
        <v>22</v>
      </c>
      <c r="AA76" s="1">
        <v>47112</v>
      </c>
      <c r="AB76" t="s">
        <v>39</v>
      </c>
      <c r="AC76" t="e">
        <f>VLOOKUP(U76,Sheet1!$F$1:$F$39,1,FALSE)</f>
        <v>#N/A</v>
      </c>
      <c r="AD76">
        <f t="shared" si="1"/>
        <v>1</v>
      </c>
    </row>
    <row r="77" spans="1:30" ht="270.75" thickBot="1" x14ac:dyDescent="0.3">
      <c r="A77" s="5">
        <v>46310</v>
      </c>
      <c r="B77" s="1">
        <v>5309</v>
      </c>
      <c r="C77" s="1">
        <v>5309030022001100</v>
      </c>
      <c r="D77" s="1" t="s">
        <v>22</v>
      </c>
      <c r="E77" s="1">
        <v>47112</v>
      </c>
      <c r="F77" s="1" t="s">
        <v>308</v>
      </c>
      <c r="G77" s="1" t="s">
        <v>30</v>
      </c>
      <c r="H77" s="1" t="s">
        <v>309</v>
      </c>
      <c r="I77" s="6">
        <v>100000</v>
      </c>
      <c r="J77" s="6">
        <v>240000000</v>
      </c>
      <c r="K77" s="6">
        <v>1500000</v>
      </c>
      <c r="L77" s="6">
        <v>215000</v>
      </c>
      <c r="M77" s="1">
        <v>241815000</v>
      </c>
      <c r="N77" s="6">
        <v>540000000</v>
      </c>
      <c r="O77" s="6">
        <v>0</v>
      </c>
      <c r="P77" s="6">
        <v>298400000</v>
      </c>
      <c r="Q77" s="6">
        <v>15000000</v>
      </c>
      <c r="R77" s="6">
        <v>300000000</v>
      </c>
      <c r="S77" s="6">
        <v>0.44444400000000001</v>
      </c>
      <c r="T77" s="6">
        <v>0.99466699999999997</v>
      </c>
      <c r="U77" s="1" t="s">
        <v>310</v>
      </c>
      <c r="V77" s="1"/>
      <c r="W77" s="1"/>
      <c r="X77" s="9">
        <v>61875000</v>
      </c>
      <c r="Y77" s="9">
        <v>4125000</v>
      </c>
      <c r="Z77" s="1" t="s">
        <v>22</v>
      </c>
      <c r="AA77" s="1">
        <v>47112</v>
      </c>
      <c r="AB77" t="s">
        <v>39</v>
      </c>
      <c r="AC77" t="e">
        <f>VLOOKUP(U77,Sheet1!$F$1:$F$39,1,FALSE)</f>
        <v>#N/A</v>
      </c>
      <c r="AD77">
        <f t="shared" si="1"/>
        <v>1</v>
      </c>
    </row>
    <row r="78" spans="1:30" ht="270.75" thickBot="1" x14ac:dyDescent="0.3">
      <c r="A78" s="5">
        <v>46310</v>
      </c>
      <c r="B78" s="1">
        <v>5309</v>
      </c>
      <c r="C78" s="1">
        <v>5309041002000600</v>
      </c>
      <c r="D78" s="1" t="s">
        <v>22</v>
      </c>
      <c r="E78" s="1">
        <v>47112</v>
      </c>
      <c r="F78" s="1" t="s">
        <v>311</v>
      </c>
      <c r="G78" s="1" t="s">
        <v>180</v>
      </c>
      <c r="H78" s="1" t="s">
        <v>312</v>
      </c>
      <c r="I78" s="6">
        <v>24000</v>
      </c>
      <c r="J78" s="6">
        <v>5000000</v>
      </c>
      <c r="K78" s="6">
        <v>240000</v>
      </c>
      <c r="L78" s="6">
        <v>0</v>
      </c>
      <c r="M78" s="1">
        <v>440000</v>
      </c>
      <c r="N78" s="6">
        <v>11000000</v>
      </c>
      <c r="O78" s="6">
        <v>0</v>
      </c>
      <c r="P78" s="6">
        <v>5736000</v>
      </c>
      <c r="Q78" s="6">
        <v>7000000</v>
      </c>
      <c r="R78" s="6">
        <v>6000000</v>
      </c>
      <c r="S78" s="6">
        <v>0.45454499999999998</v>
      </c>
      <c r="T78" s="6">
        <v>0.95599999999999996</v>
      </c>
      <c r="U78" s="1" t="s">
        <v>313</v>
      </c>
      <c r="V78" s="1"/>
      <c r="W78" s="1"/>
      <c r="X78" s="9">
        <v>1200000</v>
      </c>
      <c r="Y78" s="9">
        <v>120000</v>
      </c>
      <c r="Z78" s="1" t="s">
        <v>22</v>
      </c>
      <c r="AA78" s="1">
        <v>47112</v>
      </c>
      <c r="AB78" t="s">
        <v>39</v>
      </c>
      <c r="AC78" t="e">
        <f>VLOOKUP(U78,Sheet1!$F$1:$F$39,1,FALSE)</f>
        <v>#N/A</v>
      </c>
      <c r="AD78">
        <f t="shared" si="1"/>
        <v>1</v>
      </c>
    </row>
    <row r="79" spans="1:30" ht="270.75" thickBot="1" x14ac:dyDescent="0.3">
      <c r="A79" s="5">
        <v>46310</v>
      </c>
      <c r="B79" s="1">
        <v>5309</v>
      </c>
      <c r="C79" s="1">
        <v>5309062012000100</v>
      </c>
      <c r="D79" s="1" t="s">
        <v>22</v>
      </c>
      <c r="E79" s="1">
        <v>47112</v>
      </c>
      <c r="F79" s="1" t="s">
        <v>314</v>
      </c>
      <c r="G79" s="1" t="s">
        <v>60</v>
      </c>
      <c r="H79" s="1" t="s">
        <v>315</v>
      </c>
      <c r="I79" s="6">
        <v>0</v>
      </c>
      <c r="J79" s="6">
        <v>9200000</v>
      </c>
      <c r="K79" s="6">
        <v>400000</v>
      </c>
      <c r="L79" s="6">
        <v>100000</v>
      </c>
      <c r="M79" s="1">
        <v>600015</v>
      </c>
      <c r="N79" s="6">
        <v>20000000</v>
      </c>
      <c r="O79" s="6">
        <v>1000000</v>
      </c>
      <c r="P79" s="6">
        <v>10400000</v>
      </c>
      <c r="Q79" s="6">
        <v>4200000</v>
      </c>
      <c r="R79" s="6">
        <v>10800000</v>
      </c>
      <c r="S79" s="6">
        <v>0.46</v>
      </c>
      <c r="T79" s="6">
        <v>0.96296300000000001</v>
      </c>
      <c r="U79" s="1" t="s">
        <v>316</v>
      </c>
      <c r="V79" s="1"/>
      <c r="W79" s="1"/>
      <c r="X79" s="9">
        <v>2376000</v>
      </c>
      <c r="Y79" s="9">
        <v>0</v>
      </c>
      <c r="Z79" s="1" t="s">
        <v>22</v>
      </c>
      <c r="AA79" s="1">
        <v>47112</v>
      </c>
      <c r="AB79" t="s">
        <v>39</v>
      </c>
      <c r="AC79" t="e">
        <f>VLOOKUP(U79,Sheet1!$F$1:$F$39,1,FALSE)</f>
        <v>#N/A</v>
      </c>
      <c r="AD79">
        <f t="shared" si="1"/>
        <v>1</v>
      </c>
    </row>
    <row r="80" spans="1:30" ht="270.75" thickBot="1" x14ac:dyDescent="0.3">
      <c r="A80" s="5">
        <v>46310</v>
      </c>
      <c r="B80" s="1">
        <v>5309</v>
      </c>
      <c r="C80" s="1">
        <v>5309050016001600</v>
      </c>
      <c r="D80" s="1" t="s">
        <v>22</v>
      </c>
      <c r="E80" s="1">
        <v>47112</v>
      </c>
      <c r="F80" s="1" t="s">
        <v>317</v>
      </c>
      <c r="G80" s="1" t="s">
        <v>30</v>
      </c>
      <c r="H80" s="1" t="s">
        <v>106</v>
      </c>
      <c r="I80" s="6">
        <v>1000000</v>
      </c>
      <c r="J80" s="6">
        <v>20000000</v>
      </c>
      <c r="K80" s="6">
        <v>2000000</v>
      </c>
      <c r="L80" s="6">
        <v>0</v>
      </c>
      <c r="M80" s="1">
        <v>23000000</v>
      </c>
      <c r="N80" s="6">
        <v>41000000</v>
      </c>
      <c r="O80" s="6">
        <v>0</v>
      </c>
      <c r="P80" s="6">
        <v>18000000</v>
      </c>
      <c r="Q80" s="6">
        <v>650000</v>
      </c>
      <c r="R80" s="6">
        <v>21000000</v>
      </c>
      <c r="S80" s="6">
        <v>0.48780499999999999</v>
      </c>
      <c r="T80" s="6">
        <v>0.85714299999999999</v>
      </c>
      <c r="U80" s="1" t="s">
        <v>318</v>
      </c>
      <c r="V80" s="1"/>
      <c r="W80" s="1"/>
      <c r="X80" s="9">
        <v>3080000</v>
      </c>
      <c r="Y80" s="9">
        <v>1540000</v>
      </c>
      <c r="Z80" s="1" t="s">
        <v>22</v>
      </c>
      <c r="AA80" s="1">
        <v>47112</v>
      </c>
      <c r="AB80" t="s">
        <v>39</v>
      </c>
      <c r="AC80" t="e">
        <f>VLOOKUP(U80,Sheet1!$F$1:$F$39,1,FALSE)</f>
        <v>#N/A</v>
      </c>
      <c r="AD80">
        <f t="shared" si="1"/>
        <v>1</v>
      </c>
    </row>
    <row r="81" spans="1:30" ht="270.75" thickBot="1" x14ac:dyDescent="0.3">
      <c r="A81" s="5">
        <v>46310</v>
      </c>
      <c r="B81" s="1">
        <v>5309</v>
      </c>
      <c r="C81" s="1">
        <v>5309050016001600</v>
      </c>
      <c r="D81" s="1" t="s">
        <v>22</v>
      </c>
      <c r="E81" s="1">
        <v>47112</v>
      </c>
      <c r="F81" s="1" t="s">
        <v>319</v>
      </c>
      <c r="G81" s="1" t="s">
        <v>320</v>
      </c>
      <c r="H81" s="1" t="s">
        <v>321</v>
      </c>
      <c r="I81" s="6">
        <v>2000000</v>
      </c>
      <c r="J81" s="6">
        <v>80000000</v>
      </c>
      <c r="K81" s="6">
        <v>2000000</v>
      </c>
      <c r="L81" s="6">
        <v>1000000</v>
      </c>
      <c r="M81" s="1">
        <v>85000000</v>
      </c>
      <c r="N81" s="6">
        <v>115000000</v>
      </c>
      <c r="O81" s="6">
        <v>0</v>
      </c>
      <c r="P81" s="6">
        <v>31000000</v>
      </c>
      <c r="Q81" s="6">
        <v>35000000</v>
      </c>
      <c r="R81" s="6">
        <v>35000000</v>
      </c>
      <c r="S81" s="6">
        <v>0.69565200000000005</v>
      </c>
      <c r="T81" s="6">
        <v>0.885714</v>
      </c>
      <c r="U81" s="1" t="s">
        <v>322</v>
      </c>
      <c r="V81" s="1"/>
      <c r="W81" s="1"/>
      <c r="X81" s="9">
        <v>3850000</v>
      </c>
      <c r="Y81" s="9">
        <v>3850000</v>
      </c>
      <c r="Z81" s="1" t="s">
        <v>22</v>
      </c>
      <c r="AA81" s="1">
        <v>47112</v>
      </c>
      <c r="AB81" t="s">
        <v>39</v>
      </c>
      <c r="AC81" t="e">
        <f>VLOOKUP(U81,Sheet1!$F$1:$F$39,1,FALSE)</f>
        <v>#N/A</v>
      </c>
      <c r="AD81">
        <f t="shared" si="1"/>
        <v>1</v>
      </c>
    </row>
    <row r="82" spans="1:30" ht="270.75" thickBot="1" x14ac:dyDescent="0.3">
      <c r="A82" s="5">
        <v>46310</v>
      </c>
      <c r="B82" s="1">
        <v>5309</v>
      </c>
      <c r="C82" s="1">
        <v>5309061001000500</v>
      </c>
      <c r="D82" s="1" t="s">
        <v>22</v>
      </c>
      <c r="E82" s="1">
        <v>47112</v>
      </c>
      <c r="F82" s="1" t="s">
        <v>323</v>
      </c>
      <c r="G82" s="1" t="s">
        <v>25</v>
      </c>
      <c r="H82" s="1" t="s">
        <v>26</v>
      </c>
      <c r="I82" s="6">
        <v>0</v>
      </c>
      <c r="J82" s="6">
        <v>36000000</v>
      </c>
      <c r="K82" s="6">
        <v>1200000</v>
      </c>
      <c r="L82" s="6">
        <v>0</v>
      </c>
      <c r="M82" s="1">
        <v>3100000</v>
      </c>
      <c r="N82" s="6">
        <v>48000000</v>
      </c>
      <c r="O82" s="6">
        <v>0</v>
      </c>
      <c r="P82" s="6">
        <v>10800000</v>
      </c>
      <c r="Q82" s="6">
        <v>0</v>
      </c>
      <c r="R82" s="6">
        <v>12000000</v>
      </c>
      <c r="S82" s="6">
        <v>0.75</v>
      </c>
      <c r="T82" s="6">
        <v>0.9</v>
      </c>
      <c r="U82" s="1" t="s">
        <v>324</v>
      </c>
      <c r="V82" s="1"/>
      <c r="W82" s="1"/>
      <c r="X82" s="9">
        <v>2640000</v>
      </c>
      <c r="Y82" s="9">
        <v>0</v>
      </c>
      <c r="Z82" s="1" t="s">
        <v>22</v>
      </c>
      <c r="AA82" s="1">
        <v>47112</v>
      </c>
      <c r="AB82" t="s">
        <v>39</v>
      </c>
      <c r="AC82" t="e">
        <f>VLOOKUP(U82,Sheet1!$F$1:$F$39,1,FALSE)</f>
        <v>#N/A</v>
      </c>
      <c r="AD82">
        <f t="shared" si="1"/>
        <v>1</v>
      </c>
    </row>
    <row r="83" spans="1:30" ht="270.75" thickBot="1" x14ac:dyDescent="0.3">
      <c r="A83" s="5">
        <v>46310</v>
      </c>
      <c r="B83" s="1">
        <v>5309</v>
      </c>
      <c r="C83" s="1">
        <v>5309062008000900</v>
      </c>
      <c r="D83" s="1" t="s">
        <v>22</v>
      </c>
      <c r="E83" s="1">
        <v>47112</v>
      </c>
      <c r="F83" s="1" t="s">
        <v>325</v>
      </c>
      <c r="G83" s="1" t="s">
        <v>326</v>
      </c>
      <c r="H83" s="1" t="s">
        <v>327</v>
      </c>
      <c r="I83" s="6">
        <v>200000</v>
      </c>
      <c r="J83" s="6">
        <v>14200000</v>
      </c>
      <c r="K83" s="6">
        <v>960000</v>
      </c>
      <c r="L83" s="6">
        <v>0</v>
      </c>
      <c r="M83" s="1">
        <v>1225000</v>
      </c>
      <c r="N83" s="6">
        <v>30512000</v>
      </c>
      <c r="O83" s="6">
        <v>0</v>
      </c>
      <c r="P83" s="6">
        <v>15152000</v>
      </c>
      <c r="Q83" s="6">
        <v>900000</v>
      </c>
      <c r="R83" s="6">
        <v>16312000</v>
      </c>
      <c r="S83" s="6">
        <v>0.465391</v>
      </c>
      <c r="T83" s="6">
        <v>0.92888700000000002</v>
      </c>
      <c r="U83" s="1" t="s">
        <v>328</v>
      </c>
      <c r="V83" s="1"/>
      <c r="W83" s="1"/>
      <c r="X83" s="9">
        <v>2969909</v>
      </c>
      <c r="Y83" s="9">
        <v>618731</v>
      </c>
      <c r="Z83" s="1" t="s">
        <v>22</v>
      </c>
      <c r="AA83" s="1">
        <v>47112</v>
      </c>
      <c r="AB83" t="s">
        <v>39</v>
      </c>
      <c r="AC83" t="e">
        <f>VLOOKUP(U83,Sheet1!$F$1:$F$39,1,FALSE)</f>
        <v>#N/A</v>
      </c>
      <c r="AD83">
        <f t="shared" si="1"/>
        <v>1</v>
      </c>
    </row>
    <row r="84" spans="1:30" ht="270.75" thickBot="1" x14ac:dyDescent="0.3">
      <c r="A84" s="5">
        <v>46310</v>
      </c>
      <c r="B84" s="1">
        <v>5309</v>
      </c>
      <c r="C84" s="1">
        <v>5309041002000700</v>
      </c>
      <c r="D84" s="1" t="s">
        <v>22</v>
      </c>
      <c r="E84" s="1">
        <v>47112</v>
      </c>
      <c r="F84" s="1" t="s">
        <v>329</v>
      </c>
      <c r="G84" s="1" t="s">
        <v>330</v>
      </c>
      <c r="H84" s="1" t="s">
        <v>331</v>
      </c>
      <c r="I84" s="6">
        <v>36000</v>
      </c>
      <c r="J84" s="6">
        <v>5000000</v>
      </c>
      <c r="K84" s="6">
        <v>240000</v>
      </c>
      <c r="L84" s="6">
        <v>0</v>
      </c>
      <c r="M84" s="1">
        <v>5276000</v>
      </c>
      <c r="N84" s="6">
        <v>11000000</v>
      </c>
      <c r="O84" s="6">
        <v>0</v>
      </c>
      <c r="P84" s="6">
        <v>5724000</v>
      </c>
      <c r="Q84" s="6">
        <v>0</v>
      </c>
      <c r="R84" s="6">
        <v>6000000</v>
      </c>
      <c r="S84" s="6">
        <v>0.45454499999999998</v>
      </c>
      <c r="T84" s="6">
        <v>0.95399999999999996</v>
      </c>
      <c r="U84" s="1" t="s">
        <v>332</v>
      </c>
      <c r="V84" s="1"/>
      <c r="W84" s="1"/>
      <c r="X84" s="9">
        <v>1147826</v>
      </c>
      <c r="Y84" s="9">
        <v>172174</v>
      </c>
      <c r="Z84" s="1" t="s">
        <v>22</v>
      </c>
      <c r="AA84" s="1">
        <v>47112</v>
      </c>
      <c r="AB84" t="s">
        <v>39</v>
      </c>
      <c r="AC84" t="e">
        <f>VLOOKUP(U84,Sheet1!$F$1:$F$39,1,FALSE)</f>
        <v>#N/A</v>
      </c>
      <c r="AD84">
        <f t="shared" si="1"/>
        <v>1</v>
      </c>
    </row>
    <row r="85" spans="1:30" ht="270.75" thickBot="1" x14ac:dyDescent="0.3">
      <c r="A85" s="5">
        <v>46310</v>
      </c>
      <c r="B85" s="1">
        <v>5309</v>
      </c>
      <c r="C85" s="1">
        <v>5309070008000700</v>
      </c>
      <c r="D85" s="1" t="s">
        <v>22</v>
      </c>
      <c r="E85" s="1">
        <v>47112</v>
      </c>
      <c r="F85" s="1" t="s">
        <v>333</v>
      </c>
      <c r="G85" s="1" t="s">
        <v>24</v>
      </c>
      <c r="H85" s="1" t="s">
        <v>334</v>
      </c>
      <c r="I85" s="6">
        <v>1200000</v>
      </c>
      <c r="J85" s="6">
        <v>72000000</v>
      </c>
      <c r="K85" s="6">
        <v>4800000</v>
      </c>
      <c r="L85" s="6">
        <v>500000</v>
      </c>
      <c r="M85" s="1">
        <v>78500000</v>
      </c>
      <c r="N85" s="6">
        <v>115200000</v>
      </c>
      <c r="O85" s="6">
        <v>0</v>
      </c>
      <c r="P85" s="6">
        <v>37200000</v>
      </c>
      <c r="Q85" s="6">
        <v>65000000</v>
      </c>
      <c r="R85" s="6">
        <v>43200000</v>
      </c>
      <c r="S85" s="6">
        <v>0.625</v>
      </c>
      <c r="T85" s="6">
        <v>0.86111099999999996</v>
      </c>
      <c r="U85" s="1" t="s">
        <v>335</v>
      </c>
      <c r="V85" s="1"/>
      <c r="W85" s="1"/>
      <c r="X85" s="9">
        <v>7603200</v>
      </c>
      <c r="Y85" s="9">
        <v>1900800</v>
      </c>
      <c r="Z85" s="1" t="s">
        <v>22</v>
      </c>
      <c r="AA85" s="1">
        <v>47112</v>
      </c>
      <c r="AB85" t="s">
        <v>39</v>
      </c>
      <c r="AC85" t="e">
        <f>VLOOKUP(U85,Sheet1!$F$1:$F$39,1,FALSE)</f>
        <v>#N/A</v>
      </c>
      <c r="AD85">
        <f t="shared" si="1"/>
        <v>1</v>
      </c>
    </row>
    <row r="86" spans="1:30" ht="270.75" thickBot="1" x14ac:dyDescent="0.3">
      <c r="A86" s="5">
        <v>46310</v>
      </c>
      <c r="B86" s="1">
        <v>5309</v>
      </c>
      <c r="C86" s="1">
        <v>5309070006000300</v>
      </c>
      <c r="D86" s="1" t="s">
        <v>22</v>
      </c>
      <c r="E86" s="1">
        <v>47112</v>
      </c>
      <c r="F86" s="1" t="s">
        <v>336</v>
      </c>
      <c r="G86" s="1" t="s">
        <v>337</v>
      </c>
      <c r="H86" s="1" t="s">
        <v>338</v>
      </c>
      <c r="I86" s="6">
        <v>24000000</v>
      </c>
      <c r="J86" s="6">
        <v>150000000</v>
      </c>
      <c r="K86" s="6">
        <v>6000000</v>
      </c>
      <c r="L86" s="6">
        <v>6000000</v>
      </c>
      <c r="M86" s="1">
        <v>15500000</v>
      </c>
      <c r="N86" s="6">
        <v>210000000</v>
      </c>
      <c r="O86" s="6">
        <v>0</v>
      </c>
      <c r="P86" s="6">
        <v>30000000</v>
      </c>
      <c r="Q86" s="6">
        <v>0</v>
      </c>
      <c r="R86" s="6">
        <v>60000000</v>
      </c>
      <c r="S86" s="6">
        <v>0.71428599999999998</v>
      </c>
      <c r="T86" s="6">
        <v>0.5</v>
      </c>
      <c r="U86" s="1" t="s">
        <v>339</v>
      </c>
      <c r="V86" s="1"/>
      <c r="W86" s="1"/>
      <c r="X86" s="9">
        <v>4320000</v>
      </c>
      <c r="Y86" s="9">
        <v>17280000</v>
      </c>
      <c r="Z86" s="1" t="s">
        <v>22</v>
      </c>
      <c r="AA86" s="1">
        <v>47112</v>
      </c>
      <c r="AB86" t="s">
        <v>39</v>
      </c>
      <c r="AC86" t="e">
        <f>VLOOKUP(U86,Sheet1!$F$1:$F$39,1,FALSE)</f>
        <v>#N/A</v>
      </c>
      <c r="AD86">
        <f t="shared" si="1"/>
        <v>1</v>
      </c>
    </row>
    <row r="87" spans="1:30" ht="270.75" thickBot="1" x14ac:dyDescent="0.3">
      <c r="A87" s="5">
        <v>46310</v>
      </c>
      <c r="B87" s="1">
        <v>5309</v>
      </c>
      <c r="C87" s="1">
        <v>5309020011000500</v>
      </c>
      <c r="D87" s="1" t="s">
        <v>22</v>
      </c>
      <c r="E87" s="1">
        <v>47112</v>
      </c>
      <c r="F87" s="1" t="s">
        <v>340</v>
      </c>
      <c r="G87" s="1" t="s">
        <v>341</v>
      </c>
      <c r="H87" s="1" t="s">
        <v>342</v>
      </c>
      <c r="I87" s="6">
        <v>0</v>
      </c>
      <c r="J87" s="6">
        <v>8925000</v>
      </c>
      <c r="K87" s="6">
        <v>1200000</v>
      </c>
      <c r="L87" s="6">
        <v>54000</v>
      </c>
      <c r="M87" s="1">
        <v>10179000</v>
      </c>
      <c r="N87" s="6">
        <v>14450000</v>
      </c>
      <c r="O87" s="6">
        <v>0</v>
      </c>
      <c r="P87" s="6">
        <v>4325000</v>
      </c>
      <c r="Q87" s="6">
        <v>34000000</v>
      </c>
      <c r="R87" s="6">
        <v>5525000</v>
      </c>
      <c r="S87" s="6">
        <v>0.61764699999999995</v>
      </c>
      <c r="T87" s="6">
        <v>0.78280499999999997</v>
      </c>
      <c r="U87" s="1" t="s">
        <v>343</v>
      </c>
      <c r="V87" s="1"/>
      <c r="W87" s="1"/>
      <c r="X87" s="9">
        <v>1215500</v>
      </c>
      <c r="Y87" s="9">
        <v>0</v>
      </c>
      <c r="Z87" s="1" t="s">
        <v>22</v>
      </c>
      <c r="AA87" s="1">
        <v>47112</v>
      </c>
      <c r="AB87" t="s">
        <v>39</v>
      </c>
      <c r="AC87" t="e">
        <f>VLOOKUP(U87,Sheet1!$F$1:$F$39,1,FALSE)</f>
        <v>#N/A</v>
      </c>
      <c r="AD87">
        <f t="shared" si="1"/>
        <v>1</v>
      </c>
    </row>
    <row r="88" spans="1:30" ht="270.75" thickBot="1" x14ac:dyDescent="0.3">
      <c r="A88" s="5">
        <v>46310</v>
      </c>
      <c r="B88" s="1">
        <v>5309</v>
      </c>
      <c r="C88" s="1">
        <v>5309030011000600</v>
      </c>
      <c r="D88" s="1" t="s">
        <v>22</v>
      </c>
      <c r="E88" s="1">
        <v>47112</v>
      </c>
      <c r="F88" s="1" t="s">
        <v>344</v>
      </c>
      <c r="G88" s="1" t="s">
        <v>30</v>
      </c>
      <c r="H88" s="1" t="s">
        <v>106</v>
      </c>
      <c r="I88" s="6">
        <v>24000000</v>
      </c>
      <c r="J88" s="6">
        <v>9000000</v>
      </c>
      <c r="K88" s="6">
        <v>2400000</v>
      </c>
      <c r="L88" s="6">
        <v>0</v>
      </c>
      <c r="M88" s="1">
        <v>2950000</v>
      </c>
      <c r="N88" s="6">
        <v>42000000</v>
      </c>
      <c r="O88" s="6">
        <v>0</v>
      </c>
      <c r="P88" s="6">
        <v>6600000</v>
      </c>
      <c r="Q88" s="6">
        <v>0</v>
      </c>
      <c r="R88" s="6">
        <v>33000000</v>
      </c>
      <c r="S88" s="6">
        <v>0.214286</v>
      </c>
      <c r="T88" s="6">
        <v>0.2</v>
      </c>
      <c r="U88" s="1" t="s">
        <v>345</v>
      </c>
      <c r="V88" s="1"/>
      <c r="W88" s="1"/>
      <c r="X88" s="9">
        <v>1080000</v>
      </c>
      <c r="Y88" s="9">
        <v>10800000</v>
      </c>
      <c r="Z88" s="1" t="s">
        <v>22</v>
      </c>
      <c r="AA88" s="1">
        <v>47112</v>
      </c>
      <c r="AB88" t="s">
        <v>39</v>
      </c>
      <c r="AC88" t="e">
        <f>VLOOKUP(U88,Sheet1!$F$1:$F$39,1,FALSE)</f>
        <v>#N/A</v>
      </c>
      <c r="AD88">
        <f t="shared" si="1"/>
        <v>1</v>
      </c>
    </row>
    <row r="89" spans="1:30" ht="270.75" thickBot="1" x14ac:dyDescent="0.3">
      <c r="A89" s="5">
        <v>46310</v>
      </c>
      <c r="B89" s="1">
        <v>5309</v>
      </c>
      <c r="C89" s="1">
        <v>5309030027000900</v>
      </c>
      <c r="D89" s="1" t="s">
        <v>22</v>
      </c>
      <c r="E89" s="1">
        <v>47112</v>
      </c>
      <c r="F89" s="1" t="s">
        <v>346</v>
      </c>
      <c r="G89" s="1" t="s">
        <v>24</v>
      </c>
      <c r="H89" s="1" t="s">
        <v>347</v>
      </c>
      <c r="I89" s="6">
        <v>0</v>
      </c>
      <c r="J89" s="6">
        <v>360000000</v>
      </c>
      <c r="K89" s="6">
        <v>5000000</v>
      </c>
      <c r="L89" s="6">
        <v>12000000</v>
      </c>
      <c r="M89" s="1">
        <v>377000000</v>
      </c>
      <c r="N89" s="6">
        <v>1080000000</v>
      </c>
      <c r="O89" s="6">
        <v>0</v>
      </c>
      <c r="P89" s="6">
        <v>715000000</v>
      </c>
      <c r="Q89" s="6">
        <v>10000000</v>
      </c>
      <c r="R89" s="6">
        <v>720000000</v>
      </c>
      <c r="S89" s="6">
        <v>0.33333299999999999</v>
      </c>
      <c r="T89" s="6">
        <v>0.99305600000000005</v>
      </c>
      <c r="U89" s="1" t="s">
        <v>348</v>
      </c>
      <c r="V89" s="1"/>
      <c r="W89" s="1"/>
      <c r="X89" s="9">
        <v>158400000</v>
      </c>
      <c r="Y89" s="9">
        <v>0</v>
      </c>
      <c r="Z89" s="1" t="s">
        <v>22</v>
      </c>
      <c r="AA89" s="1">
        <v>47112</v>
      </c>
      <c r="AB89" t="s">
        <v>39</v>
      </c>
      <c r="AC89" t="e">
        <f>VLOOKUP(U89,Sheet1!$F$1:$F$39,1,FALSE)</f>
        <v>#N/A</v>
      </c>
      <c r="AD89">
        <f t="shared" si="1"/>
        <v>1</v>
      </c>
    </row>
    <row r="90" spans="1:30" ht="270.75" thickBot="1" x14ac:dyDescent="0.3">
      <c r="A90" s="5">
        <v>46310</v>
      </c>
      <c r="B90" s="1">
        <v>5309</v>
      </c>
      <c r="C90" s="1">
        <v>5309012001000700</v>
      </c>
      <c r="D90" s="1" t="s">
        <v>22</v>
      </c>
      <c r="E90" s="1">
        <v>47112</v>
      </c>
      <c r="F90" s="1" t="s">
        <v>349</v>
      </c>
      <c r="G90" s="1" t="s">
        <v>350</v>
      </c>
      <c r="H90" s="1" t="s">
        <v>351</v>
      </c>
      <c r="I90" s="6">
        <v>500000</v>
      </c>
      <c r="J90" s="6">
        <v>144000000</v>
      </c>
      <c r="K90" s="6">
        <v>8000000</v>
      </c>
      <c r="L90" s="6">
        <v>0</v>
      </c>
      <c r="M90" s="1">
        <v>152500000</v>
      </c>
      <c r="N90" s="6">
        <v>250000000</v>
      </c>
      <c r="O90" s="6">
        <v>0</v>
      </c>
      <c r="P90" s="6">
        <v>97500000</v>
      </c>
      <c r="Q90" s="6">
        <v>4000000</v>
      </c>
      <c r="R90" s="6">
        <v>106000000</v>
      </c>
      <c r="S90" s="6">
        <v>0.57599999999999996</v>
      </c>
      <c r="T90" s="6">
        <v>0.91981100000000005</v>
      </c>
      <c r="U90" s="1" t="s">
        <v>352</v>
      </c>
      <c r="V90" s="1"/>
      <c r="W90" s="1"/>
      <c r="X90" s="9">
        <v>21948235</v>
      </c>
      <c r="Y90" s="9">
        <v>1371765</v>
      </c>
      <c r="Z90" s="1" t="s">
        <v>22</v>
      </c>
      <c r="AA90" s="1">
        <v>47112</v>
      </c>
      <c r="AB90" t="s">
        <v>39</v>
      </c>
      <c r="AC90" t="e">
        <f>VLOOKUP(U90,Sheet1!$F$1:$F$39,1,FALSE)</f>
        <v>#N/A</v>
      </c>
      <c r="AD90">
        <f t="shared" si="1"/>
        <v>1</v>
      </c>
    </row>
    <row r="91" spans="1:30" ht="270.75" thickBot="1" x14ac:dyDescent="0.3">
      <c r="A91" s="5">
        <v>46310</v>
      </c>
      <c r="B91" s="1">
        <v>5309</v>
      </c>
      <c r="C91" s="1">
        <v>5309050017000700</v>
      </c>
      <c r="D91" s="1" t="s">
        <v>22</v>
      </c>
      <c r="E91" s="1">
        <v>47112</v>
      </c>
      <c r="F91" s="1" t="s">
        <v>353</v>
      </c>
      <c r="G91" s="1" t="s">
        <v>354</v>
      </c>
      <c r="H91" s="1" t="s">
        <v>353</v>
      </c>
      <c r="I91" s="6">
        <v>0</v>
      </c>
      <c r="J91" s="6">
        <v>50000000</v>
      </c>
      <c r="K91" s="6">
        <v>15000000</v>
      </c>
      <c r="L91" s="6">
        <v>0</v>
      </c>
      <c r="M91" s="1">
        <v>65000000</v>
      </c>
      <c r="N91" s="6">
        <v>76000000</v>
      </c>
      <c r="O91" s="6">
        <v>0</v>
      </c>
      <c r="P91" s="6">
        <v>11000000</v>
      </c>
      <c r="Q91" s="6">
        <v>14000000</v>
      </c>
      <c r="R91" s="6">
        <v>26000000</v>
      </c>
      <c r="S91" s="6">
        <v>0.65789500000000001</v>
      </c>
      <c r="T91" s="6">
        <v>0.42307699999999998</v>
      </c>
      <c r="U91" s="1" t="s">
        <v>355</v>
      </c>
      <c r="V91" s="1"/>
      <c r="W91" s="1"/>
      <c r="X91" s="9">
        <v>9360000</v>
      </c>
      <c r="Y91" s="9">
        <v>0</v>
      </c>
      <c r="Z91" s="1" t="s">
        <v>22</v>
      </c>
      <c r="AA91" s="1">
        <v>47112</v>
      </c>
      <c r="AB91" t="s">
        <v>39</v>
      </c>
      <c r="AC91" t="e">
        <f>VLOOKUP(U91,Sheet1!$F$1:$F$39,1,FALSE)</f>
        <v>#N/A</v>
      </c>
      <c r="AD91">
        <f t="shared" si="1"/>
        <v>1</v>
      </c>
    </row>
    <row r="92" spans="1:30" ht="270.75" thickBot="1" x14ac:dyDescent="0.3">
      <c r="A92" s="5">
        <v>46310</v>
      </c>
      <c r="B92" s="1">
        <v>5309</v>
      </c>
      <c r="C92" s="1">
        <v>5309050017000600</v>
      </c>
      <c r="D92" s="1" t="s">
        <v>22</v>
      </c>
      <c r="E92" s="1">
        <v>47112</v>
      </c>
      <c r="F92" s="1" t="s">
        <v>356</v>
      </c>
      <c r="G92" s="1" t="s">
        <v>357</v>
      </c>
      <c r="H92" s="1" t="s">
        <v>358</v>
      </c>
      <c r="I92" s="6">
        <v>200000</v>
      </c>
      <c r="J92" s="6">
        <v>25000000</v>
      </c>
      <c r="K92" s="6">
        <v>9000000</v>
      </c>
      <c r="L92" s="6">
        <v>0</v>
      </c>
      <c r="M92" s="1">
        <v>34200000</v>
      </c>
      <c r="N92" s="6">
        <v>44000000</v>
      </c>
      <c r="O92" s="6">
        <v>0</v>
      </c>
      <c r="P92" s="6">
        <v>9800000</v>
      </c>
      <c r="Q92" s="6">
        <v>5500000</v>
      </c>
      <c r="R92" s="6">
        <v>19000000</v>
      </c>
      <c r="S92" s="6">
        <v>0.56818199999999996</v>
      </c>
      <c r="T92" s="6">
        <v>0.51578900000000005</v>
      </c>
      <c r="U92" s="1" t="s">
        <v>359</v>
      </c>
      <c r="V92" s="1"/>
      <c r="W92" s="1"/>
      <c r="X92" s="9">
        <v>6691304</v>
      </c>
      <c r="Y92" s="9">
        <v>148696</v>
      </c>
      <c r="Z92" s="1" t="s">
        <v>22</v>
      </c>
      <c r="AA92" s="1">
        <v>47112</v>
      </c>
      <c r="AB92" t="s">
        <v>39</v>
      </c>
      <c r="AC92" t="e">
        <f>VLOOKUP(U92,Sheet1!$F$1:$F$39,1,FALSE)</f>
        <v>#N/A</v>
      </c>
      <c r="AD92">
        <f t="shared" si="1"/>
        <v>1</v>
      </c>
    </row>
    <row r="93" spans="1:30" ht="270.75" thickBot="1" x14ac:dyDescent="0.3">
      <c r="A93" s="5">
        <v>46310</v>
      </c>
      <c r="B93" s="1">
        <v>5309</v>
      </c>
      <c r="C93" s="1">
        <v>5309030025001700</v>
      </c>
      <c r="D93" s="1" t="s">
        <v>22</v>
      </c>
      <c r="E93" s="1">
        <v>47112</v>
      </c>
      <c r="F93" s="1" t="s">
        <v>360</v>
      </c>
      <c r="G93" s="1" t="s">
        <v>361</v>
      </c>
      <c r="H93" s="1" t="s">
        <v>362</v>
      </c>
      <c r="I93" s="6">
        <v>180000</v>
      </c>
      <c r="J93" s="6">
        <v>3600000</v>
      </c>
      <c r="K93" s="6">
        <v>0</v>
      </c>
      <c r="L93" s="6">
        <v>0</v>
      </c>
      <c r="M93" s="1">
        <v>3780000</v>
      </c>
      <c r="N93" s="6">
        <v>4800000</v>
      </c>
      <c r="O93" s="6">
        <v>3120000</v>
      </c>
      <c r="P93" s="6">
        <v>1020000</v>
      </c>
      <c r="Q93" s="6">
        <v>4500000</v>
      </c>
      <c r="R93" s="6">
        <v>1200000</v>
      </c>
      <c r="S93" s="6">
        <v>0.75</v>
      </c>
      <c r="T93" s="6">
        <v>0.85</v>
      </c>
      <c r="U93" s="1" t="s">
        <v>363</v>
      </c>
      <c r="V93" s="1"/>
      <c r="W93" s="1"/>
      <c r="X93" s="9">
        <v>0</v>
      </c>
      <c r="Y93" s="9">
        <v>264000</v>
      </c>
      <c r="Z93" s="1" t="s">
        <v>22</v>
      </c>
      <c r="AA93" s="1">
        <v>47112</v>
      </c>
      <c r="AB93" t="s">
        <v>39</v>
      </c>
      <c r="AC93" t="e">
        <f>VLOOKUP(U93,Sheet1!$F$1:$F$39,1,FALSE)</f>
        <v>#N/A</v>
      </c>
      <c r="AD93">
        <f t="shared" si="1"/>
        <v>1</v>
      </c>
    </row>
    <row r="94" spans="1:30" ht="270.75" thickBot="1" x14ac:dyDescent="0.3">
      <c r="A94" s="5">
        <v>46310</v>
      </c>
      <c r="B94" s="1">
        <v>5309</v>
      </c>
      <c r="C94" s="1">
        <v>5309030027000600</v>
      </c>
      <c r="D94" s="1" t="s">
        <v>22</v>
      </c>
      <c r="E94" s="1">
        <v>47112</v>
      </c>
      <c r="F94" s="1" t="s">
        <v>364</v>
      </c>
      <c r="G94" s="1" t="s">
        <v>365</v>
      </c>
      <c r="H94" s="1" t="s">
        <v>366</v>
      </c>
      <c r="I94" s="6">
        <v>0</v>
      </c>
      <c r="J94" s="6">
        <v>14400000</v>
      </c>
      <c r="K94" s="6">
        <v>600000</v>
      </c>
      <c r="L94" s="6">
        <v>0</v>
      </c>
      <c r="M94" s="1">
        <v>15000000</v>
      </c>
      <c r="N94" s="6">
        <v>24000000</v>
      </c>
      <c r="O94" s="6">
        <v>0</v>
      </c>
      <c r="P94" s="6">
        <v>9000000</v>
      </c>
      <c r="Q94" s="6">
        <v>57000000</v>
      </c>
      <c r="R94" s="6">
        <v>9600000</v>
      </c>
      <c r="S94" s="6">
        <v>0.6</v>
      </c>
      <c r="T94" s="6">
        <v>0.9375</v>
      </c>
      <c r="U94" s="1" t="s">
        <v>367</v>
      </c>
      <c r="V94" s="1"/>
      <c r="W94" s="1"/>
      <c r="X94" s="9">
        <v>2112000</v>
      </c>
      <c r="Y94" s="9">
        <v>0</v>
      </c>
      <c r="Z94" s="1" t="s">
        <v>22</v>
      </c>
      <c r="AA94" s="1">
        <v>47112</v>
      </c>
      <c r="AB94" t="s">
        <v>39</v>
      </c>
      <c r="AC94" t="e">
        <f>VLOOKUP(U94,Sheet1!$F$1:$F$39,1,FALSE)</f>
        <v>#N/A</v>
      </c>
      <c r="AD94">
        <f t="shared" si="1"/>
        <v>1</v>
      </c>
    </row>
    <row r="95" spans="1:30" ht="270.75" thickBot="1" x14ac:dyDescent="0.3">
      <c r="A95" s="5">
        <v>46310</v>
      </c>
      <c r="B95" s="1">
        <v>5309</v>
      </c>
      <c r="C95" s="1">
        <v>5309072001000500</v>
      </c>
      <c r="D95" s="1" t="s">
        <v>22</v>
      </c>
      <c r="E95" s="1">
        <v>47112</v>
      </c>
      <c r="F95" s="1" t="s">
        <v>368</v>
      </c>
      <c r="G95" s="1" t="s">
        <v>369</v>
      </c>
      <c r="H95" s="1" t="s">
        <v>370</v>
      </c>
      <c r="I95" s="6">
        <v>0</v>
      </c>
      <c r="J95" s="6">
        <v>3600000</v>
      </c>
      <c r="K95" s="6">
        <v>600000</v>
      </c>
      <c r="L95" s="6">
        <v>0</v>
      </c>
      <c r="M95" s="1">
        <v>4200000</v>
      </c>
      <c r="N95" s="6">
        <v>14400000</v>
      </c>
      <c r="O95" s="6">
        <v>0</v>
      </c>
      <c r="P95" s="6">
        <v>10200000</v>
      </c>
      <c r="Q95" s="6">
        <v>17000000</v>
      </c>
      <c r="R95" s="6">
        <v>10800000</v>
      </c>
      <c r="S95" s="6">
        <v>0.25</v>
      </c>
      <c r="T95" s="6">
        <v>0.94444399999999995</v>
      </c>
      <c r="U95" s="1" t="s">
        <v>371</v>
      </c>
      <c r="V95" s="1"/>
      <c r="W95" s="1"/>
      <c r="X95" s="9">
        <v>2376000</v>
      </c>
      <c r="Y95" s="9">
        <v>0</v>
      </c>
      <c r="Z95" s="1" t="s">
        <v>22</v>
      </c>
      <c r="AA95" s="1">
        <v>47112</v>
      </c>
      <c r="AB95" t="s">
        <v>39</v>
      </c>
      <c r="AC95" t="e">
        <f>VLOOKUP(U95,Sheet1!$F$1:$F$39,1,FALSE)</f>
        <v>#N/A</v>
      </c>
      <c r="AD95">
        <f t="shared" si="1"/>
        <v>1</v>
      </c>
    </row>
    <row r="96" spans="1:30" ht="270.75" thickBot="1" x14ac:dyDescent="0.3">
      <c r="A96" s="5">
        <v>46310</v>
      </c>
      <c r="B96" s="1">
        <v>5309</v>
      </c>
      <c r="C96" s="1">
        <v>5309073006000300</v>
      </c>
      <c r="D96" s="1" t="s">
        <v>22</v>
      </c>
      <c r="E96" s="1">
        <v>47112</v>
      </c>
      <c r="F96" s="1" t="s">
        <v>372</v>
      </c>
      <c r="G96" s="1" t="s">
        <v>373</v>
      </c>
      <c r="H96" s="1" t="s">
        <v>373</v>
      </c>
      <c r="I96" s="6">
        <v>0</v>
      </c>
      <c r="J96" s="6">
        <v>120000000</v>
      </c>
      <c r="K96" s="6">
        <v>0</v>
      </c>
      <c r="L96" s="6">
        <v>0</v>
      </c>
      <c r="M96" s="1">
        <v>120000000</v>
      </c>
      <c r="N96" s="6">
        <v>150000000</v>
      </c>
      <c r="O96" s="6">
        <v>0</v>
      </c>
      <c r="P96" s="6">
        <v>30000000</v>
      </c>
      <c r="Q96" s="6">
        <v>14000000</v>
      </c>
      <c r="R96" s="6">
        <v>30000000</v>
      </c>
      <c r="S96" s="6">
        <v>0.8</v>
      </c>
      <c r="T96" s="6">
        <v>1</v>
      </c>
      <c r="U96" s="1" t="s">
        <v>374</v>
      </c>
      <c r="V96" s="1"/>
      <c r="W96" s="1"/>
      <c r="X96" s="9">
        <v>6600000</v>
      </c>
      <c r="Y96" s="9">
        <v>0</v>
      </c>
      <c r="Z96" s="1" t="s">
        <v>22</v>
      </c>
      <c r="AA96" s="1">
        <v>47112</v>
      </c>
      <c r="AB96" t="s">
        <v>39</v>
      </c>
      <c r="AC96" t="e">
        <f>VLOOKUP(U96,Sheet1!$F$1:$F$39,1,FALSE)</f>
        <v>#N/A</v>
      </c>
      <c r="AD96">
        <f t="shared" si="1"/>
        <v>1</v>
      </c>
    </row>
    <row r="97" spans="1:30" ht="255.75" thickBot="1" x14ac:dyDescent="0.3">
      <c r="A97" s="5">
        <v>46310</v>
      </c>
      <c r="B97" s="1">
        <v>5309</v>
      </c>
      <c r="C97" s="1">
        <v>5309061001000100</v>
      </c>
      <c r="D97" s="1" t="s">
        <v>22</v>
      </c>
      <c r="E97" s="1">
        <v>47112</v>
      </c>
      <c r="F97" s="1" t="s">
        <v>375</v>
      </c>
      <c r="G97" s="1" t="s">
        <v>25</v>
      </c>
      <c r="H97" s="1" t="s">
        <v>26</v>
      </c>
      <c r="I97" s="6">
        <v>0</v>
      </c>
      <c r="J97" s="6">
        <v>30250000</v>
      </c>
      <c r="K97" s="6">
        <v>350000</v>
      </c>
      <c r="L97" s="6">
        <v>0</v>
      </c>
      <c r="M97" s="1">
        <v>30600000</v>
      </c>
      <c r="N97" s="6">
        <v>35520000</v>
      </c>
      <c r="O97" s="6">
        <v>0</v>
      </c>
      <c r="P97" s="6">
        <v>4920000</v>
      </c>
      <c r="Q97" s="6">
        <v>9000000</v>
      </c>
      <c r="R97" s="6">
        <v>5270000</v>
      </c>
      <c r="S97" s="6">
        <v>0.85163299999999997</v>
      </c>
      <c r="T97" s="6">
        <v>0.93358600000000003</v>
      </c>
      <c r="U97" s="1" t="s">
        <v>376</v>
      </c>
      <c r="V97" s="1"/>
      <c r="W97" s="1"/>
      <c r="X97" s="9">
        <v>1159400</v>
      </c>
      <c r="Y97" s="9">
        <v>0</v>
      </c>
      <c r="Z97" s="1" t="s">
        <v>22</v>
      </c>
      <c r="AA97" s="1">
        <v>47112</v>
      </c>
      <c r="AB97" t="s">
        <v>39</v>
      </c>
      <c r="AC97" t="e">
        <f>VLOOKUP(U97,Sheet1!$F$1:$F$39,1,FALSE)</f>
        <v>#N/A</v>
      </c>
      <c r="AD97">
        <f t="shared" si="1"/>
        <v>1</v>
      </c>
    </row>
    <row r="98" spans="1:30" ht="270.75" thickBot="1" x14ac:dyDescent="0.3">
      <c r="A98" s="5">
        <v>46310</v>
      </c>
      <c r="B98" s="1">
        <v>5309</v>
      </c>
      <c r="C98" s="1">
        <v>5309061008000600</v>
      </c>
      <c r="D98" s="1" t="s">
        <v>22</v>
      </c>
      <c r="E98" s="1">
        <v>47112</v>
      </c>
      <c r="F98" s="1" t="s">
        <v>377</v>
      </c>
      <c r="G98" s="1" t="s">
        <v>24</v>
      </c>
      <c r="H98" s="1" t="s">
        <v>378</v>
      </c>
      <c r="I98" s="6">
        <v>700000</v>
      </c>
      <c r="J98" s="6">
        <v>3000000</v>
      </c>
      <c r="K98" s="6">
        <v>300000</v>
      </c>
      <c r="L98" s="6">
        <v>0</v>
      </c>
      <c r="M98" s="1">
        <v>4000000</v>
      </c>
      <c r="N98" s="6">
        <v>12000000</v>
      </c>
      <c r="O98" s="6">
        <v>0</v>
      </c>
      <c r="P98" s="6">
        <v>8000000</v>
      </c>
      <c r="Q98" s="6">
        <v>100000</v>
      </c>
      <c r="R98" s="6">
        <v>9000000</v>
      </c>
      <c r="S98" s="6">
        <v>0.25</v>
      </c>
      <c r="T98" s="6">
        <v>0.88888900000000004</v>
      </c>
      <c r="U98" s="1" t="s">
        <v>379</v>
      </c>
      <c r="V98" s="1"/>
      <c r="W98" s="1"/>
      <c r="X98" s="9">
        <v>594000</v>
      </c>
      <c r="Y98" s="9">
        <v>1386000</v>
      </c>
      <c r="Z98" s="1" t="s">
        <v>22</v>
      </c>
      <c r="AA98" s="1">
        <v>47112</v>
      </c>
      <c r="AB98" t="s">
        <v>39</v>
      </c>
      <c r="AC98" t="e">
        <f>VLOOKUP(U98,Sheet1!$F$1:$F$39,1,FALSE)</f>
        <v>#N/A</v>
      </c>
      <c r="AD98">
        <f t="shared" si="1"/>
        <v>1</v>
      </c>
    </row>
    <row r="99" spans="1:30" ht="255.75" thickBot="1" x14ac:dyDescent="0.3">
      <c r="A99" s="5">
        <v>46310</v>
      </c>
      <c r="B99" s="1">
        <v>5309</v>
      </c>
      <c r="C99" s="1">
        <v>5309070056000400</v>
      </c>
      <c r="D99" s="1" t="s">
        <v>22</v>
      </c>
      <c r="E99" s="1">
        <v>47112</v>
      </c>
      <c r="F99" s="1" t="s">
        <v>380</v>
      </c>
      <c r="G99" s="1" t="s">
        <v>381</v>
      </c>
      <c r="H99" s="1" t="s">
        <v>382</v>
      </c>
      <c r="I99" s="6">
        <v>500000</v>
      </c>
      <c r="J99" s="6">
        <v>21600000</v>
      </c>
      <c r="K99" s="6">
        <v>120000</v>
      </c>
      <c r="L99" s="6">
        <v>0</v>
      </c>
      <c r="M99" s="1">
        <v>22220000</v>
      </c>
      <c r="N99" s="6">
        <v>27000000</v>
      </c>
      <c r="O99" s="6">
        <v>23000000</v>
      </c>
      <c r="P99" s="6">
        <v>4780000</v>
      </c>
      <c r="Q99" s="6">
        <v>450000</v>
      </c>
      <c r="R99" s="6">
        <v>5400000</v>
      </c>
      <c r="S99" s="6">
        <v>0.8</v>
      </c>
      <c r="T99" s="6">
        <v>0.885185</v>
      </c>
      <c r="U99" s="1" t="s">
        <v>383</v>
      </c>
      <c r="V99" s="1"/>
      <c r="W99" s="1"/>
      <c r="X99" s="9">
        <v>229935</v>
      </c>
      <c r="Y99" s="9">
        <v>958065</v>
      </c>
      <c r="Z99" s="1" t="s">
        <v>22</v>
      </c>
      <c r="AA99" s="1">
        <v>47112</v>
      </c>
      <c r="AB99" t="s">
        <v>39</v>
      </c>
      <c r="AC99" t="e">
        <f>VLOOKUP(U99,Sheet1!$F$1:$F$39,1,FALSE)</f>
        <v>#N/A</v>
      </c>
      <c r="AD99">
        <f t="shared" si="1"/>
        <v>1</v>
      </c>
    </row>
    <row r="100" spans="1:30" ht="270.75" thickBot="1" x14ac:dyDescent="0.3">
      <c r="A100" s="5">
        <v>46310</v>
      </c>
      <c r="B100" s="1">
        <v>5309</v>
      </c>
      <c r="C100" s="1">
        <v>5309030021000700</v>
      </c>
      <c r="D100" s="1" t="s">
        <v>22</v>
      </c>
      <c r="E100" s="1">
        <v>47112</v>
      </c>
      <c r="F100" s="1" t="s">
        <v>385</v>
      </c>
      <c r="G100" s="1" t="s">
        <v>386</v>
      </c>
      <c r="H100" s="1" t="s">
        <v>387</v>
      </c>
      <c r="I100" s="6">
        <v>600000</v>
      </c>
      <c r="J100" s="6">
        <v>156000000</v>
      </c>
      <c r="K100" s="6">
        <v>1560000</v>
      </c>
      <c r="L100" s="6">
        <v>3600000</v>
      </c>
      <c r="M100" s="1">
        <v>161760000</v>
      </c>
      <c r="N100" s="6">
        <v>171600000</v>
      </c>
      <c r="O100" s="6">
        <v>0</v>
      </c>
      <c r="P100" s="6">
        <v>13440000</v>
      </c>
      <c r="Q100" s="6">
        <v>5000000</v>
      </c>
      <c r="R100" s="6">
        <v>15600000</v>
      </c>
      <c r="S100" s="6">
        <v>0.90909099999999998</v>
      </c>
      <c r="T100" s="6">
        <v>0.86153800000000003</v>
      </c>
      <c r="U100" s="1" t="s">
        <v>388</v>
      </c>
      <c r="V100" s="1"/>
      <c r="W100" s="1"/>
      <c r="X100" s="9">
        <v>2478667</v>
      </c>
      <c r="Y100" s="9">
        <v>953333</v>
      </c>
      <c r="Z100" s="1" t="s">
        <v>22</v>
      </c>
      <c r="AA100" s="1">
        <v>47112</v>
      </c>
      <c r="AB100" t="s">
        <v>39</v>
      </c>
      <c r="AC100" t="e">
        <f>VLOOKUP(U100,Sheet1!$F$1:$F$39,1,FALSE)</f>
        <v>#N/A</v>
      </c>
      <c r="AD100">
        <f t="shared" si="1"/>
        <v>1</v>
      </c>
    </row>
    <row r="101" spans="1:30" ht="409.6" thickBot="1" x14ac:dyDescent="0.3">
      <c r="A101" s="5">
        <v>46310</v>
      </c>
      <c r="B101" s="1">
        <v>5309</v>
      </c>
      <c r="C101" s="1">
        <v>5309011006000200</v>
      </c>
      <c r="D101" s="1" t="s">
        <v>22</v>
      </c>
      <c r="E101" s="1">
        <v>47112</v>
      </c>
      <c r="F101" s="1" t="s">
        <v>389</v>
      </c>
      <c r="G101" s="1" t="s">
        <v>390</v>
      </c>
      <c r="H101" s="1" t="s">
        <v>391</v>
      </c>
      <c r="I101" s="6">
        <v>500000</v>
      </c>
      <c r="J101" s="6">
        <v>0</v>
      </c>
      <c r="K101" s="6">
        <v>100000</v>
      </c>
      <c r="L101" s="6">
        <v>0</v>
      </c>
      <c r="M101" s="1">
        <v>1100000</v>
      </c>
      <c r="N101" s="6">
        <v>9000000</v>
      </c>
      <c r="O101" s="6">
        <v>0</v>
      </c>
      <c r="P101" s="6">
        <v>8400000</v>
      </c>
      <c r="Q101" s="6">
        <v>0</v>
      </c>
      <c r="R101" s="6">
        <v>9000000</v>
      </c>
      <c r="S101" s="6">
        <v>0</v>
      </c>
      <c r="T101" s="6">
        <v>0.93333299999999997</v>
      </c>
      <c r="U101" s="1" t="s">
        <v>392</v>
      </c>
      <c r="V101" s="1"/>
      <c r="W101" s="1"/>
      <c r="X101" s="9">
        <v>330000</v>
      </c>
      <c r="Y101" s="9">
        <v>1650000</v>
      </c>
      <c r="Z101" s="1" t="s">
        <v>22</v>
      </c>
      <c r="AA101" s="1">
        <v>47112</v>
      </c>
      <c r="AB101" t="s">
        <v>39</v>
      </c>
      <c r="AC101" t="str">
        <f>VLOOKUP(U101,Sheet1!$F$1:$F$39,1,FALSE)</f>
        <v>https://fasih-sm.bps.go.id/app/assignment/fd68e454-ba45-4b85-8205-f3bf777ded24/c0f06105-c947-45ca-b1d5-b4c444091903</v>
      </c>
      <c r="AD101">
        <f t="shared" si="1"/>
        <v>0</v>
      </c>
    </row>
    <row r="102" spans="1:30" ht="270.75" thickBot="1" x14ac:dyDescent="0.3">
      <c r="A102" s="5">
        <v>46310</v>
      </c>
      <c r="B102" s="1">
        <v>5309</v>
      </c>
      <c r="C102" s="1">
        <v>5309071016000600</v>
      </c>
      <c r="D102" s="1" t="s">
        <v>22</v>
      </c>
      <c r="E102" s="1">
        <v>47112</v>
      </c>
      <c r="F102" s="1" t="s">
        <v>393</v>
      </c>
      <c r="G102" s="1" t="s">
        <v>38</v>
      </c>
      <c r="H102" s="1" t="s">
        <v>394</v>
      </c>
      <c r="I102" s="6">
        <v>0</v>
      </c>
      <c r="J102" s="6">
        <v>10000000</v>
      </c>
      <c r="K102" s="6">
        <v>465000</v>
      </c>
      <c r="L102" s="6">
        <v>2000000</v>
      </c>
      <c r="M102" s="1">
        <v>1150000</v>
      </c>
      <c r="N102" s="6">
        <v>15000000</v>
      </c>
      <c r="O102" s="6">
        <v>1000000</v>
      </c>
      <c r="P102" s="6">
        <v>4535000</v>
      </c>
      <c r="Q102" s="6">
        <v>55500000</v>
      </c>
      <c r="R102" s="6">
        <v>5000000</v>
      </c>
      <c r="S102" s="6">
        <v>0.66666700000000001</v>
      </c>
      <c r="T102" s="6">
        <v>0.90700000000000003</v>
      </c>
      <c r="U102" s="1" t="s">
        <v>395</v>
      </c>
      <c r="V102" s="1"/>
      <c r="W102" s="1"/>
      <c r="X102" s="9">
        <v>1100000</v>
      </c>
      <c r="Y102" s="9">
        <v>0</v>
      </c>
      <c r="Z102" s="1" t="s">
        <v>22</v>
      </c>
      <c r="AA102" s="1">
        <v>47112</v>
      </c>
      <c r="AB102" t="s">
        <v>39</v>
      </c>
      <c r="AC102" t="e">
        <f>VLOOKUP(U102,Sheet1!$F$1:$F$39,1,FALSE)</f>
        <v>#N/A</v>
      </c>
      <c r="AD102">
        <f t="shared" si="1"/>
        <v>1</v>
      </c>
    </row>
    <row r="103" spans="1:30" ht="270.75" thickBot="1" x14ac:dyDescent="0.3">
      <c r="A103" s="5">
        <v>46310</v>
      </c>
      <c r="B103" s="1">
        <v>5309</v>
      </c>
      <c r="C103" s="1">
        <v>5309011007000200</v>
      </c>
      <c r="D103" s="1" t="s">
        <v>22</v>
      </c>
      <c r="E103" s="1">
        <v>47112</v>
      </c>
      <c r="F103" s="1" t="s">
        <v>396</v>
      </c>
      <c r="G103" s="1" t="s">
        <v>397</v>
      </c>
      <c r="H103" s="1" t="s">
        <v>398</v>
      </c>
      <c r="I103" s="6">
        <v>3000000</v>
      </c>
      <c r="J103" s="6">
        <v>24000000</v>
      </c>
      <c r="K103" s="6">
        <v>1000000</v>
      </c>
      <c r="L103" s="6">
        <v>0</v>
      </c>
      <c r="M103" s="1">
        <v>4000000</v>
      </c>
      <c r="N103" s="6">
        <v>42000000</v>
      </c>
      <c r="O103" s="6">
        <v>0</v>
      </c>
      <c r="P103" s="6">
        <v>14000000</v>
      </c>
      <c r="Q103" s="6">
        <v>1000000</v>
      </c>
      <c r="R103" s="6">
        <v>18000000</v>
      </c>
      <c r="S103" s="6">
        <v>0.57142899999999996</v>
      </c>
      <c r="T103" s="6">
        <v>0.77777799999999997</v>
      </c>
      <c r="U103" s="1" t="s">
        <v>399</v>
      </c>
      <c r="V103" s="1"/>
      <c r="W103" s="1"/>
      <c r="X103" s="9">
        <v>1000000</v>
      </c>
      <c r="Y103" s="9">
        <v>3000000</v>
      </c>
      <c r="Z103" s="1" t="s">
        <v>22</v>
      </c>
      <c r="AA103" s="1">
        <v>47112</v>
      </c>
      <c r="AB103" t="s">
        <v>39</v>
      </c>
      <c r="AC103" t="str">
        <f>VLOOKUP(U103,Sheet1!$F$1:$F$39,1,FALSE)</f>
        <v>https://fasih-sm.bps.go.id/app/assignment/fd68e454-ba45-4b85-8205-f3bf777ded24/15218b8f-17f6-42ce-967b-21c29ef48b7d</v>
      </c>
      <c r="AD103">
        <f t="shared" si="1"/>
        <v>0</v>
      </c>
    </row>
    <row r="104" spans="1:30" ht="270.75" thickBot="1" x14ac:dyDescent="0.3">
      <c r="A104" s="5">
        <v>46310</v>
      </c>
      <c r="B104" s="1">
        <v>5309</v>
      </c>
      <c r="C104" s="1">
        <v>5309073010001000</v>
      </c>
      <c r="D104" s="1" t="s">
        <v>22</v>
      </c>
      <c r="E104" s="1">
        <v>47112</v>
      </c>
      <c r="F104" s="1" t="s">
        <v>400</v>
      </c>
      <c r="G104" s="1" t="s">
        <v>384</v>
      </c>
      <c r="H104" s="1" t="s">
        <v>33</v>
      </c>
      <c r="I104" s="6">
        <v>0</v>
      </c>
      <c r="J104" s="6">
        <v>30000000</v>
      </c>
      <c r="K104" s="6">
        <v>200000</v>
      </c>
      <c r="L104" s="6">
        <v>0</v>
      </c>
      <c r="M104" s="1">
        <v>30200000</v>
      </c>
      <c r="N104" s="6">
        <v>50000000</v>
      </c>
      <c r="O104" s="6">
        <v>0</v>
      </c>
      <c r="P104" s="6">
        <v>19800000</v>
      </c>
      <c r="Q104" s="6">
        <v>15000000</v>
      </c>
      <c r="R104" s="6">
        <v>20000000</v>
      </c>
      <c r="S104" s="6">
        <v>0.6</v>
      </c>
      <c r="T104" s="6">
        <v>0.99</v>
      </c>
      <c r="U104" s="1" t="s">
        <v>401</v>
      </c>
      <c r="V104" s="1"/>
      <c r="W104" s="1"/>
      <c r="X104" s="9">
        <v>4400000</v>
      </c>
      <c r="Y104" s="9">
        <v>0</v>
      </c>
      <c r="Z104" s="1" t="s">
        <v>22</v>
      </c>
      <c r="AA104" s="1">
        <v>47112</v>
      </c>
      <c r="AB104" t="s">
        <v>39</v>
      </c>
      <c r="AC104" t="str">
        <f>VLOOKUP(U104,Sheet1!$F$1:$F$39,1,FALSE)</f>
        <v>https://fasih-sm.bps.go.id/app/assignment/fd68e454-ba45-4b85-8205-f3bf777ded24/49258a06-f360-484b-a969-ec50d80b0d11</v>
      </c>
      <c r="AD104">
        <f t="shared" si="1"/>
        <v>0</v>
      </c>
    </row>
    <row r="105" spans="1:30" ht="270.75" thickBot="1" x14ac:dyDescent="0.3">
      <c r="A105" s="5">
        <v>46310</v>
      </c>
      <c r="B105" s="1">
        <v>5309</v>
      </c>
      <c r="C105" s="1">
        <v>5309030011000900</v>
      </c>
      <c r="D105" s="1" t="s">
        <v>22</v>
      </c>
      <c r="E105" s="1">
        <v>47112</v>
      </c>
      <c r="F105" s="1" t="s">
        <v>402</v>
      </c>
      <c r="G105" s="1" t="s">
        <v>30</v>
      </c>
      <c r="H105" s="1" t="s">
        <v>106</v>
      </c>
      <c r="I105" s="6">
        <v>15000000</v>
      </c>
      <c r="J105" s="6">
        <v>5420000</v>
      </c>
      <c r="K105" s="6">
        <v>250000</v>
      </c>
      <c r="L105" s="6">
        <v>0</v>
      </c>
      <c r="M105" s="1">
        <v>20670000</v>
      </c>
      <c r="N105" s="6">
        <v>33600000</v>
      </c>
      <c r="O105" s="6">
        <v>0</v>
      </c>
      <c r="P105" s="6">
        <v>12930000</v>
      </c>
      <c r="Q105" s="6">
        <v>7500000</v>
      </c>
      <c r="R105" s="6">
        <v>28180000</v>
      </c>
      <c r="S105" s="6">
        <v>0.16131000000000001</v>
      </c>
      <c r="T105" s="6">
        <v>0.45883600000000002</v>
      </c>
      <c r="U105" s="1" t="s">
        <v>403</v>
      </c>
      <c r="V105" s="1"/>
      <c r="W105" s="1"/>
      <c r="X105" s="9">
        <v>166308</v>
      </c>
      <c r="Y105" s="9">
        <v>9978492</v>
      </c>
      <c r="Z105" s="1" t="s">
        <v>22</v>
      </c>
      <c r="AA105" s="1">
        <v>47112</v>
      </c>
      <c r="AB105" t="s">
        <v>39</v>
      </c>
      <c r="AC105" t="str">
        <f>VLOOKUP(U105,Sheet1!$F$1:$F$39,1,FALSE)</f>
        <v>https://fasih-sm.bps.go.id/app/assignment/fd68e454-ba45-4b85-8205-f3bf777ded24/68a4ee26-57a3-41d5-a67c-118da776514c</v>
      </c>
      <c r="AD105">
        <f t="shared" si="1"/>
        <v>0</v>
      </c>
    </row>
    <row r="106" spans="1:30" ht="270.75" thickBot="1" x14ac:dyDescent="0.3">
      <c r="A106" s="5">
        <v>46310</v>
      </c>
      <c r="B106" s="1">
        <v>5309</v>
      </c>
      <c r="C106" s="1">
        <v>5309050018001100</v>
      </c>
      <c r="D106" s="1" t="s">
        <v>22</v>
      </c>
      <c r="E106" s="1">
        <v>47112</v>
      </c>
      <c r="F106" s="1" t="s">
        <v>404</v>
      </c>
      <c r="G106" s="1" t="s">
        <v>405</v>
      </c>
      <c r="H106" s="1" t="s">
        <v>106</v>
      </c>
      <c r="I106" s="6">
        <v>200000</v>
      </c>
      <c r="J106" s="6">
        <v>36000000</v>
      </c>
      <c r="K106" s="6">
        <v>4000000</v>
      </c>
      <c r="L106" s="6">
        <v>0</v>
      </c>
      <c r="M106" s="1">
        <v>40200000</v>
      </c>
      <c r="N106" s="6">
        <v>45000000</v>
      </c>
      <c r="O106" s="6">
        <v>0</v>
      </c>
      <c r="P106" s="6">
        <v>4800000</v>
      </c>
      <c r="Q106" s="6">
        <v>1000000</v>
      </c>
      <c r="R106" s="6">
        <v>9000000</v>
      </c>
      <c r="S106" s="6">
        <v>0.8</v>
      </c>
      <c r="T106" s="6">
        <v>0.53333299999999995</v>
      </c>
      <c r="U106" s="1" t="s">
        <v>406</v>
      </c>
      <c r="V106" s="1"/>
      <c r="W106" s="1"/>
      <c r="X106" s="9">
        <v>3085714</v>
      </c>
      <c r="Y106" s="9">
        <v>154286</v>
      </c>
      <c r="Z106" s="1" t="s">
        <v>22</v>
      </c>
      <c r="AA106" s="1">
        <v>47112</v>
      </c>
      <c r="AB106" t="s">
        <v>39</v>
      </c>
      <c r="AC106" t="e">
        <f>VLOOKUP(U106,Sheet1!$F$1:$F$39,1,FALSE)</f>
        <v>#N/A</v>
      </c>
      <c r="AD106">
        <f t="shared" si="1"/>
        <v>1</v>
      </c>
    </row>
    <row r="107" spans="1:30" ht="270.75" thickBot="1" x14ac:dyDescent="0.3">
      <c r="A107" s="5">
        <v>46310</v>
      </c>
      <c r="B107" s="1">
        <v>5309</v>
      </c>
      <c r="C107" s="1">
        <v>5309010004001500</v>
      </c>
      <c r="D107" s="1" t="s">
        <v>22</v>
      </c>
      <c r="E107" s="1">
        <v>47112</v>
      </c>
      <c r="F107" s="1" t="s">
        <v>407</v>
      </c>
      <c r="G107" s="1" t="s">
        <v>408</v>
      </c>
      <c r="H107" s="1" t="s">
        <v>409</v>
      </c>
      <c r="I107" s="6">
        <v>100000</v>
      </c>
      <c r="J107" s="6">
        <v>10000000</v>
      </c>
      <c r="K107" s="6">
        <v>150000</v>
      </c>
      <c r="L107" s="6">
        <v>0</v>
      </c>
      <c r="M107" s="1">
        <v>10250000</v>
      </c>
      <c r="N107" s="6">
        <v>12000000</v>
      </c>
      <c r="O107" s="6">
        <v>0</v>
      </c>
      <c r="P107" s="6">
        <v>1750000</v>
      </c>
      <c r="Q107" s="6">
        <v>130000000</v>
      </c>
      <c r="R107" s="6">
        <v>2000000</v>
      </c>
      <c r="S107" s="6">
        <v>0.83333299999999999</v>
      </c>
      <c r="T107" s="6">
        <v>0.875</v>
      </c>
      <c r="U107" s="1" t="s">
        <v>410</v>
      </c>
      <c r="V107" s="1"/>
      <c r="W107" s="1"/>
      <c r="X107" s="9">
        <v>264000</v>
      </c>
      <c r="Y107" s="9">
        <v>176000</v>
      </c>
      <c r="Z107" s="1" t="s">
        <v>22</v>
      </c>
      <c r="AA107" s="1">
        <v>47112</v>
      </c>
      <c r="AB107" t="s">
        <v>39</v>
      </c>
      <c r="AC107" t="str">
        <f>VLOOKUP(U107,Sheet1!$F$1:$F$39,1,FALSE)</f>
        <v>https://fasih-sm.bps.go.id/app/assignment/fd68e454-ba45-4b85-8205-f3bf777ded24/7b51c5cd-bd7f-4351-9316-4c02797df1f0</v>
      </c>
      <c r="AD107">
        <f t="shared" si="1"/>
        <v>0</v>
      </c>
    </row>
    <row r="108" spans="1:30" ht="270.75" thickBot="1" x14ac:dyDescent="0.3">
      <c r="A108" s="5">
        <v>46310</v>
      </c>
      <c r="B108" s="1">
        <v>5309</v>
      </c>
      <c r="C108" s="1">
        <v>5309050017000500</v>
      </c>
      <c r="D108" s="1" t="s">
        <v>22</v>
      </c>
      <c r="E108" s="1">
        <v>47112</v>
      </c>
      <c r="F108" s="1" t="s">
        <v>411</v>
      </c>
      <c r="G108" s="1" t="s">
        <v>109</v>
      </c>
      <c r="H108" s="1" t="s">
        <v>412</v>
      </c>
      <c r="I108" s="6">
        <v>0</v>
      </c>
      <c r="J108" s="6">
        <v>50000000</v>
      </c>
      <c r="K108" s="6">
        <v>15000000</v>
      </c>
      <c r="L108" s="6">
        <v>0</v>
      </c>
      <c r="M108" s="1">
        <v>65000000</v>
      </c>
      <c r="N108" s="6">
        <v>80000000</v>
      </c>
      <c r="O108" s="6">
        <v>0</v>
      </c>
      <c r="P108" s="6">
        <v>15000000</v>
      </c>
      <c r="Q108" s="6">
        <v>9500000</v>
      </c>
      <c r="R108" s="6">
        <v>30000000</v>
      </c>
      <c r="S108" s="6">
        <v>0.625</v>
      </c>
      <c r="T108" s="6">
        <v>0.5</v>
      </c>
      <c r="U108" s="1" t="s">
        <v>413</v>
      </c>
      <c r="V108" s="1"/>
      <c r="W108" s="1"/>
      <c r="X108" s="9">
        <v>10800000</v>
      </c>
      <c r="Y108" s="9">
        <v>0</v>
      </c>
      <c r="Z108" s="1" t="s">
        <v>22</v>
      </c>
      <c r="AA108" s="1">
        <v>47112</v>
      </c>
      <c r="AB108" t="s">
        <v>39</v>
      </c>
      <c r="AC108" t="e">
        <f>VLOOKUP(U108,Sheet1!$F$1:$F$39,1,FALSE)</f>
        <v>#N/A</v>
      </c>
      <c r="AD108">
        <f t="shared" si="1"/>
        <v>1</v>
      </c>
    </row>
    <row r="109" spans="1:30" ht="270.75" thickBot="1" x14ac:dyDescent="0.3">
      <c r="A109" s="5">
        <v>46310</v>
      </c>
      <c r="B109" s="1">
        <v>5309</v>
      </c>
      <c r="C109" s="1">
        <v>5309011006000800</v>
      </c>
      <c r="D109" s="1" t="s">
        <v>22</v>
      </c>
      <c r="E109" s="1">
        <v>47112</v>
      </c>
      <c r="F109" s="1" t="s">
        <v>414</v>
      </c>
      <c r="G109" s="1" t="s">
        <v>415</v>
      </c>
      <c r="H109" s="1" t="s">
        <v>106</v>
      </c>
      <c r="I109" s="6">
        <v>2000000</v>
      </c>
      <c r="J109" s="6">
        <v>10000000</v>
      </c>
      <c r="K109" s="6">
        <v>500000</v>
      </c>
      <c r="L109" s="6">
        <v>0</v>
      </c>
      <c r="M109" s="1">
        <v>12500000</v>
      </c>
      <c r="N109" s="6">
        <v>15000000</v>
      </c>
      <c r="O109" s="6">
        <v>0</v>
      </c>
      <c r="P109" s="6">
        <v>2500000</v>
      </c>
      <c r="Q109" s="6">
        <v>5000000</v>
      </c>
      <c r="R109" s="6">
        <v>5000000</v>
      </c>
      <c r="S109" s="6">
        <v>0.66666700000000001</v>
      </c>
      <c r="T109" s="6">
        <v>0.5</v>
      </c>
      <c r="U109" s="1" t="s">
        <v>416</v>
      </c>
      <c r="V109" s="1"/>
      <c r="W109" s="1"/>
      <c r="X109" s="9">
        <v>360000</v>
      </c>
      <c r="Y109" s="9">
        <v>1440000</v>
      </c>
      <c r="Z109" s="1" t="s">
        <v>22</v>
      </c>
      <c r="AA109" s="1">
        <v>47112</v>
      </c>
      <c r="AB109" t="s">
        <v>39</v>
      </c>
      <c r="AC109" t="e">
        <f>VLOOKUP(U109,Sheet1!$F$1:$F$39,1,FALSE)</f>
        <v>#N/A</v>
      </c>
      <c r="AD109">
        <f t="shared" si="1"/>
        <v>1</v>
      </c>
    </row>
    <row r="110" spans="1:30" ht="270.75" thickBot="1" x14ac:dyDescent="0.3">
      <c r="A110" s="5">
        <v>46310</v>
      </c>
      <c r="B110" s="1">
        <v>5309</v>
      </c>
      <c r="C110" s="1">
        <v>5309020016001300</v>
      </c>
      <c r="D110" s="1" t="s">
        <v>22</v>
      </c>
      <c r="E110" s="1">
        <v>47112</v>
      </c>
      <c r="F110" s="1" t="s">
        <v>417</v>
      </c>
      <c r="G110" s="1" t="s">
        <v>418</v>
      </c>
      <c r="H110" s="1" t="s">
        <v>419</v>
      </c>
      <c r="I110" s="6">
        <v>5000000</v>
      </c>
      <c r="J110" s="6">
        <v>10000000</v>
      </c>
      <c r="K110" s="6">
        <v>5000000</v>
      </c>
      <c r="L110" s="6">
        <v>65000</v>
      </c>
      <c r="M110" s="1">
        <v>20065000</v>
      </c>
      <c r="N110" s="6">
        <v>16300000</v>
      </c>
      <c r="O110" s="6">
        <v>5000000</v>
      </c>
      <c r="P110" s="6">
        <v>-3700000</v>
      </c>
      <c r="Q110" s="6">
        <v>36000000</v>
      </c>
      <c r="R110" s="6">
        <v>6300000</v>
      </c>
      <c r="S110" s="6">
        <v>0.61349699999999996</v>
      </c>
      <c r="T110" s="6">
        <v>-0.58730199999999999</v>
      </c>
      <c r="U110" s="1" t="s">
        <v>420</v>
      </c>
      <c r="V110" s="1"/>
      <c r="W110" s="1"/>
      <c r="X110" s="9">
        <v>1134000</v>
      </c>
      <c r="Y110" s="9">
        <v>1134000</v>
      </c>
      <c r="Z110" s="1" t="s">
        <v>22</v>
      </c>
      <c r="AA110" s="1">
        <v>47112</v>
      </c>
      <c r="AB110" t="s">
        <v>39</v>
      </c>
      <c r="AC110" t="str">
        <f>VLOOKUP(U110,Sheet1!$F$1:$F$39,1,FALSE)</f>
        <v>https://fasih-sm.bps.go.id/app/assignment/fd68e454-ba45-4b85-8205-f3bf777ded24/cc677b13-2841-4f73-8d32-c736af82bd75</v>
      </c>
      <c r="AD110">
        <f t="shared" si="1"/>
        <v>0</v>
      </c>
    </row>
    <row r="111" spans="1:30" ht="270.75" thickBot="1" x14ac:dyDescent="0.3">
      <c r="A111" s="5">
        <v>46310</v>
      </c>
      <c r="B111" s="1">
        <v>5309</v>
      </c>
      <c r="C111" s="1">
        <v>5309030021000700</v>
      </c>
      <c r="D111" s="1" t="s">
        <v>22</v>
      </c>
      <c r="E111" s="1">
        <v>47191</v>
      </c>
      <c r="F111" s="1" t="s">
        <v>421</v>
      </c>
      <c r="G111" s="1" t="s">
        <v>422</v>
      </c>
      <c r="H111" s="1" t="s">
        <v>422</v>
      </c>
      <c r="I111" s="6">
        <v>3120000</v>
      </c>
      <c r="J111" s="6">
        <v>207480000</v>
      </c>
      <c r="K111" s="6">
        <v>0</v>
      </c>
      <c r="L111" s="6">
        <v>720000</v>
      </c>
      <c r="M111" s="1">
        <v>211320000</v>
      </c>
      <c r="N111" s="6">
        <v>221520000</v>
      </c>
      <c r="O111" s="6">
        <v>0</v>
      </c>
      <c r="P111" s="6">
        <v>10920000</v>
      </c>
      <c r="Q111" s="6">
        <v>3000000</v>
      </c>
      <c r="R111" s="6">
        <v>14040000</v>
      </c>
      <c r="S111" s="6">
        <v>0.93662000000000001</v>
      </c>
      <c r="T111" s="6">
        <v>0.77777799999999997</v>
      </c>
      <c r="U111" s="1" t="s">
        <v>423</v>
      </c>
      <c r="V111" s="1"/>
      <c r="W111" s="1"/>
      <c r="X111" s="9">
        <v>0</v>
      </c>
      <c r="Y111" s="9">
        <v>3120000</v>
      </c>
      <c r="Z111" s="1" t="s">
        <v>22</v>
      </c>
      <c r="AA111" s="1">
        <v>47191</v>
      </c>
      <c r="AB111" t="s">
        <v>39</v>
      </c>
      <c r="AC111" t="e">
        <f>VLOOKUP(U111,Sheet1!$F$1:$F$39,1,FALSE)</f>
        <v>#N/A</v>
      </c>
      <c r="AD111">
        <f t="shared" si="1"/>
        <v>1</v>
      </c>
    </row>
    <row r="112" spans="1:30" ht="270.75" thickBot="1" x14ac:dyDescent="0.3">
      <c r="A112" s="5">
        <v>46310</v>
      </c>
      <c r="B112" s="1">
        <v>5309</v>
      </c>
      <c r="C112" s="1">
        <v>5309062008000100</v>
      </c>
      <c r="D112" s="1" t="s">
        <v>22</v>
      </c>
      <c r="E112" s="1">
        <v>47212</v>
      </c>
      <c r="F112" s="1" t="s">
        <v>424</v>
      </c>
      <c r="G112" s="1" t="s">
        <v>76</v>
      </c>
      <c r="H112" s="1" t="s">
        <v>425</v>
      </c>
      <c r="I112" s="6">
        <v>1500000</v>
      </c>
      <c r="J112" s="6">
        <v>4000000</v>
      </c>
      <c r="K112" s="6">
        <v>100000</v>
      </c>
      <c r="L112" s="6">
        <v>0</v>
      </c>
      <c r="M112" s="1">
        <v>700000</v>
      </c>
      <c r="N112" s="6">
        <v>8000000</v>
      </c>
      <c r="O112" s="6">
        <v>0</v>
      </c>
      <c r="P112" s="6">
        <v>2400000</v>
      </c>
      <c r="Q112" s="6">
        <v>3000000</v>
      </c>
      <c r="R112" s="6">
        <v>4000000</v>
      </c>
      <c r="S112" s="6">
        <v>0.5</v>
      </c>
      <c r="T112" s="6">
        <v>0.6</v>
      </c>
      <c r="U112" s="1" t="s">
        <v>426</v>
      </c>
      <c r="V112" s="1"/>
      <c r="W112" s="1"/>
      <c r="X112" s="9">
        <v>90000</v>
      </c>
      <c r="Y112" s="9">
        <v>1350000</v>
      </c>
      <c r="Z112" s="1" t="s">
        <v>22</v>
      </c>
      <c r="AA112" s="1">
        <v>47212</v>
      </c>
      <c r="AB112" t="s">
        <v>39</v>
      </c>
      <c r="AC112" t="e">
        <f>VLOOKUP(U112,Sheet1!$F$1:$F$39,1,FALSE)</f>
        <v>#N/A</v>
      </c>
      <c r="AD112">
        <f t="shared" si="1"/>
        <v>1</v>
      </c>
    </row>
    <row r="113" spans="1:30" ht="270.75" thickBot="1" x14ac:dyDescent="0.3">
      <c r="A113" s="5">
        <v>46310</v>
      </c>
      <c r="B113" s="1">
        <v>5309</v>
      </c>
      <c r="C113" s="1">
        <v>5309073002001100</v>
      </c>
      <c r="D113" s="1" t="s">
        <v>22</v>
      </c>
      <c r="E113" s="1">
        <v>47214</v>
      </c>
      <c r="F113" s="1" t="s">
        <v>427</v>
      </c>
      <c r="G113" s="1" t="s">
        <v>428</v>
      </c>
      <c r="H113" s="1" t="s">
        <v>429</v>
      </c>
      <c r="I113" s="6">
        <v>0</v>
      </c>
      <c r="J113" s="6">
        <v>27500000</v>
      </c>
      <c r="K113" s="6">
        <v>250000</v>
      </c>
      <c r="L113" s="6">
        <v>0</v>
      </c>
      <c r="M113" s="1">
        <v>27750000</v>
      </c>
      <c r="N113" s="6">
        <v>42300000</v>
      </c>
      <c r="O113" s="6">
        <v>2750000</v>
      </c>
      <c r="P113" s="6">
        <v>14550000</v>
      </c>
      <c r="Q113" s="6">
        <v>9050000</v>
      </c>
      <c r="R113" s="6">
        <v>14800000</v>
      </c>
      <c r="S113" s="6">
        <v>0.65011799999999997</v>
      </c>
      <c r="T113" s="6">
        <v>0.98310799999999998</v>
      </c>
      <c r="U113" s="1" t="s">
        <v>430</v>
      </c>
      <c r="V113" s="1"/>
      <c r="W113" s="1"/>
      <c r="X113" s="9">
        <v>3256000</v>
      </c>
      <c r="Y113" s="9">
        <v>0</v>
      </c>
      <c r="Z113" s="1" t="s">
        <v>22</v>
      </c>
      <c r="AA113" s="1">
        <v>47214</v>
      </c>
      <c r="AB113" t="s">
        <v>39</v>
      </c>
      <c r="AC113" t="str">
        <f>VLOOKUP(U113,Sheet1!$F$1:$F$39,1,FALSE)</f>
        <v>https://fasih-sm.bps.go.id/app/assignment/fd68e454-ba45-4b85-8205-f3bf777ded24/bb557492-104c-44f6-843e-aff0d2730f35</v>
      </c>
      <c r="AD113">
        <f t="shared" si="1"/>
        <v>0</v>
      </c>
    </row>
    <row r="114" spans="1:30" ht="255.75" thickBot="1" x14ac:dyDescent="0.3">
      <c r="A114" s="5">
        <v>46310</v>
      </c>
      <c r="B114" s="1">
        <v>5309</v>
      </c>
      <c r="C114" s="1">
        <v>5309011009000800</v>
      </c>
      <c r="D114" s="1" t="s">
        <v>22</v>
      </c>
      <c r="E114" s="1">
        <v>47216</v>
      </c>
      <c r="F114" s="1" t="s">
        <v>431</v>
      </c>
      <c r="G114" s="1" t="s">
        <v>432</v>
      </c>
      <c r="H114" s="1" t="s">
        <v>433</v>
      </c>
      <c r="I114" s="6">
        <v>0</v>
      </c>
      <c r="J114" s="6">
        <v>500000</v>
      </c>
      <c r="K114" s="6">
        <v>200000</v>
      </c>
      <c r="L114" s="6">
        <v>50000</v>
      </c>
      <c r="M114" s="1">
        <v>750000</v>
      </c>
      <c r="N114" s="6">
        <v>1500000</v>
      </c>
      <c r="O114" s="6">
        <v>0</v>
      </c>
      <c r="P114" s="6">
        <v>800000</v>
      </c>
      <c r="Q114" s="6">
        <v>300000</v>
      </c>
      <c r="R114" s="6">
        <v>1000000</v>
      </c>
      <c r="S114" s="6">
        <v>0.33333299999999999</v>
      </c>
      <c r="T114" s="6">
        <v>0.8</v>
      </c>
      <c r="U114" s="1" t="s">
        <v>434</v>
      </c>
      <c r="V114" s="1"/>
      <c r="W114" s="1"/>
      <c r="X114" s="9">
        <v>220000</v>
      </c>
      <c r="Y114" s="9">
        <v>0</v>
      </c>
      <c r="Z114" s="1" t="s">
        <v>22</v>
      </c>
      <c r="AA114" s="1">
        <v>47216</v>
      </c>
      <c r="AB114" t="s">
        <v>39</v>
      </c>
      <c r="AC114" t="e">
        <f>VLOOKUP(U114,Sheet1!$F$1:$F$39,1,FALSE)</f>
        <v>#N/A</v>
      </c>
      <c r="AD114">
        <f t="shared" si="1"/>
        <v>1</v>
      </c>
    </row>
    <row r="115" spans="1:30" ht="270.75" thickBot="1" x14ac:dyDescent="0.3">
      <c r="A115" s="5">
        <v>46310</v>
      </c>
      <c r="B115" s="1">
        <v>5309</v>
      </c>
      <c r="C115" s="1">
        <v>5309050018000100</v>
      </c>
      <c r="D115" s="1" t="s">
        <v>22</v>
      </c>
      <c r="E115" s="1">
        <v>47221</v>
      </c>
      <c r="F115" s="1" t="s">
        <v>435</v>
      </c>
      <c r="G115" s="1" t="s">
        <v>436</v>
      </c>
      <c r="H115" s="1" t="s">
        <v>437</v>
      </c>
      <c r="I115" s="6">
        <v>0</v>
      </c>
      <c r="J115" s="6">
        <v>2100000</v>
      </c>
      <c r="K115" s="6">
        <v>50000</v>
      </c>
      <c r="L115" s="6">
        <v>0</v>
      </c>
      <c r="M115" s="1">
        <v>2150000</v>
      </c>
      <c r="N115" s="6">
        <v>2500000</v>
      </c>
      <c r="O115" s="6">
        <v>0</v>
      </c>
      <c r="P115" s="6">
        <v>350000</v>
      </c>
      <c r="Q115" s="6">
        <v>50000</v>
      </c>
      <c r="R115" s="6">
        <v>400000</v>
      </c>
      <c r="S115" s="6">
        <v>0.84</v>
      </c>
      <c r="T115" s="6">
        <v>0.875</v>
      </c>
      <c r="U115" s="1" t="s">
        <v>438</v>
      </c>
      <c r="V115" s="1"/>
      <c r="W115" s="1"/>
      <c r="X115" s="9">
        <v>88000</v>
      </c>
      <c r="Y115" s="9">
        <v>0</v>
      </c>
      <c r="Z115" s="1" t="s">
        <v>22</v>
      </c>
      <c r="AA115" s="1">
        <v>47221</v>
      </c>
      <c r="AB115" t="s">
        <v>39</v>
      </c>
      <c r="AC115" t="e">
        <f>VLOOKUP(U115,Sheet1!$F$1:$F$39,1,FALSE)</f>
        <v>#N/A</v>
      </c>
      <c r="AD115">
        <f t="shared" si="1"/>
        <v>1</v>
      </c>
    </row>
    <row r="116" spans="1:30" ht="270.75" thickBot="1" x14ac:dyDescent="0.3">
      <c r="A116" s="5">
        <v>46310</v>
      </c>
      <c r="B116" s="1">
        <v>5309</v>
      </c>
      <c r="C116" s="1">
        <v>5309030014000500</v>
      </c>
      <c r="D116" s="1" t="s">
        <v>22</v>
      </c>
      <c r="E116" s="1">
        <v>47221</v>
      </c>
      <c r="F116" s="1" t="s">
        <v>439</v>
      </c>
      <c r="G116" s="1" t="s">
        <v>440</v>
      </c>
      <c r="H116" s="1" t="s">
        <v>441</v>
      </c>
      <c r="I116" s="6">
        <v>0</v>
      </c>
      <c r="J116" s="6">
        <v>1150000</v>
      </c>
      <c r="K116" s="6">
        <v>0</v>
      </c>
      <c r="L116" s="6">
        <v>0</v>
      </c>
      <c r="M116" s="1">
        <v>1150000</v>
      </c>
      <c r="N116" s="6">
        <v>2800000</v>
      </c>
      <c r="O116" s="6">
        <v>0</v>
      </c>
      <c r="P116" s="6">
        <v>1650000</v>
      </c>
      <c r="Q116" s="6">
        <v>0</v>
      </c>
      <c r="R116" s="6">
        <v>1650000</v>
      </c>
      <c r="S116" s="6">
        <v>0.41071400000000002</v>
      </c>
      <c r="T116" s="6">
        <v>1</v>
      </c>
      <c r="U116" s="1" t="s">
        <v>442</v>
      </c>
      <c r="V116" s="1"/>
      <c r="W116" s="1"/>
      <c r="X116" s="9">
        <v>363000</v>
      </c>
      <c r="Y116" s="9">
        <v>0</v>
      </c>
      <c r="Z116" s="1" t="s">
        <v>22</v>
      </c>
      <c r="AA116" s="1">
        <v>47221</v>
      </c>
      <c r="AB116" t="s">
        <v>39</v>
      </c>
      <c r="AC116" t="e">
        <f>VLOOKUP(U116,Sheet1!$F$1:$F$39,1,FALSE)</f>
        <v>#N/A</v>
      </c>
      <c r="AD116">
        <f t="shared" si="1"/>
        <v>1</v>
      </c>
    </row>
    <row r="117" spans="1:30" ht="270.75" thickBot="1" x14ac:dyDescent="0.3">
      <c r="A117" s="5">
        <v>46310</v>
      </c>
      <c r="B117" s="1">
        <v>5309</v>
      </c>
      <c r="C117" s="1">
        <v>5309071007000800</v>
      </c>
      <c r="D117" s="1" t="s">
        <v>22</v>
      </c>
      <c r="E117" s="1">
        <v>47221</v>
      </c>
      <c r="F117" s="1" t="s">
        <v>443</v>
      </c>
      <c r="G117" s="1" t="s">
        <v>147</v>
      </c>
      <c r="H117" s="1" t="s">
        <v>149</v>
      </c>
      <c r="I117" s="6">
        <v>0</v>
      </c>
      <c r="J117" s="6">
        <v>3250000</v>
      </c>
      <c r="K117" s="6">
        <v>0</v>
      </c>
      <c r="L117" s="6">
        <v>0</v>
      </c>
      <c r="M117" s="1">
        <v>3250000</v>
      </c>
      <c r="N117" s="6">
        <v>4800000</v>
      </c>
      <c r="O117" s="6">
        <v>0</v>
      </c>
      <c r="P117" s="6">
        <v>1550000</v>
      </c>
      <c r="Q117" s="6">
        <v>2500000</v>
      </c>
      <c r="R117" s="6">
        <v>1550000</v>
      </c>
      <c r="S117" s="6">
        <v>0.67708299999999999</v>
      </c>
      <c r="T117" s="6">
        <v>1</v>
      </c>
      <c r="U117" s="1" t="s">
        <v>444</v>
      </c>
      <c r="V117" s="1"/>
      <c r="W117" s="1"/>
      <c r="X117" s="9">
        <v>341000</v>
      </c>
      <c r="Y117" s="9">
        <v>0</v>
      </c>
      <c r="Z117" s="1" t="s">
        <v>22</v>
      </c>
      <c r="AA117" s="1">
        <v>47221</v>
      </c>
      <c r="AB117" t="s">
        <v>39</v>
      </c>
      <c r="AC117" t="str">
        <f>VLOOKUP(U117,Sheet1!$F$1:$F$39,1,FALSE)</f>
        <v>https://fasih-sm.bps.go.id/app/assignment/fd68e454-ba45-4b85-8205-f3bf777ded24/b959ed6a-2801-4fb0-b0f6-6d9c5aef2f13</v>
      </c>
      <c r="AD117">
        <f t="shared" si="1"/>
        <v>0</v>
      </c>
    </row>
    <row r="118" spans="1:30" ht="360.75" thickBot="1" x14ac:dyDescent="0.3">
      <c r="A118" s="5">
        <v>46310</v>
      </c>
      <c r="B118" s="1">
        <v>5309</v>
      </c>
      <c r="C118" s="1">
        <v>5309072004001100</v>
      </c>
      <c r="D118" s="1" t="s">
        <v>22</v>
      </c>
      <c r="E118" s="1">
        <v>47221</v>
      </c>
      <c r="F118" s="1" t="s">
        <v>445</v>
      </c>
      <c r="G118" s="1" t="s">
        <v>446</v>
      </c>
      <c r="H118" s="1" t="s">
        <v>447</v>
      </c>
      <c r="I118" s="6">
        <v>1200000</v>
      </c>
      <c r="J118" s="6">
        <v>96000000</v>
      </c>
      <c r="K118" s="6">
        <v>14400000</v>
      </c>
      <c r="L118" s="6">
        <v>12000000</v>
      </c>
      <c r="M118" s="1">
        <v>10300000</v>
      </c>
      <c r="N118" s="6">
        <v>268800000</v>
      </c>
      <c r="O118" s="6">
        <v>0</v>
      </c>
      <c r="P118" s="6">
        <v>157200000</v>
      </c>
      <c r="Q118" s="6">
        <v>0</v>
      </c>
      <c r="R118" s="6">
        <v>172800000</v>
      </c>
      <c r="S118" s="6">
        <v>0.35714299999999999</v>
      </c>
      <c r="T118" s="6">
        <v>0.90972200000000003</v>
      </c>
      <c r="U118" s="1" t="s">
        <v>448</v>
      </c>
      <c r="V118" s="1"/>
      <c r="W118" s="1"/>
      <c r="X118" s="9">
        <v>35091692</v>
      </c>
      <c r="Y118" s="9">
        <v>2924308</v>
      </c>
      <c r="Z118" s="1" t="s">
        <v>22</v>
      </c>
      <c r="AA118" s="1">
        <v>47221</v>
      </c>
      <c r="AB118" t="s">
        <v>39</v>
      </c>
      <c r="AC118" t="e">
        <f>VLOOKUP(U118,Sheet1!$F$1:$F$39,1,FALSE)</f>
        <v>#N/A</v>
      </c>
      <c r="AD118">
        <f t="shared" si="1"/>
        <v>1</v>
      </c>
    </row>
    <row r="119" spans="1:30" ht="270.75" thickBot="1" x14ac:dyDescent="0.3">
      <c r="A119" s="5">
        <v>46310</v>
      </c>
      <c r="B119" s="1">
        <v>5309</v>
      </c>
      <c r="C119" s="1">
        <v>5309062006000800</v>
      </c>
      <c r="D119" s="1" t="s">
        <v>22</v>
      </c>
      <c r="E119" s="1">
        <v>47230</v>
      </c>
      <c r="F119" s="1" t="s">
        <v>449</v>
      </c>
      <c r="G119" s="1" t="s">
        <v>450</v>
      </c>
      <c r="H119" s="1" t="s">
        <v>451</v>
      </c>
      <c r="I119" s="6">
        <v>100000</v>
      </c>
      <c r="J119" s="6">
        <v>13200000</v>
      </c>
      <c r="K119" s="6">
        <v>960000</v>
      </c>
      <c r="L119" s="6">
        <v>192000</v>
      </c>
      <c r="M119" s="1">
        <v>14452000</v>
      </c>
      <c r="N119" s="6">
        <v>21200000</v>
      </c>
      <c r="O119" s="6">
        <v>0</v>
      </c>
      <c r="P119" s="6">
        <v>6940000</v>
      </c>
      <c r="Q119" s="6">
        <v>300000</v>
      </c>
      <c r="R119" s="6">
        <v>8000000</v>
      </c>
      <c r="S119" s="6">
        <v>0.62264200000000003</v>
      </c>
      <c r="T119" s="6">
        <v>0.86750000000000005</v>
      </c>
      <c r="U119" s="1" t="s">
        <v>452</v>
      </c>
      <c r="V119" s="1"/>
      <c r="W119" s="1"/>
      <c r="X119" s="9">
        <v>1593962</v>
      </c>
      <c r="Y119" s="9">
        <v>166038</v>
      </c>
      <c r="Z119" s="1" t="s">
        <v>22</v>
      </c>
      <c r="AA119" s="1">
        <v>47230</v>
      </c>
      <c r="AB119" t="s">
        <v>39</v>
      </c>
      <c r="AC119" t="e">
        <f>VLOOKUP(U119,Sheet1!$F$1:$F$39,1,FALSE)</f>
        <v>#N/A</v>
      </c>
      <c r="AD119">
        <f t="shared" si="1"/>
        <v>1</v>
      </c>
    </row>
    <row r="120" spans="1:30" ht="270.75" thickBot="1" x14ac:dyDescent="0.3">
      <c r="A120" s="5">
        <v>46310</v>
      </c>
      <c r="B120" s="1">
        <v>5309</v>
      </c>
      <c r="C120" s="1">
        <v>5309070006000200</v>
      </c>
      <c r="D120" s="1" t="s">
        <v>22</v>
      </c>
      <c r="E120" s="1">
        <v>47242</v>
      </c>
      <c r="F120" s="1" t="s">
        <v>453</v>
      </c>
      <c r="G120" s="1" t="s">
        <v>454</v>
      </c>
      <c r="H120" s="1" t="s">
        <v>455</v>
      </c>
      <c r="I120" s="6">
        <v>390000</v>
      </c>
      <c r="J120" s="6">
        <v>10000000</v>
      </c>
      <c r="K120" s="6">
        <v>300000</v>
      </c>
      <c r="L120" s="6">
        <v>0</v>
      </c>
      <c r="M120" s="1">
        <v>10690000</v>
      </c>
      <c r="N120" s="6">
        <v>15550000</v>
      </c>
      <c r="O120" s="6">
        <v>0</v>
      </c>
      <c r="P120" s="6">
        <v>4860000</v>
      </c>
      <c r="Q120" s="6">
        <v>800000</v>
      </c>
      <c r="R120" s="6">
        <v>5550000</v>
      </c>
      <c r="S120" s="6">
        <v>0.64308699999999996</v>
      </c>
      <c r="T120" s="6">
        <v>0.87567600000000001</v>
      </c>
      <c r="U120" s="1" t="s">
        <v>456</v>
      </c>
      <c r="V120" s="1"/>
      <c r="W120" s="1"/>
      <c r="X120" s="9">
        <v>530870</v>
      </c>
      <c r="Y120" s="9">
        <v>690130</v>
      </c>
      <c r="Z120" s="1" t="s">
        <v>22</v>
      </c>
      <c r="AA120" s="1">
        <v>47242</v>
      </c>
      <c r="AB120" t="s">
        <v>39</v>
      </c>
      <c r="AC120" t="e">
        <f>VLOOKUP(U120,Sheet1!$F$1:$F$39,1,FALSE)</f>
        <v>#N/A</v>
      </c>
      <c r="AD120">
        <f t="shared" si="1"/>
        <v>1</v>
      </c>
    </row>
    <row r="121" spans="1:30" ht="270.75" thickBot="1" x14ac:dyDescent="0.3">
      <c r="A121" s="5">
        <v>46310</v>
      </c>
      <c r="B121" s="1">
        <v>5309</v>
      </c>
      <c r="C121" s="1">
        <v>5309071010001900</v>
      </c>
      <c r="D121" s="1" t="s">
        <v>22</v>
      </c>
      <c r="E121" s="1">
        <v>47242</v>
      </c>
      <c r="F121" s="1" t="s">
        <v>457</v>
      </c>
      <c r="G121" s="1" t="s">
        <v>458</v>
      </c>
      <c r="H121" s="1" t="s">
        <v>459</v>
      </c>
      <c r="I121" s="6">
        <v>1800000</v>
      </c>
      <c r="J121" s="6">
        <v>0</v>
      </c>
      <c r="K121" s="6">
        <v>660000</v>
      </c>
      <c r="L121" s="6">
        <v>0</v>
      </c>
      <c r="M121" s="1">
        <v>2460000</v>
      </c>
      <c r="N121" s="6">
        <v>3000000</v>
      </c>
      <c r="O121" s="6">
        <v>0</v>
      </c>
      <c r="P121" s="6">
        <v>540000</v>
      </c>
      <c r="Q121" s="6">
        <v>25700000</v>
      </c>
      <c r="R121" s="6">
        <v>3000000</v>
      </c>
      <c r="S121" s="6">
        <v>0</v>
      </c>
      <c r="T121" s="6">
        <v>0.18</v>
      </c>
      <c r="U121" s="1" t="s">
        <v>460</v>
      </c>
      <c r="V121" s="1"/>
      <c r="W121" s="1"/>
      <c r="X121" s="9">
        <v>289756</v>
      </c>
      <c r="Y121" s="9">
        <v>790244</v>
      </c>
      <c r="Z121" s="1" t="s">
        <v>22</v>
      </c>
      <c r="AA121" s="1">
        <v>47242</v>
      </c>
      <c r="AB121" t="s">
        <v>39</v>
      </c>
      <c r="AC121" t="e">
        <f>VLOOKUP(U121,Sheet1!$F$1:$F$39,1,FALSE)</f>
        <v>#N/A</v>
      </c>
      <c r="AD121">
        <f t="shared" si="1"/>
        <v>1</v>
      </c>
    </row>
    <row r="122" spans="1:30" ht="270.75" thickBot="1" x14ac:dyDescent="0.3">
      <c r="A122" s="5">
        <v>46310</v>
      </c>
      <c r="B122" s="1">
        <v>5309</v>
      </c>
      <c r="C122" s="1">
        <v>5309021007000200</v>
      </c>
      <c r="D122" s="1" t="s">
        <v>22</v>
      </c>
      <c r="E122" s="1">
        <v>47243</v>
      </c>
      <c r="F122" s="1" t="s">
        <v>461</v>
      </c>
      <c r="G122" s="1" t="s">
        <v>462</v>
      </c>
      <c r="H122" s="1" t="s">
        <v>463</v>
      </c>
      <c r="I122" s="6">
        <v>0</v>
      </c>
      <c r="J122" s="6">
        <v>800000</v>
      </c>
      <c r="K122" s="6">
        <v>1000000</v>
      </c>
      <c r="L122" s="6">
        <v>0</v>
      </c>
      <c r="M122" s="1">
        <v>1800000</v>
      </c>
      <c r="N122" s="6">
        <v>2000000</v>
      </c>
      <c r="O122" s="6">
        <v>0</v>
      </c>
      <c r="P122" s="6">
        <v>200000</v>
      </c>
      <c r="Q122" s="6">
        <v>172000000</v>
      </c>
      <c r="R122" s="6">
        <v>1200000</v>
      </c>
      <c r="S122" s="6">
        <v>0.4</v>
      </c>
      <c r="T122" s="6">
        <v>0.16666700000000001</v>
      </c>
      <c r="U122" s="1" t="s">
        <v>464</v>
      </c>
      <c r="V122" s="1"/>
      <c r="W122" s="1"/>
      <c r="X122" s="9">
        <v>432000</v>
      </c>
      <c r="Y122" s="9">
        <v>0</v>
      </c>
      <c r="Z122" s="1" t="s">
        <v>22</v>
      </c>
      <c r="AA122" s="1">
        <v>47243</v>
      </c>
      <c r="AB122" t="s">
        <v>39</v>
      </c>
      <c r="AC122" t="e">
        <f>VLOOKUP(U122,Sheet1!$F$1:$F$39,1,FALSE)</f>
        <v>#N/A</v>
      </c>
      <c r="AD122">
        <f t="shared" si="1"/>
        <v>1</v>
      </c>
    </row>
    <row r="123" spans="1:30" ht="270.75" thickBot="1" x14ac:dyDescent="0.3">
      <c r="A123" s="5">
        <v>46310</v>
      </c>
      <c r="B123" s="1">
        <v>5309</v>
      </c>
      <c r="C123" s="1">
        <v>5309030018000300</v>
      </c>
      <c r="D123" s="1" t="s">
        <v>22</v>
      </c>
      <c r="E123" s="1">
        <v>47301</v>
      </c>
      <c r="F123" s="1" t="s">
        <v>465</v>
      </c>
      <c r="G123" s="1" t="s">
        <v>192</v>
      </c>
      <c r="H123" s="1" t="s">
        <v>466</v>
      </c>
      <c r="I123" s="6">
        <v>0</v>
      </c>
      <c r="J123" s="6">
        <v>42000000</v>
      </c>
      <c r="K123" s="6">
        <v>864000</v>
      </c>
      <c r="L123" s="6">
        <v>0</v>
      </c>
      <c r="M123" s="1">
        <v>3572000</v>
      </c>
      <c r="N123" s="6">
        <v>60000000</v>
      </c>
      <c r="O123" s="6">
        <v>0</v>
      </c>
      <c r="P123" s="6">
        <v>17136000</v>
      </c>
      <c r="Q123" s="6">
        <v>0</v>
      </c>
      <c r="R123" s="6">
        <v>18000000</v>
      </c>
      <c r="S123" s="6">
        <v>0.7</v>
      </c>
      <c r="T123" s="6">
        <v>0.95199999999999996</v>
      </c>
      <c r="U123" s="1" t="s">
        <v>467</v>
      </c>
      <c r="V123" s="1"/>
      <c r="W123" s="1"/>
      <c r="X123" s="9">
        <v>3960000</v>
      </c>
      <c r="Y123" s="9">
        <v>0</v>
      </c>
      <c r="Z123" s="1" t="s">
        <v>22</v>
      </c>
      <c r="AA123" s="1">
        <v>47301</v>
      </c>
      <c r="AB123" t="s">
        <v>39</v>
      </c>
      <c r="AC123" t="e">
        <f>VLOOKUP(U123,Sheet1!$F$1:$F$39,1,FALSE)</f>
        <v>#N/A</v>
      </c>
      <c r="AD123">
        <f t="shared" si="1"/>
        <v>1</v>
      </c>
    </row>
    <row r="124" spans="1:30" ht="270.75" thickBot="1" x14ac:dyDescent="0.3">
      <c r="A124" s="5">
        <v>46310</v>
      </c>
      <c r="B124" s="1">
        <v>5309</v>
      </c>
      <c r="C124" s="1">
        <v>5309021003001800</v>
      </c>
      <c r="D124" s="1" t="s">
        <v>22</v>
      </c>
      <c r="E124" s="1">
        <v>47301</v>
      </c>
      <c r="F124" s="1" t="s">
        <v>468</v>
      </c>
      <c r="G124" s="1" t="s">
        <v>469</v>
      </c>
      <c r="H124" s="1" t="s">
        <v>470</v>
      </c>
      <c r="I124" s="6">
        <v>0</v>
      </c>
      <c r="J124" s="6">
        <v>6000000</v>
      </c>
      <c r="K124" s="6">
        <v>2000000</v>
      </c>
      <c r="L124" s="6">
        <v>0</v>
      </c>
      <c r="M124" s="1">
        <v>8000000</v>
      </c>
      <c r="N124" s="6">
        <v>15000000</v>
      </c>
      <c r="O124" s="6">
        <v>0</v>
      </c>
      <c r="P124" s="6">
        <v>7000000</v>
      </c>
      <c r="Q124" s="6">
        <v>15000000</v>
      </c>
      <c r="R124" s="6">
        <v>9000000</v>
      </c>
      <c r="S124" s="6">
        <v>0.4</v>
      </c>
      <c r="T124" s="6">
        <v>0.77777799999999997</v>
      </c>
      <c r="U124" s="1" t="s">
        <v>471</v>
      </c>
      <c r="V124" s="1"/>
      <c r="W124" s="1"/>
      <c r="X124" s="9">
        <v>2000000</v>
      </c>
      <c r="Y124" s="9">
        <v>0</v>
      </c>
      <c r="Z124" s="1" t="s">
        <v>22</v>
      </c>
      <c r="AA124" s="1">
        <v>47301</v>
      </c>
      <c r="AB124" t="s">
        <v>39</v>
      </c>
      <c r="AC124" t="e">
        <f>VLOOKUP(U124,Sheet1!$F$1:$F$39,1,FALSE)</f>
        <v>#N/A</v>
      </c>
      <c r="AD124">
        <f t="shared" si="1"/>
        <v>1</v>
      </c>
    </row>
    <row r="125" spans="1:30" ht="270.75" thickBot="1" x14ac:dyDescent="0.3">
      <c r="A125" s="5">
        <v>46310</v>
      </c>
      <c r="B125" s="1">
        <v>5309</v>
      </c>
      <c r="C125" s="1">
        <v>5309050007000600</v>
      </c>
      <c r="D125" s="1" t="s">
        <v>22</v>
      </c>
      <c r="E125" s="1">
        <v>47302</v>
      </c>
      <c r="F125" s="1" t="s">
        <v>472</v>
      </c>
      <c r="G125" s="1" t="s">
        <v>473</v>
      </c>
      <c r="H125" s="1" t="s">
        <v>474</v>
      </c>
      <c r="I125" s="6">
        <v>1500000</v>
      </c>
      <c r="J125" s="6">
        <v>1500000</v>
      </c>
      <c r="K125" s="6">
        <v>250000</v>
      </c>
      <c r="L125" s="6">
        <v>0</v>
      </c>
      <c r="M125" s="1">
        <v>3250000</v>
      </c>
      <c r="N125" s="6">
        <v>4200000</v>
      </c>
      <c r="O125" s="6">
        <v>0</v>
      </c>
      <c r="P125" s="6">
        <v>950000</v>
      </c>
      <c r="Q125" s="6">
        <v>1000000</v>
      </c>
      <c r="R125" s="6">
        <v>2700000</v>
      </c>
      <c r="S125" s="6">
        <v>0.35714299999999999</v>
      </c>
      <c r="T125" s="6">
        <v>0.351852</v>
      </c>
      <c r="U125" s="1" t="s">
        <v>475</v>
      </c>
      <c r="V125" s="1"/>
      <c r="W125" s="1"/>
      <c r="X125" s="9">
        <v>138857</v>
      </c>
      <c r="Y125" s="9">
        <v>833143</v>
      </c>
      <c r="Z125" s="1" t="s">
        <v>22</v>
      </c>
      <c r="AA125" s="1">
        <v>47302</v>
      </c>
      <c r="AB125" t="s">
        <v>39</v>
      </c>
      <c r="AC125" t="e">
        <f>VLOOKUP(U125,Sheet1!$F$1:$F$39,1,FALSE)</f>
        <v>#N/A</v>
      </c>
      <c r="AD125">
        <f t="shared" si="1"/>
        <v>1</v>
      </c>
    </row>
    <row r="126" spans="1:30" ht="270.75" thickBot="1" x14ac:dyDescent="0.3">
      <c r="A126" s="5">
        <v>46310</v>
      </c>
      <c r="B126" s="1">
        <v>5309</v>
      </c>
      <c r="C126" s="1">
        <v>5309062007001000</v>
      </c>
      <c r="D126" s="1" t="s">
        <v>22</v>
      </c>
      <c r="E126" s="1">
        <v>47404</v>
      </c>
      <c r="F126" s="1" t="s">
        <v>477</v>
      </c>
      <c r="G126" s="1" t="s">
        <v>478</v>
      </c>
      <c r="H126" s="1" t="s">
        <v>479</v>
      </c>
      <c r="I126" s="6">
        <v>0</v>
      </c>
      <c r="J126" s="6">
        <v>73200000</v>
      </c>
      <c r="K126" s="6">
        <v>2000000</v>
      </c>
      <c r="L126" s="6">
        <v>0</v>
      </c>
      <c r="M126" s="1">
        <v>75200000</v>
      </c>
      <c r="N126" s="6">
        <v>157600000</v>
      </c>
      <c r="O126" s="6">
        <v>0</v>
      </c>
      <c r="P126" s="6">
        <v>82400000</v>
      </c>
      <c r="Q126" s="6">
        <v>7900000</v>
      </c>
      <c r="R126" s="6">
        <v>84400000</v>
      </c>
      <c r="S126" s="6">
        <v>0.46446700000000002</v>
      </c>
      <c r="T126" s="6">
        <v>0.97630300000000003</v>
      </c>
      <c r="U126" s="1" t="s">
        <v>480</v>
      </c>
      <c r="V126" s="1"/>
      <c r="W126" s="1"/>
      <c r="X126" s="9">
        <v>18568000</v>
      </c>
      <c r="Y126" s="9">
        <v>0</v>
      </c>
      <c r="Z126" s="1" t="s">
        <v>22</v>
      </c>
      <c r="AA126" s="1">
        <v>47404</v>
      </c>
      <c r="AB126" t="s">
        <v>39</v>
      </c>
      <c r="AC126" t="e">
        <f>VLOOKUP(U126,Sheet1!$F$1:$F$39,1,FALSE)</f>
        <v>#N/A</v>
      </c>
      <c r="AD126">
        <f t="shared" si="1"/>
        <v>1</v>
      </c>
    </row>
    <row r="127" spans="1:30" ht="270.75" thickBot="1" x14ac:dyDescent="0.3">
      <c r="A127" s="5">
        <v>46310</v>
      </c>
      <c r="B127" s="1">
        <v>5309</v>
      </c>
      <c r="C127" s="1">
        <v>5309030027001100</v>
      </c>
      <c r="D127" s="1" t="s">
        <v>22</v>
      </c>
      <c r="E127" s="1">
        <v>47591</v>
      </c>
      <c r="F127" s="1" t="s">
        <v>481</v>
      </c>
      <c r="G127" s="1" t="s">
        <v>482</v>
      </c>
      <c r="H127" s="1" t="s">
        <v>483</v>
      </c>
      <c r="I127" s="6">
        <v>12500000</v>
      </c>
      <c r="J127" s="6">
        <v>0</v>
      </c>
      <c r="K127" s="6">
        <v>300000</v>
      </c>
      <c r="L127" s="6">
        <v>0</v>
      </c>
      <c r="M127" s="1">
        <v>12800000</v>
      </c>
      <c r="N127" s="6">
        <v>30000000</v>
      </c>
      <c r="O127" s="6">
        <v>0</v>
      </c>
      <c r="P127" s="6">
        <v>17200000</v>
      </c>
      <c r="Q127" s="6">
        <v>3000000</v>
      </c>
      <c r="R127" s="6">
        <v>30000000</v>
      </c>
      <c r="S127" s="6">
        <v>0</v>
      </c>
      <c r="T127" s="6">
        <v>0.57333299999999998</v>
      </c>
      <c r="U127" s="1" t="s">
        <v>484</v>
      </c>
      <c r="V127" s="1"/>
      <c r="W127" s="1"/>
      <c r="X127" s="9">
        <v>253125</v>
      </c>
      <c r="Y127" s="9">
        <v>10546875</v>
      </c>
      <c r="Z127" s="1" t="s">
        <v>22</v>
      </c>
      <c r="AA127" s="1">
        <v>47591</v>
      </c>
      <c r="AB127" t="s">
        <v>39</v>
      </c>
      <c r="AC127" t="e">
        <f>VLOOKUP(U127,Sheet1!$F$1:$F$39,1,FALSE)</f>
        <v>#N/A</v>
      </c>
      <c r="AD127">
        <f t="shared" si="1"/>
        <v>1</v>
      </c>
    </row>
    <row r="128" spans="1:30" ht="255.75" thickBot="1" x14ac:dyDescent="0.3">
      <c r="A128" s="5">
        <v>46310</v>
      </c>
      <c r="B128" s="1">
        <v>5309</v>
      </c>
      <c r="C128" s="1">
        <v>5309070007000200</v>
      </c>
      <c r="D128" s="1" t="s">
        <v>22</v>
      </c>
      <c r="E128" s="1">
        <v>47592</v>
      </c>
      <c r="F128" s="1" t="s">
        <v>485</v>
      </c>
      <c r="G128" s="1" t="s">
        <v>486</v>
      </c>
      <c r="H128" s="1" t="s">
        <v>486</v>
      </c>
      <c r="I128" s="6">
        <v>600000</v>
      </c>
      <c r="J128" s="6">
        <v>75000000</v>
      </c>
      <c r="K128" s="6">
        <v>2400000</v>
      </c>
      <c r="L128" s="6">
        <v>1200000</v>
      </c>
      <c r="M128" s="1">
        <v>88800000</v>
      </c>
      <c r="N128" s="6">
        <v>216600000</v>
      </c>
      <c r="O128" s="6">
        <v>0</v>
      </c>
      <c r="P128" s="6">
        <v>138600000</v>
      </c>
      <c r="Q128" s="6">
        <v>250000000</v>
      </c>
      <c r="R128" s="6">
        <v>141600000</v>
      </c>
      <c r="S128" s="6">
        <v>0.34626000000000001</v>
      </c>
      <c r="T128" s="6">
        <v>0.97881399999999996</v>
      </c>
      <c r="U128" s="1" t="s">
        <v>487</v>
      </c>
      <c r="V128" s="1"/>
      <c r="W128" s="1"/>
      <c r="X128" s="9">
        <v>24921600</v>
      </c>
      <c r="Y128" s="9">
        <v>6230400</v>
      </c>
      <c r="Z128" s="1" t="s">
        <v>22</v>
      </c>
      <c r="AA128" s="1">
        <v>47592</v>
      </c>
      <c r="AB128" t="s">
        <v>39</v>
      </c>
      <c r="AC128" t="e">
        <f>VLOOKUP(U128,Sheet1!$F$1:$F$39,1,FALSE)</f>
        <v>#N/A</v>
      </c>
      <c r="AD128">
        <f t="shared" si="1"/>
        <v>1</v>
      </c>
    </row>
    <row r="129" spans="1:30" ht="270.75" thickBot="1" x14ac:dyDescent="0.3">
      <c r="A129" s="5">
        <v>46310</v>
      </c>
      <c r="B129" s="1">
        <v>5309</v>
      </c>
      <c r="C129" s="1">
        <v>5309030021000200</v>
      </c>
      <c r="D129" s="1" t="s">
        <v>22</v>
      </c>
      <c r="E129" s="1">
        <v>47630</v>
      </c>
      <c r="F129" s="1" t="s">
        <v>488</v>
      </c>
      <c r="G129" s="1" t="s">
        <v>489</v>
      </c>
      <c r="H129" s="1" t="s">
        <v>490</v>
      </c>
      <c r="I129" s="6">
        <v>0</v>
      </c>
      <c r="J129" s="6">
        <v>12000000</v>
      </c>
      <c r="K129" s="6">
        <v>0</v>
      </c>
      <c r="L129" s="6">
        <v>0</v>
      </c>
      <c r="M129" s="1">
        <v>12000000</v>
      </c>
      <c r="N129" s="6">
        <v>24000000</v>
      </c>
      <c r="O129" s="6">
        <v>0</v>
      </c>
      <c r="P129" s="6">
        <v>12000000</v>
      </c>
      <c r="Q129" s="6">
        <v>0</v>
      </c>
      <c r="R129" s="6">
        <v>12000000</v>
      </c>
      <c r="S129" s="6">
        <v>0.5</v>
      </c>
      <c r="T129" s="6">
        <v>1</v>
      </c>
      <c r="U129" s="1" t="s">
        <v>491</v>
      </c>
      <c r="V129" s="1"/>
      <c r="W129" s="1"/>
      <c r="X129" s="9">
        <v>2640000</v>
      </c>
      <c r="Y129" s="9">
        <v>0</v>
      </c>
      <c r="Z129" s="1" t="s">
        <v>22</v>
      </c>
      <c r="AA129" s="1">
        <v>47630</v>
      </c>
      <c r="AB129" t="s">
        <v>39</v>
      </c>
      <c r="AC129" t="e">
        <f>VLOOKUP(U129,Sheet1!$F$1:$F$39,1,FALSE)</f>
        <v>#N/A</v>
      </c>
      <c r="AD129">
        <f t="shared" si="1"/>
        <v>1</v>
      </c>
    </row>
    <row r="130" spans="1:30" ht="270.75" thickBot="1" x14ac:dyDescent="0.3">
      <c r="A130" s="5">
        <v>46310</v>
      </c>
      <c r="B130" s="1">
        <v>5309</v>
      </c>
      <c r="C130" s="1">
        <v>5309030021000700</v>
      </c>
      <c r="D130" s="1" t="s">
        <v>22</v>
      </c>
      <c r="E130" s="1">
        <v>47711</v>
      </c>
      <c r="F130" s="1" t="s">
        <v>492</v>
      </c>
      <c r="G130" s="1" t="s">
        <v>217</v>
      </c>
      <c r="H130" s="1" t="s">
        <v>217</v>
      </c>
      <c r="I130" s="6">
        <v>576000</v>
      </c>
      <c r="J130" s="6">
        <v>12000000</v>
      </c>
      <c r="K130" s="6">
        <v>1000000</v>
      </c>
      <c r="L130" s="6">
        <v>720000</v>
      </c>
      <c r="M130" s="1">
        <v>22696000</v>
      </c>
      <c r="N130" s="6">
        <v>46800000</v>
      </c>
      <c r="O130" s="6">
        <v>0</v>
      </c>
      <c r="P130" s="6">
        <v>33224000</v>
      </c>
      <c r="Q130" s="6">
        <v>30000000</v>
      </c>
      <c r="R130" s="6">
        <v>34800000</v>
      </c>
      <c r="S130" s="6">
        <v>0.25641000000000003</v>
      </c>
      <c r="T130" s="6">
        <v>0.95471300000000003</v>
      </c>
      <c r="U130" s="1" t="s">
        <v>493</v>
      </c>
      <c r="V130" s="1"/>
      <c r="W130" s="1"/>
      <c r="X130" s="9">
        <v>4857868</v>
      </c>
      <c r="Y130" s="9">
        <v>2798132</v>
      </c>
      <c r="Z130" s="1" t="s">
        <v>22</v>
      </c>
      <c r="AA130" s="1">
        <v>47711</v>
      </c>
      <c r="AB130" t="s">
        <v>39</v>
      </c>
      <c r="AC130" t="e">
        <f>VLOOKUP(U130,Sheet1!$F$1:$F$39,1,FALSE)</f>
        <v>#N/A</v>
      </c>
      <c r="AD130">
        <f t="shared" si="1"/>
        <v>1</v>
      </c>
    </row>
    <row r="131" spans="1:30" ht="270.75" thickBot="1" x14ac:dyDescent="0.3">
      <c r="A131" s="5">
        <v>46310</v>
      </c>
      <c r="B131" s="1">
        <v>5309</v>
      </c>
      <c r="C131" s="1">
        <v>5309030021000700</v>
      </c>
      <c r="D131" s="1" t="s">
        <v>22</v>
      </c>
      <c r="E131" s="1">
        <v>47711</v>
      </c>
      <c r="F131" s="1" t="s">
        <v>494</v>
      </c>
      <c r="G131" s="1" t="s">
        <v>217</v>
      </c>
      <c r="H131" s="1" t="s">
        <v>217</v>
      </c>
      <c r="I131" s="6">
        <v>168000</v>
      </c>
      <c r="J131" s="6">
        <v>96000000</v>
      </c>
      <c r="K131" s="6">
        <v>0</v>
      </c>
      <c r="L131" s="6">
        <v>720000</v>
      </c>
      <c r="M131" s="1">
        <v>96888000</v>
      </c>
      <c r="N131" s="6">
        <v>112488000</v>
      </c>
      <c r="O131" s="6">
        <v>0</v>
      </c>
      <c r="P131" s="6">
        <v>16320000</v>
      </c>
      <c r="Q131" s="6">
        <v>20000000</v>
      </c>
      <c r="R131" s="6">
        <v>16488000</v>
      </c>
      <c r="S131" s="6">
        <v>0.85342399999999996</v>
      </c>
      <c r="T131" s="6">
        <v>0.989811</v>
      </c>
      <c r="U131" s="1" t="s">
        <v>495</v>
      </c>
      <c r="V131" s="1"/>
      <c r="W131" s="1"/>
      <c r="X131" s="9">
        <v>0</v>
      </c>
      <c r="Y131" s="9">
        <v>3627360</v>
      </c>
      <c r="Z131" s="1" t="s">
        <v>22</v>
      </c>
      <c r="AA131" s="1">
        <v>47711</v>
      </c>
      <c r="AB131" t="s">
        <v>39</v>
      </c>
      <c r="AC131" t="e">
        <f>VLOOKUP(U131,Sheet1!$F$1:$F$39,1,FALSE)</f>
        <v>#N/A</v>
      </c>
      <c r="AD131">
        <f t="shared" si="1"/>
        <v>1</v>
      </c>
    </row>
    <row r="132" spans="1:30" ht="270.75" thickBot="1" x14ac:dyDescent="0.3">
      <c r="A132" s="5">
        <v>46310</v>
      </c>
      <c r="B132" s="1">
        <v>5309</v>
      </c>
      <c r="C132" s="1">
        <v>5309050019000200</v>
      </c>
      <c r="D132" s="1" t="s">
        <v>22</v>
      </c>
      <c r="E132" s="1">
        <v>47711</v>
      </c>
      <c r="F132" s="1" t="s">
        <v>496</v>
      </c>
      <c r="G132" s="1" t="s">
        <v>497</v>
      </c>
      <c r="H132" s="1" t="s">
        <v>498</v>
      </c>
      <c r="I132" s="6">
        <v>500000</v>
      </c>
      <c r="J132" s="6">
        <v>28000000</v>
      </c>
      <c r="K132" s="6">
        <v>1000000</v>
      </c>
      <c r="L132" s="6">
        <v>1000000</v>
      </c>
      <c r="M132" s="1">
        <v>30500000</v>
      </c>
      <c r="N132" s="6">
        <v>50000000</v>
      </c>
      <c r="O132" s="6">
        <v>0</v>
      </c>
      <c r="P132" s="6">
        <v>20500000</v>
      </c>
      <c r="Q132" s="6">
        <v>600000</v>
      </c>
      <c r="R132" s="6">
        <v>22000000</v>
      </c>
      <c r="S132" s="6">
        <v>0.56000000000000005</v>
      </c>
      <c r="T132" s="6">
        <v>0.93181800000000004</v>
      </c>
      <c r="U132" s="1" t="s">
        <v>499</v>
      </c>
      <c r="V132" s="1"/>
      <c r="W132" s="1"/>
      <c r="X132" s="9">
        <v>3226667</v>
      </c>
      <c r="Y132" s="9">
        <v>1613333</v>
      </c>
      <c r="Z132" s="1" t="s">
        <v>22</v>
      </c>
      <c r="AA132" s="1">
        <v>47711</v>
      </c>
      <c r="AB132" t="s">
        <v>39</v>
      </c>
      <c r="AC132" t="e">
        <f>VLOOKUP(U132,Sheet1!$F$1:$F$39,1,FALSE)</f>
        <v>#N/A</v>
      </c>
      <c r="AD132">
        <f t="shared" si="1"/>
        <v>1</v>
      </c>
    </row>
    <row r="133" spans="1:30" ht="255.75" thickBot="1" x14ac:dyDescent="0.3">
      <c r="A133" s="5">
        <v>46310</v>
      </c>
      <c r="B133" s="1">
        <v>5309</v>
      </c>
      <c r="C133" s="1">
        <v>5309030021000700</v>
      </c>
      <c r="D133" s="1" t="s">
        <v>22</v>
      </c>
      <c r="E133" s="1">
        <v>47712</v>
      </c>
      <c r="F133" s="1" t="s">
        <v>500</v>
      </c>
      <c r="G133" s="1" t="s">
        <v>229</v>
      </c>
      <c r="H133" s="1" t="s">
        <v>229</v>
      </c>
      <c r="I133" s="6">
        <v>336000</v>
      </c>
      <c r="J133" s="6">
        <v>9600000</v>
      </c>
      <c r="K133" s="6">
        <v>1200000</v>
      </c>
      <c r="L133" s="6">
        <v>1704000</v>
      </c>
      <c r="M133" s="1">
        <v>23640000</v>
      </c>
      <c r="N133" s="6">
        <v>62400000</v>
      </c>
      <c r="O133" s="6">
        <v>0</v>
      </c>
      <c r="P133" s="6">
        <v>51264000</v>
      </c>
      <c r="Q133" s="6">
        <v>50000000</v>
      </c>
      <c r="R133" s="6">
        <v>52800000</v>
      </c>
      <c r="S133" s="6">
        <v>0.15384600000000001</v>
      </c>
      <c r="T133" s="6">
        <v>0.97090900000000002</v>
      </c>
      <c r="U133" s="1" t="s">
        <v>501</v>
      </c>
      <c r="V133" s="1"/>
      <c r="W133" s="1"/>
      <c r="X133" s="9">
        <v>9075000</v>
      </c>
      <c r="Y133" s="9">
        <v>2541000</v>
      </c>
      <c r="Z133" s="1" t="s">
        <v>22</v>
      </c>
      <c r="AA133" s="1">
        <v>47712</v>
      </c>
      <c r="AB133" t="s">
        <v>39</v>
      </c>
      <c r="AC133" t="e">
        <f>VLOOKUP(U133,Sheet1!$F$1:$F$39,1,FALSE)</f>
        <v>#N/A</v>
      </c>
      <c r="AD133">
        <f t="shared" ref="AD133:AD196" si="2">IF(ISNA(AC133),1,0)</f>
        <v>1</v>
      </c>
    </row>
    <row r="134" spans="1:30" ht="270.75" thickBot="1" x14ac:dyDescent="0.3">
      <c r="A134" s="5">
        <v>46310</v>
      </c>
      <c r="B134" s="1">
        <v>5309</v>
      </c>
      <c r="C134" s="1">
        <v>5309070007001700</v>
      </c>
      <c r="D134" s="1" t="s">
        <v>22</v>
      </c>
      <c r="E134" s="1">
        <v>47771</v>
      </c>
      <c r="F134" s="1" t="s">
        <v>251</v>
      </c>
      <c r="G134" s="1" t="s">
        <v>502</v>
      </c>
      <c r="H134" s="1" t="s">
        <v>502</v>
      </c>
      <c r="I134" s="6">
        <v>500000</v>
      </c>
      <c r="J134" s="6">
        <v>49920000</v>
      </c>
      <c r="K134" s="6">
        <v>0</v>
      </c>
      <c r="L134" s="6">
        <v>0</v>
      </c>
      <c r="M134" s="1">
        <v>50420000</v>
      </c>
      <c r="N134" s="6">
        <v>57600000</v>
      </c>
      <c r="O134" s="6">
        <v>0</v>
      </c>
      <c r="P134" s="6">
        <v>7180000</v>
      </c>
      <c r="Q134" s="6">
        <v>1200000</v>
      </c>
      <c r="R134" s="6">
        <v>7680000</v>
      </c>
      <c r="S134" s="6">
        <v>0.86666699999999997</v>
      </c>
      <c r="T134" s="6">
        <v>0.93489599999999995</v>
      </c>
      <c r="U134" s="1" t="s">
        <v>503</v>
      </c>
      <c r="V134" s="1"/>
      <c r="W134" s="1"/>
      <c r="X134" s="9">
        <v>0</v>
      </c>
      <c r="Y134" s="9">
        <v>1689600</v>
      </c>
      <c r="Z134" s="1" t="s">
        <v>22</v>
      </c>
      <c r="AA134" s="1">
        <v>47771</v>
      </c>
      <c r="AB134" t="s">
        <v>39</v>
      </c>
      <c r="AC134" t="e">
        <f>VLOOKUP(U134,Sheet1!$F$1:$F$39,1,FALSE)</f>
        <v>#N/A</v>
      </c>
      <c r="AD134">
        <f t="shared" si="2"/>
        <v>1</v>
      </c>
    </row>
    <row r="135" spans="1:30" ht="270.75" thickBot="1" x14ac:dyDescent="0.3">
      <c r="A135" s="5">
        <v>46310</v>
      </c>
      <c r="B135" s="1">
        <v>5309</v>
      </c>
      <c r="C135" s="1">
        <v>5309072005000100</v>
      </c>
      <c r="D135" s="1" t="s">
        <v>22</v>
      </c>
      <c r="E135" s="1">
        <v>47771</v>
      </c>
      <c r="F135" s="1" t="s">
        <v>505</v>
      </c>
      <c r="G135" s="1" t="s">
        <v>180</v>
      </c>
      <c r="H135" s="1" t="s">
        <v>506</v>
      </c>
      <c r="I135" s="6">
        <v>0</v>
      </c>
      <c r="J135" s="6">
        <v>48000000</v>
      </c>
      <c r="K135" s="6">
        <v>100000</v>
      </c>
      <c r="L135" s="6">
        <v>0</v>
      </c>
      <c r="M135" s="1">
        <v>60000</v>
      </c>
      <c r="N135" s="6">
        <v>52800000</v>
      </c>
      <c r="O135" s="6">
        <v>0</v>
      </c>
      <c r="P135" s="6">
        <v>4700000</v>
      </c>
      <c r="Q135" s="6">
        <v>0</v>
      </c>
      <c r="R135" s="6">
        <v>4800000</v>
      </c>
      <c r="S135" s="6">
        <v>0.90909099999999998</v>
      </c>
      <c r="T135" s="6">
        <v>0.97916700000000001</v>
      </c>
      <c r="U135" s="1" t="s">
        <v>507</v>
      </c>
      <c r="V135" s="1"/>
      <c r="W135" s="1"/>
      <c r="X135" s="9">
        <v>1056000</v>
      </c>
      <c r="Y135" s="9">
        <v>0</v>
      </c>
      <c r="Z135" s="1" t="s">
        <v>22</v>
      </c>
      <c r="AA135" s="1">
        <v>47771</v>
      </c>
      <c r="AB135" t="s">
        <v>39</v>
      </c>
      <c r="AC135" t="e">
        <f>VLOOKUP(U135,Sheet1!$F$1:$F$39,1,FALSE)</f>
        <v>#N/A</v>
      </c>
      <c r="AD135">
        <f t="shared" si="2"/>
        <v>1</v>
      </c>
    </row>
    <row r="136" spans="1:30" ht="270.75" thickBot="1" x14ac:dyDescent="0.3">
      <c r="A136" s="5">
        <v>46310</v>
      </c>
      <c r="B136" s="1">
        <v>5309</v>
      </c>
      <c r="C136" s="1">
        <v>5309071011000100</v>
      </c>
      <c r="D136" s="1" t="s">
        <v>22</v>
      </c>
      <c r="E136" s="1">
        <v>47771</v>
      </c>
      <c r="F136" s="1" t="s">
        <v>508</v>
      </c>
      <c r="G136" s="1" t="s">
        <v>181</v>
      </c>
      <c r="H136" s="1" t="s">
        <v>509</v>
      </c>
      <c r="I136" s="6">
        <v>0</v>
      </c>
      <c r="J136" s="6">
        <v>12480000</v>
      </c>
      <c r="K136" s="6">
        <v>0</v>
      </c>
      <c r="L136" s="6">
        <v>0</v>
      </c>
      <c r="M136" s="1">
        <v>12480000</v>
      </c>
      <c r="N136" s="6">
        <v>16200000</v>
      </c>
      <c r="O136" s="6">
        <v>0</v>
      </c>
      <c r="P136" s="6">
        <v>3720000</v>
      </c>
      <c r="Q136" s="6">
        <v>15000000</v>
      </c>
      <c r="R136" s="6">
        <v>3720000</v>
      </c>
      <c r="S136" s="6">
        <v>0.77037</v>
      </c>
      <c r="T136" s="6">
        <v>1</v>
      </c>
      <c r="U136" s="1" t="s">
        <v>510</v>
      </c>
      <c r="V136" s="1"/>
      <c r="W136" s="1"/>
      <c r="X136" s="9">
        <v>818400</v>
      </c>
      <c r="Y136" s="9">
        <v>0</v>
      </c>
      <c r="Z136" s="1" t="s">
        <v>22</v>
      </c>
      <c r="AA136" s="1">
        <v>47771</v>
      </c>
      <c r="AB136" t="s">
        <v>39</v>
      </c>
      <c r="AC136" t="str">
        <f>VLOOKUP(U136,Sheet1!$F$1:$F$39,1,FALSE)</f>
        <v>https://fasih-sm.bps.go.id/app/assignment/fd68e454-ba45-4b85-8205-f3bf777ded24/7c421fa9-3acf-4f76-a9d7-ebfa717e69c0</v>
      </c>
      <c r="AD136">
        <f t="shared" si="2"/>
        <v>0</v>
      </c>
    </row>
    <row r="137" spans="1:30" ht="270.75" thickBot="1" x14ac:dyDescent="0.3">
      <c r="A137" s="5">
        <v>46310</v>
      </c>
      <c r="B137" s="1">
        <v>5309</v>
      </c>
      <c r="C137" s="1">
        <v>5309073003000400</v>
      </c>
      <c r="D137" s="1" t="s">
        <v>22</v>
      </c>
      <c r="E137" s="1">
        <v>47771</v>
      </c>
      <c r="F137" s="1" t="s">
        <v>511</v>
      </c>
      <c r="G137" s="1" t="s">
        <v>512</v>
      </c>
      <c r="H137" s="1" t="s">
        <v>513</v>
      </c>
      <c r="I137" s="6">
        <v>440000</v>
      </c>
      <c r="J137" s="6">
        <v>0</v>
      </c>
      <c r="K137" s="6">
        <v>100000</v>
      </c>
      <c r="L137" s="6">
        <v>0</v>
      </c>
      <c r="M137" s="1">
        <v>540000</v>
      </c>
      <c r="N137" s="6">
        <v>1200000</v>
      </c>
      <c r="O137" s="6">
        <v>0</v>
      </c>
      <c r="P137" s="6">
        <v>660000</v>
      </c>
      <c r="Q137" s="6">
        <v>200000</v>
      </c>
      <c r="R137" s="6">
        <v>1200000</v>
      </c>
      <c r="S137" s="6">
        <v>0</v>
      </c>
      <c r="T137" s="6">
        <v>0.55000000000000004</v>
      </c>
      <c r="U137" s="1" t="s">
        <v>514</v>
      </c>
      <c r="V137" s="1"/>
      <c r="W137" s="1"/>
      <c r="X137" s="9">
        <v>80000</v>
      </c>
      <c r="Y137" s="9">
        <v>352000</v>
      </c>
      <c r="Z137" s="1" t="s">
        <v>22</v>
      </c>
      <c r="AA137" s="1">
        <v>47771</v>
      </c>
      <c r="AB137" t="s">
        <v>39</v>
      </c>
      <c r="AC137" t="e">
        <f>VLOOKUP(U137,Sheet1!$F$1:$F$39,1,FALSE)</f>
        <v>#N/A</v>
      </c>
      <c r="AD137">
        <f t="shared" si="2"/>
        <v>1</v>
      </c>
    </row>
    <row r="138" spans="1:30" ht="270.75" thickBot="1" x14ac:dyDescent="0.3">
      <c r="A138" s="5">
        <v>46310</v>
      </c>
      <c r="B138" s="1">
        <v>5309</v>
      </c>
      <c r="C138" s="1">
        <v>5309050016001600</v>
      </c>
      <c r="D138" s="1" t="s">
        <v>22</v>
      </c>
      <c r="E138" s="1">
        <v>47774</v>
      </c>
      <c r="F138" s="1" t="s">
        <v>515</v>
      </c>
      <c r="G138" s="1" t="s">
        <v>516</v>
      </c>
      <c r="H138" s="1" t="s">
        <v>517</v>
      </c>
      <c r="I138" s="6">
        <v>0</v>
      </c>
      <c r="J138" s="6">
        <v>15000000</v>
      </c>
      <c r="K138" s="6">
        <v>2000000</v>
      </c>
      <c r="L138" s="6">
        <v>0</v>
      </c>
      <c r="M138" s="1">
        <v>17000000</v>
      </c>
      <c r="N138" s="6">
        <v>18800000</v>
      </c>
      <c r="O138" s="6">
        <v>0</v>
      </c>
      <c r="P138" s="6">
        <v>1800000</v>
      </c>
      <c r="Q138" s="6">
        <v>14000000</v>
      </c>
      <c r="R138" s="6">
        <v>3800000</v>
      </c>
      <c r="S138" s="6">
        <v>0.79787200000000003</v>
      </c>
      <c r="T138" s="6">
        <v>0.47368399999999999</v>
      </c>
      <c r="U138" s="1" t="s">
        <v>518</v>
      </c>
      <c r="V138" s="1"/>
      <c r="W138" s="1"/>
      <c r="X138" s="9">
        <v>1368000</v>
      </c>
      <c r="Y138" s="9">
        <v>0</v>
      </c>
      <c r="Z138" s="1" t="s">
        <v>22</v>
      </c>
      <c r="AA138" s="1">
        <v>47774</v>
      </c>
      <c r="AB138" t="s">
        <v>39</v>
      </c>
      <c r="AC138" t="e">
        <f>VLOOKUP(U138,Sheet1!$F$1:$F$39,1,FALSE)</f>
        <v>#N/A</v>
      </c>
      <c r="AD138">
        <f t="shared" si="2"/>
        <v>1</v>
      </c>
    </row>
    <row r="139" spans="1:30" ht="270.75" thickBot="1" x14ac:dyDescent="0.3">
      <c r="A139" s="5">
        <v>46310</v>
      </c>
      <c r="B139" s="1">
        <v>5309</v>
      </c>
      <c r="C139" s="1">
        <v>5309021007000100</v>
      </c>
      <c r="D139" s="1" t="s">
        <v>22</v>
      </c>
      <c r="E139" s="1">
        <v>47901</v>
      </c>
      <c r="F139" s="1" t="s">
        <v>519</v>
      </c>
      <c r="G139" s="1" t="s">
        <v>520</v>
      </c>
      <c r="H139" s="1" t="s">
        <v>521</v>
      </c>
      <c r="I139" s="6">
        <v>0</v>
      </c>
      <c r="J139" s="6">
        <v>0</v>
      </c>
      <c r="K139" s="6">
        <v>50000</v>
      </c>
      <c r="L139" s="6">
        <v>50000</v>
      </c>
      <c r="M139" s="1">
        <v>100000</v>
      </c>
      <c r="N139" s="6">
        <v>127000000</v>
      </c>
      <c r="O139" s="6">
        <v>0</v>
      </c>
      <c r="P139" s="6">
        <v>126950000</v>
      </c>
      <c r="Q139" s="6">
        <v>60000000</v>
      </c>
      <c r="R139" s="6">
        <v>127000000</v>
      </c>
      <c r="S139" s="6">
        <v>0</v>
      </c>
      <c r="T139" s="6">
        <v>0.99960599999999999</v>
      </c>
      <c r="U139" s="1" t="s">
        <v>522</v>
      </c>
      <c r="V139" s="1"/>
      <c r="W139" s="1"/>
      <c r="X139" s="9">
        <v>27940000</v>
      </c>
      <c r="Y139" s="9">
        <v>0</v>
      </c>
      <c r="Z139" s="1" t="s">
        <v>22</v>
      </c>
      <c r="AA139" s="1">
        <v>47901</v>
      </c>
      <c r="AB139" t="s">
        <v>39</v>
      </c>
      <c r="AC139" t="str">
        <f>VLOOKUP(U139,Sheet1!$F$1:$F$39,1,FALSE)</f>
        <v>https://fasih-sm.bps.go.id/app/assignment/fd68e454-ba45-4b85-8205-f3bf777ded24/62577f5b-3bc8-4e5c-9e8f-b4c22bb8babf</v>
      </c>
      <c r="AD139">
        <f t="shared" si="2"/>
        <v>0</v>
      </c>
    </row>
    <row r="140" spans="1:30" ht="270.75" thickBot="1" x14ac:dyDescent="0.3">
      <c r="A140" s="5">
        <v>46310</v>
      </c>
      <c r="B140" s="1">
        <v>5309</v>
      </c>
      <c r="C140" s="1">
        <v>5309061011000200</v>
      </c>
      <c r="D140" s="1" t="s">
        <v>22</v>
      </c>
      <c r="E140" s="1">
        <v>46209</v>
      </c>
      <c r="F140" s="1" t="s">
        <v>523</v>
      </c>
      <c r="G140" s="1" t="s">
        <v>524</v>
      </c>
      <c r="H140" s="1" t="s">
        <v>525</v>
      </c>
      <c r="I140" s="6">
        <v>2500000</v>
      </c>
      <c r="J140" s="6">
        <v>140000000</v>
      </c>
      <c r="K140" s="6">
        <v>4500000</v>
      </c>
      <c r="L140" s="6">
        <v>20000</v>
      </c>
      <c r="M140" s="1">
        <v>151820000</v>
      </c>
      <c r="N140" s="6">
        <v>188000000</v>
      </c>
      <c r="O140" s="6">
        <v>0</v>
      </c>
      <c r="P140" s="6">
        <v>41000000</v>
      </c>
      <c r="Q140" s="6">
        <v>47000000</v>
      </c>
      <c r="R140" s="6">
        <v>48000000</v>
      </c>
      <c r="S140" s="6">
        <v>0.74468100000000004</v>
      </c>
      <c r="T140" s="6">
        <v>0.85416700000000001</v>
      </c>
      <c r="U140" s="1" t="s">
        <v>526</v>
      </c>
      <c r="V140" s="1"/>
      <c r="W140" s="1"/>
      <c r="X140" s="9">
        <v>6788571</v>
      </c>
      <c r="Y140" s="9">
        <v>3771429</v>
      </c>
      <c r="Z140" s="1" t="s">
        <v>22</v>
      </c>
      <c r="AA140" s="1">
        <v>46209</v>
      </c>
      <c r="AB140" t="s">
        <v>39</v>
      </c>
      <c r="AC140" t="e">
        <f>VLOOKUP(U140,Sheet1!$F$1:$F$39,1,FALSE)</f>
        <v>#N/A</v>
      </c>
      <c r="AD140">
        <f t="shared" si="2"/>
        <v>1</v>
      </c>
    </row>
    <row r="141" spans="1:30" ht="270.75" thickBot="1" x14ac:dyDescent="0.3">
      <c r="A141" s="5">
        <v>46310</v>
      </c>
      <c r="B141" s="1">
        <v>5309</v>
      </c>
      <c r="C141" s="1">
        <v>5309010009000200</v>
      </c>
      <c r="D141" s="1" t="s">
        <v>22</v>
      </c>
      <c r="E141" s="1">
        <v>46319</v>
      </c>
      <c r="F141" s="1" t="s">
        <v>527</v>
      </c>
      <c r="G141" s="1" t="s">
        <v>528</v>
      </c>
      <c r="H141" s="1" t="s">
        <v>529</v>
      </c>
      <c r="I141" s="6">
        <v>122000</v>
      </c>
      <c r="J141" s="6">
        <v>3800000</v>
      </c>
      <c r="K141" s="6">
        <v>500000</v>
      </c>
      <c r="L141" s="6">
        <v>0</v>
      </c>
      <c r="M141" s="1">
        <v>5080000</v>
      </c>
      <c r="N141" s="6">
        <v>7852000</v>
      </c>
      <c r="O141" s="6">
        <v>0</v>
      </c>
      <c r="P141" s="6">
        <v>3430000</v>
      </c>
      <c r="Q141" s="6">
        <v>137000000</v>
      </c>
      <c r="R141" s="6">
        <v>4052000</v>
      </c>
      <c r="S141" s="6">
        <v>0.48395300000000002</v>
      </c>
      <c r="T141" s="6">
        <v>0.84649600000000003</v>
      </c>
      <c r="U141" s="1" t="s">
        <v>530</v>
      </c>
      <c r="V141" s="1"/>
      <c r="W141" s="1"/>
      <c r="X141" s="9">
        <v>716592</v>
      </c>
      <c r="Y141" s="9">
        <v>174848</v>
      </c>
      <c r="Z141" s="1" t="s">
        <v>22</v>
      </c>
      <c r="AA141" s="1">
        <v>46319</v>
      </c>
      <c r="AB141" t="s">
        <v>39</v>
      </c>
      <c r="AC141" t="e">
        <f>VLOOKUP(U141,Sheet1!$F$1:$F$39,1,FALSE)</f>
        <v>#N/A</v>
      </c>
      <c r="AD141">
        <f t="shared" si="2"/>
        <v>1</v>
      </c>
    </row>
    <row r="142" spans="1:30" ht="270.75" thickBot="1" x14ac:dyDescent="0.3">
      <c r="A142" s="5">
        <v>46310</v>
      </c>
      <c r="B142" s="1">
        <v>5309</v>
      </c>
      <c r="C142" s="1">
        <v>5309030013001100</v>
      </c>
      <c r="D142" s="1" t="s">
        <v>22</v>
      </c>
      <c r="E142" s="1">
        <v>46633</v>
      </c>
      <c r="F142" s="1" t="s">
        <v>531</v>
      </c>
      <c r="G142" s="1" t="s">
        <v>28</v>
      </c>
      <c r="H142" s="1" t="s">
        <v>532</v>
      </c>
      <c r="I142" s="6">
        <v>0</v>
      </c>
      <c r="J142" s="6">
        <v>1723520000</v>
      </c>
      <c r="K142" s="6">
        <v>550000</v>
      </c>
      <c r="L142" s="6">
        <v>0</v>
      </c>
      <c r="M142" s="1">
        <v>1739570000</v>
      </c>
      <c r="N142" s="6">
        <v>1985000000</v>
      </c>
      <c r="O142" s="6">
        <v>0</v>
      </c>
      <c r="P142" s="6">
        <v>260930000</v>
      </c>
      <c r="Q142" s="6">
        <v>0</v>
      </c>
      <c r="R142" s="6">
        <v>261480000</v>
      </c>
      <c r="S142" s="6">
        <v>0.86827200000000004</v>
      </c>
      <c r="T142" s="6">
        <v>0.99789700000000003</v>
      </c>
      <c r="U142" s="1" t="s">
        <v>533</v>
      </c>
      <c r="V142" s="1"/>
      <c r="W142" s="1"/>
      <c r="X142" s="9">
        <v>57525600</v>
      </c>
      <c r="Y142" s="9">
        <v>0</v>
      </c>
      <c r="Z142" s="1" t="s">
        <v>22</v>
      </c>
      <c r="AA142" s="1">
        <v>46633</v>
      </c>
      <c r="AB142" t="s">
        <v>39</v>
      </c>
      <c r="AC142" t="e">
        <f>VLOOKUP(U142,Sheet1!$F$1:$F$39,1,FALSE)</f>
        <v>#N/A</v>
      </c>
      <c r="AD142">
        <f t="shared" si="2"/>
        <v>1</v>
      </c>
    </row>
    <row r="143" spans="1:30" ht="270.75" thickBot="1" x14ac:dyDescent="0.3">
      <c r="A143" s="5">
        <v>46310</v>
      </c>
      <c r="B143" s="1">
        <v>5309</v>
      </c>
      <c r="C143" s="1">
        <v>5309071009001300</v>
      </c>
      <c r="D143" s="1" t="s">
        <v>22</v>
      </c>
      <c r="E143" s="1">
        <v>47111</v>
      </c>
      <c r="F143" s="1" t="s">
        <v>534</v>
      </c>
      <c r="G143" s="1" t="s">
        <v>535</v>
      </c>
      <c r="H143" s="1" t="s">
        <v>33</v>
      </c>
      <c r="I143" s="6">
        <v>1500000</v>
      </c>
      <c r="J143" s="6">
        <v>144000000</v>
      </c>
      <c r="K143" s="6">
        <v>3500000</v>
      </c>
      <c r="L143" s="6">
        <v>0</v>
      </c>
      <c r="M143" s="1">
        <v>149000000</v>
      </c>
      <c r="N143" s="6">
        <v>228000000</v>
      </c>
      <c r="O143" s="6">
        <v>0</v>
      </c>
      <c r="P143" s="6">
        <v>79000000</v>
      </c>
      <c r="Q143" s="6">
        <v>135000000</v>
      </c>
      <c r="R143" s="6">
        <v>84000000</v>
      </c>
      <c r="S143" s="6">
        <v>0.631579</v>
      </c>
      <c r="T143" s="6">
        <v>0.94047599999999998</v>
      </c>
      <c r="U143" s="1" t="s">
        <v>536</v>
      </c>
      <c r="V143" s="1"/>
      <c r="W143" s="1"/>
      <c r="X143" s="9">
        <v>12936000</v>
      </c>
      <c r="Y143" s="9">
        <v>5544000</v>
      </c>
      <c r="Z143" s="1" t="s">
        <v>22</v>
      </c>
      <c r="AA143" s="1">
        <v>47111</v>
      </c>
      <c r="AB143" t="s">
        <v>39</v>
      </c>
      <c r="AC143" t="e">
        <f>VLOOKUP(U143,Sheet1!$F$1:$F$39,1,FALSE)</f>
        <v>#N/A</v>
      </c>
      <c r="AD143">
        <f t="shared" si="2"/>
        <v>1</v>
      </c>
    </row>
    <row r="144" spans="1:30" ht="270.75" thickBot="1" x14ac:dyDescent="0.3">
      <c r="A144" s="5">
        <v>46310</v>
      </c>
      <c r="B144" s="1">
        <v>5309</v>
      </c>
      <c r="C144" s="1">
        <v>5309070015100100</v>
      </c>
      <c r="D144" s="1" t="s">
        <v>22</v>
      </c>
      <c r="E144" s="1">
        <v>47111</v>
      </c>
      <c r="F144" s="1" t="s">
        <v>537</v>
      </c>
      <c r="G144" s="1" t="s">
        <v>538</v>
      </c>
      <c r="H144" s="1" t="s">
        <v>539</v>
      </c>
      <c r="I144" s="6">
        <v>100000</v>
      </c>
      <c r="J144" s="6">
        <v>14400000</v>
      </c>
      <c r="K144" s="6">
        <v>200000</v>
      </c>
      <c r="L144" s="6">
        <v>0</v>
      </c>
      <c r="M144" s="1">
        <v>600000</v>
      </c>
      <c r="N144" s="6">
        <v>27000000</v>
      </c>
      <c r="O144" s="6">
        <v>0</v>
      </c>
      <c r="P144" s="6">
        <v>12300000</v>
      </c>
      <c r="Q144" s="6">
        <v>700000</v>
      </c>
      <c r="R144" s="6">
        <v>12600000</v>
      </c>
      <c r="S144" s="6">
        <v>0.53333299999999995</v>
      </c>
      <c r="T144" s="6">
        <v>0.97619</v>
      </c>
      <c r="U144" s="1" t="s">
        <v>540</v>
      </c>
      <c r="V144" s="1"/>
      <c r="W144" s="1"/>
      <c r="X144" s="9">
        <v>1848000</v>
      </c>
      <c r="Y144" s="9">
        <v>924000</v>
      </c>
      <c r="Z144" s="1" t="s">
        <v>22</v>
      </c>
      <c r="AA144" s="1">
        <v>47111</v>
      </c>
      <c r="AB144" t="s">
        <v>39</v>
      </c>
      <c r="AC144" t="str">
        <f>VLOOKUP(U144,Sheet1!$F$1:$F$39,1,FALSE)</f>
        <v>https://fasih-sm.bps.go.id/app/assignment/fd68e454-ba45-4b85-8205-f3bf777ded24/e6bc22a2-ae70-406a-9938-d713b598817d</v>
      </c>
      <c r="AD144">
        <f t="shared" si="2"/>
        <v>0</v>
      </c>
    </row>
    <row r="145" spans="1:30" ht="270.75" thickBot="1" x14ac:dyDescent="0.3">
      <c r="A145" s="5">
        <v>46310</v>
      </c>
      <c r="B145" s="1">
        <v>5309</v>
      </c>
      <c r="C145" s="1">
        <v>5309070015000200</v>
      </c>
      <c r="D145" s="1" t="s">
        <v>22</v>
      </c>
      <c r="E145" s="1">
        <v>47111</v>
      </c>
      <c r="F145" s="1" t="s">
        <v>541</v>
      </c>
      <c r="G145" s="1" t="s">
        <v>542</v>
      </c>
      <c r="H145" s="1" t="s">
        <v>543</v>
      </c>
      <c r="I145" s="6">
        <v>50000</v>
      </c>
      <c r="J145" s="6">
        <v>28000000</v>
      </c>
      <c r="K145" s="6">
        <v>300000</v>
      </c>
      <c r="L145" s="6">
        <v>0</v>
      </c>
      <c r="M145" s="1">
        <v>28350000</v>
      </c>
      <c r="N145" s="6">
        <v>45000000</v>
      </c>
      <c r="O145" s="6">
        <v>0</v>
      </c>
      <c r="P145" s="6">
        <v>16650000</v>
      </c>
      <c r="Q145" s="6">
        <v>3100000</v>
      </c>
      <c r="R145" s="6">
        <v>17000000</v>
      </c>
      <c r="S145" s="6">
        <v>0.62222200000000005</v>
      </c>
      <c r="T145" s="6">
        <v>0.97941199999999995</v>
      </c>
      <c r="U145" s="1" t="s">
        <v>544</v>
      </c>
      <c r="V145" s="1"/>
      <c r="W145" s="1"/>
      <c r="X145" s="9">
        <v>3205714</v>
      </c>
      <c r="Y145" s="9">
        <v>534286</v>
      </c>
      <c r="Z145" s="1" t="s">
        <v>22</v>
      </c>
      <c r="AA145" s="1">
        <v>47111</v>
      </c>
      <c r="AB145" t="s">
        <v>39</v>
      </c>
      <c r="AC145" t="e">
        <f>VLOOKUP(U145,Sheet1!$F$1:$F$39,1,FALSE)</f>
        <v>#N/A</v>
      </c>
      <c r="AD145">
        <f t="shared" si="2"/>
        <v>1</v>
      </c>
    </row>
    <row r="146" spans="1:30" ht="270.75" thickBot="1" x14ac:dyDescent="0.3">
      <c r="A146" s="5">
        <v>46310</v>
      </c>
      <c r="B146" s="1">
        <v>5309</v>
      </c>
      <c r="C146" s="1"/>
      <c r="D146" s="1" t="s">
        <v>22</v>
      </c>
      <c r="E146" s="1">
        <v>47112</v>
      </c>
      <c r="F146" s="7" t="s">
        <v>545</v>
      </c>
      <c r="G146" s="1"/>
      <c r="H146" s="1"/>
      <c r="I146" s="6">
        <v>0</v>
      </c>
      <c r="J146" s="6">
        <v>300000000</v>
      </c>
      <c r="K146" s="6">
        <v>26900000</v>
      </c>
      <c r="L146" s="6">
        <v>0</v>
      </c>
      <c r="M146" s="1"/>
      <c r="N146" s="6">
        <v>625000000</v>
      </c>
      <c r="O146" s="6">
        <v>0</v>
      </c>
      <c r="P146" s="6">
        <v>298100000</v>
      </c>
      <c r="Q146" s="6">
        <v>380000000</v>
      </c>
      <c r="R146" s="6">
        <v>325000000</v>
      </c>
      <c r="S146" s="6">
        <v>0.48</v>
      </c>
      <c r="T146" s="6">
        <v>0.91723100000000002</v>
      </c>
      <c r="U146" s="1" t="s">
        <v>546</v>
      </c>
      <c r="V146" s="1"/>
      <c r="W146" s="1"/>
      <c r="X146" s="9">
        <v>71500000</v>
      </c>
      <c r="Y146" s="9">
        <v>0</v>
      </c>
      <c r="Z146" s="1" t="s">
        <v>22</v>
      </c>
      <c r="AA146" s="1">
        <v>47112</v>
      </c>
      <c r="AB146" t="s">
        <v>39</v>
      </c>
      <c r="AC146" t="str">
        <f>VLOOKUP(U146,Sheet1!$F$1:$F$39,1,FALSE)</f>
        <v>https://fasih-sm.bps.go.id/app/assignment/fd68e454-ba45-4b85-8205-f3bf777ded24/120f458c-61b4-4f31-9c2e-1f1e444b6302</v>
      </c>
      <c r="AD146">
        <f t="shared" si="2"/>
        <v>0</v>
      </c>
    </row>
    <row r="147" spans="1:30" ht="270.75" thickBot="1" x14ac:dyDescent="0.3">
      <c r="A147" s="5">
        <v>46310</v>
      </c>
      <c r="B147" s="1">
        <v>5309</v>
      </c>
      <c r="C147" s="1">
        <v>5309041007001000</v>
      </c>
      <c r="D147" s="1" t="s">
        <v>22</v>
      </c>
      <c r="E147" s="1">
        <v>47112</v>
      </c>
      <c r="F147" s="1" t="s">
        <v>547</v>
      </c>
      <c r="G147" s="1" t="s">
        <v>384</v>
      </c>
      <c r="H147" s="1" t="s">
        <v>548</v>
      </c>
      <c r="I147" s="6">
        <v>500000</v>
      </c>
      <c r="J147" s="6">
        <v>0</v>
      </c>
      <c r="K147" s="6">
        <v>1000000</v>
      </c>
      <c r="L147" s="6">
        <v>0</v>
      </c>
      <c r="M147" s="1">
        <v>1500000</v>
      </c>
      <c r="N147" s="6">
        <v>4000000</v>
      </c>
      <c r="O147" s="6">
        <v>0</v>
      </c>
      <c r="P147" s="6">
        <v>2500000</v>
      </c>
      <c r="Q147" s="6">
        <v>1500000</v>
      </c>
      <c r="R147" s="6">
        <v>4000000</v>
      </c>
      <c r="S147" s="6">
        <v>0</v>
      </c>
      <c r="T147" s="6">
        <v>0.625</v>
      </c>
      <c r="U147" s="1" t="s">
        <v>549</v>
      </c>
      <c r="V147" s="1"/>
      <c r="W147" s="1"/>
      <c r="X147" s="9">
        <v>960000</v>
      </c>
      <c r="Y147" s="9">
        <v>480000</v>
      </c>
      <c r="Z147" s="1" t="s">
        <v>22</v>
      </c>
      <c r="AA147" s="1">
        <v>47112</v>
      </c>
      <c r="AB147" t="s">
        <v>39</v>
      </c>
      <c r="AC147" t="e">
        <f>VLOOKUP(U147,Sheet1!$F$1:$F$39,1,FALSE)</f>
        <v>#N/A</v>
      </c>
      <c r="AD147">
        <f t="shared" si="2"/>
        <v>1</v>
      </c>
    </row>
    <row r="148" spans="1:30" ht="270.75" thickBot="1" x14ac:dyDescent="0.3">
      <c r="A148" s="5">
        <v>46310</v>
      </c>
      <c r="B148" s="1">
        <v>5309</v>
      </c>
      <c r="C148" s="1">
        <v>5309030014000600</v>
      </c>
      <c r="D148" s="1" t="s">
        <v>22</v>
      </c>
      <c r="E148" s="1">
        <v>47112</v>
      </c>
      <c r="F148" s="1" t="s">
        <v>551</v>
      </c>
      <c r="G148" s="1" t="s">
        <v>552</v>
      </c>
      <c r="H148" s="1" t="s">
        <v>553</v>
      </c>
      <c r="I148" s="6">
        <v>200000</v>
      </c>
      <c r="J148" s="6">
        <v>600000</v>
      </c>
      <c r="K148" s="6">
        <v>0</v>
      </c>
      <c r="L148" s="6">
        <v>0</v>
      </c>
      <c r="M148" s="1">
        <v>800000</v>
      </c>
      <c r="N148" s="6">
        <v>2500000</v>
      </c>
      <c r="O148" s="6">
        <v>0</v>
      </c>
      <c r="P148" s="6">
        <v>1700000</v>
      </c>
      <c r="Q148" s="6">
        <v>0</v>
      </c>
      <c r="R148" s="6">
        <v>1900000</v>
      </c>
      <c r="S148" s="6">
        <v>0.24</v>
      </c>
      <c r="T148" s="6">
        <v>0.894737</v>
      </c>
      <c r="U148" s="1" t="s">
        <v>554</v>
      </c>
      <c r="V148" s="1"/>
      <c r="W148" s="1"/>
      <c r="X148" s="9">
        <v>0</v>
      </c>
      <c r="Y148" s="9">
        <v>418000</v>
      </c>
      <c r="Z148" s="1" t="s">
        <v>22</v>
      </c>
      <c r="AA148" s="1">
        <v>47112</v>
      </c>
      <c r="AB148" t="s">
        <v>39</v>
      </c>
      <c r="AC148" t="e">
        <f>VLOOKUP(U148,Sheet1!$F$1:$F$39,1,FALSE)</f>
        <v>#N/A</v>
      </c>
      <c r="AD148">
        <f t="shared" si="2"/>
        <v>1</v>
      </c>
    </row>
    <row r="149" spans="1:30" ht="270.75" thickBot="1" x14ac:dyDescent="0.3">
      <c r="A149" s="5">
        <v>46310</v>
      </c>
      <c r="B149" s="1">
        <v>5309</v>
      </c>
      <c r="C149" s="1">
        <v>5309070006001600</v>
      </c>
      <c r="D149" s="1" t="s">
        <v>22</v>
      </c>
      <c r="E149" s="1">
        <v>47112</v>
      </c>
      <c r="F149" s="1" t="s">
        <v>555</v>
      </c>
      <c r="G149" s="1" t="s">
        <v>556</v>
      </c>
      <c r="H149" s="1" t="s">
        <v>557</v>
      </c>
      <c r="I149" s="6">
        <v>1750000</v>
      </c>
      <c r="J149" s="6">
        <v>144000000</v>
      </c>
      <c r="K149" s="6">
        <v>1560000</v>
      </c>
      <c r="L149" s="6">
        <v>0</v>
      </c>
      <c r="M149" s="1">
        <v>147310000</v>
      </c>
      <c r="N149" s="6">
        <v>180000000</v>
      </c>
      <c r="O149" s="6">
        <v>0</v>
      </c>
      <c r="P149" s="6">
        <v>32690000</v>
      </c>
      <c r="Q149" s="6">
        <v>45000000</v>
      </c>
      <c r="R149" s="6">
        <v>36000000</v>
      </c>
      <c r="S149" s="6">
        <v>0.8</v>
      </c>
      <c r="T149" s="6">
        <v>0.90805599999999997</v>
      </c>
      <c r="U149" s="1" t="s">
        <v>558</v>
      </c>
      <c r="V149" s="1"/>
      <c r="W149" s="1"/>
      <c r="X149" s="9">
        <v>3732689</v>
      </c>
      <c r="Y149" s="9">
        <v>4187311</v>
      </c>
      <c r="Z149" s="1" t="s">
        <v>22</v>
      </c>
      <c r="AA149" s="1">
        <v>47112</v>
      </c>
      <c r="AB149" t="s">
        <v>39</v>
      </c>
      <c r="AC149" t="e">
        <f>VLOOKUP(U149,Sheet1!$F$1:$F$39,1,FALSE)</f>
        <v>#N/A</v>
      </c>
      <c r="AD149">
        <f t="shared" si="2"/>
        <v>1</v>
      </c>
    </row>
    <row r="150" spans="1:30" ht="270.75" thickBot="1" x14ac:dyDescent="0.3">
      <c r="A150" s="5">
        <v>46310</v>
      </c>
      <c r="B150" s="1">
        <v>5309</v>
      </c>
      <c r="C150" s="1">
        <v>5309062002000900</v>
      </c>
      <c r="D150" s="1" t="s">
        <v>22</v>
      </c>
      <c r="E150" s="1">
        <v>47112</v>
      </c>
      <c r="F150" s="1" t="s">
        <v>89</v>
      </c>
      <c r="G150" s="1" t="s">
        <v>138</v>
      </c>
      <c r="H150" s="1" t="s">
        <v>559</v>
      </c>
      <c r="I150" s="6">
        <v>100000</v>
      </c>
      <c r="J150" s="6">
        <v>1000000</v>
      </c>
      <c r="K150" s="6">
        <v>500000</v>
      </c>
      <c r="L150" s="6">
        <v>0</v>
      </c>
      <c r="M150" s="1">
        <v>400000</v>
      </c>
      <c r="N150" s="6">
        <v>6000000</v>
      </c>
      <c r="O150" s="6">
        <v>0</v>
      </c>
      <c r="P150" s="6">
        <v>4400000</v>
      </c>
      <c r="Q150" s="6">
        <v>4200000</v>
      </c>
      <c r="R150" s="6">
        <v>5000000</v>
      </c>
      <c r="S150" s="6">
        <v>0.16666700000000001</v>
      </c>
      <c r="T150" s="6">
        <v>0.88</v>
      </c>
      <c r="U150" s="1" t="s">
        <v>560</v>
      </c>
      <c r="V150" s="1"/>
      <c r="W150" s="1"/>
      <c r="X150" s="9">
        <v>916667</v>
      </c>
      <c r="Y150" s="9">
        <v>183333</v>
      </c>
      <c r="Z150" s="1" t="s">
        <v>22</v>
      </c>
      <c r="AA150" s="1">
        <v>47112</v>
      </c>
      <c r="AB150" t="s">
        <v>39</v>
      </c>
      <c r="AC150" t="e">
        <f>VLOOKUP(U150,Sheet1!$F$1:$F$39,1,FALSE)</f>
        <v>#N/A</v>
      </c>
      <c r="AD150">
        <f t="shared" si="2"/>
        <v>1</v>
      </c>
    </row>
    <row r="151" spans="1:30" ht="270.75" thickBot="1" x14ac:dyDescent="0.3">
      <c r="A151" s="5">
        <v>46310</v>
      </c>
      <c r="B151" s="1">
        <v>5309</v>
      </c>
      <c r="C151" s="1">
        <v>5309030014000800</v>
      </c>
      <c r="D151" s="1" t="s">
        <v>22</v>
      </c>
      <c r="E151" s="1">
        <v>47112</v>
      </c>
      <c r="F151" s="1" t="s">
        <v>561</v>
      </c>
      <c r="G151" s="1" t="s">
        <v>24</v>
      </c>
      <c r="H151" s="1" t="s">
        <v>562</v>
      </c>
      <c r="I151" s="6">
        <v>3000000</v>
      </c>
      <c r="J151" s="6">
        <v>0</v>
      </c>
      <c r="K151" s="6">
        <v>0</v>
      </c>
      <c r="L151" s="6">
        <v>0</v>
      </c>
      <c r="M151" s="1">
        <v>3000000</v>
      </c>
      <c r="N151" s="6">
        <v>7000000</v>
      </c>
      <c r="O151" s="6">
        <v>0</v>
      </c>
      <c r="P151" s="6">
        <v>4000000</v>
      </c>
      <c r="Q151" s="6">
        <v>0</v>
      </c>
      <c r="R151" s="6">
        <v>7000000</v>
      </c>
      <c r="S151" s="6">
        <v>0</v>
      </c>
      <c r="T151" s="6">
        <v>0.57142899999999996</v>
      </c>
      <c r="U151" s="1" t="s">
        <v>563</v>
      </c>
      <c r="V151" s="1"/>
      <c r="W151" s="1"/>
      <c r="X151" s="9">
        <v>0</v>
      </c>
      <c r="Y151" s="9">
        <v>2520000</v>
      </c>
      <c r="Z151" s="1" t="s">
        <v>22</v>
      </c>
      <c r="AA151" s="1">
        <v>47112</v>
      </c>
      <c r="AB151" t="s">
        <v>39</v>
      </c>
      <c r="AC151" t="e">
        <f>VLOOKUP(U151,Sheet1!$F$1:$F$39,1,FALSE)</f>
        <v>#N/A</v>
      </c>
      <c r="AD151">
        <f t="shared" si="2"/>
        <v>1</v>
      </c>
    </row>
    <row r="152" spans="1:30" ht="270.75" thickBot="1" x14ac:dyDescent="0.3">
      <c r="A152" s="5">
        <v>46310</v>
      </c>
      <c r="B152" s="1">
        <v>5309</v>
      </c>
      <c r="C152" s="1">
        <v>5309072009000900</v>
      </c>
      <c r="D152" s="1" t="s">
        <v>22</v>
      </c>
      <c r="E152" s="1">
        <v>47112</v>
      </c>
      <c r="F152" s="1" t="s">
        <v>564</v>
      </c>
      <c r="G152" s="1" t="s">
        <v>24</v>
      </c>
      <c r="H152" s="1" t="s">
        <v>565</v>
      </c>
      <c r="I152" s="6">
        <v>120000</v>
      </c>
      <c r="J152" s="6">
        <v>5000000</v>
      </c>
      <c r="K152" s="6">
        <v>200000</v>
      </c>
      <c r="L152" s="6">
        <v>18000</v>
      </c>
      <c r="M152" s="1">
        <v>5338000</v>
      </c>
      <c r="N152" s="6">
        <v>8000000</v>
      </c>
      <c r="O152" s="6">
        <v>0</v>
      </c>
      <c r="P152" s="6">
        <v>2680000</v>
      </c>
      <c r="Q152" s="6">
        <v>25000000</v>
      </c>
      <c r="R152" s="6">
        <v>3000000</v>
      </c>
      <c r="S152" s="6">
        <v>0.625</v>
      </c>
      <c r="T152" s="6">
        <v>0.89333300000000004</v>
      </c>
      <c r="U152" s="1" t="s">
        <v>566</v>
      </c>
      <c r="V152" s="1"/>
      <c r="W152" s="1"/>
      <c r="X152" s="9">
        <v>412500</v>
      </c>
      <c r="Y152" s="9">
        <v>247500</v>
      </c>
      <c r="Z152" s="1" t="s">
        <v>22</v>
      </c>
      <c r="AA152" s="1">
        <v>47112</v>
      </c>
      <c r="AB152" t="s">
        <v>39</v>
      </c>
      <c r="AC152" t="e">
        <f>VLOOKUP(U152,Sheet1!$F$1:$F$39,1,FALSE)</f>
        <v>#N/A</v>
      </c>
      <c r="AD152">
        <f t="shared" si="2"/>
        <v>1</v>
      </c>
    </row>
    <row r="153" spans="1:30" ht="270.75" thickBot="1" x14ac:dyDescent="0.3">
      <c r="A153" s="5">
        <v>46310</v>
      </c>
      <c r="B153" s="1">
        <v>5309</v>
      </c>
      <c r="C153" s="1">
        <v>5309050019000200</v>
      </c>
      <c r="D153" s="1" t="s">
        <v>22</v>
      </c>
      <c r="E153" s="1">
        <v>47112</v>
      </c>
      <c r="F153" s="1" t="s">
        <v>567</v>
      </c>
      <c r="G153" s="1" t="s">
        <v>24</v>
      </c>
      <c r="H153" s="1" t="s">
        <v>31</v>
      </c>
      <c r="I153" s="6">
        <v>0</v>
      </c>
      <c r="J153" s="6">
        <v>250000000</v>
      </c>
      <c r="K153" s="6">
        <v>2500000</v>
      </c>
      <c r="L153" s="6">
        <v>1500000</v>
      </c>
      <c r="M153" s="1">
        <v>259000000</v>
      </c>
      <c r="N153" s="6">
        <v>480000000</v>
      </c>
      <c r="O153" s="6">
        <v>0</v>
      </c>
      <c r="P153" s="6">
        <v>227500000</v>
      </c>
      <c r="Q153" s="6">
        <v>8000000</v>
      </c>
      <c r="R153" s="6">
        <v>230000000</v>
      </c>
      <c r="S153" s="6">
        <v>0.52083299999999999</v>
      </c>
      <c r="T153" s="6">
        <v>0.98912999999999995</v>
      </c>
      <c r="U153" s="1" t="s">
        <v>568</v>
      </c>
      <c r="V153" s="1"/>
      <c r="W153" s="1"/>
      <c r="X153" s="9">
        <v>50600000</v>
      </c>
      <c r="Y153" s="9">
        <v>0</v>
      </c>
      <c r="Z153" s="1" t="s">
        <v>22</v>
      </c>
      <c r="AA153" s="1">
        <v>47112</v>
      </c>
      <c r="AB153" t="s">
        <v>39</v>
      </c>
      <c r="AC153" t="e">
        <f>VLOOKUP(U153,Sheet1!$F$1:$F$39,1,FALSE)</f>
        <v>#N/A</v>
      </c>
      <c r="AD153">
        <f t="shared" si="2"/>
        <v>1</v>
      </c>
    </row>
    <row r="154" spans="1:30" ht="270.75" thickBot="1" x14ac:dyDescent="0.3">
      <c r="A154" s="5">
        <v>46310</v>
      </c>
      <c r="B154" s="1">
        <v>5309</v>
      </c>
      <c r="C154" s="1">
        <v>5309050017000300</v>
      </c>
      <c r="D154" s="1" t="s">
        <v>22</v>
      </c>
      <c r="E154" s="1">
        <v>47112</v>
      </c>
      <c r="F154" s="1" t="s">
        <v>570</v>
      </c>
      <c r="G154" s="1" t="s">
        <v>161</v>
      </c>
      <c r="H154" s="1" t="s">
        <v>571</v>
      </c>
      <c r="I154" s="6">
        <v>200000</v>
      </c>
      <c r="J154" s="6">
        <v>4000000</v>
      </c>
      <c r="K154" s="6">
        <v>0</v>
      </c>
      <c r="L154" s="6">
        <v>500000</v>
      </c>
      <c r="M154" s="1">
        <v>1600000</v>
      </c>
      <c r="N154" s="6">
        <v>6000000</v>
      </c>
      <c r="O154" s="6">
        <v>0</v>
      </c>
      <c r="P154" s="6">
        <v>1800000</v>
      </c>
      <c r="Q154" s="6">
        <v>0</v>
      </c>
      <c r="R154" s="6">
        <v>2000000</v>
      </c>
      <c r="S154" s="6">
        <v>0.66666700000000001</v>
      </c>
      <c r="T154" s="6">
        <v>0.9</v>
      </c>
      <c r="U154" s="1" t="s">
        <v>572</v>
      </c>
      <c r="V154" s="1"/>
      <c r="W154" s="1"/>
      <c r="X154" s="9">
        <v>0</v>
      </c>
      <c r="Y154" s="9">
        <v>440000</v>
      </c>
      <c r="Z154" s="1" t="s">
        <v>22</v>
      </c>
      <c r="AA154" s="1">
        <v>47112</v>
      </c>
      <c r="AB154" t="s">
        <v>39</v>
      </c>
      <c r="AC154" t="e">
        <f>VLOOKUP(U154,Sheet1!$F$1:$F$39,1,FALSE)</f>
        <v>#N/A</v>
      </c>
      <c r="AD154">
        <f t="shared" si="2"/>
        <v>1</v>
      </c>
    </row>
    <row r="155" spans="1:30" ht="255.75" thickBot="1" x14ac:dyDescent="0.3">
      <c r="A155" s="5">
        <v>46310</v>
      </c>
      <c r="B155" s="1">
        <v>5309</v>
      </c>
      <c r="C155" s="1">
        <v>5309030011000500</v>
      </c>
      <c r="D155" s="1" t="s">
        <v>22</v>
      </c>
      <c r="E155" s="1">
        <v>47112</v>
      </c>
      <c r="F155" s="1" t="s">
        <v>573</v>
      </c>
      <c r="G155" s="1" t="s">
        <v>24</v>
      </c>
      <c r="H155" s="1" t="s">
        <v>29</v>
      </c>
      <c r="I155" s="6">
        <v>8750000</v>
      </c>
      <c r="J155" s="6">
        <v>7750000</v>
      </c>
      <c r="K155" s="6">
        <v>1000000</v>
      </c>
      <c r="L155" s="6">
        <v>350000</v>
      </c>
      <c r="M155" s="1">
        <v>17850000</v>
      </c>
      <c r="N155" s="6">
        <v>21670000</v>
      </c>
      <c r="O155" s="6">
        <v>0</v>
      </c>
      <c r="P155" s="6">
        <v>4170000</v>
      </c>
      <c r="Q155" s="6">
        <v>7200001</v>
      </c>
      <c r="R155" s="6">
        <v>13920000</v>
      </c>
      <c r="S155" s="6">
        <v>0.35763699999999998</v>
      </c>
      <c r="T155" s="6">
        <v>0.29956899999999997</v>
      </c>
      <c r="U155" s="1" t="s">
        <v>574</v>
      </c>
      <c r="V155" s="1"/>
      <c r="W155" s="1"/>
      <c r="X155" s="9">
        <v>513969</v>
      </c>
      <c r="Y155" s="9">
        <v>4497231</v>
      </c>
      <c r="Z155" s="1" t="s">
        <v>22</v>
      </c>
      <c r="AA155" s="1">
        <v>47112</v>
      </c>
      <c r="AB155" t="s">
        <v>39</v>
      </c>
      <c r="AC155" t="e">
        <f>VLOOKUP(U155,Sheet1!$F$1:$F$39,1,FALSE)</f>
        <v>#N/A</v>
      </c>
      <c r="AD155">
        <f t="shared" si="2"/>
        <v>1</v>
      </c>
    </row>
    <row r="156" spans="1:30" ht="270.75" thickBot="1" x14ac:dyDescent="0.3">
      <c r="A156" s="5">
        <v>46310</v>
      </c>
      <c r="B156" s="1">
        <v>5309</v>
      </c>
      <c r="C156" s="1">
        <v>5309031004000100</v>
      </c>
      <c r="D156" s="1" t="s">
        <v>22</v>
      </c>
      <c r="E156" s="1">
        <v>47112</v>
      </c>
      <c r="F156" s="1" t="s">
        <v>575</v>
      </c>
      <c r="G156" s="1" t="s">
        <v>576</v>
      </c>
      <c r="H156" s="1" t="s">
        <v>577</v>
      </c>
      <c r="I156" s="6">
        <v>360000</v>
      </c>
      <c r="J156" s="6">
        <v>130000000</v>
      </c>
      <c r="K156" s="6">
        <v>360000</v>
      </c>
      <c r="L156" s="6">
        <v>5000</v>
      </c>
      <c r="M156" s="1">
        <v>255000</v>
      </c>
      <c r="N156" s="6">
        <v>156000000</v>
      </c>
      <c r="O156" s="6">
        <v>0</v>
      </c>
      <c r="P156" s="6">
        <v>25280000</v>
      </c>
      <c r="Q156" s="6">
        <v>55000000</v>
      </c>
      <c r="R156" s="6">
        <v>26000000</v>
      </c>
      <c r="S156" s="6">
        <v>0.83333299999999999</v>
      </c>
      <c r="T156" s="6">
        <v>0.97230799999999995</v>
      </c>
      <c r="U156" s="1" t="s">
        <v>578</v>
      </c>
      <c r="V156" s="1"/>
      <c r="W156" s="1"/>
      <c r="X156" s="9">
        <v>2860000</v>
      </c>
      <c r="Y156" s="9">
        <v>2860000</v>
      </c>
      <c r="Z156" s="1" t="s">
        <v>22</v>
      </c>
      <c r="AA156" s="1">
        <v>47112</v>
      </c>
      <c r="AB156" t="s">
        <v>39</v>
      </c>
      <c r="AC156" t="e">
        <f>VLOOKUP(U156,Sheet1!$F$1:$F$39,1,FALSE)</f>
        <v>#N/A</v>
      </c>
      <c r="AD156">
        <f t="shared" si="2"/>
        <v>1</v>
      </c>
    </row>
    <row r="157" spans="1:30" ht="270.75" thickBot="1" x14ac:dyDescent="0.3">
      <c r="A157" s="5">
        <v>46310</v>
      </c>
      <c r="B157" s="1">
        <v>5309</v>
      </c>
      <c r="C157" s="1">
        <v>5309071016000600</v>
      </c>
      <c r="D157" s="1" t="s">
        <v>22</v>
      </c>
      <c r="E157" s="1">
        <v>47112</v>
      </c>
      <c r="F157" s="1" t="s">
        <v>579</v>
      </c>
      <c r="G157" s="1" t="s">
        <v>580</v>
      </c>
      <c r="H157" s="1" t="s">
        <v>581</v>
      </c>
      <c r="I157" s="6">
        <v>0</v>
      </c>
      <c r="J157" s="6">
        <v>192000000</v>
      </c>
      <c r="K157" s="6">
        <v>10200000</v>
      </c>
      <c r="L157" s="6">
        <v>0</v>
      </c>
      <c r="M157" s="1">
        <v>16850000</v>
      </c>
      <c r="N157" s="6">
        <v>288000000</v>
      </c>
      <c r="O157" s="6">
        <v>0</v>
      </c>
      <c r="P157" s="6">
        <v>85800000</v>
      </c>
      <c r="Q157" s="6">
        <v>0</v>
      </c>
      <c r="R157" s="6">
        <v>96000000</v>
      </c>
      <c r="S157" s="6">
        <v>0.66666700000000001</v>
      </c>
      <c r="T157" s="6">
        <v>0.89375000000000004</v>
      </c>
      <c r="U157" s="1" t="s">
        <v>582</v>
      </c>
      <c r="V157" s="1"/>
      <c r="W157" s="1"/>
      <c r="X157" s="9">
        <v>21120000</v>
      </c>
      <c r="Y157" s="9">
        <v>0</v>
      </c>
      <c r="Z157" s="1" t="s">
        <v>22</v>
      </c>
      <c r="AA157" s="1">
        <v>47112</v>
      </c>
      <c r="AB157" t="s">
        <v>39</v>
      </c>
      <c r="AC157" t="e">
        <f>VLOOKUP(U157,Sheet1!$F$1:$F$39,1,FALSE)</f>
        <v>#N/A</v>
      </c>
      <c r="AD157">
        <f t="shared" si="2"/>
        <v>1</v>
      </c>
    </row>
    <row r="158" spans="1:30" ht="270.75" thickBot="1" x14ac:dyDescent="0.3">
      <c r="A158" s="5">
        <v>46310</v>
      </c>
      <c r="B158" s="1">
        <v>5309</v>
      </c>
      <c r="C158" s="1">
        <v>5309050004000500</v>
      </c>
      <c r="D158" s="1" t="s">
        <v>22</v>
      </c>
      <c r="E158" s="1">
        <v>47112</v>
      </c>
      <c r="F158" s="1" t="s">
        <v>584</v>
      </c>
      <c r="G158" s="1" t="s">
        <v>535</v>
      </c>
      <c r="H158" s="1" t="s">
        <v>29</v>
      </c>
      <c r="I158" s="6">
        <v>0</v>
      </c>
      <c r="J158" s="6">
        <v>5000000</v>
      </c>
      <c r="K158" s="6">
        <v>150000</v>
      </c>
      <c r="L158" s="6">
        <v>0</v>
      </c>
      <c r="M158" s="1">
        <v>5150000</v>
      </c>
      <c r="N158" s="6">
        <v>10000000</v>
      </c>
      <c r="O158" s="6">
        <v>0</v>
      </c>
      <c r="P158" s="6">
        <v>4850000</v>
      </c>
      <c r="Q158" s="6">
        <v>1800000</v>
      </c>
      <c r="R158" s="6">
        <v>5000000</v>
      </c>
      <c r="S158" s="6">
        <v>0.5</v>
      </c>
      <c r="T158" s="6">
        <v>0.97</v>
      </c>
      <c r="U158" s="1" t="s">
        <v>585</v>
      </c>
      <c r="V158" s="1"/>
      <c r="W158" s="1"/>
      <c r="X158" s="9">
        <v>1100000</v>
      </c>
      <c r="Y158" s="9">
        <v>0</v>
      </c>
      <c r="Z158" s="1" t="s">
        <v>22</v>
      </c>
      <c r="AA158" s="1">
        <v>47112</v>
      </c>
      <c r="AB158" t="s">
        <v>39</v>
      </c>
      <c r="AC158" t="e">
        <f>VLOOKUP(U158,Sheet1!$F$1:$F$39,1,FALSE)</f>
        <v>#N/A</v>
      </c>
      <c r="AD158">
        <f t="shared" si="2"/>
        <v>1</v>
      </c>
    </row>
    <row r="159" spans="1:30" ht="270.75" thickBot="1" x14ac:dyDescent="0.3">
      <c r="A159" s="5">
        <v>46310</v>
      </c>
      <c r="B159" s="1">
        <v>5309</v>
      </c>
      <c r="C159" s="1">
        <v>5309021005001100</v>
      </c>
      <c r="D159" s="1" t="s">
        <v>22</v>
      </c>
      <c r="E159" s="1">
        <v>47112</v>
      </c>
      <c r="F159" s="1" t="s">
        <v>586</v>
      </c>
      <c r="G159" s="1" t="s">
        <v>587</v>
      </c>
      <c r="H159" s="1" t="s">
        <v>476</v>
      </c>
      <c r="I159" s="6">
        <v>0</v>
      </c>
      <c r="J159" s="6">
        <v>500000</v>
      </c>
      <c r="K159" s="6">
        <v>100000</v>
      </c>
      <c r="L159" s="6">
        <v>0</v>
      </c>
      <c r="M159" s="1">
        <v>200000</v>
      </c>
      <c r="N159" s="6">
        <v>1000000</v>
      </c>
      <c r="O159" s="6">
        <v>0</v>
      </c>
      <c r="P159" s="6">
        <v>400000</v>
      </c>
      <c r="Q159" s="6">
        <v>75000000</v>
      </c>
      <c r="R159" s="6">
        <v>500000</v>
      </c>
      <c r="S159" s="6">
        <v>0.5</v>
      </c>
      <c r="T159" s="6">
        <v>0.8</v>
      </c>
      <c r="U159" s="1" t="s">
        <v>588</v>
      </c>
      <c r="V159" s="1"/>
      <c r="W159" s="1"/>
      <c r="X159" s="9">
        <v>110000</v>
      </c>
      <c r="Y159" s="9">
        <v>0</v>
      </c>
      <c r="Z159" s="1" t="s">
        <v>22</v>
      </c>
      <c r="AA159" s="1">
        <v>47112</v>
      </c>
      <c r="AB159" t="s">
        <v>39</v>
      </c>
      <c r="AC159" t="e">
        <f>VLOOKUP(U159,Sheet1!$F$1:$F$39,1,FALSE)</f>
        <v>#N/A</v>
      </c>
      <c r="AD159">
        <f t="shared" si="2"/>
        <v>1</v>
      </c>
    </row>
    <row r="160" spans="1:30" ht="270.75" thickBot="1" x14ac:dyDescent="0.3">
      <c r="A160" s="5">
        <v>46310</v>
      </c>
      <c r="B160" s="1">
        <v>5309</v>
      </c>
      <c r="C160" s="1">
        <v>5309062002000600</v>
      </c>
      <c r="D160" s="1" t="s">
        <v>22</v>
      </c>
      <c r="E160" s="1">
        <v>47112</v>
      </c>
      <c r="F160" s="1" t="s">
        <v>89</v>
      </c>
      <c r="G160" s="1" t="s">
        <v>145</v>
      </c>
      <c r="H160" s="1" t="s">
        <v>146</v>
      </c>
      <c r="I160" s="6">
        <v>150000</v>
      </c>
      <c r="J160" s="6">
        <v>2000000</v>
      </c>
      <c r="K160" s="6">
        <v>300000</v>
      </c>
      <c r="L160" s="6">
        <v>0</v>
      </c>
      <c r="M160" s="1">
        <v>650000</v>
      </c>
      <c r="N160" s="6">
        <v>4600000</v>
      </c>
      <c r="O160" s="6">
        <v>0</v>
      </c>
      <c r="P160" s="6">
        <v>2150000</v>
      </c>
      <c r="Q160" s="6">
        <v>1600000</v>
      </c>
      <c r="R160" s="6">
        <v>2600000</v>
      </c>
      <c r="S160" s="6">
        <v>0.43478299999999998</v>
      </c>
      <c r="T160" s="6">
        <v>0.82692299999999996</v>
      </c>
      <c r="U160" s="1" t="s">
        <v>589</v>
      </c>
      <c r="V160" s="1"/>
      <c r="W160" s="1"/>
      <c r="X160" s="9">
        <v>381333</v>
      </c>
      <c r="Y160" s="9">
        <v>190667</v>
      </c>
      <c r="Z160" s="1" t="s">
        <v>22</v>
      </c>
      <c r="AA160" s="1">
        <v>47112</v>
      </c>
      <c r="AB160" t="s">
        <v>39</v>
      </c>
      <c r="AC160" t="e">
        <f>VLOOKUP(U160,Sheet1!$F$1:$F$39,1,FALSE)</f>
        <v>#N/A</v>
      </c>
      <c r="AD160">
        <f t="shared" si="2"/>
        <v>1</v>
      </c>
    </row>
    <row r="161" spans="1:30" ht="270.75" thickBot="1" x14ac:dyDescent="0.3">
      <c r="A161" s="5">
        <v>46310</v>
      </c>
      <c r="B161" s="1">
        <v>5309</v>
      </c>
      <c r="C161" s="1">
        <v>5309060040000200</v>
      </c>
      <c r="D161" s="1" t="s">
        <v>22</v>
      </c>
      <c r="E161" s="1">
        <v>47112</v>
      </c>
      <c r="F161" s="1" t="s">
        <v>590</v>
      </c>
      <c r="G161" s="1" t="s">
        <v>591</v>
      </c>
      <c r="H161" s="1" t="s">
        <v>592</v>
      </c>
      <c r="I161" s="6">
        <v>0</v>
      </c>
      <c r="J161" s="6">
        <v>8800000</v>
      </c>
      <c r="K161" s="6">
        <v>1300000</v>
      </c>
      <c r="L161" s="6">
        <v>0</v>
      </c>
      <c r="M161" s="1">
        <v>200000</v>
      </c>
      <c r="N161" s="6">
        <v>16000000</v>
      </c>
      <c r="O161" s="6">
        <v>0</v>
      </c>
      <c r="P161" s="6">
        <v>5900000</v>
      </c>
      <c r="Q161" s="6">
        <v>1500999</v>
      </c>
      <c r="R161" s="6">
        <v>7200000</v>
      </c>
      <c r="S161" s="6">
        <v>0.55000000000000004</v>
      </c>
      <c r="T161" s="6">
        <v>0.81944399999999995</v>
      </c>
      <c r="U161" s="1" t="s">
        <v>593</v>
      </c>
      <c r="V161" s="1"/>
      <c r="W161" s="1"/>
      <c r="X161" s="9">
        <v>1584000</v>
      </c>
      <c r="Y161" s="9">
        <v>0</v>
      </c>
      <c r="Z161" s="1" t="s">
        <v>22</v>
      </c>
      <c r="AA161" s="1">
        <v>47112</v>
      </c>
      <c r="AB161" t="s">
        <v>39</v>
      </c>
      <c r="AC161" t="str">
        <f>VLOOKUP(U161,Sheet1!$F$1:$F$39,1,FALSE)</f>
        <v>https://fasih-sm.bps.go.id/app/assignment/fd68e454-ba45-4b85-8205-f3bf777ded24/d7cb1b32-525e-4d5a-a0fb-ab03fc775dba</v>
      </c>
      <c r="AD161">
        <f t="shared" si="2"/>
        <v>0</v>
      </c>
    </row>
    <row r="162" spans="1:30" ht="270.75" thickBot="1" x14ac:dyDescent="0.3">
      <c r="A162" s="5">
        <v>46310</v>
      </c>
      <c r="B162" s="1">
        <v>5309</v>
      </c>
      <c r="C162" s="1">
        <v>5309071008001500</v>
      </c>
      <c r="D162" s="1" t="s">
        <v>22</v>
      </c>
      <c r="E162" s="1">
        <v>47112</v>
      </c>
      <c r="F162" s="1" t="s">
        <v>594</v>
      </c>
      <c r="G162" s="1" t="s">
        <v>180</v>
      </c>
      <c r="H162" s="1" t="s">
        <v>595</v>
      </c>
      <c r="I162" s="6">
        <v>0</v>
      </c>
      <c r="J162" s="6">
        <v>6000000</v>
      </c>
      <c r="K162" s="6">
        <v>0</v>
      </c>
      <c r="L162" s="6">
        <v>0</v>
      </c>
      <c r="M162" s="1">
        <v>300000</v>
      </c>
      <c r="N162" s="6">
        <v>9600000</v>
      </c>
      <c r="O162" s="6">
        <v>0</v>
      </c>
      <c r="P162" s="6">
        <v>3600000</v>
      </c>
      <c r="Q162" s="6">
        <v>10300000</v>
      </c>
      <c r="R162" s="6">
        <v>3600000</v>
      </c>
      <c r="S162" s="6">
        <v>0.625</v>
      </c>
      <c r="T162" s="6">
        <v>1</v>
      </c>
      <c r="U162" s="1" t="s">
        <v>596</v>
      </c>
      <c r="V162" s="1"/>
      <c r="W162" s="1"/>
      <c r="X162" s="9">
        <v>792000</v>
      </c>
      <c r="Y162" s="9">
        <v>0</v>
      </c>
      <c r="Z162" s="1" t="s">
        <v>22</v>
      </c>
      <c r="AA162" s="1">
        <v>47112</v>
      </c>
      <c r="AB162" t="s">
        <v>39</v>
      </c>
      <c r="AC162" t="e">
        <f>VLOOKUP(U162,Sheet1!$F$1:$F$39,1,FALSE)</f>
        <v>#N/A</v>
      </c>
      <c r="AD162">
        <f t="shared" si="2"/>
        <v>1</v>
      </c>
    </row>
    <row r="163" spans="1:30" ht="255.75" thickBot="1" x14ac:dyDescent="0.3">
      <c r="A163" s="5">
        <v>46310</v>
      </c>
      <c r="B163" s="1">
        <v>5309</v>
      </c>
      <c r="C163" s="1">
        <v>5309030024001600</v>
      </c>
      <c r="D163" s="1" t="s">
        <v>22</v>
      </c>
      <c r="E163" s="1">
        <v>47112</v>
      </c>
      <c r="F163" s="1" t="s">
        <v>597</v>
      </c>
      <c r="G163" s="1" t="s">
        <v>598</v>
      </c>
      <c r="H163" s="1" t="s">
        <v>599</v>
      </c>
      <c r="I163" s="6">
        <v>240000</v>
      </c>
      <c r="J163" s="6">
        <v>24000000</v>
      </c>
      <c r="K163" s="6">
        <v>0</v>
      </c>
      <c r="L163" s="6">
        <v>34000</v>
      </c>
      <c r="M163" s="1">
        <v>10474000</v>
      </c>
      <c r="N163" s="6">
        <v>33600000</v>
      </c>
      <c r="O163" s="6">
        <v>0</v>
      </c>
      <c r="P163" s="6">
        <v>9360000</v>
      </c>
      <c r="Q163" s="6">
        <v>2000000</v>
      </c>
      <c r="R163" s="6">
        <v>9600000</v>
      </c>
      <c r="S163" s="6">
        <v>0.71428599999999998</v>
      </c>
      <c r="T163" s="6">
        <v>0.97499999999999998</v>
      </c>
      <c r="U163" s="1" t="s">
        <v>600</v>
      </c>
      <c r="V163" s="1"/>
      <c r="W163" s="1"/>
      <c r="X163" s="9">
        <v>0</v>
      </c>
      <c r="Y163" s="9">
        <v>2112000</v>
      </c>
      <c r="Z163" s="1" t="s">
        <v>22</v>
      </c>
      <c r="AA163" s="1">
        <v>47112</v>
      </c>
      <c r="AB163" t="s">
        <v>39</v>
      </c>
      <c r="AC163" t="e">
        <f>VLOOKUP(U163,Sheet1!$F$1:$F$39,1,FALSE)</f>
        <v>#N/A</v>
      </c>
      <c r="AD163">
        <f t="shared" si="2"/>
        <v>1</v>
      </c>
    </row>
    <row r="164" spans="1:30" ht="270.75" thickBot="1" x14ac:dyDescent="0.3">
      <c r="A164" s="5">
        <v>46310</v>
      </c>
      <c r="B164" s="1">
        <v>5309</v>
      </c>
      <c r="C164" s="1">
        <v>5309070007001800</v>
      </c>
      <c r="D164" s="1" t="s">
        <v>22</v>
      </c>
      <c r="E164" s="1">
        <v>47112</v>
      </c>
      <c r="F164" s="1" t="s">
        <v>601</v>
      </c>
      <c r="G164" s="1" t="s">
        <v>602</v>
      </c>
      <c r="H164" s="1" t="s">
        <v>603</v>
      </c>
      <c r="I164" s="6">
        <v>150000</v>
      </c>
      <c r="J164" s="6">
        <v>19200000</v>
      </c>
      <c r="K164" s="6">
        <v>5000000</v>
      </c>
      <c r="L164" s="6">
        <v>0</v>
      </c>
      <c r="M164" s="1">
        <v>24350000</v>
      </c>
      <c r="N164" s="6">
        <v>31000000</v>
      </c>
      <c r="O164" s="6">
        <v>0</v>
      </c>
      <c r="P164" s="6">
        <v>6650000</v>
      </c>
      <c r="Q164" s="6">
        <v>1200000</v>
      </c>
      <c r="R164" s="6">
        <v>11800000</v>
      </c>
      <c r="S164" s="6">
        <v>0.61935499999999999</v>
      </c>
      <c r="T164" s="6">
        <v>0.56355900000000003</v>
      </c>
      <c r="U164" s="1" t="s">
        <v>604</v>
      </c>
      <c r="V164" s="1"/>
      <c r="W164" s="1"/>
      <c r="X164" s="9">
        <v>4124272</v>
      </c>
      <c r="Y164" s="9">
        <v>123728</v>
      </c>
      <c r="Z164" s="1" t="s">
        <v>22</v>
      </c>
      <c r="AA164" s="1">
        <v>47112</v>
      </c>
      <c r="AB164" t="s">
        <v>39</v>
      </c>
      <c r="AC164" t="e">
        <f>VLOOKUP(U164,Sheet1!$F$1:$F$39,1,FALSE)</f>
        <v>#N/A</v>
      </c>
      <c r="AD164">
        <f t="shared" si="2"/>
        <v>1</v>
      </c>
    </row>
    <row r="165" spans="1:30" ht="270.75" thickBot="1" x14ac:dyDescent="0.3">
      <c r="A165" s="5">
        <v>46310</v>
      </c>
      <c r="B165" s="1">
        <v>5309</v>
      </c>
      <c r="C165" s="1">
        <v>5309030011000500</v>
      </c>
      <c r="D165" s="1" t="s">
        <v>22</v>
      </c>
      <c r="E165" s="1">
        <v>47112</v>
      </c>
      <c r="F165" s="1" t="s">
        <v>605</v>
      </c>
      <c r="G165" s="1" t="s">
        <v>606</v>
      </c>
      <c r="H165" s="1" t="s">
        <v>607</v>
      </c>
      <c r="I165" s="6">
        <v>17999988</v>
      </c>
      <c r="J165" s="6">
        <v>11400000</v>
      </c>
      <c r="K165" s="6">
        <v>240000</v>
      </c>
      <c r="L165" s="6">
        <v>0</v>
      </c>
      <c r="M165" s="1">
        <v>3950000</v>
      </c>
      <c r="N165" s="6">
        <v>52200000</v>
      </c>
      <c r="O165" s="6">
        <v>0</v>
      </c>
      <c r="P165" s="6">
        <v>22560012</v>
      </c>
      <c r="Q165" s="6">
        <v>0</v>
      </c>
      <c r="R165" s="6">
        <v>40800000</v>
      </c>
      <c r="S165" s="6">
        <v>0.218391</v>
      </c>
      <c r="T165" s="6">
        <v>0.55294100000000002</v>
      </c>
      <c r="U165" s="1" t="s">
        <v>608</v>
      </c>
      <c r="V165" s="1"/>
      <c r="W165" s="1"/>
      <c r="X165" s="9">
        <v>193263</v>
      </c>
      <c r="Y165" s="9">
        <v>14494737</v>
      </c>
      <c r="Z165" s="1" t="s">
        <v>22</v>
      </c>
      <c r="AA165" s="1">
        <v>47112</v>
      </c>
      <c r="AB165" t="s">
        <v>39</v>
      </c>
      <c r="AC165" t="e">
        <f>VLOOKUP(U165,Sheet1!$F$1:$F$39,1,FALSE)</f>
        <v>#N/A</v>
      </c>
      <c r="AD165">
        <f t="shared" si="2"/>
        <v>1</v>
      </c>
    </row>
    <row r="166" spans="1:30" ht="270.75" thickBot="1" x14ac:dyDescent="0.3">
      <c r="A166" s="5">
        <v>46310</v>
      </c>
      <c r="B166" s="1">
        <v>5309</v>
      </c>
      <c r="C166" s="1">
        <v>5309061008000800</v>
      </c>
      <c r="D166" s="1" t="s">
        <v>22</v>
      </c>
      <c r="E166" s="1">
        <v>47112</v>
      </c>
      <c r="F166" s="1" t="s">
        <v>609</v>
      </c>
      <c r="G166" s="1" t="s">
        <v>24</v>
      </c>
      <c r="H166" s="1" t="s">
        <v>610</v>
      </c>
      <c r="I166" s="6">
        <v>50000</v>
      </c>
      <c r="J166" s="6">
        <v>1000000</v>
      </c>
      <c r="K166" s="6">
        <v>100000</v>
      </c>
      <c r="L166" s="6">
        <v>0</v>
      </c>
      <c r="M166" s="1">
        <v>1150000</v>
      </c>
      <c r="N166" s="6">
        <v>4800000</v>
      </c>
      <c r="O166" s="6">
        <v>0</v>
      </c>
      <c r="P166" s="6">
        <v>3650000</v>
      </c>
      <c r="Q166" s="6">
        <v>0</v>
      </c>
      <c r="R166" s="6">
        <v>3800000</v>
      </c>
      <c r="S166" s="6">
        <v>0.20833299999999999</v>
      </c>
      <c r="T166" s="6">
        <v>0.96052599999999999</v>
      </c>
      <c r="U166" s="1" t="s">
        <v>611</v>
      </c>
      <c r="V166" s="1"/>
      <c r="W166" s="1"/>
      <c r="X166" s="9">
        <v>557333</v>
      </c>
      <c r="Y166" s="9">
        <v>278667</v>
      </c>
      <c r="Z166" s="1" t="s">
        <v>22</v>
      </c>
      <c r="AA166" s="1">
        <v>47112</v>
      </c>
      <c r="AB166" t="s">
        <v>39</v>
      </c>
      <c r="AC166" t="e">
        <f>VLOOKUP(U166,Sheet1!$F$1:$F$39,1,FALSE)</f>
        <v>#N/A</v>
      </c>
      <c r="AD166">
        <f t="shared" si="2"/>
        <v>1</v>
      </c>
    </row>
    <row r="167" spans="1:30" ht="270.75" thickBot="1" x14ac:dyDescent="0.3">
      <c r="A167" s="5">
        <v>46310</v>
      </c>
      <c r="B167" s="1">
        <v>5309</v>
      </c>
      <c r="C167" s="1">
        <v>5309020016000700</v>
      </c>
      <c r="D167" s="1" t="s">
        <v>22</v>
      </c>
      <c r="E167" s="1">
        <v>47112</v>
      </c>
      <c r="F167" s="1" t="s">
        <v>40</v>
      </c>
      <c r="G167" s="1" t="s">
        <v>24</v>
      </c>
      <c r="H167" s="1" t="s">
        <v>550</v>
      </c>
      <c r="I167" s="6">
        <v>1200000</v>
      </c>
      <c r="J167" s="6">
        <v>10000000</v>
      </c>
      <c r="K167" s="6">
        <v>1000000</v>
      </c>
      <c r="L167" s="6">
        <v>0</v>
      </c>
      <c r="M167" s="1">
        <v>12200000</v>
      </c>
      <c r="N167" s="6">
        <v>7000000</v>
      </c>
      <c r="O167" s="6">
        <v>12000000</v>
      </c>
      <c r="P167" s="6">
        <v>-5200000</v>
      </c>
      <c r="Q167" s="6">
        <v>5000000</v>
      </c>
      <c r="R167" s="6">
        <v>-3000000</v>
      </c>
      <c r="S167" s="6">
        <v>1.428571</v>
      </c>
      <c r="T167" s="6">
        <v>1.733333</v>
      </c>
      <c r="U167" s="1" t="s">
        <v>612</v>
      </c>
      <c r="V167" s="1"/>
      <c r="W167" s="1"/>
      <c r="X167" s="9">
        <v>1000000</v>
      </c>
      <c r="Y167" s="9">
        <v>1200000</v>
      </c>
      <c r="Z167" s="1" t="s">
        <v>22</v>
      </c>
      <c r="AA167" s="1">
        <v>47112</v>
      </c>
      <c r="AB167" t="s">
        <v>39</v>
      </c>
      <c r="AC167" t="e">
        <f>VLOOKUP(U167,Sheet1!$F$1:$F$39,1,FALSE)</f>
        <v>#N/A</v>
      </c>
      <c r="AD167">
        <f t="shared" si="2"/>
        <v>1</v>
      </c>
    </row>
    <row r="168" spans="1:30" ht="270.75" thickBot="1" x14ac:dyDescent="0.3">
      <c r="A168" s="5">
        <v>46310</v>
      </c>
      <c r="B168" s="1">
        <v>5309</v>
      </c>
      <c r="C168" s="1">
        <v>5309011014000300</v>
      </c>
      <c r="D168" s="1" t="s">
        <v>22</v>
      </c>
      <c r="E168" s="1">
        <v>47112</v>
      </c>
      <c r="F168" s="1" t="s">
        <v>613</v>
      </c>
      <c r="G168" s="1" t="s">
        <v>24</v>
      </c>
      <c r="H168" s="1" t="s">
        <v>409</v>
      </c>
      <c r="I168" s="6">
        <v>2000000</v>
      </c>
      <c r="J168" s="6">
        <v>1500000</v>
      </c>
      <c r="K168" s="6">
        <v>200000</v>
      </c>
      <c r="L168" s="6">
        <v>50000</v>
      </c>
      <c r="M168" s="1">
        <v>3750000</v>
      </c>
      <c r="N168" s="6">
        <v>6000000</v>
      </c>
      <c r="O168" s="6">
        <v>250000</v>
      </c>
      <c r="P168" s="6">
        <v>2300000</v>
      </c>
      <c r="Q168" s="6">
        <v>6000000</v>
      </c>
      <c r="R168" s="6">
        <v>4500000</v>
      </c>
      <c r="S168" s="6">
        <v>0.25</v>
      </c>
      <c r="T168" s="6">
        <v>0.51111099999999998</v>
      </c>
      <c r="U168" s="1" t="s">
        <v>614</v>
      </c>
      <c r="V168" s="1"/>
      <c r="W168" s="1"/>
      <c r="X168" s="9">
        <v>147273</v>
      </c>
      <c r="Y168" s="9">
        <v>1472727</v>
      </c>
      <c r="Z168" s="1" t="s">
        <v>22</v>
      </c>
      <c r="AA168" s="1">
        <v>47112</v>
      </c>
      <c r="AB168" t="s">
        <v>39</v>
      </c>
      <c r="AC168" t="e">
        <f>VLOOKUP(U168,Sheet1!$F$1:$F$39,1,FALSE)</f>
        <v>#N/A</v>
      </c>
      <c r="AD168">
        <f t="shared" si="2"/>
        <v>1</v>
      </c>
    </row>
    <row r="169" spans="1:30" ht="270.75" thickBot="1" x14ac:dyDescent="0.3">
      <c r="A169" s="5">
        <v>46310</v>
      </c>
      <c r="B169" s="1">
        <v>5309</v>
      </c>
      <c r="C169" s="1">
        <v>5309070010002200</v>
      </c>
      <c r="D169" s="1" t="s">
        <v>22</v>
      </c>
      <c r="E169" s="1">
        <v>47112</v>
      </c>
      <c r="F169" s="1" t="s">
        <v>615</v>
      </c>
      <c r="G169" s="1" t="s">
        <v>23</v>
      </c>
      <c r="H169" s="1" t="s">
        <v>27</v>
      </c>
      <c r="I169" s="6">
        <v>500000</v>
      </c>
      <c r="J169" s="6">
        <v>33600000</v>
      </c>
      <c r="K169" s="6">
        <v>10000</v>
      </c>
      <c r="L169" s="6">
        <v>0</v>
      </c>
      <c r="M169" s="1">
        <v>34110000</v>
      </c>
      <c r="N169" s="6">
        <v>40640000</v>
      </c>
      <c r="O169" s="6">
        <v>0</v>
      </c>
      <c r="P169" s="6">
        <v>6530000</v>
      </c>
      <c r="Q169" s="6">
        <v>2500000</v>
      </c>
      <c r="R169" s="6">
        <v>7040000</v>
      </c>
      <c r="S169" s="6">
        <v>0.82677199999999995</v>
      </c>
      <c r="T169" s="6">
        <v>0.92755699999999996</v>
      </c>
      <c r="U169" s="1" t="s">
        <v>616</v>
      </c>
      <c r="V169" s="1"/>
      <c r="W169" s="1"/>
      <c r="X169" s="9">
        <v>30369</v>
      </c>
      <c r="Y169" s="9">
        <v>1518431</v>
      </c>
      <c r="Z169" s="1" t="s">
        <v>22</v>
      </c>
      <c r="AA169" s="1">
        <v>47112</v>
      </c>
      <c r="AB169" t="s">
        <v>39</v>
      </c>
      <c r="AC169" t="e">
        <f>VLOOKUP(U169,Sheet1!$F$1:$F$39,1,FALSE)</f>
        <v>#N/A</v>
      </c>
      <c r="AD169">
        <f t="shared" si="2"/>
        <v>1</v>
      </c>
    </row>
    <row r="170" spans="1:30" ht="270.75" thickBot="1" x14ac:dyDescent="0.3">
      <c r="A170" s="5">
        <v>46310</v>
      </c>
      <c r="B170" s="1">
        <v>5309</v>
      </c>
      <c r="C170" s="1">
        <v>5309010001000300</v>
      </c>
      <c r="D170" s="1" t="s">
        <v>22</v>
      </c>
      <c r="E170" s="1">
        <v>47112</v>
      </c>
      <c r="F170" s="1" t="s">
        <v>617</v>
      </c>
      <c r="G170" s="1" t="s">
        <v>618</v>
      </c>
      <c r="H170" s="1" t="s">
        <v>619</v>
      </c>
      <c r="I170" s="6">
        <v>300000</v>
      </c>
      <c r="J170" s="6">
        <v>500000</v>
      </c>
      <c r="K170" s="6">
        <v>100000</v>
      </c>
      <c r="L170" s="6">
        <v>50000</v>
      </c>
      <c r="M170" s="1">
        <v>950000</v>
      </c>
      <c r="N170" s="6">
        <v>0</v>
      </c>
      <c r="O170" s="6">
        <v>5000000</v>
      </c>
      <c r="P170" s="6">
        <v>-900000</v>
      </c>
      <c r="Q170" s="6">
        <v>20350000</v>
      </c>
      <c r="R170" s="6">
        <v>-500000</v>
      </c>
      <c r="S170" s="6">
        <v>0</v>
      </c>
      <c r="T170" s="6">
        <v>1.8</v>
      </c>
      <c r="U170" s="1" t="s">
        <v>620</v>
      </c>
      <c r="V170" s="1"/>
      <c r="W170" s="1"/>
      <c r="X170" s="9">
        <v>100000</v>
      </c>
      <c r="Y170" s="9">
        <v>300000</v>
      </c>
      <c r="Z170" s="1" t="s">
        <v>22</v>
      </c>
      <c r="AA170" s="1">
        <v>47112</v>
      </c>
      <c r="AB170" t="s">
        <v>39</v>
      </c>
      <c r="AC170" t="e">
        <f>VLOOKUP(U170,Sheet1!$F$1:$F$39,1,FALSE)</f>
        <v>#N/A</v>
      </c>
      <c r="AD170">
        <f t="shared" si="2"/>
        <v>1</v>
      </c>
    </row>
    <row r="171" spans="1:30" ht="270.75" thickBot="1" x14ac:dyDescent="0.3">
      <c r="A171" s="5">
        <v>46310</v>
      </c>
      <c r="B171" s="1">
        <v>5309</v>
      </c>
      <c r="C171" s="1">
        <v>5309030027000900</v>
      </c>
      <c r="D171" s="1" t="s">
        <v>22</v>
      </c>
      <c r="E171" s="1">
        <v>47112</v>
      </c>
      <c r="F171" s="1" t="s">
        <v>621</v>
      </c>
      <c r="G171" s="1" t="s">
        <v>24</v>
      </c>
      <c r="H171" s="1" t="s">
        <v>622</v>
      </c>
      <c r="I171" s="6">
        <v>0</v>
      </c>
      <c r="J171" s="6">
        <v>5000000</v>
      </c>
      <c r="K171" s="6">
        <v>200000</v>
      </c>
      <c r="L171" s="6">
        <v>0</v>
      </c>
      <c r="M171" s="1">
        <v>5200000</v>
      </c>
      <c r="N171" s="6">
        <v>10000000</v>
      </c>
      <c r="O171" s="6">
        <v>0</v>
      </c>
      <c r="P171" s="6">
        <v>4800000</v>
      </c>
      <c r="Q171" s="6">
        <v>2000000</v>
      </c>
      <c r="R171" s="6">
        <v>5000000</v>
      </c>
      <c r="S171" s="6">
        <v>0.5</v>
      </c>
      <c r="T171" s="6">
        <v>0.96</v>
      </c>
      <c r="U171" s="1" t="s">
        <v>623</v>
      </c>
      <c r="V171" s="1"/>
      <c r="W171" s="1"/>
      <c r="X171" s="9">
        <v>1100000</v>
      </c>
      <c r="Y171" s="9">
        <v>0</v>
      </c>
      <c r="Z171" s="1" t="s">
        <v>22</v>
      </c>
      <c r="AA171" s="1">
        <v>47112</v>
      </c>
      <c r="AB171" t="s">
        <v>39</v>
      </c>
      <c r="AC171" t="e">
        <f>VLOOKUP(U171,Sheet1!$F$1:$F$39,1,FALSE)</f>
        <v>#N/A</v>
      </c>
      <c r="AD171">
        <f t="shared" si="2"/>
        <v>1</v>
      </c>
    </row>
    <row r="172" spans="1:30" ht="270.75" thickBot="1" x14ac:dyDescent="0.3">
      <c r="A172" s="5">
        <v>46310</v>
      </c>
      <c r="B172" s="1">
        <v>5309</v>
      </c>
      <c r="C172" s="1">
        <v>5309070011000300</v>
      </c>
      <c r="D172" s="1" t="s">
        <v>22</v>
      </c>
      <c r="E172" s="1">
        <v>47112</v>
      </c>
      <c r="F172" s="1" t="s">
        <v>624</v>
      </c>
      <c r="G172" s="1" t="s">
        <v>625</v>
      </c>
      <c r="H172" s="1" t="s">
        <v>626</v>
      </c>
      <c r="I172" s="6">
        <v>0</v>
      </c>
      <c r="J172" s="6">
        <v>53760000</v>
      </c>
      <c r="K172" s="6">
        <v>1200000</v>
      </c>
      <c r="L172" s="6">
        <v>0</v>
      </c>
      <c r="M172" s="1">
        <v>4580000</v>
      </c>
      <c r="N172" s="6">
        <v>67200000</v>
      </c>
      <c r="O172" s="6">
        <v>0</v>
      </c>
      <c r="P172" s="6">
        <v>12240000</v>
      </c>
      <c r="Q172" s="6">
        <v>0</v>
      </c>
      <c r="R172" s="6">
        <v>13440000</v>
      </c>
      <c r="S172" s="6">
        <v>0.8</v>
      </c>
      <c r="T172" s="6">
        <v>0.91071400000000002</v>
      </c>
      <c r="U172" s="1" t="s">
        <v>627</v>
      </c>
      <c r="V172" s="1"/>
      <c r="W172" s="1"/>
      <c r="X172" s="9">
        <v>2956800</v>
      </c>
      <c r="Y172" s="9">
        <v>0</v>
      </c>
      <c r="Z172" s="1" t="s">
        <v>22</v>
      </c>
      <c r="AA172" s="1">
        <v>47112</v>
      </c>
      <c r="AB172" t="s">
        <v>39</v>
      </c>
      <c r="AC172" t="e">
        <f>VLOOKUP(U172,Sheet1!$F$1:$F$39,1,FALSE)</f>
        <v>#N/A</v>
      </c>
      <c r="AD172">
        <f t="shared" si="2"/>
        <v>1</v>
      </c>
    </row>
    <row r="173" spans="1:30" ht="270.75" thickBot="1" x14ac:dyDescent="0.3">
      <c r="A173" s="5">
        <v>46310</v>
      </c>
      <c r="B173" s="1">
        <v>5309</v>
      </c>
      <c r="C173" s="1">
        <v>5309050006000500</v>
      </c>
      <c r="D173" s="1" t="s">
        <v>22</v>
      </c>
      <c r="E173" s="1">
        <v>47112</v>
      </c>
      <c r="F173" s="1" t="s">
        <v>628</v>
      </c>
      <c r="G173" s="1" t="s">
        <v>629</v>
      </c>
      <c r="H173" s="1" t="s">
        <v>630</v>
      </c>
      <c r="I173" s="6">
        <v>0</v>
      </c>
      <c r="J173" s="6">
        <v>1000000</v>
      </c>
      <c r="K173" s="6">
        <v>100000</v>
      </c>
      <c r="L173" s="6">
        <v>0</v>
      </c>
      <c r="M173" s="1">
        <v>1100000</v>
      </c>
      <c r="N173" s="6">
        <v>2000000</v>
      </c>
      <c r="O173" s="6">
        <v>0</v>
      </c>
      <c r="P173" s="6">
        <v>900000</v>
      </c>
      <c r="Q173" s="6">
        <v>27000000</v>
      </c>
      <c r="R173" s="6">
        <v>1000000</v>
      </c>
      <c r="S173" s="6">
        <v>0.5</v>
      </c>
      <c r="T173" s="6">
        <v>0.9</v>
      </c>
      <c r="U173" s="1" t="s">
        <v>631</v>
      </c>
      <c r="V173" s="1"/>
      <c r="W173" s="1"/>
      <c r="X173" s="9">
        <v>220000</v>
      </c>
      <c r="Y173" s="9">
        <v>0</v>
      </c>
      <c r="Z173" s="1" t="s">
        <v>22</v>
      </c>
      <c r="AA173" s="1">
        <v>47112</v>
      </c>
      <c r="AB173" t="s">
        <v>39</v>
      </c>
      <c r="AC173" t="e">
        <f>VLOOKUP(U173,Sheet1!$F$1:$F$39,1,FALSE)</f>
        <v>#N/A</v>
      </c>
      <c r="AD173">
        <f t="shared" si="2"/>
        <v>1</v>
      </c>
    </row>
    <row r="174" spans="1:30" ht="255.75" thickBot="1" x14ac:dyDescent="0.3">
      <c r="A174" s="5">
        <v>46310</v>
      </c>
      <c r="B174" s="1">
        <v>5309</v>
      </c>
      <c r="C174" s="1">
        <v>5309070006001600</v>
      </c>
      <c r="D174" s="1" t="s">
        <v>22</v>
      </c>
      <c r="E174" s="1">
        <v>47112</v>
      </c>
      <c r="F174" s="1" t="s">
        <v>632</v>
      </c>
      <c r="G174" s="1" t="s">
        <v>633</v>
      </c>
      <c r="H174" s="1" t="s">
        <v>634</v>
      </c>
      <c r="I174" s="6">
        <v>800000</v>
      </c>
      <c r="J174" s="6">
        <v>10000000</v>
      </c>
      <c r="K174" s="6">
        <v>400000</v>
      </c>
      <c r="L174" s="6">
        <v>0</v>
      </c>
      <c r="M174" s="1">
        <v>11200000</v>
      </c>
      <c r="N174" s="6">
        <v>19500000</v>
      </c>
      <c r="O174" s="6">
        <v>0</v>
      </c>
      <c r="P174" s="6">
        <v>8300000</v>
      </c>
      <c r="Q174" s="6">
        <v>2000000</v>
      </c>
      <c r="R174" s="6">
        <v>9500000</v>
      </c>
      <c r="S174" s="6">
        <v>0.51282099999999997</v>
      </c>
      <c r="T174" s="6">
        <v>0.87368400000000002</v>
      </c>
      <c r="U174" s="1" t="s">
        <v>635</v>
      </c>
      <c r="V174" s="1"/>
      <c r="W174" s="1"/>
      <c r="X174" s="9">
        <v>696667</v>
      </c>
      <c r="Y174" s="9">
        <v>1393333</v>
      </c>
      <c r="Z174" s="1" t="s">
        <v>22</v>
      </c>
      <c r="AA174" s="1">
        <v>47112</v>
      </c>
      <c r="AB174" t="s">
        <v>39</v>
      </c>
      <c r="AC174" t="e">
        <f>VLOOKUP(U174,Sheet1!$F$1:$F$39,1,FALSE)</f>
        <v>#N/A</v>
      </c>
      <c r="AD174">
        <f t="shared" si="2"/>
        <v>1</v>
      </c>
    </row>
    <row r="175" spans="1:30" ht="270.75" thickBot="1" x14ac:dyDescent="0.3">
      <c r="A175" s="5">
        <v>46310</v>
      </c>
      <c r="B175" s="1">
        <v>5309</v>
      </c>
      <c r="C175" s="1">
        <v>5309030025002000</v>
      </c>
      <c r="D175" s="1" t="s">
        <v>22</v>
      </c>
      <c r="E175" s="1">
        <v>47112</v>
      </c>
      <c r="F175" s="1" t="s">
        <v>636</v>
      </c>
      <c r="G175" s="1" t="s">
        <v>637</v>
      </c>
      <c r="H175" s="1" t="s">
        <v>638</v>
      </c>
      <c r="I175" s="6">
        <v>200000</v>
      </c>
      <c r="J175" s="6">
        <v>10000000</v>
      </c>
      <c r="K175" s="6">
        <v>200000</v>
      </c>
      <c r="L175" s="6">
        <v>0</v>
      </c>
      <c r="M175" s="1">
        <v>11200000</v>
      </c>
      <c r="N175" s="6">
        <v>12000000</v>
      </c>
      <c r="O175" s="6">
        <v>0</v>
      </c>
      <c r="P175" s="6">
        <v>1600000</v>
      </c>
      <c r="Q175" s="6">
        <v>27000000</v>
      </c>
      <c r="R175" s="6">
        <v>2000000</v>
      </c>
      <c r="S175" s="6">
        <v>0.83333299999999999</v>
      </c>
      <c r="T175" s="6">
        <v>0.8</v>
      </c>
      <c r="U175" s="1" t="s">
        <v>639</v>
      </c>
      <c r="V175" s="1"/>
      <c r="W175" s="1"/>
      <c r="X175" s="9">
        <v>220000</v>
      </c>
      <c r="Y175" s="9">
        <v>220000</v>
      </c>
      <c r="Z175" s="1" t="s">
        <v>22</v>
      </c>
      <c r="AA175" s="1">
        <v>47112</v>
      </c>
      <c r="AB175" t="s">
        <v>39</v>
      </c>
      <c r="AC175" t="e">
        <f>VLOOKUP(U175,Sheet1!$F$1:$F$39,1,FALSE)</f>
        <v>#N/A</v>
      </c>
      <c r="AD175">
        <f t="shared" si="2"/>
        <v>1</v>
      </c>
    </row>
    <row r="176" spans="1:30" ht="270.75" thickBot="1" x14ac:dyDescent="0.3">
      <c r="A176" s="5">
        <v>46310</v>
      </c>
      <c r="B176" s="1">
        <v>5309</v>
      </c>
      <c r="C176" s="1">
        <v>5309050010000100</v>
      </c>
      <c r="D176" s="1" t="s">
        <v>22</v>
      </c>
      <c r="E176" s="1">
        <v>47112</v>
      </c>
      <c r="F176" s="1" t="s">
        <v>640</v>
      </c>
      <c r="G176" s="1" t="s">
        <v>24</v>
      </c>
      <c r="H176" s="1" t="s">
        <v>569</v>
      </c>
      <c r="I176" s="6">
        <v>0</v>
      </c>
      <c r="J176" s="6">
        <v>80000000</v>
      </c>
      <c r="K176" s="6">
        <v>7500000</v>
      </c>
      <c r="L176" s="6">
        <v>0</v>
      </c>
      <c r="M176" s="1">
        <v>87500000</v>
      </c>
      <c r="N176" s="6">
        <v>125000000</v>
      </c>
      <c r="O176" s="6">
        <v>0</v>
      </c>
      <c r="P176" s="6">
        <v>37500000</v>
      </c>
      <c r="Q176" s="6">
        <v>9000000</v>
      </c>
      <c r="R176" s="6">
        <v>45000000</v>
      </c>
      <c r="S176" s="6">
        <v>0.64</v>
      </c>
      <c r="T176" s="6">
        <v>0.83333299999999999</v>
      </c>
      <c r="U176" s="1" t="s">
        <v>641</v>
      </c>
      <c r="V176" s="1"/>
      <c r="W176" s="1"/>
      <c r="X176" s="9">
        <v>9900000</v>
      </c>
      <c r="Y176" s="9">
        <v>0</v>
      </c>
      <c r="Z176" s="1" t="s">
        <v>22</v>
      </c>
      <c r="AA176" s="1">
        <v>47112</v>
      </c>
      <c r="AB176" t="s">
        <v>39</v>
      </c>
      <c r="AC176" t="e">
        <f>VLOOKUP(U176,Sheet1!$F$1:$F$39,1,FALSE)</f>
        <v>#N/A</v>
      </c>
      <c r="AD176">
        <f t="shared" si="2"/>
        <v>1</v>
      </c>
    </row>
    <row r="177" spans="1:30" ht="270.75" thickBot="1" x14ac:dyDescent="0.3">
      <c r="A177" s="5">
        <v>46310</v>
      </c>
      <c r="B177" s="1">
        <v>5309</v>
      </c>
      <c r="C177" s="1">
        <v>5309062008000200</v>
      </c>
      <c r="D177" s="1" t="s">
        <v>22</v>
      </c>
      <c r="E177" s="1">
        <v>47112</v>
      </c>
      <c r="F177" s="1" t="s">
        <v>642</v>
      </c>
      <c r="G177" s="1" t="s">
        <v>138</v>
      </c>
      <c r="H177" s="1" t="s">
        <v>643</v>
      </c>
      <c r="I177" s="6">
        <v>5000000</v>
      </c>
      <c r="J177" s="6">
        <v>0</v>
      </c>
      <c r="K177" s="6">
        <v>250000</v>
      </c>
      <c r="L177" s="6">
        <v>0</v>
      </c>
      <c r="M177" s="1">
        <v>150000</v>
      </c>
      <c r="N177" s="6">
        <v>9000000</v>
      </c>
      <c r="O177" s="6">
        <v>0</v>
      </c>
      <c r="P177" s="6">
        <v>3750000</v>
      </c>
      <c r="Q177" s="6">
        <v>900000</v>
      </c>
      <c r="R177" s="6">
        <v>9000000</v>
      </c>
      <c r="S177" s="6">
        <v>0</v>
      </c>
      <c r="T177" s="6">
        <v>0.41666700000000001</v>
      </c>
      <c r="U177" s="1" t="s">
        <v>644</v>
      </c>
      <c r="V177" s="1"/>
      <c r="W177" s="1"/>
      <c r="X177" s="9">
        <v>154286</v>
      </c>
      <c r="Y177" s="9">
        <v>3085714</v>
      </c>
      <c r="Z177" s="1" t="s">
        <v>22</v>
      </c>
      <c r="AA177" s="1">
        <v>47112</v>
      </c>
      <c r="AB177" t="s">
        <v>39</v>
      </c>
      <c r="AC177" t="e">
        <f>VLOOKUP(U177,Sheet1!$F$1:$F$39,1,FALSE)</f>
        <v>#N/A</v>
      </c>
      <c r="AD177">
        <f t="shared" si="2"/>
        <v>1</v>
      </c>
    </row>
    <row r="178" spans="1:30" ht="270.75" thickBot="1" x14ac:dyDescent="0.3">
      <c r="A178" s="5">
        <v>46310</v>
      </c>
      <c r="B178" s="1">
        <v>5309</v>
      </c>
      <c r="C178" s="1">
        <v>5309074001000100</v>
      </c>
      <c r="D178" s="1" t="s">
        <v>22</v>
      </c>
      <c r="E178" s="1">
        <v>47112</v>
      </c>
      <c r="F178" s="1" t="s">
        <v>645</v>
      </c>
      <c r="G178" s="1" t="s">
        <v>646</v>
      </c>
      <c r="H178" s="1" t="s">
        <v>647</v>
      </c>
      <c r="I178" s="6">
        <v>250000</v>
      </c>
      <c r="J178" s="6">
        <v>2000000</v>
      </c>
      <c r="K178" s="6">
        <v>1000000</v>
      </c>
      <c r="L178" s="6">
        <v>0</v>
      </c>
      <c r="M178" s="1">
        <v>200000</v>
      </c>
      <c r="N178" s="6">
        <v>10000000</v>
      </c>
      <c r="O178" s="6">
        <v>1000000</v>
      </c>
      <c r="P178" s="6">
        <v>6750000</v>
      </c>
      <c r="Q178" s="6">
        <v>17000000</v>
      </c>
      <c r="R178" s="6">
        <v>8000000</v>
      </c>
      <c r="S178" s="6">
        <v>0.2</v>
      </c>
      <c r="T178" s="6">
        <v>0.84375</v>
      </c>
      <c r="U178" s="1" t="s">
        <v>648</v>
      </c>
      <c r="V178" s="1"/>
      <c r="W178" s="1"/>
      <c r="X178" s="9">
        <v>1408000</v>
      </c>
      <c r="Y178" s="9">
        <v>352000</v>
      </c>
      <c r="Z178" s="1" t="s">
        <v>22</v>
      </c>
      <c r="AA178" s="1">
        <v>47112</v>
      </c>
      <c r="AB178" t="s">
        <v>39</v>
      </c>
      <c r="AC178" t="str">
        <f>VLOOKUP(U178,Sheet1!$F$1:$F$39,1,FALSE)</f>
        <v>https://fasih-sm.bps.go.id/app/assignment/fd68e454-ba45-4b85-8205-f3bf777ded24/9126d1b1-9515-4f81-84ce-9fb8b2e1fbd7</v>
      </c>
      <c r="AD178">
        <f t="shared" si="2"/>
        <v>0</v>
      </c>
    </row>
    <row r="179" spans="1:30" ht="270.75" thickBot="1" x14ac:dyDescent="0.3">
      <c r="A179" s="5">
        <v>46310</v>
      </c>
      <c r="B179" s="1">
        <v>5309</v>
      </c>
      <c r="C179" s="1">
        <v>5309073001001300</v>
      </c>
      <c r="D179" s="1" t="s">
        <v>22</v>
      </c>
      <c r="E179" s="1">
        <v>47212</v>
      </c>
      <c r="F179" s="1" t="s">
        <v>649</v>
      </c>
      <c r="G179" s="1" t="s">
        <v>504</v>
      </c>
      <c r="H179" s="1" t="s">
        <v>650</v>
      </c>
      <c r="I179" s="6">
        <v>0</v>
      </c>
      <c r="J179" s="6">
        <v>0</v>
      </c>
      <c r="K179" s="6">
        <v>100000</v>
      </c>
      <c r="L179" s="6">
        <v>0</v>
      </c>
      <c r="M179" s="1">
        <v>100000</v>
      </c>
      <c r="N179" s="6">
        <v>500000</v>
      </c>
      <c r="O179" s="6">
        <v>0</v>
      </c>
      <c r="P179" s="6">
        <v>400000</v>
      </c>
      <c r="Q179" s="6">
        <v>6500000</v>
      </c>
      <c r="R179" s="6">
        <v>500000</v>
      </c>
      <c r="S179" s="6">
        <v>0</v>
      </c>
      <c r="T179" s="6">
        <v>0.8</v>
      </c>
      <c r="U179" s="1" t="s">
        <v>651</v>
      </c>
      <c r="V179" s="1"/>
      <c r="W179" s="1"/>
      <c r="X179" s="9">
        <v>110000</v>
      </c>
      <c r="Y179" s="9">
        <v>0</v>
      </c>
      <c r="Z179" s="1" t="s">
        <v>22</v>
      </c>
      <c r="AA179" s="1">
        <v>47212</v>
      </c>
      <c r="AB179" t="s">
        <v>39</v>
      </c>
      <c r="AC179" t="str">
        <f>VLOOKUP(U179,Sheet1!$F$1:$F$39,1,FALSE)</f>
        <v>https://fasih-sm.bps.go.id/app/assignment/fd68e454-ba45-4b85-8205-f3bf777ded24/723a29fb-b326-40e3-98d4-b8a924b28eb1</v>
      </c>
      <c r="AD179">
        <f t="shared" si="2"/>
        <v>0</v>
      </c>
    </row>
    <row r="180" spans="1:30" ht="255.75" thickBot="1" x14ac:dyDescent="0.3">
      <c r="A180" s="5">
        <v>46310</v>
      </c>
      <c r="B180" s="1">
        <v>5309</v>
      </c>
      <c r="C180" s="1">
        <v>5309061008000900</v>
      </c>
      <c r="D180" s="1" t="s">
        <v>22</v>
      </c>
      <c r="E180" s="1">
        <v>47212</v>
      </c>
      <c r="F180" s="1" t="s">
        <v>652</v>
      </c>
      <c r="G180" s="1" t="s">
        <v>136</v>
      </c>
      <c r="H180" s="1" t="s">
        <v>653</v>
      </c>
      <c r="I180" s="6">
        <v>0</v>
      </c>
      <c r="J180" s="6">
        <v>0</v>
      </c>
      <c r="K180" s="6">
        <v>100000</v>
      </c>
      <c r="L180" s="6">
        <v>0</v>
      </c>
      <c r="M180" s="1">
        <v>100000</v>
      </c>
      <c r="N180" s="6">
        <v>2400000</v>
      </c>
      <c r="O180" s="6">
        <v>0</v>
      </c>
      <c r="P180" s="6">
        <v>2300000</v>
      </c>
      <c r="Q180" s="6">
        <v>0</v>
      </c>
      <c r="R180" s="6">
        <v>2400000</v>
      </c>
      <c r="S180" s="6">
        <v>0</v>
      </c>
      <c r="T180" s="6">
        <v>0.95833299999999999</v>
      </c>
      <c r="U180" s="1" t="s">
        <v>654</v>
      </c>
      <c r="V180" s="1"/>
      <c r="W180" s="1"/>
      <c r="X180" s="9">
        <v>528000</v>
      </c>
      <c r="Y180" s="9">
        <v>0</v>
      </c>
      <c r="Z180" s="1" t="s">
        <v>22</v>
      </c>
      <c r="AA180" s="1">
        <v>47212</v>
      </c>
      <c r="AB180" t="s">
        <v>39</v>
      </c>
      <c r="AC180" t="str">
        <f>VLOOKUP(U180,Sheet1!$F$1:$F$39,1,FALSE)</f>
        <v>https://fasih-sm.bps.go.id/app/assignment/fd68e454-ba45-4b85-8205-f3bf777ded24/db8813f6-ed6d-46f0-8a1f-83df768d62c3</v>
      </c>
      <c r="AD180">
        <f t="shared" si="2"/>
        <v>0</v>
      </c>
    </row>
    <row r="181" spans="1:30" ht="270.75" thickBot="1" x14ac:dyDescent="0.3">
      <c r="A181" s="5">
        <v>46310</v>
      </c>
      <c r="B181" s="1">
        <v>5309</v>
      </c>
      <c r="C181" s="1">
        <v>5309073001000300</v>
      </c>
      <c r="D181" s="1" t="s">
        <v>22</v>
      </c>
      <c r="E181" s="1">
        <v>47214</v>
      </c>
      <c r="F181" s="1" t="s">
        <v>655</v>
      </c>
      <c r="G181" s="1" t="s">
        <v>656</v>
      </c>
      <c r="H181" s="1" t="s">
        <v>657</v>
      </c>
      <c r="I181" s="6">
        <v>2500000</v>
      </c>
      <c r="J181" s="6">
        <v>1500000</v>
      </c>
      <c r="K181" s="6">
        <v>380000</v>
      </c>
      <c r="L181" s="6">
        <v>0</v>
      </c>
      <c r="M181" s="1">
        <v>4380000</v>
      </c>
      <c r="N181" s="6">
        <v>6780000</v>
      </c>
      <c r="O181" s="6">
        <v>0</v>
      </c>
      <c r="P181" s="6">
        <v>2400000</v>
      </c>
      <c r="Q181" s="6">
        <v>0</v>
      </c>
      <c r="R181" s="6">
        <v>5280000</v>
      </c>
      <c r="S181" s="6">
        <v>0.22123899999999999</v>
      </c>
      <c r="T181" s="6">
        <v>0.45454499999999998</v>
      </c>
      <c r="U181" s="1" t="s">
        <v>658</v>
      </c>
      <c r="V181" s="1"/>
      <c r="W181" s="1"/>
      <c r="X181" s="9">
        <v>250800</v>
      </c>
      <c r="Y181" s="9">
        <v>1650000</v>
      </c>
      <c r="Z181" s="1" t="s">
        <v>22</v>
      </c>
      <c r="AA181" s="1">
        <v>47214</v>
      </c>
      <c r="AB181" t="s">
        <v>39</v>
      </c>
      <c r="AC181" t="str">
        <f>VLOOKUP(U181,Sheet1!$F$1:$F$39,1,FALSE)</f>
        <v>https://fasih-sm.bps.go.id/app/assignment/fd68e454-ba45-4b85-8205-f3bf777ded24/81f24160-c681-4b3a-9fbe-65f2eb7c0b32</v>
      </c>
      <c r="AD181">
        <f t="shared" si="2"/>
        <v>0</v>
      </c>
    </row>
    <row r="182" spans="1:30" ht="270.75" thickBot="1" x14ac:dyDescent="0.3">
      <c r="A182" s="5">
        <v>46310</v>
      </c>
      <c r="B182" s="1">
        <v>5309</v>
      </c>
      <c r="C182" s="1">
        <v>5309030028000200</v>
      </c>
      <c r="D182" s="1" t="s">
        <v>22</v>
      </c>
      <c r="E182" s="1">
        <v>47242</v>
      </c>
      <c r="F182" s="1" t="s">
        <v>659</v>
      </c>
      <c r="G182" s="1" t="s">
        <v>660</v>
      </c>
      <c r="H182" s="1" t="s">
        <v>661</v>
      </c>
      <c r="I182" s="6">
        <v>0</v>
      </c>
      <c r="J182" s="6">
        <v>6000000</v>
      </c>
      <c r="K182" s="6">
        <v>6000000</v>
      </c>
      <c r="L182" s="6">
        <v>0</v>
      </c>
      <c r="M182" s="1">
        <v>6000000</v>
      </c>
      <c r="N182" s="6">
        <v>480000000</v>
      </c>
      <c r="O182" s="6">
        <v>0</v>
      </c>
      <c r="P182" s="6">
        <v>468000000</v>
      </c>
      <c r="Q182" s="6">
        <v>0</v>
      </c>
      <c r="R182" s="6">
        <v>474000000</v>
      </c>
      <c r="S182" s="6">
        <v>1.2500000000000001E-2</v>
      </c>
      <c r="T182" s="6">
        <v>0.98734200000000005</v>
      </c>
      <c r="U182" s="1" t="s">
        <v>662</v>
      </c>
      <c r="V182" s="1"/>
      <c r="W182" s="1"/>
      <c r="X182" s="9">
        <v>104280000</v>
      </c>
      <c r="Y182" s="9">
        <v>0</v>
      </c>
      <c r="Z182" s="1" t="s">
        <v>22</v>
      </c>
      <c r="AA182" s="1">
        <v>47242</v>
      </c>
      <c r="AB182" t="s">
        <v>39</v>
      </c>
      <c r="AC182" t="e">
        <f>VLOOKUP(U182,Sheet1!$F$1:$F$39,1,FALSE)</f>
        <v>#N/A</v>
      </c>
      <c r="AD182">
        <f t="shared" si="2"/>
        <v>1</v>
      </c>
    </row>
    <row r="183" spans="1:30" ht="270.75" thickBot="1" x14ac:dyDescent="0.3">
      <c r="A183" s="5">
        <v>46310</v>
      </c>
      <c r="B183" s="1">
        <v>5309</v>
      </c>
      <c r="C183" s="1">
        <v>5309021007000200</v>
      </c>
      <c r="D183" s="1" t="s">
        <v>22</v>
      </c>
      <c r="E183" s="1">
        <v>47243</v>
      </c>
      <c r="F183" s="1" t="s">
        <v>663</v>
      </c>
      <c r="G183" s="1" t="s">
        <v>664</v>
      </c>
      <c r="H183" s="1" t="s">
        <v>665</v>
      </c>
      <c r="I183" s="6">
        <v>300000</v>
      </c>
      <c r="J183" s="6">
        <v>2000000</v>
      </c>
      <c r="K183" s="6">
        <v>200000</v>
      </c>
      <c r="L183" s="6">
        <v>0</v>
      </c>
      <c r="M183" s="1">
        <v>2500000</v>
      </c>
      <c r="N183" s="6">
        <v>3000000</v>
      </c>
      <c r="O183" s="6">
        <v>0</v>
      </c>
      <c r="P183" s="6">
        <v>500000</v>
      </c>
      <c r="Q183" s="6">
        <v>2500000</v>
      </c>
      <c r="R183" s="6">
        <v>1000000</v>
      </c>
      <c r="S183" s="6">
        <v>0.66666700000000001</v>
      </c>
      <c r="T183" s="6">
        <v>0.5</v>
      </c>
      <c r="U183" s="1" t="s">
        <v>666</v>
      </c>
      <c r="V183" s="1"/>
      <c r="W183" s="1"/>
      <c r="X183" s="9">
        <v>144000</v>
      </c>
      <c r="Y183" s="9">
        <v>216000</v>
      </c>
      <c r="Z183" s="1" t="s">
        <v>22</v>
      </c>
      <c r="AA183" s="1">
        <v>47243</v>
      </c>
      <c r="AB183" t="s">
        <v>39</v>
      </c>
      <c r="AC183" t="e">
        <f>VLOOKUP(U183,Sheet1!$F$1:$F$39,1,FALSE)</f>
        <v>#N/A</v>
      </c>
      <c r="AD183">
        <f t="shared" si="2"/>
        <v>1</v>
      </c>
    </row>
    <row r="184" spans="1:30" ht="270.75" thickBot="1" x14ac:dyDescent="0.3">
      <c r="A184" s="5">
        <v>46310</v>
      </c>
      <c r="B184" s="1">
        <v>5309</v>
      </c>
      <c r="C184" s="1">
        <v>5309072007000800</v>
      </c>
      <c r="D184" s="1" t="s">
        <v>22</v>
      </c>
      <c r="E184" s="1">
        <v>47243</v>
      </c>
      <c r="F184" s="1" t="s">
        <v>668</v>
      </c>
      <c r="G184" s="1" t="s">
        <v>669</v>
      </c>
      <c r="H184" s="1" t="s">
        <v>670</v>
      </c>
      <c r="I184" s="6">
        <v>100000</v>
      </c>
      <c r="J184" s="6">
        <v>200000</v>
      </c>
      <c r="K184" s="6">
        <v>0</v>
      </c>
      <c r="L184" s="6">
        <v>0</v>
      </c>
      <c r="M184" s="1">
        <v>300000</v>
      </c>
      <c r="N184" s="6">
        <v>900000</v>
      </c>
      <c r="O184" s="6">
        <v>0</v>
      </c>
      <c r="P184" s="6">
        <v>600000</v>
      </c>
      <c r="Q184" s="6">
        <v>500000</v>
      </c>
      <c r="R184" s="6">
        <v>700000</v>
      </c>
      <c r="S184" s="6">
        <v>0.222222</v>
      </c>
      <c r="T184" s="6">
        <v>0.85714299999999999</v>
      </c>
      <c r="U184" s="1" t="s">
        <v>671</v>
      </c>
      <c r="V184" s="1"/>
      <c r="W184" s="1"/>
      <c r="X184" s="9">
        <v>0</v>
      </c>
      <c r="Y184" s="9">
        <v>154000</v>
      </c>
      <c r="Z184" s="1" t="s">
        <v>22</v>
      </c>
      <c r="AA184" s="1">
        <v>47243</v>
      </c>
      <c r="AB184" t="s">
        <v>39</v>
      </c>
      <c r="AC184" t="str">
        <f>VLOOKUP(U184,Sheet1!$F$1:$F$39,1,FALSE)</f>
        <v>https://fasih-sm.bps.go.id/app/assignment/fd68e454-ba45-4b85-8205-f3bf777ded24/fc0075cf-e366-442c-9bcf-3f677dd08781</v>
      </c>
      <c r="AD184">
        <f t="shared" si="2"/>
        <v>0</v>
      </c>
    </row>
    <row r="185" spans="1:30" ht="255.75" thickBot="1" x14ac:dyDescent="0.3">
      <c r="A185" s="5">
        <v>46310</v>
      </c>
      <c r="B185" s="1">
        <v>5309</v>
      </c>
      <c r="C185" s="1">
        <v>5309070004000700</v>
      </c>
      <c r="D185" s="1" t="s">
        <v>22</v>
      </c>
      <c r="E185" s="1">
        <v>47301</v>
      </c>
      <c r="F185" s="1" t="s">
        <v>674</v>
      </c>
      <c r="G185" s="1" t="s">
        <v>675</v>
      </c>
      <c r="H185" s="1" t="s">
        <v>675</v>
      </c>
      <c r="I185" s="6">
        <v>3300000</v>
      </c>
      <c r="J185" s="6">
        <v>0</v>
      </c>
      <c r="K185" s="6">
        <v>0</v>
      </c>
      <c r="L185" s="6">
        <v>0</v>
      </c>
      <c r="M185" s="1">
        <v>19000000</v>
      </c>
      <c r="N185" s="6">
        <v>5050000</v>
      </c>
      <c r="O185" s="6">
        <v>0</v>
      </c>
      <c r="P185" s="6">
        <v>1750000</v>
      </c>
      <c r="Q185" s="6">
        <v>150000</v>
      </c>
      <c r="R185" s="6">
        <v>5050000</v>
      </c>
      <c r="S185" s="6">
        <v>0</v>
      </c>
      <c r="T185" s="6">
        <v>0.34653499999999998</v>
      </c>
      <c r="U185" s="1" t="s">
        <v>676</v>
      </c>
      <c r="V185" s="1"/>
      <c r="W185" s="1"/>
      <c r="X185" s="9">
        <v>0</v>
      </c>
      <c r="Y185" s="9">
        <v>1818000</v>
      </c>
      <c r="Z185" s="1" t="s">
        <v>22</v>
      </c>
      <c r="AA185" s="1">
        <v>47301</v>
      </c>
      <c r="AB185" t="s">
        <v>39</v>
      </c>
      <c r="AC185" t="e">
        <f>VLOOKUP(U185,Sheet1!$F$1:$F$39,1,FALSE)</f>
        <v>#N/A</v>
      </c>
      <c r="AD185">
        <f t="shared" si="2"/>
        <v>1</v>
      </c>
    </row>
    <row r="186" spans="1:30" ht="270.75" thickBot="1" x14ac:dyDescent="0.3">
      <c r="A186" s="5">
        <v>46310</v>
      </c>
      <c r="B186" s="1">
        <v>5309</v>
      </c>
      <c r="C186" s="1">
        <v>5309030011000100</v>
      </c>
      <c r="D186" s="1" t="s">
        <v>22</v>
      </c>
      <c r="E186" s="1">
        <v>47301</v>
      </c>
      <c r="F186" s="1" t="s">
        <v>677</v>
      </c>
      <c r="G186" s="1" t="s">
        <v>672</v>
      </c>
      <c r="H186" s="1" t="s">
        <v>673</v>
      </c>
      <c r="I186" s="6">
        <v>5500000</v>
      </c>
      <c r="J186" s="6">
        <v>1000000</v>
      </c>
      <c r="K186" s="6">
        <v>350000</v>
      </c>
      <c r="L186" s="6">
        <v>0</v>
      </c>
      <c r="M186" s="1">
        <v>6850000</v>
      </c>
      <c r="N186" s="6">
        <v>7500000</v>
      </c>
      <c r="O186" s="6">
        <v>0</v>
      </c>
      <c r="P186" s="6">
        <v>650000</v>
      </c>
      <c r="Q186" s="6">
        <v>85000000</v>
      </c>
      <c r="R186" s="6">
        <v>6500000</v>
      </c>
      <c r="S186" s="6">
        <v>0.13333300000000001</v>
      </c>
      <c r="T186" s="6">
        <v>0.1</v>
      </c>
      <c r="U186" s="1" t="s">
        <v>678</v>
      </c>
      <c r="V186" s="1"/>
      <c r="W186" s="1"/>
      <c r="X186" s="9">
        <v>140000</v>
      </c>
      <c r="Y186" s="9">
        <v>2200000</v>
      </c>
      <c r="Z186" s="1" t="s">
        <v>22</v>
      </c>
      <c r="AA186" s="1">
        <v>47301</v>
      </c>
      <c r="AB186" t="s">
        <v>39</v>
      </c>
      <c r="AC186" t="e">
        <f>VLOOKUP(U186,Sheet1!$F$1:$F$39,1,FALSE)</f>
        <v>#N/A</v>
      </c>
      <c r="AD186">
        <f t="shared" si="2"/>
        <v>1</v>
      </c>
    </row>
    <row r="187" spans="1:30" ht="270.75" thickBot="1" x14ac:dyDescent="0.3">
      <c r="A187" s="5">
        <v>46310</v>
      </c>
      <c r="B187" s="1">
        <v>5309</v>
      </c>
      <c r="C187" s="1">
        <v>5309030024000100</v>
      </c>
      <c r="D187" s="1" t="s">
        <v>22</v>
      </c>
      <c r="E187" s="1">
        <v>47301</v>
      </c>
      <c r="F187" s="1" t="s">
        <v>679</v>
      </c>
      <c r="G187" s="1" t="s">
        <v>680</v>
      </c>
      <c r="H187" s="1" t="s">
        <v>681</v>
      </c>
      <c r="I187" s="6">
        <v>0</v>
      </c>
      <c r="J187" s="6">
        <v>13200000</v>
      </c>
      <c r="K187" s="6">
        <v>264000</v>
      </c>
      <c r="L187" s="6">
        <v>0</v>
      </c>
      <c r="M187" s="1">
        <v>13464000</v>
      </c>
      <c r="N187" s="6">
        <v>24000000</v>
      </c>
      <c r="O187" s="6">
        <v>0</v>
      </c>
      <c r="P187" s="6">
        <v>10536000</v>
      </c>
      <c r="Q187" s="6">
        <v>18000000</v>
      </c>
      <c r="R187" s="6">
        <v>10800000</v>
      </c>
      <c r="S187" s="6">
        <v>0.55000000000000004</v>
      </c>
      <c r="T187" s="6">
        <v>0.97555599999999998</v>
      </c>
      <c r="U187" s="1" t="s">
        <v>682</v>
      </c>
      <c r="V187" s="1"/>
      <c r="W187" s="1"/>
      <c r="X187" s="9">
        <v>2376000</v>
      </c>
      <c r="Y187" s="9">
        <v>0</v>
      </c>
      <c r="Z187" s="1" t="s">
        <v>22</v>
      </c>
      <c r="AA187" s="1">
        <v>47301</v>
      </c>
      <c r="AB187" t="s">
        <v>39</v>
      </c>
      <c r="AC187" t="e">
        <f>VLOOKUP(U187,Sheet1!$F$1:$F$39,1,FALSE)</f>
        <v>#N/A</v>
      </c>
      <c r="AD187">
        <f t="shared" si="2"/>
        <v>1</v>
      </c>
    </row>
    <row r="188" spans="1:30" ht="270.75" thickBot="1" x14ac:dyDescent="0.3">
      <c r="A188" s="5">
        <v>46310</v>
      </c>
      <c r="B188" s="1">
        <v>5309</v>
      </c>
      <c r="C188" s="1">
        <v>5309030027001500</v>
      </c>
      <c r="D188" s="1" t="s">
        <v>22</v>
      </c>
      <c r="E188" s="1">
        <v>47302</v>
      </c>
      <c r="F188" s="1" t="s">
        <v>683</v>
      </c>
      <c r="G188" s="1" t="s">
        <v>684</v>
      </c>
      <c r="H188" s="1" t="s">
        <v>684</v>
      </c>
      <c r="I188" s="6">
        <v>0</v>
      </c>
      <c r="J188" s="6">
        <v>2000000</v>
      </c>
      <c r="K188" s="6">
        <v>200000</v>
      </c>
      <c r="L188" s="6">
        <v>0</v>
      </c>
      <c r="M188" s="1">
        <v>2200000</v>
      </c>
      <c r="N188" s="6">
        <v>3000000</v>
      </c>
      <c r="O188" s="6">
        <v>0</v>
      </c>
      <c r="P188" s="6">
        <v>800000</v>
      </c>
      <c r="Q188" s="6">
        <v>50000</v>
      </c>
      <c r="R188" s="6">
        <v>1000000</v>
      </c>
      <c r="S188" s="6">
        <v>0.66666700000000001</v>
      </c>
      <c r="T188" s="6">
        <v>0.8</v>
      </c>
      <c r="U188" s="1" t="s">
        <v>685</v>
      </c>
      <c r="V188" s="1"/>
      <c r="W188" s="1"/>
      <c r="X188" s="9">
        <v>220000</v>
      </c>
      <c r="Y188" s="9">
        <v>0</v>
      </c>
      <c r="Z188" s="1" t="s">
        <v>22</v>
      </c>
      <c r="AA188" s="1">
        <v>47302</v>
      </c>
      <c r="AB188" t="s">
        <v>39</v>
      </c>
      <c r="AC188" t="e">
        <f>VLOOKUP(U188,Sheet1!$F$1:$F$39,1,FALSE)</f>
        <v>#N/A</v>
      </c>
      <c r="AD188">
        <f t="shared" si="2"/>
        <v>1</v>
      </c>
    </row>
    <row r="189" spans="1:30" ht="270.75" thickBot="1" x14ac:dyDescent="0.3">
      <c r="A189" s="5">
        <v>46310</v>
      </c>
      <c r="B189" s="1">
        <v>5309</v>
      </c>
      <c r="C189" s="1">
        <v>5309070006000100</v>
      </c>
      <c r="D189" s="1" t="s">
        <v>22</v>
      </c>
      <c r="E189" s="1">
        <v>47302</v>
      </c>
      <c r="F189" s="1" t="s">
        <v>686</v>
      </c>
      <c r="G189" s="1" t="s">
        <v>181</v>
      </c>
      <c r="H189" s="1" t="s">
        <v>687</v>
      </c>
      <c r="I189" s="6">
        <v>0</v>
      </c>
      <c r="J189" s="6">
        <v>32680000</v>
      </c>
      <c r="K189" s="6">
        <v>7200000</v>
      </c>
      <c r="L189" s="6">
        <v>2000000</v>
      </c>
      <c r="M189" s="1">
        <v>24680000</v>
      </c>
      <c r="N189" s="6">
        <v>50000000</v>
      </c>
      <c r="O189" s="6">
        <v>0</v>
      </c>
      <c r="P189" s="6">
        <v>10120000</v>
      </c>
      <c r="Q189" s="6">
        <v>1500000</v>
      </c>
      <c r="R189" s="6">
        <v>17320000</v>
      </c>
      <c r="S189" s="6">
        <v>0.65359999999999996</v>
      </c>
      <c r="T189" s="6">
        <v>0.58429600000000004</v>
      </c>
      <c r="U189" s="1" t="s">
        <v>688</v>
      </c>
      <c r="V189" s="1"/>
      <c r="W189" s="1"/>
      <c r="X189" s="9">
        <v>6235200</v>
      </c>
      <c r="Y189" s="9">
        <v>0</v>
      </c>
      <c r="Z189" s="1" t="s">
        <v>22</v>
      </c>
      <c r="AA189" s="1">
        <v>47302</v>
      </c>
      <c r="AB189" t="s">
        <v>39</v>
      </c>
      <c r="AC189" t="e">
        <f>VLOOKUP(U189,Sheet1!$F$1:$F$39,1,FALSE)</f>
        <v>#N/A</v>
      </c>
      <c r="AD189">
        <f t="shared" si="2"/>
        <v>1</v>
      </c>
    </row>
    <row r="190" spans="1:30" ht="270.75" thickBot="1" x14ac:dyDescent="0.3">
      <c r="A190" s="5">
        <v>46310</v>
      </c>
      <c r="B190" s="1">
        <v>5309</v>
      </c>
      <c r="C190" s="1">
        <v>5309073002001600</v>
      </c>
      <c r="D190" s="1" t="s">
        <v>22</v>
      </c>
      <c r="E190" s="1">
        <v>47302</v>
      </c>
      <c r="F190" s="1" t="s">
        <v>689</v>
      </c>
      <c r="G190" s="1" t="s">
        <v>690</v>
      </c>
      <c r="H190" s="1" t="s">
        <v>691</v>
      </c>
      <c r="I190" s="6">
        <v>0</v>
      </c>
      <c r="J190" s="6">
        <v>8800000</v>
      </c>
      <c r="K190" s="6">
        <v>25000</v>
      </c>
      <c r="L190" s="6">
        <v>0</v>
      </c>
      <c r="M190" s="1">
        <v>8825000</v>
      </c>
      <c r="N190" s="6">
        <v>10670000</v>
      </c>
      <c r="O190" s="6">
        <v>0</v>
      </c>
      <c r="P190" s="6">
        <v>1845000</v>
      </c>
      <c r="Q190" s="6">
        <v>1100000</v>
      </c>
      <c r="R190" s="6">
        <v>1870000</v>
      </c>
      <c r="S190" s="6">
        <v>0.82474199999999998</v>
      </c>
      <c r="T190" s="6">
        <v>0.98663100000000004</v>
      </c>
      <c r="U190" s="1" t="s">
        <v>692</v>
      </c>
      <c r="V190" s="1"/>
      <c r="W190" s="1"/>
      <c r="X190" s="9">
        <v>411400</v>
      </c>
      <c r="Y190" s="9">
        <v>0</v>
      </c>
      <c r="Z190" s="1" t="s">
        <v>22</v>
      </c>
      <c r="AA190" s="1">
        <v>47302</v>
      </c>
      <c r="AB190" t="s">
        <v>39</v>
      </c>
      <c r="AC190" t="e">
        <f>VLOOKUP(U190,Sheet1!$F$1:$F$39,1,FALSE)</f>
        <v>#N/A</v>
      </c>
      <c r="AD190">
        <f t="shared" si="2"/>
        <v>1</v>
      </c>
    </row>
    <row r="191" spans="1:30" ht="270.75" thickBot="1" x14ac:dyDescent="0.3">
      <c r="A191" s="5">
        <v>46310</v>
      </c>
      <c r="B191" s="1">
        <v>5309</v>
      </c>
      <c r="C191" s="1">
        <v>5309060040000500</v>
      </c>
      <c r="D191" s="1" t="s">
        <v>22</v>
      </c>
      <c r="E191" s="1">
        <v>47303</v>
      </c>
      <c r="F191" s="1" t="s">
        <v>693</v>
      </c>
      <c r="G191" s="1" t="s">
        <v>591</v>
      </c>
      <c r="H191" s="1" t="s">
        <v>694</v>
      </c>
      <c r="I191" s="6">
        <v>0</v>
      </c>
      <c r="J191" s="6">
        <v>5000000</v>
      </c>
      <c r="K191" s="6">
        <v>200000</v>
      </c>
      <c r="L191" s="6">
        <v>0</v>
      </c>
      <c r="M191" s="1">
        <v>300000</v>
      </c>
      <c r="N191" s="6">
        <v>6000000</v>
      </c>
      <c r="O191" s="6">
        <v>0</v>
      </c>
      <c r="P191" s="6">
        <v>800000</v>
      </c>
      <c r="Q191" s="6">
        <v>400000</v>
      </c>
      <c r="R191" s="6">
        <v>1000000</v>
      </c>
      <c r="S191" s="6">
        <v>0.83333299999999999</v>
      </c>
      <c r="T191" s="6">
        <v>0.8</v>
      </c>
      <c r="U191" s="1" t="s">
        <v>695</v>
      </c>
      <c r="V191" s="1"/>
      <c r="W191" s="1"/>
      <c r="X191" s="9">
        <v>220000</v>
      </c>
      <c r="Y191" s="9">
        <v>0</v>
      </c>
      <c r="Z191" s="1" t="s">
        <v>22</v>
      </c>
      <c r="AA191" s="1">
        <v>47303</v>
      </c>
      <c r="AB191" t="s">
        <v>39</v>
      </c>
      <c r="AC191" t="str">
        <f>VLOOKUP(U191,Sheet1!$F$1:$F$39,1,FALSE)</f>
        <v>https://fasih-sm.bps.go.id/app/assignment/fd68e454-ba45-4b85-8205-f3bf777ded24/e490c599-564d-469c-8b02-dcb91c10ad89</v>
      </c>
      <c r="AD191">
        <f t="shared" si="2"/>
        <v>0</v>
      </c>
    </row>
    <row r="192" spans="1:30" ht="270.75" thickBot="1" x14ac:dyDescent="0.3">
      <c r="A192" s="5">
        <v>46310</v>
      </c>
      <c r="B192" s="1">
        <v>5309</v>
      </c>
      <c r="C192" s="1">
        <v>5309030021000900</v>
      </c>
      <c r="D192" s="1" t="s">
        <v>22</v>
      </c>
      <c r="E192" s="1">
        <v>47512</v>
      </c>
      <c r="F192" s="1" t="s">
        <v>696</v>
      </c>
      <c r="G192" s="1" t="s">
        <v>697</v>
      </c>
      <c r="H192" s="1" t="s">
        <v>698</v>
      </c>
      <c r="I192" s="6">
        <v>0</v>
      </c>
      <c r="J192" s="6">
        <v>5000000</v>
      </c>
      <c r="K192" s="6">
        <v>0</v>
      </c>
      <c r="L192" s="6">
        <v>0</v>
      </c>
      <c r="M192" s="1">
        <v>5000000</v>
      </c>
      <c r="N192" s="6">
        <v>5500000</v>
      </c>
      <c r="O192" s="6">
        <v>0</v>
      </c>
      <c r="P192" s="6">
        <v>500000</v>
      </c>
      <c r="Q192" s="6">
        <v>20000000</v>
      </c>
      <c r="R192" s="6">
        <v>500000</v>
      </c>
      <c r="S192" s="6">
        <v>0.90909099999999998</v>
      </c>
      <c r="T192" s="6">
        <v>1</v>
      </c>
      <c r="U192" s="1" t="s">
        <v>699</v>
      </c>
      <c r="V192" s="1"/>
      <c r="W192" s="1"/>
      <c r="X192" s="9">
        <v>110000</v>
      </c>
      <c r="Y192" s="9">
        <v>0</v>
      </c>
      <c r="Z192" s="1" t="s">
        <v>22</v>
      </c>
      <c r="AA192" s="1">
        <v>47512</v>
      </c>
      <c r="AB192" t="s">
        <v>39</v>
      </c>
      <c r="AC192" t="e">
        <f>VLOOKUP(U192,Sheet1!$F$1:$F$39,1,FALSE)</f>
        <v>#N/A</v>
      </c>
      <c r="AD192">
        <f t="shared" si="2"/>
        <v>1</v>
      </c>
    </row>
    <row r="193" spans="1:30" ht="270.75" thickBot="1" x14ac:dyDescent="0.3">
      <c r="A193" s="5">
        <v>46310</v>
      </c>
      <c r="B193" s="1">
        <v>5309</v>
      </c>
      <c r="C193" s="1">
        <v>5309050017000100</v>
      </c>
      <c r="D193" s="1" t="s">
        <v>22</v>
      </c>
      <c r="E193" s="1">
        <v>47521</v>
      </c>
      <c r="F193" s="1" t="s">
        <v>700</v>
      </c>
      <c r="G193" s="1" t="s">
        <v>161</v>
      </c>
      <c r="H193" s="1" t="s">
        <v>701</v>
      </c>
      <c r="I193" s="6">
        <v>500000</v>
      </c>
      <c r="J193" s="6">
        <v>0</v>
      </c>
      <c r="K193" s="6">
        <v>0</v>
      </c>
      <c r="L193" s="6">
        <v>250000</v>
      </c>
      <c r="M193" s="1">
        <v>1450000</v>
      </c>
      <c r="N193" s="6">
        <v>7000000</v>
      </c>
      <c r="O193" s="6">
        <v>0</v>
      </c>
      <c r="P193" s="6">
        <v>6500000</v>
      </c>
      <c r="Q193" s="6">
        <v>0</v>
      </c>
      <c r="R193" s="6">
        <v>7000000</v>
      </c>
      <c r="S193" s="6">
        <v>0</v>
      </c>
      <c r="T193" s="6">
        <v>0.92857100000000004</v>
      </c>
      <c r="U193" s="1" t="s">
        <v>702</v>
      </c>
      <c r="V193" s="1"/>
      <c r="W193" s="1"/>
      <c r="X193" s="9">
        <v>0</v>
      </c>
      <c r="Y193" s="9">
        <v>1540000</v>
      </c>
      <c r="Z193" s="1" t="s">
        <v>22</v>
      </c>
      <c r="AA193" s="1">
        <v>47521</v>
      </c>
      <c r="AB193" t="s">
        <v>39</v>
      </c>
      <c r="AC193" t="e">
        <f>VLOOKUP(U193,Sheet1!$F$1:$F$39,1,FALSE)</f>
        <v>#N/A</v>
      </c>
      <c r="AD193">
        <f t="shared" si="2"/>
        <v>1</v>
      </c>
    </row>
    <row r="194" spans="1:30" ht="270.75" thickBot="1" x14ac:dyDescent="0.3">
      <c r="A194" s="5">
        <v>46310</v>
      </c>
      <c r="B194" s="1">
        <v>5309</v>
      </c>
      <c r="C194" s="1">
        <v>5309062002000700</v>
      </c>
      <c r="D194" s="1" t="s">
        <v>22</v>
      </c>
      <c r="E194" s="1">
        <v>47521</v>
      </c>
      <c r="F194" s="1" t="s">
        <v>703</v>
      </c>
      <c r="G194" s="1" t="s">
        <v>138</v>
      </c>
      <c r="H194" s="1" t="s">
        <v>704</v>
      </c>
      <c r="I194" s="6">
        <v>100000</v>
      </c>
      <c r="J194" s="6">
        <v>8000000</v>
      </c>
      <c r="K194" s="6">
        <v>1000000</v>
      </c>
      <c r="L194" s="6">
        <v>0</v>
      </c>
      <c r="M194" s="1">
        <v>1150000</v>
      </c>
      <c r="N194" s="6">
        <v>20000000</v>
      </c>
      <c r="O194" s="6">
        <v>0</v>
      </c>
      <c r="P194" s="6">
        <v>10900000</v>
      </c>
      <c r="Q194" s="6">
        <v>1200000</v>
      </c>
      <c r="R194" s="6">
        <v>12000000</v>
      </c>
      <c r="S194" s="6">
        <v>0.4</v>
      </c>
      <c r="T194" s="6">
        <v>0.90833299999999995</v>
      </c>
      <c r="U194" s="1" t="s">
        <v>705</v>
      </c>
      <c r="V194" s="1"/>
      <c r="W194" s="1"/>
      <c r="X194" s="9">
        <v>2400000</v>
      </c>
      <c r="Y194" s="9">
        <v>240000</v>
      </c>
      <c r="Z194" s="1" t="s">
        <v>22</v>
      </c>
      <c r="AA194" s="1">
        <v>47521</v>
      </c>
      <c r="AB194" t="s">
        <v>39</v>
      </c>
      <c r="AC194" t="e">
        <f>VLOOKUP(U194,Sheet1!$F$1:$F$39,1,FALSE)</f>
        <v>#N/A</v>
      </c>
      <c r="AD194">
        <f t="shared" si="2"/>
        <v>1</v>
      </c>
    </row>
    <row r="195" spans="1:30" ht="270.75" thickBot="1" x14ac:dyDescent="0.3">
      <c r="A195" s="5">
        <v>46310</v>
      </c>
      <c r="B195" s="1">
        <v>5309</v>
      </c>
      <c r="C195" s="1">
        <v>5309050014000900</v>
      </c>
      <c r="D195" s="1" t="s">
        <v>22</v>
      </c>
      <c r="E195" s="1">
        <v>47592</v>
      </c>
      <c r="F195" s="1" t="s">
        <v>706</v>
      </c>
      <c r="G195" s="1" t="s">
        <v>707</v>
      </c>
      <c r="H195" s="1" t="s">
        <v>708</v>
      </c>
      <c r="I195" s="6">
        <v>0</v>
      </c>
      <c r="J195" s="6">
        <v>36000000</v>
      </c>
      <c r="K195" s="6">
        <v>1000000</v>
      </c>
      <c r="L195" s="6">
        <v>0</v>
      </c>
      <c r="M195" s="1">
        <v>37000000</v>
      </c>
      <c r="N195" s="6">
        <v>54000000</v>
      </c>
      <c r="O195" s="6">
        <v>0</v>
      </c>
      <c r="P195" s="6">
        <v>17000000</v>
      </c>
      <c r="Q195" s="6">
        <v>1500000</v>
      </c>
      <c r="R195" s="6">
        <v>18000000</v>
      </c>
      <c r="S195" s="6">
        <v>0.66666700000000001</v>
      </c>
      <c r="T195" s="6">
        <v>0.94444399999999995</v>
      </c>
      <c r="U195" s="1" t="s">
        <v>709</v>
      </c>
      <c r="V195" s="1"/>
      <c r="W195" s="1"/>
      <c r="X195" s="9">
        <v>3960000</v>
      </c>
      <c r="Y195" s="9">
        <v>0</v>
      </c>
      <c r="Z195" s="1" t="s">
        <v>22</v>
      </c>
      <c r="AA195" s="1">
        <v>47592</v>
      </c>
      <c r="AB195" t="s">
        <v>39</v>
      </c>
      <c r="AC195" t="e">
        <f>VLOOKUP(U195,Sheet1!$F$1:$F$39,1,FALSE)</f>
        <v>#N/A</v>
      </c>
      <c r="AD195">
        <f t="shared" si="2"/>
        <v>1</v>
      </c>
    </row>
    <row r="196" spans="1:30" ht="270.75" thickBot="1" x14ac:dyDescent="0.3">
      <c r="A196" s="5">
        <v>46310</v>
      </c>
      <c r="B196" s="1">
        <v>5309</v>
      </c>
      <c r="C196" s="1">
        <v>5309041006000100</v>
      </c>
      <c r="D196" s="1" t="s">
        <v>22</v>
      </c>
      <c r="E196" s="1">
        <v>47592</v>
      </c>
      <c r="F196" s="1" t="s">
        <v>710</v>
      </c>
      <c r="G196" s="1" t="s">
        <v>711</v>
      </c>
      <c r="H196" s="1" t="s">
        <v>712</v>
      </c>
      <c r="I196" s="6">
        <v>100000</v>
      </c>
      <c r="J196" s="6">
        <v>15000000</v>
      </c>
      <c r="K196" s="6">
        <v>1000000</v>
      </c>
      <c r="L196" s="6">
        <v>0</v>
      </c>
      <c r="M196" s="1">
        <v>16100000</v>
      </c>
      <c r="N196" s="6">
        <v>18000000</v>
      </c>
      <c r="O196" s="6">
        <v>0</v>
      </c>
      <c r="P196" s="6">
        <v>1900000</v>
      </c>
      <c r="Q196" s="6">
        <v>5000000</v>
      </c>
      <c r="R196" s="6">
        <v>3000000</v>
      </c>
      <c r="S196" s="6">
        <v>0.83333299999999999</v>
      </c>
      <c r="T196" s="6">
        <v>0.63333300000000003</v>
      </c>
      <c r="U196" s="1" t="s">
        <v>713</v>
      </c>
      <c r="V196" s="1"/>
      <c r="W196" s="1"/>
      <c r="X196" s="9">
        <v>981818</v>
      </c>
      <c r="Y196" s="9">
        <v>98182</v>
      </c>
      <c r="Z196" s="1" t="s">
        <v>22</v>
      </c>
      <c r="AA196" s="1">
        <v>47592</v>
      </c>
      <c r="AB196" t="s">
        <v>39</v>
      </c>
      <c r="AC196" t="e">
        <f>VLOOKUP(U196,Sheet1!$F$1:$F$39,1,FALSE)</f>
        <v>#N/A</v>
      </c>
      <c r="AD196">
        <f t="shared" si="2"/>
        <v>1</v>
      </c>
    </row>
    <row r="197" spans="1:30" ht="270.75" thickBot="1" x14ac:dyDescent="0.3">
      <c r="A197" s="5">
        <v>46310</v>
      </c>
      <c r="B197" s="1">
        <v>5309</v>
      </c>
      <c r="C197" s="1">
        <v>5309030021000700</v>
      </c>
      <c r="D197" s="1" t="s">
        <v>22</v>
      </c>
      <c r="E197" s="1">
        <v>47593</v>
      </c>
      <c r="F197" s="1" t="s">
        <v>714</v>
      </c>
      <c r="G197" s="1" t="s">
        <v>715</v>
      </c>
      <c r="H197" s="1" t="s">
        <v>715</v>
      </c>
      <c r="I197" s="6">
        <v>168000</v>
      </c>
      <c r="J197" s="6">
        <v>10000000</v>
      </c>
      <c r="K197" s="6">
        <v>1500000</v>
      </c>
      <c r="L197" s="6">
        <v>1080000</v>
      </c>
      <c r="M197" s="1">
        <v>18988000</v>
      </c>
      <c r="N197" s="6">
        <v>40000000</v>
      </c>
      <c r="O197" s="6">
        <v>0</v>
      </c>
      <c r="P197" s="6">
        <v>28332000</v>
      </c>
      <c r="Q197" s="6">
        <v>20000000</v>
      </c>
      <c r="R197" s="6">
        <v>30000000</v>
      </c>
      <c r="S197" s="6">
        <v>0.25</v>
      </c>
      <c r="T197" s="6">
        <v>0.94440000000000002</v>
      </c>
      <c r="U197" s="1" t="s">
        <v>716</v>
      </c>
      <c r="V197" s="1"/>
      <c r="W197" s="1"/>
      <c r="X197" s="9">
        <v>5935252</v>
      </c>
      <c r="Y197" s="9">
        <v>664748</v>
      </c>
      <c r="Z197" s="1" t="s">
        <v>22</v>
      </c>
      <c r="AA197" s="1">
        <v>47593</v>
      </c>
      <c r="AB197" t="s">
        <v>39</v>
      </c>
      <c r="AC197" t="e">
        <f>VLOOKUP(U197,Sheet1!$F$1:$F$39,1,FALSE)</f>
        <v>#N/A</v>
      </c>
      <c r="AD197">
        <f t="shared" ref="AD197:AD260" si="3">IF(ISNA(AC197),1,0)</f>
        <v>1</v>
      </c>
    </row>
    <row r="198" spans="1:30" ht="270.75" thickBot="1" x14ac:dyDescent="0.3">
      <c r="A198" s="5">
        <v>46310</v>
      </c>
      <c r="B198" s="1">
        <v>5309</v>
      </c>
      <c r="C198" s="1">
        <v>5309030021000700</v>
      </c>
      <c r="D198" s="1" t="s">
        <v>22</v>
      </c>
      <c r="E198" s="1">
        <v>47593</v>
      </c>
      <c r="F198" s="1" t="s">
        <v>717</v>
      </c>
      <c r="G198" s="1" t="s">
        <v>718</v>
      </c>
      <c r="H198" s="1" t="s">
        <v>718</v>
      </c>
      <c r="I198" s="6">
        <v>0</v>
      </c>
      <c r="J198" s="6">
        <v>500000</v>
      </c>
      <c r="K198" s="6">
        <v>1080000</v>
      </c>
      <c r="L198" s="6">
        <v>0</v>
      </c>
      <c r="M198" s="1">
        <v>1580000</v>
      </c>
      <c r="N198" s="6">
        <v>1000000</v>
      </c>
      <c r="O198" s="6">
        <v>0</v>
      </c>
      <c r="P198" s="6">
        <v>-580000</v>
      </c>
      <c r="Q198" s="6">
        <v>30000000</v>
      </c>
      <c r="R198" s="6">
        <v>500000</v>
      </c>
      <c r="S198" s="6">
        <v>0.5</v>
      </c>
      <c r="T198" s="6">
        <v>-1.1599999999999999</v>
      </c>
      <c r="U198" s="1" t="s">
        <v>719</v>
      </c>
      <c r="V198" s="1"/>
      <c r="W198" s="1"/>
      <c r="X198" s="9">
        <v>180000</v>
      </c>
      <c r="Y198" s="9">
        <v>0</v>
      </c>
      <c r="Z198" s="1" t="s">
        <v>22</v>
      </c>
      <c r="AA198" s="1">
        <v>47593</v>
      </c>
      <c r="AB198" t="s">
        <v>39</v>
      </c>
      <c r="AC198" t="e">
        <f>VLOOKUP(U198,Sheet1!$F$1:$F$39,1,FALSE)</f>
        <v>#N/A</v>
      </c>
      <c r="AD198">
        <f t="shared" si="3"/>
        <v>1</v>
      </c>
    </row>
    <row r="199" spans="1:30" ht="270.75" thickBot="1" x14ac:dyDescent="0.3">
      <c r="A199" s="5">
        <v>46310</v>
      </c>
      <c r="B199" s="1">
        <v>5309</v>
      </c>
      <c r="C199" s="1">
        <v>5309070007000400</v>
      </c>
      <c r="D199" s="1" t="s">
        <v>22</v>
      </c>
      <c r="E199" s="1">
        <v>47711</v>
      </c>
      <c r="F199" s="1" t="s">
        <v>720</v>
      </c>
      <c r="G199" s="1" t="s">
        <v>211</v>
      </c>
      <c r="H199" s="1" t="s">
        <v>721</v>
      </c>
      <c r="I199" s="6">
        <v>200000</v>
      </c>
      <c r="J199" s="6">
        <v>36000000</v>
      </c>
      <c r="K199" s="6">
        <v>1200000</v>
      </c>
      <c r="L199" s="6">
        <v>0</v>
      </c>
      <c r="M199" s="1">
        <v>37400000</v>
      </c>
      <c r="N199" s="6">
        <v>66000000</v>
      </c>
      <c r="O199" s="6">
        <v>0</v>
      </c>
      <c r="P199" s="6">
        <v>28600000</v>
      </c>
      <c r="Q199" s="6">
        <v>4500000</v>
      </c>
      <c r="R199" s="6">
        <v>30000000</v>
      </c>
      <c r="S199" s="6">
        <v>0.54545500000000002</v>
      </c>
      <c r="T199" s="6">
        <v>0.95333299999999999</v>
      </c>
      <c r="U199" s="1" t="s">
        <v>722</v>
      </c>
      <c r="V199" s="1"/>
      <c r="W199" s="1"/>
      <c r="X199" s="9">
        <v>5657143</v>
      </c>
      <c r="Y199" s="9">
        <v>942857</v>
      </c>
      <c r="Z199" s="1" t="s">
        <v>22</v>
      </c>
      <c r="AA199" s="1">
        <v>47711</v>
      </c>
      <c r="AB199" t="s">
        <v>39</v>
      </c>
      <c r="AC199" t="e">
        <f>VLOOKUP(U199,Sheet1!$F$1:$F$39,1,FALSE)</f>
        <v>#N/A</v>
      </c>
      <c r="AD199">
        <f t="shared" si="3"/>
        <v>1</v>
      </c>
    </row>
    <row r="200" spans="1:30" ht="270.75" thickBot="1" x14ac:dyDescent="0.3">
      <c r="A200" s="5">
        <v>46310</v>
      </c>
      <c r="B200" s="1">
        <v>5309</v>
      </c>
      <c r="C200" s="1">
        <v>5309030021000700</v>
      </c>
      <c r="D200" s="1" t="s">
        <v>22</v>
      </c>
      <c r="E200" s="1">
        <v>47711</v>
      </c>
      <c r="F200" s="1" t="s">
        <v>723</v>
      </c>
      <c r="G200" s="1" t="s">
        <v>217</v>
      </c>
      <c r="H200" s="1" t="s">
        <v>217</v>
      </c>
      <c r="I200" s="6">
        <v>360000</v>
      </c>
      <c r="J200" s="6">
        <v>240000000</v>
      </c>
      <c r="K200" s="6">
        <v>7800000</v>
      </c>
      <c r="L200" s="6">
        <v>2225000</v>
      </c>
      <c r="M200" s="1">
        <v>260345000</v>
      </c>
      <c r="N200" s="6">
        <v>280000000</v>
      </c>
      <c r="O200" s="6">
        <v>0</v>
      </c>
      <c r="P200" s="6">
        <v>31840000</v>
      </c>
      <c r="Q200" s="6">
        <v>100000000</v>
      </c>
      <c r="R200" s="6">
        <v>40000000</v>
      </c>
      <c r="S200" s="6">
        <v>0.85714299999999999</v>
      </c>
      <c r="T200" s="6">
        <v>0.79600000000000004</v>
      </c>
      <c r="U200" s="1" t="s">
        <v>724</v>
      </c>
      <c r="V200" s="1"/>
      <c r="W200" s="1"/>
      <c r="X200" s="9">
        <v>8411765</v>
      </c>
      <c r="Y200" s="9">
        <v>388235</v>
      </c>
      <c r="Z200" s="1" t="s">
        <v>22</v>
      </c>
      <c r="AA200" s="1">
        <v>47711</v>
      </c>
      <c r="AB200" t="s">
        <v>39</v>
      </c>
      <c r="AC200" t="e">
        <f>VLOOKUP(U200,Sheet1!$F$1:$F$39,1,FALSE)</f>
        <v>#N/A</v>
      </c>
      <c r="AD200">
        <f t="shared" si="3"/>
        <v>1</v>
      </c>
    </row>
    <row r="201" spans="1:30" ht="270.75" thickBot="1" x14ac:dyDescent="0.3">
      <c r="A201" s="5">
        <v>46310</v>
      </c>
      <c r="B201" s="1">
        <v>5309</v>
      </c>
      <c r="C201" s="1">
        <v>5309062006000800</v>
      </c>
      <c r="D201" s="1" t="s">
        <v>22</v>
      </c>
      <c r="E201" s="1">
        <v>47711</v>
      </c>
      <c r="F201" s="1" t="s">
        <v>725</v>
      </c>
      <c r="G201" s="1" t="s">
        <v>497</v>
      </c>
      <c r="H201" s="1" t="s">
        <v>726</v>
      </c>
      <c r="I201" s="6">
        <v>0</v>
      </c>
      <c r="J201" s="6">
        <v>30000000</v>
      </c>
      <c r="K201" s="6">
        <v>50000</v>
      </c>
      <c r="L201" s="6">
        <v>60000</v>
      </c>
      <c r="M201" s="1">
        <v>30110000</v>
      </c>
      <c r="N201" s="6">
        <v>96000000</v>
      </c>
      <c r="O201" s="6">
        <v>0</v>
      </c>
      <c r="P201" s="6">
        <v>65950000</v>
      </c>
      <c r="Q201" s="6">
        <v>600000</v>
      </c>
      <c r="R201" s="6">
        <v>66000000</v>
      </c>
      <c r="S201" s="6">
        <v>0.3125</v>
      </c>
      <c r="T201" s="6">
        <v>0.99924199999999996</v>
      </c>
      <c r="U201" s="1" t="s">
        <v>727</v>
      </c>
      <c r="V201" s="1"/>
      <c r="W201" s="1"/>
      <c r="X201" s="9">
        <v>14520000</v>
      </c>
      <c r="Y201" s="9">
        <v>0</v>
      </c>
      <c r="Z201" s="1" t="s">
        <v>22</v>
      </c>
      <c r="AA201" s="1">
        <v>47711</v>
      </c>
      <c r="AB201" t="s">
        <v>39</v>
      </c>
      <c r="AC201" t="e">
        <f>VLOOKUP(U201,Sheet1!$F$1:$F$39,1,FALSE)</f>
        <v>#N/A</v>
      </c>
      <c r="AD201">
        <f t="shared" si="3"/>
        <v>1</v>
      </c>
    </row>
    <row r="202" spans="1:30" ht="270.75" thickBot="1" x14ac:dyDescent="0.3">
      <c r="A202" s="5">
        <v>46310</v>
      </c>
      <c r="B202" s="1">
        <v>5309</v>
      </c>
      <c r="C202" s="1">
        <v>5309030025002200</v>
      </c>
      <c r="D202" s="1" t="s">
        <v>22</v>
      </c>
      <c r="E202" s="1">
        <v>47713</v>
      </c>
      <c r="F202" s="1" t="s">
        <v>728</v>
      </c>
      <c r="G202" s="1" t="s">
        <v>729</v>
      </c>
      <c r="H202" s="1" t="s">
        <v>730</v>
      </c>
      <c r="I202" s="6">
        <v>300000</v>
      </c>
      <c r="J202" s="6">
        <v>5000000</v>
      </c>
      <c r="K202" s="6">
        <v>500000</v>
      </c>
      <c r="L202" s="6">
        <v>0</v>
      </c>
      <c r="M202" s="1">
        <v>5800000</v>
      </c>
      <c r="N202" s="6">
        <v>3500000</v>
      </c>
      <c r="O202" s="6">
        <v>0</v>
      </c>
      <c r="P202" s="6">
        <v>-2300000</v>
      </c>
      <c r="Q202" s="6">
        <v>0</v>
      </c>
      <c r="R202" s="6">
        <v>-1500000</v>
      </c>
      <c r="S202" s="6">
        <v>1.428571</v>
      </c>
      <c r="T202" s="6">
        <v>1.5333330000000001</v>
      </c>
      <c r="U202" s="1" t="s">
        <v>731</v>
      </c>
      <c r="V202" s="1"/>
      <c r="W202" s="1"/>
      <c r="X202" s="9">
        <v>500000</v>
      </c>
      <c r="Y202" s="9">
        <v>300000</v>
      </c>
      <c r="Z202" s="1" t="s">
        <v>22</v>
      </c>
      <c r="AA202" s="1">
        <v>47713</v>
      </c>
      <c r="AB202" t="s">
        <v>39</v>
      </c>
      <c r="AC202" t="e">
        <f>VLOOKUP(U202,Sheet1!$F$1:$F$39,1,FALSE)</f>
        <v>#N/A</v>
      </c>
      <c r="AD202">
        <f t="shared" si="3"/>
        <v>1</v>
      </c>
    </row>
    <row r="203" spans="1:30" ht="270.75" thickBot="1" x14ac:dyDescent="0.3">
      <c r="A203" s="5">
        <v>46310</v>
      </c>
      <c r="B203" s="1">
        <v>5309</v>
      </c>
      <c r="C203" s="1">
        <v>5309070007000100</v>
      </c>
      <c r="D203" s="1" t="s">
        <v>22</v>
      </c>
      <c r="E203" s="1">
        <v>47724</v>
      </c>
      <c r="F203" s="1" t="s">
        <v>732</v>
      </c>
      <c r="G203" s="1" t="s">
        <v>733</v>
      </c>
      <c r="H203" s="1" t="s">
        <v>734</v>
      </c>
      <c r="I203" s="6">
        <v>2000000</v>
      </c>
      <c r="J203" s="6">
        <v>100000000</v>
      </c>
      <c r="K203" s="6">
        <v>15000000</v>
      </c>
      <c r="L203" s="6">
        <v>0</v>
      </c>
      <c r="M203" s="1">
        <v>153000000</v>
      </c>
      <c r="N203" s="6">
        <v>282000000</v>
      </c>
      <c r="O203" s="6">
        <v>0</v>
      </c>
      <c r="P203" s="6">
        <v>165000000</v>
      </c>
      <c r="Q203" s="6">
        <v>165000000</v>
      </c>
      <c r="R203" s="6">
        <v>182000000</v>
      </c>
      <c r="S203" s="6">
        <v>0.35460999999999998</v>
      </c>
      <c r="T203" s="6">
        <v>0.90659299999999998</v>
      </c>
      <c r="U203" s="1" t="s">
        <v>735</v>
      </c>
      <c r="V203" s="1"/>
      <c r="W203" s="1"/>
      <c r="X203" s="9">
        <v>35329412</v>
      </c>
      <c r="Y203" s="9">
        <v>4710588</v>
      </c>
      <c r="Z203" s="1" t="s">
        <v>22</v>
      </c>
      <c r="AA203" s="1">
        <v>47724</v>
      </c>
      <c r="AB203" t="s">
        <v>39</v>
      </c>
      <c r="AC203" t="e">
        <f>VLOOKUP(U203,Sheet1!$F$1:$F$39,1,FALSE)</f>
        <v>#N/A</v>
      </c>
      <c r="AD203">
        <f t="shared" si="3"/>
        <v>1</v>
      </c>
    </row>
    <row r="204" spans="1:30" ht="270.75" thickBot="1" x14ac:dyDescent="0.3">
      <c r="A204" s="5">
        <v>46310</v>
      </c>
      <c r="B204" s="1">
        <v>5309</v>
      </c>
      <c r="C204" s="1">
        <v>5309011006001200</v>
      </c>
      <c r="D204" s="1" t="s">
        <v>22</v>
      </c>
      <c r="E204" s="1">
        <v>47763</v>
      </c>
      <c r="F204" s="1" t="s">
        <v>736</v>
      </c>
      <c r="G204" s="1" t="s">
        <v>415</v>
      </c>
      <c r="H204" s="1" t="s">
        <v>737</v>
      </c>
      <c r="I204" s="6">
        <v>0</v>
      </c>
      <c r="J204" s="6">
        <v>20000000</v>
      </c>
      <c r="K204" s="6">
        <v>3000000</v>
      </c>
      <c r="L204" s="6">
        <v>0</v>
      </c>
      <c r="M204" s="1">
        <v>23000000</v>
      </c>
      <c r="N204" s="6">
        <v>35000000</v>
      </c>
      <c r="O204" s="6">
        <v>0</v>
      </c>
      <c r="P204" s="6">
        <v>12000000</v>
      </c>
      <c r="Q204" s="6">
        <v>1000000</v>
      </c>
      <c r="R204" s="6">
        <v>15000000</v>
      </c>
      <c r="S204" s="6">
        <v>0.57142899999999996</v>
      </c>
      <c r="T204" s="6">
        <v>0.8</v>
      </c>
      <c r="U204" s="1" t="s">
        <v>738</v>
      </c>
      <c r="V204" s="1"/>
      <c r="W204" s="1"/>
      <c r="X204" s="9">
        <v>3300000</v>
      </c>
      <c r="Y204" s="9">
        <v>0</v>
      </c>
      <c r="Z204" s="1" t="s">
        <v>22</v>
      </c>
      <c r="AA204" s="1">
        <v>47763</v>
      </c>
      <c r="AB204" t="s">
        <v>39</v>
      </c>
      <c r="AC204" t="e">
        <f>VLOOKUP(U204,Sheet1!$F$1:$F$39,1,FALSE)</f>
        <v>#N/A</v>
      </c>
      <c r="AD204">
        <f t="shared" si="3"/>
        <v>1</v>
      </c>
    </row>
    <row r="205" spans="1:30" ht="270.75" thickBot="1" x14ac:dyDescent="0.3">
      <c r="A205" s="5">
        <v>46310</v>
      </c>
      <c r="B205" s="1">
        <v>5309</v>
      </c>
      <c r="C205" s="1">
        <v>5309070006000100</v>
      </c>
      <c r="D205" s="1" t="s">
        <v>22</v>
      </c>
      <c r="E205" s="1">
        <v>47771</v>
      </c>
      <c r="F205" s="1" t="s">
        <v>739</v>
      </c>
      <c r="G205" s="1" t="s">
        <v>181</v>
      </c>
      <c r="H205" s="1" t="s">
        <v>687</v>
      </c>
      <c r="I205" s="6">
        <v>0</v>
      </c>
      <c r="J205" s="6">
        <v>24480000</v>
      </c>
      <c r="K205" s="6">
        <v>0</v>
      </c>
      <c r="L205" s="6">
        <v>200000</v>
      </c>
      <c r="M205" s="1">
        <v>24680000</v>
      </c>
      <c r="N205" s="6">
        <v>27000000</v>
      </c>
      <c r="O205" s="6">
        <v>0</v>
      </c>
      <c r="P205" s="6">
        <v>2520000</v>
      </c>
      <c r="Q205" s="6">
        <v>1000000</v>
      </c>
      <c r="R205" s="6">
        <v>2520000</v>
      </c>
      <c r="S205" s="6">
        <v>0.906667</v>
      </c>
      <c r="T205" s="6">
        <v>1</v>
      </c>
      <c r="U205" s="1" t="s">
        <v>688</v>
      </c>
      <c r="V205" s="1"/>
      <c r="W205" s="1"/>
      <c r="X205" s="9">
        <v>554400</v>
      </c>
      <c r="Y205" s="9">
        <v>0</v>
      </c>
      <c r="Z205" s="1" t="s">
        <v>22</v>
      </c>
      <c r="AA205" s="1">
        <v>47771</v>
      </c>
      <c r="AB205" t="s">
        <v>39</v>
      </c>
      <c r="AC205" t="e">
        <f>VLOOKUP(U205,Sheet1!$F$1:$F$39,1,FALSE)</f>
        <v>#N/A</v>
      </c>
      <c r="AD205">
        <f t="shared" si="3"/>
        <v>1</v>
      </c>
    </row>
    <row r="206" spans="1:30" ht="270.75" thickBot="1" x14ac:dyDescent="0.3">
      <c r="A206" s="5">
        <v>46310</v>
      </c>
      <c r="B206" s="1">
        <v>5309</v>
      </c>
      <c r="C206" s="1">
        <v>5309030027000600</v>
      </c>
      <c r="D206" s="1" t="s">
        <v>22</v>
      </c>
      <c r="E206" s="1">
        <v>47771</v>
      </c>
      <c r="F206" s="1" t="s">
        <v>740</v>
      </c>
      <c r="G206" s="1" t="s">
        <v>181</v>
      </c>
      <c r="H206" s="1" t="s">
        <v>242</v>
      </c>
      <c r="I206" s="6">
        <v>0</v>
      </c>
      <c r="J206" s="6">
        <v>66240000</v>
      </c>
      <c r="K206" s="6">
        <v>0</v>
      </c>
      <c r="L206" s="6">
        <v>0</v>
      </c>
      <c r="M206" s="1">
        <v>66240000</v>
      </c>
      <c r="N206" s="6">
        <v>72000000</v>
      </c>
      <c r="O206" s="6">
        <v>0</v>
      </c>
      <c r="P206" s="6">
        <v>5760000</v>
      </c>
      <c r="Q206" s="6">
        <v>2000000</v>
      </c>
      <c r="R206" s="6">
        <v>5760000</v>
      </c>
      <c r="S206" s="6">
        <v>0.92</v>
      </c>
      <c r="T206" s="6">
        <v>1</v>
      </c>
      <c r="U206" s="1" t="s">
        <v>741</v>
      </c>
      <c r="V206" s="1"/>
      <c r="W206" s="1"/>
      <c r="X206" s="9">
        <v>1267200</v>
      </c>
      <c r="Y206" s="9">
        <v>0</v>
      </c>
      <c r="Z206" s="1" t="s">
        <v>22</v>
      </c>
      <c r="AA206" s="1">
        <v>47771</v>
      </c>
      <c r="AB206" t="s">
        <v>39</v>
      </c>
      <c r="AC206" t="e">
        <f>VLOOKUP(U206,Sheet1!$F$1:$F$39,1,FALSE)</f>
        <v>#N/A</v>
      </c>
      <c r="AD206">
        <f t="shared" si="3"/>
        <v>1</v>
      </c>
    </row>
    <row r="207" spans="1:30" ht="270.75" thickBot="1" x14ac:dyDescent="0.3">
      <c r="A207" s="5">
        <v>46310</v>
      </c>
      <c r="B207" s="1">
        <v>5309</v>
      </c>
      <c r="C207" s="1">
        <v>5309031006000200</v>
      </c>
      <c r="D207" s="1" t="s">
        <v>22</v>
      </c>
      <c r="E207" s="1">
        <v>47771</v>
      </c>
      <c r="F207" s="1" t="s">
        <v>742</v>
      </c>
      <c r="G207" s="1" t="s">
        <v>244</v>
      </c>
      <c r="H207" s="1" t="s">
        <v>743</v>
      </c>
      <c r="I207" s="6">
        <v>0</v>
      </c>
      <c r="J207" s="6">
        <v>43200000</v>
      </c>
      <c r="K207" s="6">
        <v>500000</v>
      </c>
      <c r="L207" s="6">
        <v>0</v>
      </c>
      <c r="M207" s="1">
        <v>43700000</v>
      </c>
      <c r="N207" s="6">
        <v>72000000</v>
      </c>
      <c r="O207" s="6">
        <v>0</v>
      </c>
      <c r="P207" s="6">
        <v>28300000</v>
      </c>
      <c r="Q207" s="6">
        <v>6300000</v>
      </c>
      <c r="R207" s="6">
        <v>28800000</v>
      </c>
      <c r="S207" s="6">
        <v>0.6</v>
      </c>
      <c r="T207" s="6">
        <v>0.98263900000000004</v>
      </c>
      <c r="U207" s="1" t="s">
        <v>744</v>
      </c>
      <c r="V207" s="1"/>
      <c r="W207" s="1"/>
      <c r="X207" s="9">
        <v>6336000</v>
      </c>
      <c r="Y207" s="9">
        <v>0</v>
      </c>
      <c r="Z207" s="1" t="s">
        <v>22</v>
      </c>
      <c r="AA207" s="1">
        <v>47771</v>
      </c>
      <c r="AB207" t="s">
        <v>39</v>
      </c>
      <c r="AC207" t="e">
        <f>VLOOKUP(U207,Sheet1!$F$1:$F$39,1,FALSE)</f>
        <v>#N/A</v>
      </c>
      <c r="AD207">
        <f t="shared" si="3"/>
        <v>1</v>
      </c>
    </row>
    <row r="208" spans="1:30" ht="270.75" thickBot="1" x14ac:dyDescent="0.3">
      <c r="A208" s="5">
        <v>46310</v>
      </c>
      <c r="B208" s="1">
        <v>5309</v>
      </c>
      <c r="C208" s="1">
        <v>5309050014000100</v>
      </c>
      <c r="D208" s="1" t="s">
        <v>22</v>
      </c>
      <c r="E208" s="1">
        <v>47901</v>
      </c>
      <c r="F208" s="1" t="s">
        <v>745</v>
      </c>
      <c r="G208" s="1" t="s">
        <v>746</v>
      </c>
      <c r="H208" s="1" t="s">
        <v>747</v>
      </c>
      <c r="I208" s="6">
        <v>4000000</v>
      </c>
      <c r="J208" s="6">
        <v>0</v>
      </c>
      <c r="K208" s="6">
        <v>660000</v>
      </c>
      <c r="L208" s="6">
        <v>0</v>
      </c>
      <c r="M208" s="1">
        <v>12000000</v>
      </c>
      <c r="N208" s="6">
        <v>6000000</v>
      </c>
      <c r="O208" s="6">
        <v>0</v>
      </c>
      <c r="P208" s="6">
        <v>1340000</v>
      </c>
      <c r="Q208" s="6">
        <v>2500000</v>
      </c>
      <c r="R208" s="6">
        <v>6000000</v>
      </c>
      <c r="S208" s="6">
        <v>0</v>
      </c>
      <c r="T208" s="6">
        <v>0.223333</v>
      </c>
      <c r="U208" s="1" t="s">
        <v>748</v>
      </c>
      <c r="V208" s="1"/>
      <c r="W208" s="1"/>
      <c r="X208" s="9">
        <v>305923</v>
      </c>
      <c r="Y208" s="9">
        <v>1854077</v>
      </c>
      <c r="Z208" s="1" t="s">
        <v>22</v>
      </c>
      <c r="AA208" s="1">
        <v>47901</v>
      </c>
      <c r="AB208" t="s">
        <v>39</v>
      </c>
      <c r="AC208" t="e">
        <f>VLOOKUP(U208,Sheet1!$F$1:$F$39,1,FALSE)</f>
        <v>#N/A</v>
      </c>
      <c r="AD208">
        <f t="shared" si="3"/>
        <v>1</v>
      </c>
    </row>
    <row r="209" spans="1:30" ht="270.75" thickBot="1" x14ac:dyDescent="0.3">
      <c r="A209" s="5">
        <v>46310</v>
      </c>
      <c r="B209" s="1">
        <v>5309</v>
      </c>
      <c r="C209" s="1">
        <v>5309030023001800</v>
      </c>
      <c r="D209" s="1" t="s">
        <v>22</v>
      </c>
      <c r="E209" s="1">
        <v>47909</v>
      </c>
      <c r="F209" s="1" t="s">
        <v>749</v>
      </c>
      <c r="G209" s="1" t="s">
        <v>497</v>
      </c>
      <c r="H209" s="1" t="s">
        <v>750</v>
      </c>
      <c r="I209" s="6">
        <v>7000000</v>
      </c>
      <c r="J209" s="6">
        <v>0</v>
      </c>
      <c r="K209" s="6">
        <v>1000000</v>
      </c>
      <c r="L209" s="6">
        <v>0</v>
      </c>
      <c r="M209" s="1">
        <v>8000000</v>
      </c>
      <c r="N209" s="6">
        <v>12000000</v>
      </c>
      <c r="O209" s="6">
        <v>0</v>
      </c>
      <c r="P209" s="6">
        <v>4000000</v>
      </c>
      <c r="Q209" s="6">
        <v>0</v>
      </c>
      <c r="R209" s="6">
        <v>12000000</v>
      </c>
      <c r="S209" s="6">
        <v>0</v>
      </c>
      <c r="T209" s="6">
        <v>0.33333299999999999</v>
      </c>
      <c r="U209" s="1" t="s">
        <v>751</v>
      </c>
      <c r="V209" s="1"/>
      <c r="W209" s="1"/>
      <c r="X209" s="9">
        <v>540000</v>
      </c>
      <c r="Y209" s="9">
        <v>3780000</v>
      </c>
      <c r="Z209" s="1" t="s">
        <v>22</v>
      </c>
      <c r="AA209" s="1">
        <v>47909</v>
      </c>
      <c r="AB209" t="s">
        <v>39</v>
      </c>
      <c r="AC209" t="e">
        <f>VLOOKUP(U209,Sheet1!$F$1:$F$39,1,FALSE)</f>
        <v>#N/A</v>
      </c>
      <c r="AD209">
        <f t="shared" si="3"/>
        <v>1</v>
      </c>
    </row>
    <row r="210" spans="1:30" ht="270.75" thickBot="1" x14ac:dyDescent="0.3">
      <c r="A210" s="5">
        <v>46310</v>
      </c>
      <c r="B210" s="1">
        <v>5309</v>
      </c>
      <c r="C210" s="1">
        <v>5309073006001200</v>
      </c>
      <c r="D210" s="1" t="s">
        <v>22</v>
      </c>
      <c r="E210" s="1">
        <v>47112</v>
      </c>
      <c r="F210" s="1" t="s">
        <v>752</v>
      </c>
      <c r="G210" s="1" t="s">
        <v>373</v>
      </c>
      <c r="H210" s="1" t="s">
        <v>373</v>
      </c>
      <c r="I210" s="6">
        <v>0</v>
      </c>
      <c r="J210" s="6">
        <v>12500000</v>
      </c>
      <c r="K210" s="6">
        <v>200000</v>
      </c>
      <c r="L210" s="6">
        <v>0</v>
      </c>
      <c r="M210" s="1">
        <v>12700000</v>
      </c>
      <c r="N210" s="6">
        <v>15400000</v>
      </c>
      <c r="O210" s="6">
        <v>0</v>
      </c>
      <c r="P210" s="6">
        <v>2700000</v>
      </c>
      <c r="Q210" s="6">
        <v>24000000</v>
      </c>
      <c r="R210" s="6">
        <v>2900000</v>
      </c>
      <c r="S210" s="6">
        <v>0.81168799999999997</v>
      </c>
      <c r="T210" s="6">
        <v>0.93103400000000003</v>
      </c>
      <c r="U210" s="1" t="s">
        <v>753</v>
      </c>
      <c r="V210" s="1"/>
      <c r="W210" s="1"/>
      <c r="X210" s="9">
        <v>638000</v>
      </c>
      <c r="Y210" s="9">
        <v>0</v>
      </c>
      <c r="Z210" s="1" t="s">
        <v>22</v>
      </c>
      <c r="AA210" s="1">
        <v>47112</v>
      </c>
      <c r="AB210" t="s">
        <v>39</v>
      </c>
      <c r="AC210" t="e">
        <f>VLOOKUP(U210,Sheet1!$F$1:$F$39,1,FALSE)</f>
        <v>#N/A</v>
      </c>
      <c r="AD210">
        <f t="shared" si="3"/>
        <v>1</v>
      </c>
    </row>
    <row r="211" spans="1:30" ht="270.75" thickBot="1" x14ac:dyDescent="0.3">
      <c r="A211" s="5">
        <v>46310</v>
      </c>
      <c r="B211" s="1">
        <v>5309</v>
      </c>
      <c r="C211" s="1">
        <v>5309073001000100</v>
      </c>
      <c r="D211" s="1" t="s">
        <v>22</v>
      </c>
      <c r="E211" s="1">
        <v>46209</v>
      </c>
      <c r="F211" s="1" t="s">
        <v>754</v>
      </c>
      <c r="G211" s="1" t="s">
        <v>755</v>
      </c>
      <c r="H211" s="1" t="s">
        <v>756</v>
      </c>
      <c r="I211" s="6">
        <v>0</v>
      </c>
      <c r="J211" s="6">
        <v>4000000</v>
      </c>
      <c r="K211" s="6">
        <v>350000</v>
      </c>
      <c r="L211" s="6">
        <v>0</v>
      </c>
      <c r="M211" s="1">
        <v>4350000</v>
      </c>
      <c r="N211" s="6">
        <v>9000000</v>
      </c>
      <c r="O211" s="6">
        <v>0</v>
      </c>
      <c r="P211" s="6">
        <v>4650000</v>
      </c>
      <c r="Q211" s="6">
        <v>0</v>
      </c>
      <c r="R211" s="6">
        <v>5000000</v>
      </c>
      <c r="S211" s="6">
        <v>0.44444400000000001</v>
      </c>
      <c r="T211" s="6">
        <v>0.93</v>
      </c>
      <c r="U211" s="1" t="s">
        <v>757</v>
      </c>
      <c r="V211" s="1"/>
      <c r="W211" s="1"/>
      <c r="X211" s="9">
        <v>1100000</v>
      </c>
      <c r="Y211" s="9">
        <v>0</v>
      </c>
      <c r="Z211" s="1" t="s">
        <v>22</v>
      </c>
      <c r="AA211" s="1">
        <v>46209</v>
      </c>
      <c r="AB211" t="s">
        <v>39</v>
      </c>
      <c r="AC211" t="e">
        <f>VLOOKUP(U211,Sheet1!$F$1:$F$39,1,FALSE)</f>
        <v>#N/A</v>
      </c>
      <c r="AD211">
        <f t="shared" si="3"/>
        <v>1</v>
      </c>
    </row>
    <row r="212" spans="1:30" ht="285.75" thickBot="1" x14ac:dyDescent="0.3">
      <c r="A212" s="5">
        <v>46310</v>
      </c>
      <c r="B212" s="1">
        <v>5309</v>
      </c>
      <c r="C212" s="1">
        <v>5309012005000400</v>
      </c>
      <c r="D212" s="1" t="s">
        <v>22</v>
      </c>
      <c r="E212" s="1">
        <v>46209</v>
      </c>
      <c r="F212" s="1" t="s">
        <v>758</v>
      </c>
      <c r="G212" s="1" t="s">
        <v>759</v>
      </c>
      <c r="H212" s="1" t="s">
        <v>760</v>
      </c>
      <c r="I212" s="6">
        <v>12500000</v>
      </c>
      <c r="J212" s="6">
        <v>50000000</v>
      </c>
      <c r="K212" s="6">
        <v>3500000</v>
      </c>
      <c r="L212" s="6">
        <v>2000000</v>
      </c>
      <c r="M212" s="1">
        <v>73000000</v>
      </c>
      <c r="N212" s="6">
        <v>73000000</v>
      </c>
      <c r="O212" s="6">
        <v>2500000</v>
      </c>
      <c r="P212" s="6">
        <v>7000000</v>
      </c>
      <c r="Q212" s="6">
        <v>180000000</v>
      </c>
      <c r="R212" s="6">
        <v>23000000</v>
      </c>
      <c r="S212" s="6">
        <v>0.68493199999999999</v>
      </c>
      <c r="T212" s="6">
        <v>0.30434800000000001</v>
      </c>
      <c r="U212" s="1" t="s">
        <v>761</v>
      </c>
      <c r="V212" s="1"/>
      <c r="W212" s="1"/>
      <c r="X212" s="9">
        <v>1811250</v>
      </c>
      <c r="Y212" s="9">
        <v>6468750</v>
      </c>
      <c r="Z212" s="1" t="s">
        <v>22</v>
      </c>
      <c r="AA212" s="1">
        <v>46209</v>
      </c>
      <c r="AB212" t="s">
        <v>39</v>
      </c>
      <c r="AC212" t="e">
        <f>VLOOKUP(U212,Sheet1!$F$1:$F$39,1,FALSE)</f>
        <v>#N/A</v>
      </c>
      <c r="AD212">
        <f t="shared" si="3"/>
        <v>1</v>
      </c>
    </row>
    <row r="213" spans="1:30" ht="270.75" thickBot="1" x14ac:dyDescent="0.3">
      <c r="A213" s="5">
        <v>46310</v>
      </c>
      <c r="B213" s="1">
        <v>5309</v>
      </c>
      <c r="C213" s="1">
        <v>5309012005000200</v>
      </c>
      <c r="D213" s="1" t="s">
        <v>22</v>
      </c>
      <c r="E213" s="1">
        <v>46734</v>
      </c>
      <c r="F213" s="1" t="s">
        <v>762</v>
      </c>
      <c r="G213" s="1" t="s">
        <v>763</v>
      </c>
      <c r="H213" s="1" t="s">
        <v>764</v>
      </c>
      <c r="I213" s="6">
        <v>30000000</v>
      </c>
      <c r="J213" s="6">
        <v>67100000</v>
      </c>
      <c r="K213" s="6">
        <v>72200000</v>
      </c>
      <c r="L213" s="6">
        <v>4000000</v>
      </c>
      <c r="M213" s="1">
        <v>206900000</v>
      </c>
      <c r="N213" s="6">
        <v>207000000</v>
      </c>
      <c r="O213" s="6">
        <v>0</v>
      </c>
      <c r="P213" s="6">
        <v>37700000</v>
      </c>
      <c r="Q213" s="6">
        <v>130000000</v>
      </c>
      <c r="R213" s="6">
        <v>139900000</v>
      </c>
      <c r="S213" s="6">
        <v>0.32415500000000003</v>
      </c>
      <c r="T213" s="6">
        <v>0.269478</v>
      </c>
      <c r="U213" s="1" t="s">
        <v>765</v>
      </c>
      <c r="V213" s="1"/>
      <c r="W213" s="1"/>
      <c r="X213" s="9">
        <v>35580047</v>
      </c>
      <c r="Y213" s="9">
        <v>14783953</v>
      </c>
      <c r="Z213" s="1" t="s">
        <v>22</v>
      </c>
      <c r="AA213" s="1">
        <v>46734</v>
      </c>
      <c r="AB213" t="s">
        <v>39</v>
      </c>
      <c r="AC213" t="e">
        <f>VLOOKUP(U213,Sheet1!$F$1:$F$39,1,FALSE)</f>
        <v>#N/A</v>
      </c>
      <c r="AD213">
        <f t="shared" si="3"/>
        <v>1</v>
      </c>
    </row>
    <row r="214" spans="1:30" ht="270.75" thickBot="1" x14ac:dyDescent="0.3">
      <c r="A214" s="5">
        <v>46310</v>
      </c>
      <c r="B214" s="1">
        <v>5309</v>
      </c>
      <c r="C214" s="1">
        <v>5309062003000200</v>
      </c>
      <c r="D214" s="1" t="s">
        <v>22</v>
      </c>
      <c r="E214" s="1">
        <v>46734</v>
      </c>
      <c r="F214" s="1" t="s">
        <v>766</v>
      </c>
      <c r="G214" s="1" t="s">
        <v>767</v>
      </c>
      <c r="H214" s="1" t="s">
        <v>768</v>
      </c>
      <c r="I214" s="6">
        <v>300000</v>
      </c>
      <c r="J214" s="6">
        <v>1000000</v>
      </c>
      <c r="K214" s="6">
        <v>500000</v>
      </c>
      <c r="L214" s="6">
        <v>0</v>
      </c>
      <c r="M214" s="1">
        <v>2800000</v>
      </c>
      <c r="N214" s="6">
        <v>25000000</v>
      </c>
      <c r="O214" s="6">
        <v>0</v>
      </c>
      <c r="P214" s="6">
        <v>23200000</v>
      </c>
      <c r="Q214" s="6">
        <v>1200000</v>
      </c>
      <c r="R214" s="6">
        <v>24000000</v>
      </c>
      <c r="S214" s="6">
        <v>0.04</v>
      </c>
      <c r="T214" s="6">
        <v>0.96666700000000005</v>
      </c>
      <c r="U214" s="1" t="s">
        <v>769</v>
      </c>
      <c r="V214" s="1"/>
      <c r="W214" s="1"/>
      <c r="X214" s="9">
        <v>3300000</v>
      </c>
      <c r="Y214" s="9">
        <v>1980000</v>
      </c>
      <c r="Z214" s="1" t="s">
        <v>22</v>
      </c>
      <c r="AA214" s="1">
        <v>46734</v>
      </c>
      <c r="AB214" t="s">
        <v>39</v>
      </c>
      <c r="AC214" t="e">
        <f>VLOOKUP(U214,Sheet1!$F$1:$F$39,1,FALSE)</f>
        <v>#N/A</v>
      </c>
      <c r="AD214">
        <f t="shared" si="3"/>
        <v>1</v>
      </c>
    </row>
    <row r="215" spans="1:30" ht="270.75" thickBot="1" x14ac:dyDescent="0.3">
      <c r="A215" s="5">
        <v>46310</v>
      </c>
      <c r="B215" s="1">
        <v>5309</v>
      </c>
      <c r="C215" s="1">
        <v>5309072014000100</v>
      </c>
      <c r="D215" s="1" t="s">
        <v>22</v>
      </c>
      <c r="E215" s="1">
        <v>47111</v>
      </c>
      <c r="F215" s="1" t="s">
        <v>770</v>
      </c>
      <c r="G215" s="1" t="s">
        <v>771</v>
      </c>
      <c r="H215" s="1" t="s">
        <v>770</v>
      </c>
      <c r="I215" s="6">
        <v>0</v>
      </c>
      <c r="J215" s="6">
        <v>26400000</v>
      </c>
      <c r="K215" s="6">
        <v>0</v>
      </c>
      <c r="L215" s="6">
        <v>0</v>
      </c>
      <c r="M215" s="1">
        <v>2200000</v>
      </c>
      <c r="N215" s="6">
        <v>27600000</v>
      </c>
      <c r="O215" s="6">
        <v>0</v>
      </c>
      <c r="P215" s="6">
        <v>1200000</v>
      </c>
      <c r="Q215" s="6">
        <v>0</v>
      </c>
      <c r="R215" s="6">
        <v>1200000</v>
      </c>
      <c r="S215" s="6">
        <v>0.95652199999999998</v>
      </c>
      <c r="T215" s="6">
        <v>1</v>
      </c>
      <c r="U215" s="1" t="s">
        <v>772</v>
      </c>
      <c r="V215" s="1"/>
      <c r="W215" s="1"/>
      <c r="X215" s="9">
        <v>264000</v>
      </c>
      <c r="Y215" s="9">
        <v>0</v>
      </c>
      <c r="Z215" s="1" t="s">
        <v>22</v>
      </c>
      <c r="AA215" s="1">
        <v>47111</v>
      </c>
      <c r="AB215" t="s">
        <v>39</v>
      </c>
      <c r="AC215" t="e">
        <f>VLOOKUP(U215,Sheet1!$F$1:$F$39,1,FALSE)</f>
        <v>#N/A</v>
      </c>
      <c r="AD215">
        <f t="shared" si="3"/>
        <v>1</v>
      </c>
    </row>
    <row r="216" spans="1:30" ht="270.75" thickBot="1" x14ac:dyDescent="0.3">
      <c r="A216" s="5">
        <v>46310</v>
      </c>
      <c r="B216" s="1">
        <v>5309</v>
      </c>
      <c r="C216" s="1">
        <v>5309031004000300</v>
      </c>
      <c r="D216" s="1" t="s">
        <v>22</v>
      </c>
      <c r="E216" s="1">
        <v>47111</v>
      </c>
      <c r="F216" s="1" t="s">
        <v>773</v>
      </c>
      <c r="G216" s="1" t="s">
        <v>30</v>
      </c>
      <c r="H216" s="1" t="s">
        <v>32</v>
      </c>
      <c r="I216" s="6">
        <v>1097000</v>
      </c>
      <c r="J216" s="6">
        <v>104000000</v>
      </c>
      <c r="K216" s="6">
        <v>1280000</v>
      </c>
      <c r="L216" s="6">
        <v>0</v>
      </c>
      <c r="M216" s="1">
        <v>106377000</v>
      </c>
      <c r="N216" s="6">
        <v>119600000</v>
      </c>
      <c r="O216" s="6">
        <v>0</v>
      </c>
      <c r="P216" s="6">
        <v>13223000</v>
      </c>
      <c r="Q216" s="6">
        <v>30650000</v>
      </c>
      <c r="R216" s="6">
        <v>15600000</v>
      </c>
      <c r="S216" s="6">
        <v>0.86956500000000003</v>
      </c>
      <c r="T216" s="6">
        <v>0.84762800000000005</v>
      </c>
      <c r="U216" s="1" t="s">
        <v>774</v>
      </c>
      <c r="V216" s="1"/>
      <c r="W216" s="1"/>
      <c r="X216" s="9">
        <v>1848111</v>
      </c>
      <c r="Y216" s="9">
        <v>1583889</v>
      </c>
      <c r="Z216" s="1" t="s">
        <v>22</v>
      </c>
      <c r="AA216" s="1">
        <v>47111</v>
      </c>
      <c r="AB216" t="s">
        <v>39</v>
      </c>
      <c r="AC216" t="e">
        <f>VLOOKUP(U216,Sheet1!$F$1:$F$39,1,FALSE)</f>
        <v>#N/A</v>
      </c>
      <c r="AD216">
        <f t="shared" si="3"/>
        <v>1</v>
      </c>
    </row>
    <row r="217" spans="1:30" ht="270.75" thickBot="1" x14ac:dyDescent="0.3">
      <c r="A217" s="5">
        <v>46310</v>
      </c>
      <c r="B217" s="1">
        <v>5309</v>
      </c>
      <c r="C217" s="1">
        <v>5309061001000500</v>
      </c>
      <c r="D217" s="1" t="s">
        <v>22</v>
      </c>
      <c r="E217" s="1">
        <v>47112</v>
      </c>
      <c r="F217" s="1" t="s">
        <v>775</v>
      </c>
      <c r="G217" s="1" t="s">
        <v>34</v>
      </c>
      <c r="H217" s="1" t="s">
        <v>776</v>
      </c>
      <c r="I217" s="6">
        <v>0</v>
      </c>
      <c r="J217" s="6">
        <v>30250000</v>
      </c>
      <c r="K217" s="6">
        <v>350000</v>
      </c>
      <c r="L217" s="6">
        <v>0</v>
      </c>
      <c r="M217" s="1">
        <v>75000</v>
      </c>
      <c r="N217" s="6">
        <v>54600000</v>
      </c>
      <c r="O217" s="6">
        <v>0</v>
      </c>
      <c r="P217" s="6">
        <v>24000000</v>
      </c>
      <c r="Q217" s="6">
        <v>25000000</v>
      </c>
      <c r="R217" s="6">
        <v>24350000</v>
      </c>
      <c r="S217" s="6">
        <v>0.55402899999999999</v>
      </c>
      <c r="T217" s="6">
        <v>0.985626</v>
      </c>
      <c r="U217" s="1" t="s">
        <v>777</v>
      </c>
      <c r="V217" s="1"/>
      <c r="W217" s="1"/>
      <c r="X217" s="9">
        <v>5357000</v>
      </c>
      <c r="Y217" s="9">
        <v>0</v>
      </c>
      <c r="Z217" s="1" t="s">
        <v>22</v>
      </c>
      <c r="AA217" s="1">
        <v>47112</v>
      </c>
      <c r="AB217" t="s">
        <v>39</v>
      </c>
      <c r="AC217" t="e">
        <f>VLOOKUP(U217,Sheet1!$F$1:$F$39,1,FALSE)</f>
        <v>#N/A</v>
      </c>
      <c r="AD217">
        <f t="shared" si="3"/>
        <v>1</v>
      </c>
    </row>
    <row r="218" spans="1:30" ht="270.75" thickBot="1" x14ac:dyDescent="0.3">
      <c r="A218" s="5">
        <v>46310</v>
      </c>
      <c r="B218" s="1">
        <v>5309</v>
      </c>
      <c r="C218" s="1">
        <v>5309030027001500</v>
      </c>
      <c r="D218" s="1" t="s">
        <v>22</v>
      </c>
      <c r="E218" s="1">
        <v>47112</v>
      </c>
      <c r="F218" s="1" t="s">
        <v>778</v>
      </c>
      <c r="G218" s="1" t="s">
        <v>779</v>
      </c>
      <c r="H218" s="1" t="s">
        <v>780</v>
      </c>
      <c r="I218" s="6">
        <v>0</v>
      </c>
      <c r="J218" s="6">
        <v>1000000</v>
      </c>
      <c r="K218" s="6">
        <v>100000</v>
      </c>
      <c r="L218" s="6">
        <v>0</v>
      </c>
      <c r="M218" s="1">
        <v>8000000</v>
      </c>
      <c r="N218" s="6">
        <v>3000000</v>
      </c>
      <c r="O218" s="6">
        <v>0</v>
      </c>
      <c r="P218" s="6">
        <v>1900000</v>
      </c>
      <c r="Q218" s="6">
        <v>0</v>
      </c>
      <c r="R218" s="6">
        <v>2000000</v>
      </c>
      <c r="S218" s="6">
        <v>0.33333299999999999</v>
      </c>
      <c r="T218" s="6">
        <v>0.95</v>
      </c>
      <c r="U218" s="1" t="s">
        <v>781</v>
      </c>
      <c r="V218" s="1"/>
      <c r="W218" s="1"/>
      <c r="X218" s="9">
        <v>440000</v>
      </c>
      <c r="Y218" s="9">
        <v>0</v>
      </c>
      <c r="Z218" s="1" t="s">
        <v>22</v>
      </c>
      <c r="AA218" s="1">
        <v>47112</v>
      </c>
      <c r="AB218" t="s">
        <v>39</v>
      </c>
      <c r="AC218" t="e">
        <f>VLOOKUP(U218,Sheet1!$F$1:$F$39,1,FALSE)</f>
        <v>#N/A</v>
      </c>
      <c r="AD218">
        <f t="shared" si="3"/>
        <v>1</v>
      </c>
    </row>
    <row r="219" spans="1:30" ht="270.75" thickBot="1" x14ac:dyDescent="0.3">
      <c r="A219" s="5">
        <v>46310</v>
      </c>
      <c r="B219" s="1">
        <v>5309</v>
      </c>
      <c r="C219" s="1">
        <v>5309050017001300</v>
      </c>
      <c r="D219" s="1" t="s">
        <v>22</v>
      </c>
      <c r="E219" s="1">
        <v>47112</v>
      </c>
      <c r="F219" s="1" t="s">
        <v>782</v>
      </c>
      <c r="G219" s="1" t="s">
        <v>783</v>
      </c>
      <c r="H219" s="1" t="s">
        <v>784</v>
      </c>
      <c r="I219" s="6">
        <v>200000</v>
      </c>
      <c r="J219" s="6">
        <v>25000000</v>
      </c>
      <c r="K219" s="6">
        <v>1500000</v>
      </c>
      <c r="L219" s="6">
        <v>0</v>
      </c>
      <c r="M219" s="1">
        <v>1700000</v>
      </c>
      <c r="N219" s="6">
        <v>34000000</v>
      </c>
      <c r="O219" s="6">
        <v>0</v>
      </c>
      <c r="P219" s="6">
        <v>7300000</v>
      </c>
      <c r="Q219" s="6">
        <v>14000000</v>
      </c>
      <c r="R219" s="6">
        <v>9000000</v>
      </c>
      <c r="S219" s="6">
        <v>0.735294</v>
      </c>
      <c r="T219" s="6">
        <v>0.81111100000000003</v>
      </c>
      <c r="U219" s="1" t="s">
        <v>785</v>
      </c>
      <c r="V219" s="1"/>
      <c r="W219" s="1"/>
      <c r="X219" s="9">
        <v>1747059</v>
      </c>
      <c r="Y219" s="9">
        <v>232941</v>
      </c>
      <c r="Z219" s="1" t="s">
        <v>22</v>
      </c>
      <c r="AA219" s="1">
        <v>47112</v>
      </c>
      <c r="AB219" t="s">
        <v>39</v>
      </c>
      <c r="AC219" t="e">
        <f>VLOOKUP(U219,Sheet1!$F$1:$F$39,1,FALSE)</f>
        <v>#N/A</v>
      </c>
      <c r="AD219">
        <f t="shared" si="3"/>
        <v>1</v>
      </c>
    </row>
    <row r="220" spans="1:30" ht="270.75" thickBot="1" x14ac:dyDescent="0.3">
      <c r="A220" s="5">
        <v>46310</v>
      </c>
      <c r="B220" s="1">
        <v>5309</v>
      </c>
      <c r="C220" s="1">
        <v>5309041002000200</v>
      </c>
      <c r="D220" s="1" t="s">
        <v>22</v>
      </c>
      <c r="E220" s="1">
        <v>47112</v>
      </c>
      <c r="F220" s="1" t="s">
        <v>786</v>
      </c>
      <c r="G220" s="1" t="s">
        <v>787</v>
      </c>
      <c r="H220" s="1" t="s">
        <v>106</v>
      </c>
      <c r="I220" s="6">
        <v>24000</v>
      </c>
      <c r="J220" s="6">
        <v>5000000</v>
      </c>
      <c r="K220" s="6">
        <v>240000</v>
      </c>
      <c r="L220" s="6">
        <v>0</v>
      </c>
      <c r="M220" s="1">
        <v>5264000</v>
      </c>
      <c r="N220" s="6">
        <v>11000000</v>
      </c>
      <c r="O220" s="6">
        <v>100000</v>
      </c>
      <c r="P220" s="6">
        <v>5736000</v>
      </c>
      <c r="Q220" s="6">
        <v>7000000</v>
      </c>
      <c r="R220" s="6">
        <v>6000000</v>
      </c>
      <c r="S220" s="6">
        <v>0.45454499999999998</v>
      </c>
      <c r="T220" s="6">
        <v>0.95599999999999996</v>
      </c>
      <c r="U220" s="1" t="s">
        <v>788</v>
      </c>
      <c r="V220" s="1"/>
      <c r="W220" s="1"/>
      <c r="X220" s="9">
        <v>1200000</v>
      </c>
      <c r="Y220" s="9">
        <v>120000</v>
      </c>
      <c r="Z220" s="1" t="s">
        <v>22</v>
      </c>
      <c r="AA220" s="1">
        <v>47112</v>
      </c>
      <c r="AB220" t="s">
        <v>39</v>
      </c>
      <c r="AC220" t="e">
        <f>VLOOKUP(U220,Sheet1!$F$1:$F$39,1,FALSE)</f>
        <v>#N/A</v>
      </c>
      <c r="AD220">
        <f t="shared" si="3"/>
        <v>1</v>
      </c>
    </row>
    <row r="221" spans="1:30" ht="270.75" thickBot="1" x14ac:dyDescent="0.3">
      <c r="A221" s="5">
        <v>46310</v>
      </c>
      <c r="B221" s="1">
        <v>5309</v>
      </c>
      <c r="C221" s="1">
        <v>5309061001000400</v>
      </c>
      <c r="D221" s="1" t="s">
        <v>22</v>
      </c>
      <c r="E221" s="1">
        <v>47112</v>
      </c>
      <c r="F221" s="1" t="s">
        <v>789</v>
      </c>
      <c r="G221" s="1" t="s">
        <v>34</v>
      </c>
      <c r="H221" s="1" t="s">
        <v>790</v>
      </c>
      <c r="I221" s="6">
        <v>0</v>
      </c>
      <c r="J221" s="6">
        <v>21000000</v>
      </c>
      <c r="K221" s="6">
        <v>1000000</v>
      </c>
      <c r="L221" s="6">
        <v>0</v>
      </c>
      <c r="M221" s="1">
        <v>1</v>
      </c>
      <c r="N221" s="6">
        <v>34000000</v>
      </c>
      <c r="O221" s="6">
        <v>0</v>
      </c>
      <c r="P221" s="6">
        <v>12000000</v>
      </c>
      <c r="Q221" s="6">
        <v>0</v>
      </c>
      <c r="R221" s="6">
        <v>13000000</v>
      </c>
      <c r="S221" s="6">
        <v>0.61764699999999995</v>
      </c>
      <c r="T221" s="6">
        <v>0.92307700000000004</v>
      </c>
      <c r="U221" s="1" t="s">
        <v>791</v>
      </c>
      <c r="V221" s="1"/>
      <c r="W221" s="1"/>
      <c r="X221" s="9">
        <v>2860000</v>
      </c>
      <c r="Y221" s="9">
        <v>0</v>
      </c>
      <c r="Z221" s="1" t="s">
        <v>22</v>
      </c>
      <c r="AA221" s="1">
        <v>47112</v>
      </c>
      <c r="AB221" t="s">
        <v>39</v>
      </c>
      <c r="AC221" t="e">
        <f>VLOOKUP(U221,Sheet1!$F$1:$F$39,1,FALSE)</f>
        <v>#N/A</v>
      </c>
      <c r="AD221">
        <f t="shared" si="3"/>
        <v>1</v>
      </c>
    </row>
    <row r="222" spans="1:30" ht="270.75" thickBot="1" x14ac:dyDescent="0.3">
      <c r="A222" s="5">
        <v>46310</v>
      </c>
      <c r="B222" s="1">
        <v>5309</v>
      </c>
      <c r="C222" s="1">
        <v>5309070003000800</v>
      </c>
      <c r="D222" s="1" t="s">
        <v>22</v>
      </c>
      <c r="E222" s="1">
        <v>47112</v>
      </c>
      <c r="F222" s="1" t="s">
        <v>792</v>
      </c>
      <c r="G222" s="1" t="s">
        <v>793</v>
      </c>
      <c r="H222" s="1" t="s">
        <v>794</v>
      </c>
      <c r="I222" s="6">
        <v>0</v>
      </c>
      <c r="J222" s="6">
        <v>14400000</v>
      </c>
      <c r="K222" s="6">
        <v>700000</v>
      </c>
      <c r="L222" s="6">
        <v>0</v>
      </c>
      <c r="M222" s="1">
        <v>15100000</v>
      </c>
      <c r="N222" s="6">
        <v>21600000</v>
      </c>
      <c r="O222" s="6">
        <v>0</v>
      </c>
      <c r="P222" s="6">
        <v>6500000</v>
      </c>
      <c r="Q222" s="6">
        <v>18000000</v>
      </c>
      <c r="R222" s="6">
        <v>7200000</v>
      </c>
      <c r="S222" s="6">
        <v>0.66666700000000001</v>
      </c>
      <c r="T222" s="6">
        <v>0.90277799999999997</v>
      </c>
      <c r="U222" s="1" t="s">
        <v>795</v>
      </c>
      <c r="V222" s="1"/>
      <c r="W222" s="1"/>
      <c r="X222" s="9">
        <v>1584000</v>
      </c>
      <c r="Y222" s="9">
        <v>0</v>
      </c>
      <c r="Z222" s="1" t="s">
        <v>22</v>
      </c>
      <c r="AA222" s="1">
        <v>47112</v>
      </c>
      <c r="AB222" t="s">
        <v>39</v>
      </c>
      <c r="AC222" t="str">
        <f>VLOOKUP(U222,Sheet1!$F$1:$F$39,1,FALSE)</f>
        <v>https://fasih-sm.bps.go.id/app/assignment/fd68e454-ba45-4b85-8205-f3bf777ded24/d09f31df-6891-4c76-9350-1988ded32f89</v>
      </c>
      <c r="AD222">
        <f t="shared" si="3"/>
        <v>0</v>
      </c>
    </row>
    <row r="223" spans="1:30" ht="270.75" thickBot="1" x14ac:dyDescent="0.3">
      <c r="A223" s="5">
        <v>46310</v>
      </c>
      <c r="B223" s="1">
        <v>5309</v>
      </c>
      <c r="C223" s="1">
        <v>5309030021000700</v>
      </c>
      <c r="D223" s="1" t="s">
        <v>22</v>
      </c>
      <c r="E223" s="1">
        <v>47112</v>
      </c>
      <c r="F223" s="1" t="s">
        <v>796</v>
      </c>
      <c r="G223" s="1" t="s">
        <v>797</v>
      </c>
      <c r="H223" s="1" t="s">
        <v>797</v>
      </c>
      <c r="I223" s="6">
        <v>240000</v>
      </c>
      <c r="J223" s="6">
        <v>24000000</v>
      </c>
      <c r="K223" s="6">
        <v>1000000</v>
      </c>
      <c r="L223" s="6">
        <v>1080000</v>
      </c>
      <c r="M223" s="1">
        <v>26320000</v>
      </c>
      <c r="N223" s="6">
        <v>36000000</v>
      </c>
      <c r="O223" s="6">
        <v>0</v>
      </c>
      <c r="P223" s="6">
        <v>10760000</v>
      </c>
      <c r="Q223" s="6">
        <v>30000000</v>
      </c>
      <c r="R223" s="6">
        <v>12000000</v>
      </c>
      <c r="S223" s="6">
        <v>0.66666700000000001</v>
      </c>
      <c r="T223" s="6">
        <v>0.89666699999999999</v>
      </c>
      <c r="U223" s="1" t="s">
        <v>798</v>
      </c>
      <c r="V223" s="1"/>
      <c r="W223" s="1"/>
      <c r="X223" s="9">
        <v>2129032</v>
      </c>
      <c r="Y223" s="9">
        <v>510968</v>
      </c>
      <c r="Z223" s="1" t="s">
        <v>22</v>
      </c>
      <c r="AA223" s="1">
        <v>47112</v>
      </c>
      <c r="AB223" t="s">
        <v>39</v>
      </c>
      <c r="AC223" t="e">
        <f>VLOOKUP(U223,Sheet1!$F$1:$F$39,1,FALSE)</f>
        <v>#N/A</v>
      </c>
      <c r="AD223">
        <f t="shared" si="3"/>
        <v>1</v>
      </c>
    </row>
    <row r="224" spans="1:30" ht="270.75" thickBot="1" x14ac:dyDescent="0.3">
      <c r="A224" s="5">
        <v>46310</v>
      </c>
      <c r="B224" s="1">
        <v>5309</v>
      </c>
      <c r="C224" s="1">
        <v>5309073004001700</v>
      </c>
      <c r="D224" s="1" t="s">
        <v>22</v>
      </c>
      <c r="E224" s="1">
        <v>47112</v>
      </c>
      <c r="F224" s="1" t="s">
        <v>799</v>
      </c>
      <c r="G224" s="1" t="s">
        <v>30</v>
      </c>
      <c r="H224" s="1" t="s">
        <v>800</v>
      </c>
      <c r="I224" s="6">
        <v>1000000</v>
      </c>
      <c r="J224" s="6">
        <v>10000000</v>
      </c>
      <c r="K224" s="6">
        <v>500000</v>
      </c>
      <c r="L224" s="6">
        <v>0</v>
      </c>
      <c r="M224" s="1">
        <v>11500000</v>
      </c>
      <c r="N224" s="6">
        <v>17000000</v>
      </c>
      <c r="O224" s="6">
        <v>0</v>
      </c>
      <c r="P224" s="6">
        <v>5500000</v>
      </c>
      <c r="Q224" s="6">
        <v>8000000</v>
      </c>
      <c r="R224" s="6">
        <v>7000000</v>
      </c>
      <c r="S224" s="6">
        <v>0.58823499999999995</v>
      </c>
      <c r="T224" s="6">
        <v>0.78571400000000002</v>
      </c>
      <c r="U224" s="1" t="s">
        <v>801</v>
      </c>
      <c r="V224" s="1"/>
      <c r="W224" s="1"/>
      <c r="X224" s="9">
        <v>513333</v>
      </c>
      <c r="Y224" s="9">
        <v>1026667</v>
      </c>
      <c r="Z224" s="1" t="s">
        <v>22</v>
      </c>
      <c r="AA224" s="1">
        <v>47112</v>
      </c>
      <c r="AB224" t="s">
        <v>39</v>
      </c>
      <c r="AC224" t="e">
        <f>VLOOKUP(U224,Sheet1!$F$1:$F$39,1,FALSE)</f>
        <v>#N/A</v>
      </c>
      <c r="AD224">
        <f t="shared" si="3"/>
        <v>1</v>
      </c>
    </row>
    <row r="225" spans="1:30" ht="270.75" thickBot="1" x14ac:dyDescent="0.3">
      <c r="A225" s="5">
        <v>46310</v>
      </c>
      <c r="B225" s="1">
        <v>5309</v>
      </c>
      <c r="C225" s="1">
        <v>5309070008001200</v>
      </c>
      <c r="D225" s="1" t="s">
        <v>22</v>
      </c>
      <c r="E225" s="1">
        <v>47112</v>
      </c>
      <c r="F225" s="1" t="s">
        <v>803</v>
      </c>
      <c r="G225" s="1" t="s">
        <v>49</v>
      </c>
      <c r="H225" s="1" t="s">
        <v>804</v>
      </c>
      <c r="I225" s="6">
        <v>60000</v>
      </c>
      <c r="J225" s="6">
        <v>43200000</v>
      </c>
      <c r="K225" s="6">
        <v>5760000</v>
      </c>
      <c r="L225" s="6">
        <v>0</v>
      </c>
      <c r="M225" s="1">
        <v>49020000</v>
      </c>
      <c r="N225" s="6">
        <v>56220000</v>
      </c>
      <c r="O225" s="6">
        <v>0</v>
      </c>
      <c r="P225" s="6">
        <v>7200000</v>
      </c>
      <c r="Q225" s="6">
        <v>6000000</v>
      </c>
      <c r="R225" s="6">
        <v>13020000</v>
      </c>
      <c r="S225" s="6">
        <v>0.76841000000000004</v>
      </c>
      <c r="T225" s="6">
        <v>0.55299500000000001</v>
      </c>
      <c r="U225" s="1" t="s">
        <v>805</v>
      </c>
      <c r="V225" s="1"/>
      <c r="W225" s="1"/>
      <c r="X225" s="9">
        <v>4638878</v>
      </c>
      <c r="Y225" s="9">
        <v>48322</v>
      </c>
      <c r="Z225" s="1" t="s">
        <v>22</v>
      </c>
      <c r="AA225" s="1">
        <v>47112</v>
      </c>
      <c r="AB225" t="s">
        <v>39</v>
      </c>
      <c r="AC225" t="e">
        <f>VLOOKUP(U225,Sheet1!$F$1:$F$39,1,FALSE)</f>
        <v>#N/A</v>
      </c>
      <c r="AD225">
        <f t="shared" si="3"/>
        <v>1</v>
      </c>
    </row>
    <row r="226" spans="1:30" ht="270.75" thickBot="1" x14ac:dyDescent="0.3">
      <c r="A226" s="5">
        <v>46310</v>
      </c>
      <c r="B226" s="1">
        <v>5309</v>
      </c>
      <c r="C226" s="1">
        <v>5309060020000100</v>
      </c>
      <c r="D226" s="1" t="s">
        <v>22</v>
      </c>
      <c r="E226" s="1">
        <v>47112</v>
      </c>
      <c r="F226" s="1" t="s">
        <v>806</v>
      </c>
      <c r="G226" s="1" t="s">
        <v>807</v>
      </c>
      <c r="H226" s="1" t="s">
        <v>36</v>
      </c>
      <c r="I226" s="6">
        <v>0</v>
      </c>
      <c r="J226" s="6">
        <v>3500000</v>
      </c>
      <c r="K226" s="6">
        <v>350000</v>
      </c>
      <c r="L226" s="6">
        <v>0</v>
      </c>
      <c r="M226" s="1">
        <v>3850000</v>
      </c>
      <c r="N226" s="6">
        <v>6500000</v>
      </c>
      <c r="O226" s="6">
        <v>0</v>
      </c>
      <c r="P226" s="6">
        <v>2650000</v>
      </c>
      <c r="Q226" s="6">
        <v>4000000</v>
      </c>
      <c r="R226" s="6">
        <v>3000000</v>
      </c>
      <c r="S226" s="6">
        <v>0.538462</v>
      </c>
      <c r="T226" s="6">
        <v>0.88333300000000003</v>
      </c>
      <c r="U226" s="1" t="s">
        <v>808</v>
      </c>
      <c r="V226" s="1"/>
      <c r="W226" s="1"/>
      <c r="X226" s="9">
        <v>660000</v>
      </c>
      <c r="Y226" s="9">
        <v>0</v>
      </c>
      <c r="Z226" s="1" t="s">
        <v>22</v>
      </c>
      <c r="AA226" s="1">
        <v>47112</v>
      </c>
      <c r="AB226" t="s">
        <v>39</v>
      </c>
      <c r="AC226" t="e">
        <f>VLOOKUP(U226,Sheet1!$F$1:$F$39,1,FALSE)</f>
        <v>#N/A</v>
      </c>
      <c r="AD226">
        <f t="shared" si="3"/>
        <v>1</v>
      </c>
    </row>
    <row r="227" spans="1:30" ht="270.75" thickBot="1" x14ac:dyDescent="0.3">
      <c r="A227" s="5">
        <v>46310</v>
      </c>
      <c r="B227" s="1">
        <v>5309</v>
      </c>
      <c r="C227" s="1">
        <v>5309030014000500</v>
      </c>
      <c r="D227" s="1" t="s">
        <v>22</v>
      </c>
      <c r="E227" s="1">
        <v>47112</v>
      </c>
      <c r="F227" s="1" t="s">
        <v>809</v>
      </c>
      <c r="G227" s="1" t="s">
        <v>24</v>
      </c>
      <c r="H227" s="1" t="s">
        <v>667</v>
      </c>
      <c r="I227" s="6">
        <v>500000</v>
      </c>
      <c r="J227" s="6">
        <v>3000000</v>
      </c>
      <c r="K227" s="6">
        <v>0</v>
      </c>
      <c r="L227" s="6">
        <v>0</v>
      </c>
      <c r="M227" s="1">
        <v>3500000</v>
      </c>
      <c r="N227" s="6">
        <v>6000000</v>
      </c>
      <c r="O227" s="6">
        <v>0</v>
      </c>
      <c r="P227" s="6">
        <v>2500000</v>
      </c>
      <c r="Q227" s="6">
        <v>0</v>
      </c>
      <c r="R227" s="6">
        <v>3000000</v>
      </c>
      <c r="S227" s="6">
        <v>0.5</v>
      </c>
      <c r="T227" s="6">
        <v>0.83333299999999999</v>
      </c>
      <c r="U227" s="1" t="s">
        <v>810</v>
      </c>
      <c r="V227" s="1"/>
      <c r="W227" s="1"/>
      <c r="X227" s="9">
        <v>0</v>
      </c>
      <c r="Y227" s="9">
        <v>660000</v>
      </c>
      <c r="Z227" s="1" t="s">
        <v>22</v>
      </c>
      <c r="AA227" s="1">
        <v>47112</v>
      </c>
      <c r="AB227" t="s">
        <v>39</v>
      </c>
      <c r="AC227" t="e">
        <f>VLOOKUP(U227,Sheet1!$F$1:$F$39,1,FALSE)</f>
        <v>#N/A</v>
      </c>
      <c r="AD227">
        <f t="shared" si="3"/>
        <v>1</v>
      </c>
    </row>
    <row r="228" spans="1:30" ht="270.75" thickBot="1" x14ac:dyDescent="0.3">
      <c r="A228" s="5">
        <v>46310</v>
      </c>
      <c r="B228" s="1">
        <v>5309</v>
      </c>
      <c r="C228" s="1">
        <v>5309030028000900</v>
      </c>
      <c r="D228" s="1" t="s">
        <v>22</v>
      </c>
      <c r="E228" s="1">
        <v>47112</v>
      </c>
      <c r="F228" s="1" t="s">
        <v>811</v>
      </c>
      <c r="G228" s="1" t="s">
        <v>812</v>
      </c>
      <c r="H228" s="1" t="s">
        <v>802</v>
      </c>
      <c r="I228" s="6">
        <v>6000000</v>
      </c>
      <c r="J228" s="6">
        <v>0</v>
      </c>
      <c r="K228" s="6">
        <v>200000</v>
      </c>
      <c r="L228" s="6">
        <v>300000</v>
      </c>
      <c r="M228" s="1">
        <v>6500000</v>
      </c>
      <c r="N228" s="6">
        <v>6000000</v>
      </c>
      <c r="O228" s="6">
        <v>10000000</v>
      </c>
      <c r="P228" s="6">
        <v>-200000</v>
      </c>
      <c r="Q228" s="6">
        <v>30000000</v>
      </c>
      <c r="R228" s="6">
        <v>6000000</v>
      </c>
      <c r="S228" s="6">
        <v>0</v>
      </c>
      <c r="T228" s="6">
        <v>-3.3333000000000002E-2</v>
      </c>
      <c r="U228" s="1" t="s">
        <v>813</v>
      </c>
      <c r="V228" s="1"/>
      <c r="W228" s="1"/>
      <c r="X228" s="9">
        <v>69677</v>
      </c>
      <c r="Y228" s="9">
        <v>2090323</v>
      </c>
      <c r="Z228" s="1" t="s">
        <v>22</v>
      </c>
      <c r="AA228" s="1">
        <v>47112</v>
      </c>
      <c r="AB228" t="s">
        <v>39</v>
      </c>
      <c r="AC228" t="e">
        <f>VLOOKUP(U228,Sheet1!$F$1:$F$39,1,FALSE)</f>
        <v>#N/A</v>
      </c>
      <c r="AD228">
        <f t="shared" si="3"/>
        <v>1</v>
      </c>
    </row>
    <row r="229" spans="1:30" ht="270.75" thickBot="1" x14ac:dyDescent="0.3">
      <c r="A229" s="5">
        <v>46310</v>
      </c>
      <c r="B229" s="1">
        <v>5309</v>
      </c>
      <c r="C229" s="1">
        <v>5309021002000300</v>
      </c>
      <c r="D229" s="1" t="s">
        <v>22</v>
      </c>
      <c r="E229" s="1">
        <v>47112</v>
      </c>
      <c r="F229" s="1" t="s">
        <v>814</v>
      </c>
      <c r="G229" s="1" t="s">
        <v>815</v>
      </c>
      <c r="H229" s="1" t="s">
        <v>816</v>
      </c>
      <c r="I229" s="6">
        <v>0</v>
      </c>
      <c r="J229" s="6">
        <v>9500000</v>
      </c>
      <c r="K229" s="6">
        <v>500000</v>
      </c>
      <c r="L229" s="6">
        <v>0</v>
      </c>
      <c r="M229" s="1">
        <v>10000000</v>
      </c>
      <c r="N229" s="6">
        <v>15000000</v>
      </c>
      <c r="O229" s="6">
        <v>0</v>
      </c>
      <c r="P229" s="6">
        <v>5000000</v>
      </c>
      <c r="Q229" s="6">
        <v>50000000</v>
      </c>
      <c r="R229" s="6">
        <v>5500000</v>
      </c>
      <c r="S229" s="6">
        <v>0.63333300000000003</v>
      </c>
      <c r="T229" s="6">
        <v>0.90909099999999998</v>
      </c>
      <c r="U229" s="1" t="s">
        <v>817</v>
      </c>
      <c r="V229" s="1"/>
      <c r="W229" s="1"/>
      <c r="X229" s="9">
        <v>1210000</v>
      </c>
      <c r="Y229" s="9">
        <v>0</v>
      </c>
      <c r="Z229" s="1" t="s">
        <v>22</v>
      </c>
      <c r="AA229" s="1">
        <v>47112</v>
      </c>
      <c r="AB229" t="s">
        <v>39</v>
      </c>
      <c r="AC229" t="e">
        <f>VLOOKUP(U229,Sheet1!$F$1:$F$39,1,FALSE)</f>
        <v>#N/A</v>
      </c>
      <c r="AD229">
        <f t="shared" si="3"/>
        <v>1</v>
      </c>
    </row>
    <row r="230" spans="1:30" ht="270.75" thickBot="1" x14ac:dyDescent="0.3">
      <c r="A230" s="5">
        <v>46310</v>
      </c>
      <c r="B230" s="1">
        <v>5309</v>
      </c>
      <c r="C230" s="1">
        <v>5309070008000500</v>
      </c>
      <c r="D230" s="1" t="s">
        <v>22</v>
      </c>
      <c r="E230" s="1">
        <v>47112</v>
      </c>
      <c r="F230" s="1" t="s">
        <v>818</v>
      </c>
      <c r="G230" s="1" t="s">
        <v>24</v>
      </c>
      <c r="H230" s="1" t="s">
        <v>819</v>
      </c>
      <c r="I230" s="6">
        <v>5000000</v>
      </c>
      <c r="J230" s="6">
        <v>858000000</v>
      </c>
      <c r="K230" s="6">
        <v>36000000</v>
      </c>
      <c r="L230" s="6">
        <v>13000000</v>
      </c>
      <c r="M230" s="1">
        <v>912000000</v>
      </c>
      <c r="N230" s="6">
        <v>972000000</v>
      </c>
      <c r="O230" s="6">
        <v>0</v>
      </c>
      <c r="P230" s="6">
        <v>73000000</v>
      </c>
      <c r="Q230" s="6">
        <v>147500000</v>
      </c>
      <c r="R230" s="6">
        <v>114000000</v>
      </c>
      <c r="S230" s="6">
        <v>0.88271599999999995</v>
      </c>
      <c r="T230" s="6">
        <v>0.640351</v>
      </c>
      <c r="U230" s="1" t="s">
        <v>820</v>
      </c>
      <c r="V230" s="1"/>
      <c r="W230" s="1"/>
      <c r="X230" s="9">
        <v>36000000</v>
      </c>
      <c r="Y230" s="9">
        <v>5000000</v>
      </c>
      <c r="Z230" s="1" t="s">
        <v>22</v>
      </c>
      <c r="AA230" s="1">
        <v>47112</v>
      </c>
      <c r="AB230" t="s">
        <v>39</v>
      </c>
      <c r="AC230" t="e">
        <f>VLOOKUP(U230,Sheet1!$F$1:$F$39,1,FALSE)</f>
        <v>#N/A</v>
      </c>
      <c r="AD230">
        <f t="shared" si="3"/>
        <v>1</v>
      </c>
    </row>
    <row r="231" spans="1:30" ht="270.75" thickBot="1" x14ac:dyDescent="0.3">
      <c r="A231" s="5">
        <v>46310</v>
      </c>
      <c r="B231" s="1">
        <v>5309</v>
      </c>
      <c r="C231" s="1">
        <v>5309030021000700</v>
      </c>
      <c r="D231" s="1" t="s">
        <v>22</v>
      </c>
      <c r="E231" s="1">
        <v>47112</v>
      </c>
      <c r="F231" s="1" t="s">
        <v>821</v>
      </c>
      <c r="G231" s="1" t="s">
        <v>822</v>
      </c>
      <c r="H231" s="1" t="s">
        <v>823</v>
      </c>
      <c r="I231" s="6">
        <v>10248000</v>
      </c>
      <c r="J231" s="6">
        <v>31200000</v>
      </c>
      <c r="K231" s="6">
        <v>4080000</v>
      </c>
      <c r="L231" s="6">
        <v>624000</v>
      </c>
      <c r="M231" s="1">
        <v>46152000</v>
      </c>
      <c r="N231" s="6">
        <v>62400000</v>
      </c>
      <c r="O231" s="6">
        <v>0</v>
      </c>
      <c r="P231" s="6">
        <v>16872000</v>
      </c>
      <c r="Q231" s="6">
        <v>800000</v>
      </c>
      <c r="R231" s="6">
        <v>31200000</v>
      </c>
      <c r="S231" s="6">
        <v>0.5</v>
      </c>
      <c r="T231" s="6">
        <v>0.54076900000000006</v>
      </c>
      <c r="U231" s="1" t="s">
        <v>824</v>
      </c>
      <c r="V231" s="1"/>
      <c r="W231" s="1"/>
      <c r="X231" s="9">
        <v>3198392</v>
      </c>
      <c r="Y231" s="9">
        <v>8033608</v>
      </c>
      <c r="Z231" s="1" t="s">
        <v>22</v>
      </c>
      <c r="AA231" s="1">
        <v>47112</v>
      </c>
      <c r="AB231" t="s">
        <v>39</v>
      </c>
      <c r="AC231" t="e">
        <f>VLOOKUP(U231,Sheet1!$F$1:$F$39,1,FALSE)</f>
        <v>#N/A</v>
      </c>
      <c r="AD231">
        <f t="shared" si="3"/>
        <v>1</v>
      </c>
    </row>
    <row r="232" spans="1:30" ht="270.75" thickBot="1" x14ac:dyDescent="0.3">
      <c r="A232" s="5">
        <v>46310</v>
      </c>
      <c r="B232" s="1">
        <v>5309</v>
      </c>
      <c r="C232" s="1">
        <v>5309030021000700</v>
      </c>
      <c r="D232" s="1" t="s">
        <v>22</v>
      </c>
      <c r="E232" s="1">
        <v>47112</v>
      </c>
      <c r="F232" s="1" t="s">
        <v>825</v>
      </c>
      <c r="G232" s="1" t="s">
        <v>826</v>
      </c>
      <c r="H232" s="1" t="s">
        <v>826</v>
      </c>
      <c r="I232" s="6">
        <v>600000</v>
      </c>
      <c r="J232" s="6">
        <v>60000000</v>
      </c>
      <c r="K232" s="6">
        <v>2500000</v>
      </c>
      <c r="L232" s="6">
        <v>1250000</v>
      </c>
      <c r="M232" s="1">
        <v>64350000</v>
      </c>
      <c r="N232" s="6">
        <v>124800000</v>
      </c>
      <c r="O232" s="6">
        <v>0</v>
      </c>
      <c r="P232" s="6">
        <v>61700000</v>
      </c>
      <c r="Q232" s="6">
        <v>20000000</v>
      </c>
      <c r="R232" s="6">
        <v>64800000</v>
      </c>
      <c r="S232" s="6">
        <v>0.480769</v>
      </c>
      <c r="T232" s="6">
        <v>0.95216000000000001</v>
      </c>
      <c r="U232" s="1" t="s">
        <v>827</v>
      </c>
      <c r="V232" s="1"/>
      <c r="W232" s="1"/>
      <c r="X232" s="9">
        <v>11496774</v>
      </c>
      <c r="Y232" s="9">
        <v>2759226</v>
      </c>
      <c r="Z232" s="1" t="s">
        <v>22</v>
      </c>
      <c r="AA232" s="1">
        <v>47112</v>
      </c>
      <c r="AB232" t="s">
        <v>39</v>
      </c>
      <c r="AC232" t="e">
        <f>VLOOKUP(U232,Sheet1!$F$1:$F$39,1,FALSE)</f>
        <v>#N/A</v>
      </c>
      <c r="AD232">
        <f t="shared" si="3"/>
        <v>1</v>
      </c>
    </row>
    <row r="233" spans="1:30" ht="270.75" thickBot="1" x14ac:dyDescent="0.3">
      <c r="A233" s="5">
        <v>46310</v>
      </c>
      <c r="B233" s="1">
        <v>5309</v>
      </c>
      <c r="C233" s="1">
        <v>5309020011000300</v>
      </c>
      <c r="D233" s="1" t="s">
        <v>22</v>
      </c>
      <c r="E233" s="1">
        <v>47112</v>
      </c>
      <c r="F233" s="1" t="s">
        <v>828</v>
      </c>
      <c r="G233" s="1" t="s">
        <v>829</v>
      </c>
      <c r="H233" s="1" t="s">
        <v>830</v>
      </c>
      <c r="I233" s="6">
        <v>0</v>
      </c>
      <c r="J233" s="6">
        <v>4200000</v>
      </c>
      <c r="K233" s="6">
        <v>600000</v>
      </c>
      <c r="L233" s="6">
        <v>0</v>
      </c>
      <c r="M233" s="1">
        <v>400000</v>
      </c>
      <c r="N233" s="6">
        <v>7800000</v>
      </c>
      <c r="O233" s="6">
        <v>0</v>
      </c>
      <c r="P233" s="6">
        <v>3000000</v>
      </c>
      <c r="Q233" s="6">
        <v>0</v>
      </c>
      <c r="R233" s="6">
        <v>3600000</v>
      </c>
      <c r="S233" s="6">
        <v>0.538462</v>
      </c>
      <c r="T233" s="6">
        <v>0.83333299999999999</v>
      </c>
      <c r="U233" s="1" t="s">
        <v>831</v>
      </c>
      <c r="V233" s="1"/>
      <c r="W233" s="1"/>
      <c r="X233" s="9">
        <v>792000</v>
      </c>
      <c r="Y233" s="9">
        <v>0</v>
      </c>
      <c r="Z233" s="1" t="s">
        <v>22</v>
      </c>
      <c r="AA233" s="1">
        <v>47112</v>
      </c>
      <c r="AB233" t="s">
        <v>39</v>
      </c>
      <c r="AC233" t="e">
        <f>VLOOKUP(U233,Sheet1!$F$1:$F$39,1,FALSE)</f>
        <v>#N/A</v>
      </c>
      <c r="AD233">
        <f t="shared" si="3"/>
        <v>1</v>
      </c>
    </row>
    <row r="234" spans="1:30" ht="270.75" thickBot="1" x14ac:dyDescent="0.3">
      <c r="A234" s="5">
        <v>46310</v>
      </c>
      <c r="B234" s="1">
        <v>5309</v>
      </c>
      <c r="C234" s="1">
        <v>5309030027001400</v>
      </c>
      <c r="D234" s="1" t="s">
        <v>22</v>
      </c>
      <c r="E234" s="1">
        <v>47112</v>
      </c>
      <c r="F234" s="1" t="s">
        <v>832</v>
      </c>
      <c r="G234" s="1" t="s">
        <v>24</v>
      </c>
      <c r="H234" s="1" t="s">
        <v>29</v>
      </c>
      <c r="I234" s="6">
        <v>0</v>
      </c>
      <c r="J234" s="6">
        <v>15000000</v>
      </c>
      <c r="K234" s="6">
        <v>500000</v>
      </c>
      <c r="L234" s="6">
        <v>8000000</v>
      </c>
      <c r="M234" s="1">
        <v>24300000</v>
      </c>
      <c r="N234" s="6">
        <v>30000000</v>
      </c>
      <c r="O234" s="6">
        <v>0</v>
      </c>
      <c r="P234" s="6">
        <v>14500000</v>
      </c>
      <c r="Q234" s="6">
        <v>0</v>
      </c>
      <c r="R234" s="6">
        <v>15000000</v>
      </c>
      <c r="S234" s="6">
        <v>0.5</v>
      </c>
      <c r="T234" s="6">
        <v>0.96666700000000005</v>
      </c>
      <c r="U234" s="1" t="s">
        <v>833</v>
      </c>
      <c r="V234" s="1"/>
      <c r="W234" s="1"/>
      <c r="X234" s="9">
        <v>3300000</v>
      </c>
      <c r="Y234" s="9">
        <v>0</v>
      </c>
      <c r="Z234" s="1" t="s">
        <v>22</v>
      </c>
      <c r="AA234" s="1">
        <v>47112</v>
      </c>
      <c r="AB234" t="s">
        <v>39</v>
      </c>
      <c r="AC234" t="e">
        <f>VLOOKUP(U234,Sheet1!$F$1:$F$39,1,FALSE)</f>
        <v>#N/A</v>
      </c>
      <c r="AD234">
        <f t="shared" si="3"/>
        <v>1</v>
      </c>
    </row>
    <row r="235" spans="1:30" ht="270.75" thickBot="1" x14ac:dyDescent="0.3">
      <c r="A235" s="5">
        <v>46310</v>
      </c>
      <c r="B235" s="1">
        <v>5309</v>
      </c>
      <c r="C235" s="1">
        <v>5309072004001400</v>
      </c>
      <c r="D235" s="1" t="s">
        <v>22</v>
      </c>
      <c r="E235" s="1">
        <v>47112</v>
      </c>
      <c r="F235" s="1" t="s">
        <v>834</v>
      </c>
      <c r="G235" s="1" t="s">
        <v>835</v>
      </c>
      <c r="H235" s="1" t="s">
        <v>836</v>
      </c>
      <c r="I235" s="6">
        <v>300000</v>
      </c>
      <c r="J235" s="6">
        <v>4800000</v>
      </c>
      <c r="K235" s="6">
        <v>200000</v>
      </c>
      <c r="L235" s="6">
        <v>0</v>
      </c>
      <c r="M235" s="1">
        <v>220000</v>
      </c>
      <c r="N235" s="6">
        <v>10080000</v>
      </c>
      <c r="O235" s="6">
        <v>0</v>
      </c>
      <c r="P235" s="6">
        <v>4780000</v>
      </c>
      <c r="Q235" s="6">
        <v>13000000</v>
      </c>
      <c r="R235" s="6">
        <v>5280000</v>
      </c>
      <c r="S235" s="6">
        <v>0.47619</v>
      </c>
      <c r="T235" s="6">
        <v>0.90530299999999997</v>
      </c>
      <c r="U235" s="1" t="s">
        <v>837</v>
      </c>
      <c r="V235" s="1"/>
      <c r="W235" s="1"/>
      <c r="X235" s="9">
        <v>464640</v>
      </c>
      <c r="Y235" s="9">
        <v>696960</v>
      </c>
      <c r="Z235" s="1" t="s">
        <v>22</v>
      </c>
      <c r="AA235" s="1">
        <v>47112</v>
      </c>
      <c r="AB235" t="s">
        <v>39</v>
      </c>
      <c r="AC235" t="e">
        <f>VLOOKUP(U235,Sheet1!$F$1:$F$39,1,FALSE)</f>
        <v>#N/A</v>
      </c>
      <c r="AD235">
        <f t="shared" si="3"/>
        <v>1</v>
      </c>
    </row>
    <row r="236" spans="1:30" ht="255.75" thickBot="1" x14ac:dyDescent="0.3">
      <c r="A236" s="5">
        <v>46310</v>
      </c>
      <c r="B236" s="1">
        <v>5309</v>
      </c>
      <c r="C236" s="1">
        <v>5309030021000700</v>
      </c>
      <c r="D236" s="1" t="s">
        <v>22</v>
      </c>
      <c r="E236" s="1">
        <v>47112</v>
      </c>
      <c r="F236" s="1" t="s">
        <v>838</v>
      </c>
      <c r="G236" s="1" t="s">
        <v>29</v>
      </c>
      <c r="H236" s="1" t="s">
        <v>29</v>
      </c>
      <c r="I236" s="6">
        <v>576000</v>
      </c>
      <c r="J236" s="6">
        <v>12000000</v>
      </c>
      <c r="K236" s="6">
        <v>600000</v>
      </c>
      <c r="L236" s="6">
        <v>24000000</v>
      </c>
      <c r="M236" s="1">
        <v>3098000</v>
      </c>
      <c r="N236" s="6">
        <v>124800000</v>
      </c>
      <c r="O236" s="6">
        <v>0</v>
      </c>
      <c r="P236" s="6">
        <v>111624000</v>
      </c>
      <c r="Q236" s="6">
        <v>0</v>
      </c>
      <c r="R236" s="6">
        <v>112800000</v>
      </c>
      <c r="S236" s="6">
        <v>9.6154000000000003E-2</v>
      </c>
      <c r="T236" s="6">
        <v>0.98957399999999995</v>
      </c>
      <c r="U236" s="1" t="s">
        <v>839</v>
      </c>
      <c r="V236" s="1"/>
      <c r="W236" s="1"/>
      <c r="X236" s="9">
        <v>12661224</v>
      </c>
      <c r="Y236" s="9">
        <v>12154776</v>
      </c>
      <c r="Z236" s="1" t="s">
        <v>22</v>
      </c>
      <c r="AA236" s="1">
        <v>47112</v>
      </c>
      <c r="AB236" t="s">
        <v>39</v>
      </c>
      <c r="AC236" t="e">
        <f>VLOOKUP(U236,Sheet1!$F$1:$F$39,1,FALSE)</f>
        <v>#N/A</v>
      </c>
      <c r="AD236">
        <f t="shared" si="3"/>
        <v>1</v>
      </c>
    </row>
    <row r="237" spans="1:30" ht="270.75" thickBot="1" x14ac:dyDescent="0.3">
      <c r="A237" s="5">
        <v>46310</v>
      </c>
      <c r="B237" s="1">
        <v>5309</v>
      </c>
      <c r="C237" s="1">
        <v>5309071007000100</v>
      </c>
      <c r="D237" s="1" t="s">
        <v>22</v>
      </c>
      <c r="E237" s="1">
        <v>47112</v>
      </c>
      <c r="F237" s="1" t="s">
        <v>840</v>
      </c>
      <c r="G237" s="1" t="s">
        <v>841</v>
      </c>
      <c r="H237" s="1" t="s">
        <v>842</v>
      </c>
      <c r="I237" s="6">
        <v>0</v>
      </c>
      <c r="J237" s="6">
        <v>2000000</v>
      </c>
      <c r="K237" s="6">
        <v>250000</v>
      </c>
      <c r="L237" s="6">
        <v>0</v>
      </c>
      <c r="M237" s="1">
        <v>2250000</v>
      </c>
      <c r="N237" s="6">
        <v>2500000</v>
      </c>
      <c r="O237" s="6">
        <v>0</v>
      </c>
      <c r="P237" s="6">
        <v>250000</v>
      </c>
      <c r="Q237" s="6">
        <v>9500000</v>
      </c>
      <c r="R237" s="6">
        <v>500000</v>
      </c>
      <c r="S237" s="6">
        <v>0.8</v>
      </c>
      <c r="T237" s="6">
        <v>0.5</v>
      </c>
      <c r="U237" s="1" t="s">
        <v>843</v>
      </c>
      <c r="V237" s="1"/>
      <c r="W237" s="1"/>
      <c r="X237" s="9">
        <v>180000</v>
      </c>
      <c r="Y237" s="9">
        <v>0</v>
      </c>
      <c r="Z237" s="1" t="s">
        <v>22</v>
      </c>
      <c r="AA237" s="1">
        <v>47112</v>
      </c>
      <c r="AB237" t="s">
        <v>39</v>
      </c>
      <c r="AC237" t="str">
        <f>VLOOKUP(U237,Sheet1!$F$1:$F$39,1,FALSE)</f>
        <v>https://fasih-sm.bps.go.id/app/assignment/fd68e454-ba45-4b85-8205-f3bf777ded24/efd12a48-e15c-4392-ac3f-07af452f695d</v>
      </c>
      <c r="AD237">
        <f t="shared" si="3"/>
        <v>0</v>
      </c>
    </row>
    <row r="238" spans="1:30" ht="270.75" thickBot="1" x14ac:dyDescent="0.3">
      <c r="A238" s="5">
        <v>46310</v>
      </c>
      <c r="B238" s="1">
        <v>5309</v>
      </c>
      <c r="C238" s="1">
        <v>5309070056000100</v>
      </c>
      <c r="D238" s="1" t="s">
        <v>22</v>
      </c>
      <c r="E238" s="1">
        <v>47112</v>
      </c>
      <c r="F238" s="1" t="s">
        <v>844</v>
      </c>
      <c r="G238" s="1" t="s">
        <v>845</v>
      </c>
      <c r="H238" s="1" t="s">
        <v>846</v>
      </c>
      <c r="I238" s="6">
        <v>70000</v>
      </c>
      <c r="J238" s="6">
        <v>43200000</v>
      </c>
      <c r="K238" s="6">
        <v>180000</v>
      </c>
      <c r="L238" s="6">
        <v>0</v>
      </c>
      <c r="M238" s="1">
        <v>43450000</v>
      </c>
      <c r="N238" s="6">
        <v>54000000</v>
      </c>
      <c r="O238" s="6">
        <v>0</v>
      </c>
      <c r="P238" s="6">
        <v>10550000</v>
      </c>
      <c r="Q238" s="6">
        <v>1600000</v>
      </c>
      <c r="R238" s="6">
        <v>10800000</v>
      </c>
      <c r="S238" s="6">
        <v>0.8</v>
      </c>
      <c r="T238" s="6">
        <v>0.97685200000000005</v>
      </c>
      <c r="U238" s="1" t="s">
        <v>847</v>
      </c>
      <c r="V238" s="1"/>
      <c r="W238" s="1"/>
      <c r="X238" s="9">
        <v>1710720</v>
      </c>
      <c r="Y238" s="9">
        <v>665280</v>
      </c>
      <c r="Z238" s="1" t="s">
        <v>22</v>
      </c>
      <c r="AA238" s="1">
        <v>47112</v>
      </c>
      <c r="AB238" t="s">
        <v>39</v>
      </c>
      <c r="AC238" t="e">
        <f>VLOOKUP(U238,Sheet1!$F$1:$F$39,1,FALSE)</f>
        <v>#N/A</v>
      </c>
      <c r="AD238">
        <f t="shared" si="3"/>
        <v>1</v>
      </c>
    </row>
    <row r="239" spans="1:30" ht="270.75" thickBot="1" x14ac:dyDescent="0.3">
      <c r="A239" s="5">
        <v>46310</v>
      </c>
      <c r="B239" s="1">
        <v>5309</v>
      </c>
      <c r="C239" s="1">
        <v>5309070010002900</v>
      </c>
      <c r="D239" s="1" t="s">
        <v>22</v>
      </c>
      <c r="E239" s="1">
        <v>47112</v>
      </c>
      <c r="F239" s="1" t="s">
        <v>848</v>
      </c>
      <c r="G239" s="1" t="s">
        <v>248</v>
      </c>
      <c r="H239" s="1" t="s">
        <v>849</v>
      </c>
      <c r="I239" s="6">
        <v>500000</v>
      </c>
      <c r="J239" s="6">
        <v>24000000</v>
      </c>
      <c r="K239" s="6">
        <v>300000</v>
      </c>
      <c r="L239" s="6">
        <v>0</v>
      </c>
      <c r="M239" s="1">
        <v>5650000</v>
      </c>
      <c r="N239" s="6">
        <v>30100000</v>
      </c>
      <c r="O239" s="6">
        <v>28800000</v>
      </c>
      <c r="P239" s="6">
        <v>5300000</v>
      </c>
      <c r="Q239" s="6">
        <v>3750000</v>
      </c>
      <c r="R239" s="6">
        <v>6100000</v>
      </c>
      <c r="S239" s="6">
        <v>0.797342</v>
      </c>
      <c r="T239" s="6">
        <v>0.86885199999999996</v>
      </c>
      <c r="U239" s="1" t="s">
        <v>850</v>
      </c>
      <c r="V239" s="1"/>
      <c r="W239" s="1"/>
      <c r="X239" s="9">
        <v>503250</v>
      </c>
      <c r="Y239" s="9">
        <v>838750</v>
      </c>
      <c r="Z239" s="1" t="s">
        <v>22</v>
      </c>
      <c r="AA239" s="1">
        <v>47112</v>
      </c>
      <c r="AB239" t="s">
        <v>39</v>
      </c>
      <c r="AC239" t="e">
        <f>VLOOKUP(U239,Sheet1!$F$1:$F$39,1,FALSE)</f>
        <v>#N/A</v>
      </c>
      <c r="AD239">
        <f t="shared" si="3"/>
        <v>1</v>
      </c>
    </row>
    <row r="240" spans="1:30" ht="270.75" thickBot="1" x14ac:dyDescent="0.3">
      <c r="A240" s="5">
        <v>46310</v>
      </c>
      <c r="B240" s="1">
        <v>5309</v>
      </c>
      <c r="C240" s="1">
        <v>5309062002000200</v>
      </c>
      <c r="D240" s="1" t="s">
        <v>22</v>
      </c>
      <c r="E240" s="1">
        <v>47112</v>
      </c>
      <c r="F240" s="1" t="s">
        <v>851</v>
      </c>
      <c r="G240" s="1" t="s">
        <v>852</v>
      </c>
      <c r="H240" s="1" t="s">
        <v>853</v>
      </c>
      <c r="I240" s="6">
        <v>350000</v>
      </c>
      <c r="J240" s="6">
        <v>2500000</v>
      </c>
      <c r="K240" s="6">
        <v>500000</v>
      </c>
      <c r="L240" s="6">
        <v>0</v>
      </c>
      <c r="M240" s="1">
        <v>1060000</v>
      </c>
      <c r="N240" s="6">
        <v>7500000</v>
      </c>
      <c r="O240" s="6">
        <v>0</v>
      </c>
      <c r="P240" s="6">
        <v>4150000</v>
      </c>
      <c r="Q240" s="6">
        <v>7500000</v>
      </c>
      <c r="R240" s="6">
        <v>5000000</v>
      </c>
      <c r="S240" s="6">
        <v>0.33333299999999999</v>
      </c>
      <c r="T240" s="6">
        <v>0.83</v>
      </c>
      <c r="U240" s="1" t="s">
        <v>854</v>
      </c>
      <c r="V240" s="1"/>
      <c r="W240" s="1"/>
      <c r="X240" s="9">
        <v>647059</v>
      </c>
      <c r="Y240" s="9">
        <v>452941</v>
      </c>
      <c r="Z240" s="1" t="s">
        <v>22</v>
      </c>
      <c r="AA240" s="1">
        <v>47112</v>
      </c>
      <c r="AB240" t="s">
        <v>39</v>
      </c>
      <c r="AC240" t="e">
        <f>VLOOKUP(U240,Sheet1!$F$1:$F$39,1,FALSE)</f>
        <v>#N/A</v>
      </c>
      <c r="AD240">
        <f t="shared" si="3"/>
        <v>1</v>
      </c>
    </row>
    <row r="241" spans="1:30" ht="270.75" thickBot="1" x14ac:dyDescent="0.3">
      <c r="A241" s="5">
        <v>46310</v>
      </c>
      <c r="B241" s="1">
        <v>5309</v>
      </c>
      <c r="C241" s="1">
        <v>5309061010001600</v>
      </c>
      <c r="D241" s="1" t="s">
        <v>22</v>
      </c>
      <c r="E241" s="1">
        <v>47112</v>
      </c>
      <c r="F241" s="1" t="s">
        <v>855</v>
      </c>
      <c r="G241" s="1" t="s">
        <v>30</v>
      </c>
      <c r="H241" s="1" t="s">
        <v>856</v>
      </c>
      <c r="I241" s="6">
        <v>1000000</v>
      </c>
      <c r="J241" s="6">
        <v>17000000</v>
      </c>
      <c r="K241" s="6">
        <v>1000000</v>
      </c>
      <c r="L241" s="6">
        <v>0</v>
      </c>
      <c r="M241" s="1">
        <v>19000000</v>
      </c>
      <c r="N241" s="6">
        <v>30000000</v>
      </c>
      <c r="O241" s="6">
        <v>0</v>
      </c>
      <c r="P241" s="6">
        <v>11000000</v>
      </c>
      <c r="Q241" s="6">
        <v>500000</v>
      </c>
      <c r="R241" s="6">
        <v>13000000</v>
      </c>
      <c r="S241" s="6">
        <v>0.56666700000000003</v>
      </c>
      <c r="T241" s="6">
        <v>0.84615399999999996</v>
      </c>
      <c r="U241" s="1" t="s">
        <v>857</v>
      </c>
      <c r="V241" s="1"/>
      <c r="W241" s="1"/>
      <c r="X241" s="9">
        <v>1430000</v>
      </c>
      <c r="Y241" s="9">
        <v>1430000</v>
      </c>
      <c r="Z241" s="1" t="s">
        <v>22</v>
      </c>
      <c r="AA241" s="1">
        <v>47112</v>
      </c>
      <c r="AB241" t="s">
        <v>39</v>
      </c>
      <c r="AC241" t="e">
        <f>VLOOKUP(U241,Sheet1!$F$1:$F$39,1,FALSE)</f>
        <v>#N/A</v>
      </c>
      <c r="AD241">
        <f t="shared" si="3"/>
        <v>1</v>
      </c>
    </row>
    <row r="242" spans="1:30" ht="270.75" thickBot="1" x14ac:dyDescent="0.3">
      <c r="A242" s="5">
        <v>46310</v>
      </c>
      <c r="B242" s="1">
        <v>5309</v>
      </c>
      <c r="C242" s="1">
        <v>5309031008002000</v>
      </c>
      <c r="D242" s="1" t="s">
        <v>22</v>
      </c>
      <c r="E242" s="1">
        <v>47112</v>
      </c>
      <c r="F242" s="1" t="s">
        <v>858</v>
      </c>
      <c r="G242" s="1" t="s">
        <v>859</v>
      </c>
      <c r="H242" s="1" t="s">
        <v>860</v>
      </c>
      <c r="I242" s="6">
        <v>527000</v>
      </c>
      <c r="J242" s="6">
        <v>12235000</v>
      </c>
      <c r="K242" s="6">
        <v>105000</v>
      </c>
      <c r="L242" s="6">
        <v>5000</v>
      </c>
      <c r="M242" s="1">
        <v>7010000</v>
      </c>
      <c r="N242" s="6">
        <v>19022000</v>
      </c>
      <c r="O242" s="6">
        <v>0</v>
      </c>
      <c r="P242" s="6">
        <v>6155000</v>
      </c>
      <c r="Q242" s="6">
        <v>15350000</v>
      </c>
      <c r="R242" s="6">
        <v>6787000</v>
      </c>
      <c r="S242" s="6">
        <v>0.64320299999999997</v>
      </c>
      <c r="T242" s="6">
        <v>0.90688100000000005</v>
      </c>
      <c r="U242" s="1" t="s">
        <v>861</v>
      </c>
      <c r="V242" s="1"/>
      <c r="W242" s="1"/>
      <c r="X242" s="9">
        <v>248069</v>
      </c>
      <c r="Y242" s="9">
        <v>1245071</v>
      </c>
      <c r="Z242" s="1" t="s">
        <v>22</v>
      </c>
      <c r="AA242" s="1">
        <v>47112</v>
      </c>
      <c r="AB242" t="s">
        <v>39</v>
      </c>
      <c r="AC242" t="e">
        <f>VLOOKUP(U242,Sheet1!$F$1:$F$39,1,FALSE)</f>
        <v>#N/A</v>
      </c>
      <c r="AD242">
        <f t="shared" si="3"/>
        <v>1</v>
      </c>
    </row>
    <row r="243" spans="1:30" ht="270.75" thickBot="1" x14ac:dyDescent="0.3">
      <c r="A243" s="5">
        <v>46310</v>
      </c>
      <c r="B243" s="1">
        <v>5309</v>
      </c>
      <c r="C243" s="1">
        <v>5309050014000100</v>
      </c>
      <c r="D243" s="1" t="s">
        <v>22</v>
      </c>
      <c r="E243" s="1">
        <v>47112</v>
      </c>
      <c r="F243" s="1" t="s">
        <v>862</v>
      </c>
      <c r="G243" s="1" t="s">
        <v>863</v>
      </c>
      <c r="H243" s="1" t="s">
        <v>864</v>
      </c>
      <c r="I243" s="6">
        <v>0</v>
      </c>
      <c r="J243" s="6">
        <v>60000000</v>
      </c>
      <c r="K243" s="6">
        <v>1400000</v>
      </c>
      <c r="L243" s="6">
        <v>0</v>
      </c>
      <c r="M243" s="1">
        <v>61400000</v>
      </c>
      <c r="N243" s="6">
        <v>72200000</v>
      </c>
      <c r="O243" s="6">
        <v>0</v>
      </c>
      <c r="P243" s="6">
        <v>10800000</v>
      </c>
      <c r="Q243" s="6">
        <v>3100000</v>
      </c>
      <c r="R243" s="6">
        <v>12200000</v>
      </c>
      <c r="S243" s="6">
        <v>0.83102500000000001</v>
      </c>
      <c r="T243" s="6">
        <v>0.88524599999999998</v>
      </c>
      <c r="U243" s="1" t="s">
        <v>865</v>
      </c>
      <c r="V243" s="1"/>
      <c r="W243" s="1"/>
      <c r="X243" s="9">
        <v>2684000</v>
      </c>
      <c r="Y243" s="9">
        <v>0</v>
      </c>
      <c r="Z243" s="1" t="s">
        <v>22</v>
      </c>
      <c r="AA243" s="1">
        <v>47112</v>
      </c>
      <c r="AB243" t="s">
        <v>39</v>
      </c>
      <c r="AC243" t="e">
        <f>VLOOKUP(U243,Sheet1!$F$1:$F$39,1,FALSE)</f>
        <v>#N/A</v>
      </c>
      <c r="AD243">
        <f t="shared" si="3"/>
        <v>1</v>
      </c>
    </row>
    <row r="244" spans="1:30" ht="270.75" thickBot="1" x14ac:dyDescent="0.3">
      <c r="A244" s="5">
        <v>46310</v>
      </c>
      <c r="B244" s="1">
        <v>5309</v>
      </c>
      <c r="C244" s="1">
        <v>5309073009000600</v>
      </c>
      <c r="D244" s="1" t="s">
        <v>22</v>
      </c>
      <c r="E244" s="1">
        <v>47112</v>
      </c>
      <c r="F244" s="1" t="s">
        <v>866</v>
      </c>
      <c r="G244" s="1" t="s">
        <v>867</v>
      </c>
      <c r="H244" s="1" t="s">
        <v>868</v>
      </c>
      <c r="I244" s="6">
        <v>5000000</v>
      </c>
      <c r="J244" s="6">
        <v>3000000</v>
      </c>
      <c r="K244" s="6">
        <v>300000</v>
      </c>
      <c r="L244" s="6">
        <v>0</v>
      </c>
      <c r="M244" s="1">
        <v>8300000</v>
      </c>
      <c r="N244" s="6">
        <v>9300000</v>
      </c>
      <c r="O244" s="6">
        <v>0</v>
      </c>
      <c r="P244" s="6">
        <v>1000000</v>
      </c>
      <c r="Q244" s="6">
        <v>10000000</v>
      </c>
      <c r="R244" s="6">
        <v>6300000</v>
      </c>
      <c r="S244" s="6">
        <v>0.32258100000000001</v>
      </c>
      <c r="T244" s="6">
        <v>0.15873000000000001</v>
      </c>
      <c r="U244" s="1" t="s">
        <v>869</v>
      </c>
      <c r="V244" s="1"/>
      <c r="W244" s="1"/>
      <c r="X244" s="9">
        <v>128377</v>
      </c>
      <c r="Y244" s="9">
        <v>2139623</v>
      </c>
      <c r="Z244" s="1" t="s">
        <v>22</v>
      </c>
      <c r="AA244" s="1">
        <v>47112</v>
      </c>
      <c r="AB244" t="s">
        <v>39</v>
      </c>
      <c r="AC244" t="e">
        <f>VLOOKUP(U244,Sheet1!$F$1:$F$39,1,FALSE)</f>
        <v>#N/A</v>
      </c>
      <c r="AD244">
        <f t="shared" si="3"/>
        <v>1</v>
      </c>
    </row>
    <row r="245" spans="1:30" ht="270.75" thickBot="1" x14ac:dyDescent="0.3">
      <c r="A245" s="5">
        <v>46310</v>
      </c>
      <c r="B245" s="1">
        <v>5309</v>
      </c>
      <c r="C245" s="1">
        <v>5309060012000100</v>
      </c>
      <c r="D245" s="1" t="s">
        <v>22</v>
      </c>
      <c r="E245" s="1">
        <v>47112</v>
      </c>
      <c r="F245" s="1" t="s">
        <v>870</v>
      </c>
      <c r="G245" s="1" t="s">
        <v>248</v>
      </c>
      <c r="H245" s="1" t="s">
        <v>871</v>
      </c>
      <c r="I245" s="6">
        <v>500000</v>
      </c>
      <c r="J245" s="6">
        <v>5500000</v>
      </c>
      <c r="K245" s="6">
        <v>350000</v>
      </c>
      <c r="L245" s="6">
        <v>0</v>
      </c>
      <c r="M245" s="1">
        <v>800000</v>
      </c>
      <c r="N245" s="6">
        <v>7500000</v>
      </c>
      <c r="O245" s="6">
        <v>0</v>
      </c>
      <c r="P245" s="6">
        <v>1150000</v>
      </c>
      <c r="Q245" s="6">
        <v>15000000</v>
      </c>
      <c r="R245" s="6">
        <v>2000000</v>
      </c>
      <c r="S245" s="6">
        <v>0.73333300000000001</v>
      </c>
      <c r="T245" s="6">
        <v>0.57499999999999996</v>
      </c>
      <c r="U245" s="1" t="s">
        <v>872</v>
      </c>
      <c r="V245" s="1"/>
      <c r="W245" s="1"/>
      <c r="X245" s="9">
        <v>296471</v>
      </c>
      <c r="Y245" s="9">
        <v>423529</v>
      </c>
      <c r="Z245" s="1" t="s">
        <v>22</v>
      </c>
      <c r="AA245" s="1">
        <v>47112</v>
      </c>
      <c r="AB245" t="s">
        <v>39</v>
      </c>
      <c r="AC245" t="e">
        <f>VLOOKUP(U245,Sheet1!$F$1:$F$39,1,FALSE)</f>
        <v>#N/A</v>
      </c>
      <c r="AD245">
        <f t="shared" si="3"/>
        <v>1</v>
      </c>
    </row>
    <row r="246" spans="1:30" ht="270.75" thickBot="1" x14ac:dyDescent="0.3">
      <c r="A246" s="5">
        <v>46310</v>
      </c>
      <c r="B246" s="1">
        <v>5309</v>
      </c>
      <c r="C246" s="1">
        <v>5309071016001000</v>
      </c>
      <c r="D246" s="1" t="s">
        <v>22</v>
      </c>
      <c r="E246" s="1">
        <v>47112</v>
      </c>
      <c r="F246" s="1" t="s">
        <v>873</v>
      </c>
      <c r="G246" s="1" t="s">
        <v>874</v>
      </c>
      <c r="H246" s="1" t="s">
        <v>875</v>
      </c>
      <c r="I246" s="6">
        <v>0</v>
      </c>
      <c r="J246" s="6">
        <v>12000000</v>
      </c>
      <c r="K246" s="6">
        <v>1800000</v>
      </c>
      <c r="L246" s="6">
        <v>4200000</v>
      </c>
      <c r="M246" s="1">
        <v>150000</v>
      </c>
      <c r="N246" s="6">
        <v>30000000</v>
      </c>
      <c r="O246" s="6">
        <v>0</v>
      </c>
      <c r="P246" s="6">
        <v>16200000</v>
      </c>
      <c r="Q246" s="6">
        <v>0</v>
      </c>
      <c r="R246" s="6">
        <v>18000000</v>
      </c>
      <c r="S246" s="6">
        <v>0.4</v>
      </c>
      <c r="T246" s="6">
        <v>0.9</v>
      </c>
      <c r="U246" s="1" t="s">
        <v>876</v>
      </c>
      <c r="V246" s="1"/>
      <c r="W246" s="1"/>
      <c r="X246" s="9">
        <v>3960000</v>
      </c>
      <c r="Y246" s="9">
        <v>0</v>
      </c>
      <c r="Z246" s="1" t="s">
        <v>22</v>
      </c>
      <c r="AA246" s="1">
        <v>47112</v>
      </c>
      <c r="AB246" t="s">
        <v>39</v>
      </c>
      <c r="AC246" t="e">
        <f>VLOOKUP(U246,Sheet1!$F$1:$F$39,1,FALSE)</f>
        <v>#N/A</v>
      </c>
      <c r="AD246">
        <f t="shared" si="3"/>
        <v>1</v>
      </c>
    </row>
    <row r="247" spans="1:30" ht="270.75" thickBot="1" x14ac:dyDescent="0.3">
      <c r="A247" s="5">
        <v>46310</v>
      </c>
      <c r="B247" s="1">
        <v>5309</v>
      </c>
      <c r="C247" s="1">
        <v>5309030022001800</v>
      </c>
      <c r="D247" s="1" t="s">
        <v>22</v>
      </c>
      <c r="E247" s="1">
        <v>47112</v>
      </c>
      <c r="F247" s="1" t="s">
        <v>877</v>
      </c>
      <c r="G247" s="1" t="s">
        <v>878</v>
      </c>
      <c r="H247" s="1" t="s">
        <v>879</v>
      </c>
      <c r="I247" s="6">
        <v>50000</v>
      </c>
      <c r="J247" s="6">
        <v>24000000</v>
      </c>
      <c r="K247" s="6">
        <v>480000</v>
      </c>
      <c r="L247" s="6">
        <v>0</v>
      </c>
      <c r="M247" s="1">
        <v>500000</v>
      </c>
      <c r="N247" s="6">
        <v>36000000</v>
      </c>
      <c r="O247" s="6">
        <v>0</v>
      </c>
      <c r="P247" s="6">
        <v>11470000</v>
      </c>
      <c r="Q247" s="6">
        <v>1500000</v>
      </c>
      <c r="R247" s="6">
        <v>12000000</v>
      </c>
      <c r="S247" s="6">
        <v>0.66666700000000001</v>
      </c>
      <c r="T247" s="6">
        <v>0.95583300000000004</v>
      </c>
      <c r="U247" s="1" t="s">
        <v>880</v>
      </c>
      <c r="V247" s="1"/>
      <c r="W247" s="1"/>
      <c r="X247" s="9">
        <v>2390943</v>
      </c>
      <c r="Y247" s="9">
        <v>249057</v>
      </c>
      <c r="Z247" s="1" t="s">
        <v>22</v>
      </c>
      <c r="AA247" s="1">
        <v>47112</v>
      </c>
      <c r="AB247" t="s">
        <v>39</v>
      </c>
      <c r="AC247" t="e">
        <f>VLOOKUP(U247,Sheet1!$F$1:$F$39,1,FALSE)</f>
        <v>#N/A</v>
      </c>
      <c r="AD247">
        <f t="shared" si="3"/>
        <v>1</v>
      </c>
    </row>
    <row r="248" spans="1:30" ht="270.75" thickBot="1" x14ac:dyDescent="0.3">
      <c r="A248" s="5">
        <v>46310</v>
      </c>
      <c r="B248" s="1">
        <v>5309</v>
      </c>
      <c r="C248" s="1">
        <v>5309030027001000</v>
      </c>
      <c r="D248" s="1" t="s">
        <v>22</v>
      </c>
      <c r="E248" s="1">
        <v>47112</v>
      </c>
      <c r="F248" s="1" t="s">
        <v>881</v>
      </c>
      <c r="G248" s="1" t="s">
        <v>24</v>
      </c>
      <c r="H248" s="1" t="s">
        <v>29</v>
      </c>
      <c r="I248" s="6">
        <v>0</v>
      </c>
      <c r="J248" s="6">
        <v>5000000</v>
      </c>
      <c r="K248" s="6">
        <v>500000</v>
      </c>
      <c r="L248" s="6">
        <v>0</v>
      </c>
      <c r="M248" s="1">
        <v>5500000</v>
      </c>
      <c r="N248" s="6">
        <v>8000000</v>
      </c>
      <c r="O248" s="6">
        <v>0</v>
      </c>
      <c r="P248" s="6">
        <v>2500000</v>
      </c>
      <c r="Q248" s="6">
        <v>20000000</v>
      </c>
      <c r="R248" s="6">
        <v>3000000</v>
      </c>
      <c r="S248" s="6">
        <v>0.625</v>
      </c>
      <c r="T248" s="6">
        <v>0.83333299999999999</v>
      </c>
      <c r="U248" s="1" t="s">
        <v>882</v>
      </c>
      <c r="V248" s="1"/>
      <c r="W248" s="1"/>
      <c r="X248" s="9">
        <v>660000</v>
      </c>
      <c r="Y248" s="9">
        <v>0</v>
      </c>
      <c r="Z248" s="1" t="s">
        <v>22</v>
      </c>
      <c r="AA248" s="1">
        <v>47112</v>
      </c>
      <c r="AB248" t="s">
        <v>39</v>
      </c>
      <c r="AC248" t="e">
        <f>VLOOKUP(U248,Sheet1!$F$1:$F$39,1,FALSE)</f>
        <v>#N/A</v>
      </c>
      <c r="AD248">
        <f t="shared" si="3"/>
        <v>1</v>
      </c>
    </row>
    <row r="249" spans="1:30" ht="270.75" thickBot="1" x14ac:dyDescent="0.3">
      <c r="A249" s="5">
        <v>46310</v>
      </c>
      <c r="B249" s="1">
        <v>5309</v>
      </c>
      <c r="C249" s="1">
        <v>5309061008001600</v>
      </c>
      <c r="D249" s="1" t="s">
        <v>22</v>
      </c>
      <c r="E249" s="1">
        <v>47112</v>
      </c>
      <c r="F249" s="1" t="s">
        <v>883</v>
      </c>
      <c r="G249" s="1" t="s">
        <v>24</v>
      </c>
      <c r="H249" s="1" t="s">
        <v>884</v>
      </c>
      <c r="I249" s="6">
        <v>600000</v>
      </c>
      <c r="J249" s="6">
        <v>2000000</v>
      </c>
      <c r="K249" s="6">
        <v>120000</v>
      </c>
      <c r="L249" s="6">
        <v>0</v>
      </c>
      <c r="M249" s="1">
        <v>2720000</v>
      </c>
      <c r="N249" s="6">
        <v>2750000</v>
      </c>
      <c r="O249" s="6">
        <v>0</v>
      </c>
      <c r="P249" s="6">
        <v>30000</v>
      </c>
      <c r="Q249" s="6">
        <v>6200000</v>
      </c>
      <c r="R249" s="6">
        <v>750000</v>
      </c>
      <c r="S249" s="6">
        <v>0.72727299999999995</v>
      </c>
      <c r="T249" s="6">
        <v>0.04</v>
      </c>
      <c r="U249" s="1" t="s">
        <v>885</v>
      </c>
      <c r="V249" s="1"/>
      <c r="W249" s="1"/>
      <c r="X249" s="9">
        <v>45000</v>
      </c>
      <c r="Y249" s="9">
        <v>225000</v>
      </c>
      <c r="Z249" s="1" t="s">
        <v>22</v>
      </c>
      <c r="AA249" s="1">
        <v>47112</v>
      </c>
      <c r="AB249" t="s">
        <v>39</v>
      </c>
      <c r="AC249" t="str">
        <f>VLOOKUP(U249,Sheet1!$F$1:$F$39,1,FALSE)</f>
        <v>https://fasih-sm.bps.go.id/app/assignment/fd68e454-ba45-4b85-8205-f3bf777ded24/1a23961c-95ab-4d0d-bbc5-c63794daf67e</v>
      </c>
      <c r="AD249">
        <f t="shared" si="3"/>
        <v>0</v>
      </c>
    </row>
    <row r="250" spans="1:30" ht="270.75" thickBot="1" x14ac:dyDescent="0.3">
      <c r="A250" s="5">
        <v>46310</v>
      </c>
      <c r="B250" s="1">
        <v>5309</v>
      </c>
      <c r="C250" s="1">
        <v>5309041002000400</v>
      </c>
      <c r="D250" s="1" t="s">
        <v>22</v>
      </c>
      <c r="E250" s="1">
        <v>47112</v>
      </c>
      <c r="F250" s="1" t="s">
        <v>886</v>
      </c>
      <c r="G250" s="1" t="s">
        <v>887</v>
      </c>
      <c r="H250" s="1" t="s">
        <v>29</v>
      </c>
      <c r="I250" s="6">
        <v>24000</v>
      </c>
      <c r="J250" s="6">
        <v>5000000</v>
      </c>
      <c r="K250" s="6">
        <v>480000</v>
      </c>
      <c r="L250" s="6">
        <v>0</v>
      </c>
      <c r="M250" s="1">
        <v>5504000</v>
      </c>
      <c r="N250" s="6">
        <v>11200000</v>
      </c>
      <c r="O250" s="6">
        <v>0</v>
      </c>
      <c r="P250" s="6">
        <v>5696000</v>
      </c>
      <c r="Q250" s="6">
        <v>12700000</v>
      </c>
      <c r="R250" s="6">
        <v>6200000</v>
      </c>
      <c r="S250" s="6">
        <v>0.44642900000000002</v>
      </c>
      <c r="T250" s="6">
        <v>0.91871000000000003</v>
      </c>
      <c r="U250" s="1" t="s">
        <v>888</v>
      </c>
      <c r="V250" s="1"/>
      <c r="W250" s="1"/>
      <c r="X250" s="9">
        <v>1299048</v>
      </c>
      <c r="Y250" s="9">
        <v>64952</v>
      </c>
      <c r="Z250" s="1" t="s">
        <v>22</v>
      </c>
      <c r="AA250" s="1">
        <v>47112</v>
      </c>
      <c r="AB250" t="s">
        <v>39</v>
      </c>
      <c r="AC250" t="e">
        <f>VLOOKUP(U250,Sheet1!$F$1:$F$39,1,FALSE)</f>
        <v>#N/A</v>
      </c>
      <c r="AD250">
        <f t="shared" si="3"/>
        <v>1</v>
      </c>
    </row>
    <row r="251" spans="1:30" ht="270.75" thickBot="1" x14ac:dyDescent="0.3">
      <c r="A251" s="5">
        <v>46310</v>
      </c>
      <c r="B251" s="1">
        <v>5309</v>
      </c>
      <c r="C251" s="1">
        <v>5309050014000100</v>
      </c>
      <c r="D251" s="1" t="s">
        <v>22</v>
      </c>
      <c r="E251" s="1">
        <v>47112</v>
      </c>
      <c r="F251" s="1" t="s">
        <v>889</v>
      </c>
      <c r="G251" s="1" t="s">
        <v>890</v>
      </c>
      <c r="H251" s="1" t="s">
        <v>891</v>
      </c>
      <c r="I251" s="6">
        <v>0</v>
      </c>
      <c r="J251" s="6">
        <v>5000000</v>
      </c>
      <c r="K251" s="6">
        <v>600000</v>
      </c>
      <c r="L251" s="6">
        <v>0</v>
      </c>
      <c r="M251" s="1">
        <v>5600000</v>
      </c>
      <c r="N251" s="6">
        <v>9600000</v>
      </c>
      <c r="O251" s="6">
        <v>0</v>
      </c>
      <c r="P251" s="6">
        <v>4000000</v>
      </c>
      <c r="Q251" s="6">
        <v>7400000</v>
      </c>
      <c r="R251" s="6">
        <v>4600000</v>
      </c>
      <c r="S251" s="6">
        <v>0.52083299999999999</v>
      </c>
      <c r="T251" s="6">
        <v>0.86956500000000003</v>
      </c>
      <c r="U251" s="1" t="s">
        <v>892</v>
      </c>
      <c r="V251" s="1"/>
      <c r="W251" s="1"/>
      <c r="X251" s="9">
        <v>1012000</v>
      </c>
      <c r="Y251" s="9">
        <v>0</v>
      </c>
      <c r="Z251" s="1" t="s">
        <v>22</v>
      </c>
      <c r="AA251" s="1">
        <v>47112</v>
      </c>
      <c r="AB251" t="s">
        <v>39</v>
      </c>
      <c r="AC251" t="e">
        <f>VLOOKUP(U251,Sheet1!$F$1:$F$39,1,FALSE)</f>
        <v>#N/A</v>
      </c>
      <c r="AD251">
        <f t="shared" si="3"/>
        <v>1</v>
      </c>
    </row>
    <row r="252" spans="1:30" ht="270.75" thickBot="1" x14ac:dyDescent="0.3">
      <c r="A252" s="5">
        <v>46310</v>
      </c>
      <c r="B252" s="1">
        <v>5309</v>
      </c>
      <c r="C252" s="1">
        <v>5309030025001400</v>
      </c>
      <c r="D252" s="1" t="s">
        <v>22</v>
      </c>
      <c r="E252" s="1">
        <v>47112</v>
      </c>
      <c r="F252" s="1" t="s">
        <v>893</v>
      </c>
      <c r="G252" s="1" t="s">
        <v>894</v>
      </c>
      <c r="H252" s="1" t="s">
        <v>895</v>
      </c>
      <c r="I252" s="6">
        <v>324000</v>
      </c>
      <c r="J252" s="6">
        <v>62400000</v>
      </c>
      <c r="K252" s="6">
        <v>2400000</v>
      </c>
      <c r="L252" s="6">
        <v>150000</v>
      </c>
      <c r="M252" s="1">
        <v>65274000</v>
      </c>
      <c r="N252" s="6">
        <v>78000000</v>
      </c>
      <c r="O252" s="6">
        <v>0</v>
      </c>
      <c r="P252" s="6">
        <v>12876000</v>
      </c>
      <c r="Q252" s="6">
        <v>21200000</v>
      </c>
      <c r="R252" s="6">
        <v>15600000</v>
      </c>
      <c r="S252" s="6">
        <v>0.8</v>
      </c>
      <c r="T252" s="6">
        <v>0.82538500000000004</v>
      </c>
      <c r="U252" s="1" t="s">
        <v>896</v>
      </c>
      <c r="V252" s="1"/>
      <c r="W252" s="1"/>
      <c r="X252" s="9">
        <v>3023789</v>
      </c>
      <c r="Y252" s="9">
        <v>408211</v>
      </c>
      <c r="Z252" s="1" t="s">
        <v>22</v>
      </c>
      <c r="AA252" s="1">
        <v>47112</v>
      </c>
      <c r="AB252" t="s">
        <v>39</v>
      </c>
      <c r="AC252" t="e">
        <f>VLOOKUP(U252,Sheet1!$F$1:$F$39,1,FALSE)</f>
        <v>#N/A</v>
      </c>
      <c r="AD252">
        <f t="shared" si="3"/>
        <v>1</v>
      </c>
    </row>
    <row r="253" spans="1:30" ht="270.75" thickBot="1" x14ac:dyDescent="0.3">
      <c r="A253" s="5">
        <v>46310</v>
      </c>
      <c r="B253" s="1">
        <v>5309</v>
      </c>
      <c r="C253" s="1">
        <v>5309050016001100</v>
      </c>
      <c r="D253" s="1" t="s">
        <v>22</v>
      </c>
      <c r="E253" s="1">
        <v>47112</v>
      </c>
      <c r="F253" s="1" t="s">
        <v>897</v>
      </c>
      <c r="G253" s="1" t="s">
        <v>583</v>
      </c>
      <c r="H253" s="1" t="s">
        <v>35</v>
      </c>
      <c r="I253" s="6">
        <v>300000</v>
      </c>
      <c r="J253" s="6">
        <v>6000000</v>
      </c>
      <c r="K253" s="6">
        <v>1000000</v>
      </c>
      <c r="L253" s="6">
        <v>0</v>
      </c>
      <c r="M253" s="1">
        <v>7300000</v>
      </c>
      <c r="N253" s="6">
        <v>15000000</v>
      </c>
      <c r="O253" s="6">
        <v>0</v>
      </c>
      <c r="P253" s="6">
        <v>7700000</v>
      </c>
      <c r="Q253" s="6">
        <v>650000</v>
      </c>
      <c r="R253" s="6">
        <v>9000000</v>
      </c>
      <c r="S253" s="6">
        <v>0.4</v>
      </c>
      <c r="T253" s="6">
        <v>0.85555599999999998</v>
      </c>
      <c r="U253" s="1" t="s">
        <v>898</v>
      </c>
      <c r="V253" s="1"/>
      <c r="W253" s="1"/>
      <c r="X253" s="9">
        <v>1523077</v>
      </c>
      <c r="Y253" s="9">
        <v>456923</v>
      </c>
      <c r="Z253" s="1" t="s">
        <v>22</v>
      </c>
      <c r="AA253" s="1">
        <v>47112</v>
      </c>
      <c r="AB253" t="s">
        <v>39</v>
      </c>
      <c r="AC253" t="str">
        <f>VLOOKUP(U253,Sheet1!$F$1:$F$39,1,FALSE)</f>
        <v>https://fasih-sm.bps.go.id/app/assignment/fd68e454-ba45-4b85-8205-f3bf777ded24/cba676ec-5cfd-4644-88bf-62bf3c776cf9</v>
      </c>
      <c r="AD253">
        <f t="shared" si="3"/>
        <v>0</v>
      </c>
    </row>
    <row r="254" spans="1:30" ht="270.75" thickBot="1" x14ac:dyDescent="0.3">
      <c r="A254" s="5">
        <v>46310</v>
      </c>
      <c r="B254" s="1">
        <v>5309</v>
      </c>
      <c r="C254" s="1">
        <v>5309070010002200</v>
      </c>
      <c r="D254" s="1" t="s">
        <v>22</v>
      </c>
      <c r="E254" s="1">
        <v>47112</v>
      </c>
      <c r="F254" s="1" t="s">
        <v>899</v>
      </c>
      <c r="G254" s="1" t="s">
        <v>900</v>
      </c>
      <c r="H254" s="1" t="s">
        <v>901</v>
      </c>
      <c r="I254" s="6">
        <v>500000</v>
      </c>
      <c r="J254" s="6">
        <v>33600000</v>
      </c>
      <c r="K254" s="6">
        <v>300000</v>
      </c>
      <c r="L254" s="6">
        <v>0</v>
      </c>
      <c r="M254" s="1">
        <v>76380000</v>
      </c>
      <c r="N254" s="6">
        <v>40640000</v>
      </c>
      <c r="O254" s="6">
        <v>0</v>
      </c>
      <c r="P254" s="6">
        <v>6240000</v>
      </c>
      <c r="Q254" s="6">
        <v>1450000</v>
      </c>
      <c r="R254" s="6">
        <v>7040000</v>
      </c>
      <c r="S254" s="6">
        <v>0.82677199999999995</v>
      </c>
      <c r="T254" s="6">
        <v>0.88636400000000004</v>
      </c>
      <c r="U254" s="1" t="s">
        <v>902</v>
      </c>
      <c r="V254" s="1"/>
      <c r="W254" s="1"/>
      <c r="X254" s="9">
        <v>580800</v>
      </c>
      <c r="Y254" s="9">
        <v>968000</v>
      </c>
      <c r="Z254" s="1" t="s">
        <v>22</v>
      </c>
      <c r="AA254" s="1">
        <v>47112</v>
      </c>
      <c r="AB254" t="s">
        <v>39</v>
      </c>
      <c r="AC254" t="str">
        <f>VLOOKUP(U254,Sheet1!$F$1:$F$39,1,FALSE)</f>
        <v>https://fasih-sm.bps.go.id/app/assignment/fd68e454-ba45-4b85-8205-f3bf777ded24/f6003171-c6c1-49ed-9522-a49dc98c5d54</v>
      </c>
      <c r="AD254">
        <f t="shared" si="3"/>
        <v>0</v>
      </c>
    </row>
    <row r="255" spans="1:30" ht="255.75" thickBot="1" x14ac:dyDescent="0.3">
      <c r="A255" s="5">
        <v>46310</v>
      </c>
      <c r="B255" s="1">
        <v>5309</v>
      </c>
      <c r="C255" s="1">
        <v>5309030021000400</v>
      </c>
      <c r="D255" s="1" t="s">
        <v>22</v>
      </c>
      <c r="E255" s="1">
        <v>47112</v>
      </c>
      <c r="F255" s="1" t="s">
        <v>903</v>
      </c>
      <c r="G255" s="1" t="s">
        <v>904</v>
      </c>
      <c r="H255" s="1" t="s">
        <v>905</v>
      </c>
      <c r="I255" s="6">
        <v>300000</v>
      </c>
      <c r="J255" s="6">
        <v>12000000</v>
      </c>
      <c r="K255" s="6">
        <v>1200000</v>
      </c>
      <c r="L255" s="6">
        <v>0</v>
      </c>
      <c r="M255" s="1">
        <v>13500000</v>
      </c>
      <c r="N255" s="6">
        <v>30000000</v>
      </c>
      <c r="O255" s="6">
        <v>0</v>
      </c>
      <c r="P255" s="6">
        <v>16500000</v>
      </c>
      <c r="Q255" s="6">
        <v>86000000</v>
      </c>
      <c r="R255" s="6">
        <v>18000000</v>
      </c>
      <c r="S255" s="6">
        <v>0.4</v>
      </c>
      <c r="T255" s="6">
        <v>0.91666700000000001</v>
      </c>
      <c r="U255" s="1" t="s">
        <v>906</v>
      </c>
      <c r="V255" s="1"/>
      <c r="W255" s="1"/>
      <c r="X255" s="9">
        <v>3168000</v>
      </c>
      <c r="Y255" s="9">
        <v>792000</v>
      </c>
      <c r="Z255" s="1" t="s">
        <v>22</v>
      </c>
      <c r="AA255" s="1">
        <v>47112</v>
      </c>
      <c r="AB255" t="s">
        <v>39</v>
      </c>
      <c r="AC255" t="str">
        <f>VLOOKUP(U255,Sheet1!$F$1:$F$39,1,FALSE)</f>
        <v>https://fasih-sm.bps.go.id/app/assignment/fd68e454-ba45-4b85-8205-f3bf777ded24/fc27d4f3-85ea-4f62-a34f-ea54767f9794</v>
      </c>
      <c r="AD255">
        <f t="shared" si="3"/>
        <v>0</v>
      </c>
    </row>
    <row r="256" spans="1:30" ht="270.75" thickBot="1" x14ac:dyDescent="0.3">
      <c r="A256" s="5">
        <v>46310</v>
      </c>
      <c r="B256" s="1">
        <v>5309</v>
      </c>
      <c r="C256" s="1">
        <v>5309010004001600</v>
      </c>
      <c r="D256" s="1" t="s">
        <v>22</v>
      </c>
      <c r="E256" s="1">
        <v>47212</v>
      </c>
      <c r="F256" s="1" t="s">
        <v>907</v>
      </c>
      <c r="G256" s="1" t="s">
        <v>908</v>
      </c>
      <c r="H256" s="1" t="s">
        <v>909</v>
      </c>
      <c r="I256" s="6">
        <v>0</v>
      </c>
      <c r="J256" s="6">
        <v>100000</v>
      </c>
      <c r="K256" s="6">
        <v>60000</v>
      </c>
      <c r="L256" s="6">
        <v>0</v>
      </c>
      <c r="M256" s="1">
        <v>160000</v>
      </c>
      <c r="N256" s="6">
        <v>500000</v>
      </c>
      <c r="O256" s="6">
        <v>0</v>
      </c>
      <c r="P256" s="6">
        <v>340000</v>
      </c>
      <c r="Q256" s="6">
        <v>300000</v>
      </c>
      <c r="R256" s="6">
        <v>400000</v>
      </c>
      <c r="S256" s="6">
        <v>0.2</v>
      </c>
      <c r="T256" s="6">
        <v>0.85</v>
      </c>
      <c r="U256" s="1" t="s">
        <v>910</v>
      </c>
      <c r="V256" s="1"/>
      <c r="W256" s="1"/>
      <c r="X256" s="9">
        <v>88000</v>
      </c>
      <c r="Y256" s="9">
        <v>0</v>
      </c>
      <c r="Z256" s="1" t="s">
        <v>22</v>
      </c>
      <c r="AA256" s="1">
        <v>47212</v>
      </c>
      <c r="AB256" t="s">
        <v>39</v>
      </c>
      <c r="AC256" t="str">
        <f>VLOOKUP(U256,Sheet1!$F$1:$F$39,1,FALSE)</f>
        <v>https://fasih-sm.bps.go.id/app/assignment/fd68e454-ba45-4b85-8205-f3bf777ded24/05833d34-3df8-4f4b-b246-c843b802fc5e</v>
      </c>
      <c r="AD256">
        <f t="shared" si="3"/>
        <v>0</v>
      </c>
    </row>
    <row r="257" spans="1:30" ht="270.75" thickBot="1" x14ac:dyDescent="0.3">
      <c r="A257" s="5">
        <v>46310</v>
      </c>
      <c r="B257" s="1">
        <v>5309</v>
      </c>
      <c r="C257" s="1">
        <v>5309061010000100</v>
      </c>
      <c r="D257" s="1" t="s">
        <v>22</v>
      </c>
      <c r="E257" s="1">
        <v>47221</v>
      </c>
      <c r="F257" s="1" t="s">
        <v>911</v>
      </c>
      <c r="G257" s="1" t="s">
        <v>271</v>
      </c>
      <c r="H257" s="1" t="s">
        <v>912</v>
      </c>
      <c r="I257" s="6">
        <v>1200000</v>
      </c>
      <c r="J257" s="6">
        <v>7000000</v>
      </c>
      <c r="K257" s="6">
        <v>1000000</v>
      </c>
      <c r="L257" s="6">
        <v>0</v>
      </c>
      <c r="M257" s="1">
        <v>600000</v>
      </c>
      <c r="N257" s="6">
        <v>10000000</v>
      </c>
      <c r="O257" s="6">
        <v>0</v>
      </c>
      <c r="P257" s="6">
        <v>800000</v>
      </c>
      <c r="Q257" s="6">
        <v>0</v>
      </c>
      <c r="R257" s="6">
        <v>3000000</v>
      </c>
      <c r="S257" s="6">
        <v>0.7</v>
      </c>
      <c r="T257" s="6">
        <v>0.26666699999999999</v>
      </c>
      <c r="U257" s="1" t="s">
        <v>913</v>
      </c>
      <c r="V257" s="1"/>
      <c r="W257" s="1"/>
      <c r="X257" s="9">
        <v>490909</v>
      </c>
      <c r="Y257" s="9">
        <v>589091</v>
      </c>
      <c r="Z257" s="1" t="s">
        <v>22</v>
      </c>
      <c r="AA257" s="1">
        <v>47221</v>
      </c>
      <c r="AB257" t="s">
        <v>39</v>
      </c>
      <c r="AC257" t="str">
        <f>VLOOKUP(U257,Sheet1!$F$1:$F$39,1,FALSE)</f>
        <v>https://fasih-sm.bps.go.id/app/assignment/fd68e454-ba45-4b85-8205-f3bf777ded24/cb0ea229-388a-469b-b6b1-062fe0efe3ca</v>
      </c>
      <c r="AD257">
        <f t="shared" si="3"/>
        <v>0</v>
      </c>
    </row>
    <row r="258" spans="1:30" ht="270.75" thickBot="1" x14ac:dyDescent="0.3">
      <c r="A258" s="5">
        <v>46310</v>
      </c>
      <c r="B258" s="1">
        <v>5309</v>
      </c>
      <c r="C258" s="1">
        <v>5309050016000100</v>
      </c>
      <c r="D258" s="1" t="s">
        <v>22</v>
      </c>
      <c r="E258" s="1">
        <v>47230</v>
      </c>
      <c r="F258" s="1" t="s">
        <v>914</v>
      </c>
      <c r="G258" s="1" t="s">
        <v>320</v>
      </c>
      <c r="H258" s="1" t="s">
        <v>915</v>
      </c>
      <c r="I258" s="6">
        <v>0</v>
      </c>
      <c r="J258" s="6">
        <v>85000000</v>
      </c>
      <c r="K258" s="6">
        <v>2000000</v>
      </c>
      <c r="L258" s="6">
        <v>0</v>
      </c>
      <c r="M258" s="1">
        <v>74000000</v>
      </c>
      <c r="N258" s="6">
        <v>152400000</v>
      </c>
      <c r="O258" s="6">
        <v>0</v>
      </c>
      <c r="P258" s="6">
        <v>65400000</v>
      </c>
      <c r="Q258" s="6">
        <v>500000</v>
      </c>
      <c r="R258" s="6">
        <v>67400000</v>
      </c>
      <c r="S258" s="6">
        <v>0.55774299999999999</v>
      </c>
      <c r="T258" s="6">
        <v>0.97032600000000002</v>
      </c>
      <c r="U258" s="1" t="s">
        <v>916</v>
      </c>
      <c r="V258" s="1"/>
      <c r="W258" s="1"/>
      <c r="X258" s="9">
        <v>14828000</v>
      </c>
      <c r="Y258" s="9">
        <v>0</v>
      </c>
      <c r="Z258" s="1" t="s">
        <v>22</v>
      </c>
      <c r="AA258" s="1">
        <v>47230</v>
      </c>
      <c r="AB258" t="s">
        <v>39</v>
      </c>
      <c r="AC258" t="str">
        <f>VLOOKUP(U258,Sheet1!$F$1:$F$39,1,FALSE)</f>
        <v>https://fasih-sm.bps.go.id/app/assignment/fd68e454-ba45-4b85-8205-f3bf777ded24/ca31d394-b126-4015-8eed-6075004aaae8</v>
      </c>
      <c r="AD258">
        <f t="shared" si="3"/>
        <v>0</v>
      </c>
    </row>
    <row r="259" spans="1:30" ht="270.75" thickBot="1" x14ac:dyDescent="0.3">
      <c r="A259" s="5">
        <v>46310</v>
      </c>
      <c r="B259" s="1">
        <v>5309</v>
      </c>
      <c r="C259" s="1">
        <v>5309030014000700</v>
      </c>
      <c r="D259" s="1" t="s">
        <v>22</v>
      </c>
      <c r="E259" s="1">
        <v>47242</v>
      </c>
      <c r="F259" s="1" t="s">
        <v>917</v>
      </c>
      <c r="G259" s="1" t="s">
        <v>918</v>
      </c>
      <c r="H259" s="1" t="s">
        <v>919</v>
      </c>
      <c r="I259" s="6">
        <v>1500000</v>
      </c>
      <c r="J259" s="6">
        <v>200000</v>
      </c>
      <c r="K259" s="6">
        <v>0</v>
      </c>
      <c r="L259" s="6">
        <v>0</v>
      </c>
      <c r="M259" s="1">
        <v>1700000</v>
      </c>
      <c r="N259" s="6">
        <v>3600000</v>
      </c>
      <c r="O259" s="6">
        <v>0</v>
      </c>
      <c r="P259" s="6">
        <v>1900000</v>
      </c>
      <c r="Q259" s="6">
        <v>0</v>
      </c>
      <c r="R259" s="6">
        <v>3400000</v>
      </c>
      <c r="S259" s="6">
        <v>5.5556000000000001E-2</v>
      </c>
      <c r="T259" s="6">
        <v>0.55882399999999999</v>
      </c>
      <c r="U259" s="1" t="s">
        <v>920</v>
      </c>
      <c r="V259" s="1"/>
      <c r="W259" s="1"/>
      <c r="X259" s="9">
        <v>0</v>
      </c>
      <c r="Y259" s="9">
        <v>1224000</v>
      </c>
      <c r="Z259" s="1" t="s">
        <v>22</v>
      </c>
      <c r="AA259" s="1">
        <v>47242</v>
      </c>
      <c r="AB259" t="s">
        <v>39</v>
      </c>
      <c r="AC259" t="str">
        <f>VLOOKUP(U259,Sheet1!$F$1:$F$39,1,FALSE)</f>
        <v>https://fasih-sm.bps.go.id/app/assignment/fd68e454-ba45-4b85-8205-f3bf777ded24/ae7419cb-8d22-41f1-896c-c0119d222a37</v>
      </c>
      <c r="AD259">
        <f t="shared" si="3"/>
        <v>0</v>
      </c>
    </row>
    <row r="260" spans="1:30" ht="270.75" thickBot="1" x14ac:dyDescent="0.3">
      <c r="A260" s="5">
        <v>46310</v>
      </c>
      <c r="B260" s="1">
        <v>5309</v>
      </c>
      <c r="C260" s="1">
        <v>5309062006001700</v>
      </c>
      <c r="D260" s="1" t="s">
        <v>22</v>
      </c>
      <c r="E260" s="1">
        <v>47242</v>
      </c>
      <c r="F260" s="1" t="s">
        <v>921</v>
      </c>
      <c r="G260" s="1" t="s">
        <v>922</v>
      </c>
      <c r="H260" s="1" t="s">
        <v>923</v>
      </c>
      <c r="I260" s="6">
        <v>100000</v>
      </c>
      <c r="J260" s="6">
        <v>14400000</v>
      </c>
      <c r="K260" s="6">
        <v>200000</v>
      </c>
      <c r="L260" s="6">
        <v>600000</v>
      </c>
      <c r="M260" s="1">
        <v>15300000</v>
      </c>
      <c r="N260" s="6">
        <v>25920000</v>
      </c>
      <c r="O260" s="6">
        <v>0</v>
      </c>
      <c r="P260" s="6">
        <v>11220000</v>
      </c>
      <c r="Q260" s="6">
        <v>600000</v>
      </c>
      <c r="R260" s="6">
        <v>11520000</v>
      </c>
      <c r="S260" s="6">
        <v>0.55555600000000005</v>
      </c>
      <c r="T260" s="6">
        <v>0.97395799999999999</v>
      </c>
      <c r="U260" s="1" t="s">
        <v>924</v>
      </c>
      <c r="V260" s="1"/>
      <c r="W260" s="1"/>
      <c r="X260" s="9">
        <v>1689600</v>
      </c>
      <c r="Y260" s="9">
        <v>844800</v>
      </c>
      <c r="Z260" s="1" t="s">
        <v>22</v>
      </c>
      <c r="AA260" s="1">
        <v>47242</v>
      </c>
      <c r="AB260" t="s">
        <v>39</v>
      </c>
      <c r="AC260" t="e">
        <f>VLOOKUP(U260,Sheet1!$F$1:$F$39,1,FALSE)</f>
        <v>#N/A</v>
      </c>
      <c r="AD260">
        <f t="shared" si="3"/>
        <v>1</v>
      </c>
    </row>
    <row r="261" spans="1:30" ht="270.75" thickBot="1" x14ac:dyDescent="0.3">
      <c r="A261" s="5">
        <v>46310</v>
      </c>
      <c r="B261" s="1">
        <v>5309</v>
      </c>
      <c r="C261" s="1">
        <v>5309021006001500</v>
      </c>
      <c r="D261" s="1" t="s">
        <v>22</v>
      </c>
      <c r="E261" s="1">
        <v>47243</v>
      </c>
      <c r="F261" s="1" t="s">
        <v>925</v>
      </c>
      <c r="G261" s="1" t="s">
        <v>97</v>
      </c>
      <c r="H261" s="1" t="s">
        <v>926</v>
      </c>
      <c r="I261" s="6">
        <v>0</v>
      </c>
      <c r="J261" s="6">
        <v>66000000</v>
      </c>
      <c r="K261" s="6">
        <v>6000000</v>
      </c>
      <c r="L261" s="6">
        <v>0</v>
      </c>
      <c r="M261" s="1">
        <v>6000000</v>
      </c>
      <c r="N261" s="6">
        <v>132000000</v>
      </c>
      <c r="O261" s="6">
        <v>0</v>
      </c>
      <c r="P261" s="6">
        <v>60000000</v>
      </c>
      <c r="Q261" s="6">
        <v>0</v>
      </c>
      <c r="R261" s="6">
        <v>66000000</v>
      </c>
      <c r="S261" s="6">
        <v>0.5</v>
      </c>
      <c r="T261" s="6">
        <v>0.90909099999999998</v>
      </c>
      <c r="U261" s="1" t="s">
        <v>927</v>
      </c>
      <c r="V261" s="1"/>
      <c r="W261" s="1"/>
      <c r="X261" s="9">
        <v>14520000</v>
      </c>
      <c r="Y261" s="9">
        <v>0</v>
      </c>
      <c r="Z261" s="1" t="s">
        <v>22</v>
      </c>
      <c r="AA261" s="1">
        <v>47243</v>
      </c>
      <c r="AB261" t="s">
        <v>39</v>
      </c>
      <c r="AC261" t="e">
        <f>VLOOKUP(U261,Sheet1!$F$1:$F$39,1,FALSE)</f>
        <v>#N/A</v>
      </c>
      <c r="AD261">
        <f t="shared" ref="AD261:AD275" si="4">IF(ISNA(AC261),1,0)</f>
        <v>1</v>
      </c>
    </row>
    <row r="262" spans="1:30" ht="270.75" thickBot="1" x14ac:dyDescent="0.3">
      <c r="A262" s="5">
        <v>46310</v>
      </c>
      <c r="B262" s="1">
        <v>5309</v>
      </c>
      <c r="C262" s="1">
        <v>5309020016001000</v>
      </c>
      <c r="D262" s="1" t="s">
        <v>22</v>
      </c>
      <c r="E262" s="1">
        <v>47243</v>
      </c>
      <c r="F262" s="1" t="s">
        <v>928</v>
      </c>
      <c r="G262" s="1" t="s">
        <v>147</v>
      </c>
      <c r="H262" s="1" t="s">
        <v>929</v>
      </c>
      <c r="I262" s="6">
        <v>1000000</v>
      </c>
      <c r="J262" s="6">
        <v>2000000</v>
      </c>
      <c r="K262" s="6">
        <v>500000</v>
      </c>
      <c r="L262" s="6">
        <v>0</v>
      </c>
      <c r="M262" s="1">
        <v>1200000</v>
      </c>
      <c r="N262" s="6">
        <v>5000000</v>
      </c>
      <c r="O262" s="6">
        <v>0</v>
      </c>
      <c r="P262" s="6">
        <v>1500000</v>
      </c>
      <c r="Q262" s="6">
        <v>1000000</v>
      </c>
      <c r="R262" s="6">
        <v>3000000</v>
      </c>
      <c r="S262" s="6">
        <v>0.4</v>
      </c>
      <c r="T262" s="6">
        <v>0.5</v>
      </c>
      <c r="U262" s="1" t="s">
        <v>930</v>
      </c>
      <c r="V262" s="1"/>
      <c r="W262" s="1"/>
      <c r="X262" s="9">
        <v>360000</v>
      </c>
      <c r="Y262" s="9">
        <v>720000</v>
      </c>
      <c r="Z262" s="1" t="s">
        <v>22</v>
      </c>
      <c r="AA262" s="1">
        <v>47243</v>
      </c>
      <c r="AB262" t="s">
        <v>39</v>
      </c>
      <c r="AC262" t="e">
        <f>VLOOKUP(U262,Sheet1!$F$1:$F$39,1,FALSE)</f>
        <v>#N/A</v>
      </c>
      <c r="AD262">
        <f t="shared" si="4"/>
        <v>1</v>
      </c>
    </row>
    <row r="263" spans="1:30" ht="270.75" thickBot="1" x14ac:dyDescent="0.3">
      <c r="A263" s="5">
        <v>46310</v>
      </c>
      <c r="B263" s="1">
        <v>5309</v>
      </c>
      <c r="C263" s="1">
        <v>5309030013000100</v>
      </c>
      <c r="D263" s="1" t="s">
        <v>22</v>
      </c>
      <c r="E263" s="1">
        <v>47302</v>
      </c>
      <c r="F263" s="1" t="s">
        <v>932</v>
      </c>
      <c r="G263" s="1" t="s">
        <v>690</v>
      </c>
      <c r="H263" s="1" t="s">
        <v>933</v>
      </c>
      <c r="I263" s="6">
        <v>43200000</v>
      </c>
      <c r="J263" s="6">
        <v>600000</v>
      </c>
      <c r="K263" s="6">
        <v>2016000</v>
      </c>
      <c r="L263" s="6">
        <v>0</v>
      </c>
      <c r="M263" s="1">
        <v>3818000</v>
      </c>
      <c r="N263" s="6">
        <v>69120000</v>
      </c>
      <c r="O263" s="6">
        <v>0</v>
      </c>
      <c r="P263" s="6">
        <v>23304000</v>
      </c>
      <c r="Q263" s="6">
        <v>0</v>
      </c>
      <c r="R263" s="6">
        <v>68520000</v>
      </c>
      <c r="S263" s="6">
        <v>8.6809999999999995E-3</v>
      </c>
      <c r="T263" s="6">
        <v>0.34010499999999999</v>
      </c>
      <c r="U263" s="1" t="s">
        <v>934</v>
      </c>
      <c r="V263" s="1"/>
      <c r="W263" s="1"/>
      <c r="X263" s="9">
        <v>1099811</v>
      </c>
      <c r="Y263" s="9">
        <v>23567389</v>
      </c>
      <c r="Z263" s="1" t="s">
        <v>22</v>
      </c>
      <c r="AA263" s="1">
        <v>47302</v>
      </c>
      <c r="AB263" t="s">
        <v>39</v>
      </c>
      <c r="AC263" t="e">
        <f>VLOOKUP(U263,Sheet1!$F$1:$F$39,1,FALSE)</f>
        <v>#N/A</v>
      </c>
      <c r="AD263">
        <f t="shared" si="4"/>
        <v>1</v>
      </c>
    </row>
    <row r="264" spans="1:30" ht="270.75" thickBot="1" x14ac:dyDescent="0.3">
      <c r="A264" s="5">
        <v>46310</v>
      </c>
      <c r="B264" s="1">
        <v>5309</v>
      </c>
      <c r="C264" s="1">
        <v>5309030015000700</v>
      </c>
      <c r="D264" s="1" t="s">
        <v>22</v>
      </c>
      <c r="E264" s="1">
        <v>47302</v>
      </c>
      <c r="F264" s="1" t="s">
        <v>935</v>
      </c>
      <c r="G264" s="1" t="s">
        <v>936</v>
      </c>
      <c r="H264" s="1" t="s">
        <v>937</v>
      </c>
      <c r="I264" s="6">
        <v>500000</v>
      </c>
      <c r="J264" s="6">
        <v>500000</v>
      </c>
      <c r="K264" s="6">
        <v>0</v>
      </c>
      <c r="L264" s="6">
        <v>0</v>
      </c>
      <c r="M264" s="1">
        <v>1000000</v>
      </c>
      <c r="N264" s="6">
        <v>1500000</v>
      </c>
      <c r="O264" s="6">
        <v>0</v>
      </c>
      <c r="P264" s="6">
        <v>500000</v>
      </c>
      <c r="Q264" s="6">
        <v>0</v>
      </c>
      <c r="R264" s="6">
        <v>1000000</v>
      </c>
      <c r="S264" s="6">
        <v>0.33333299999999999</v>
      </c>
      <c r="T264" s="6">
        <v>0.5</v>
      </c>
      <c r="U264" s="1" t="s">
        <v>938</v>
      </c>
      <c r="V264" s="1"/>
      <c r="W264" s="1"/>
      <c r="X264" s="9">
        <v>0</v>
      </c>
      <c r="Y264" s="9">
        <v>360000</v>
      </c>
      <c r="Z264" s="1" t="s">
        <v>22</v>
      </c>
      <c r="AA264" s="1">
        <v>47302</v>
      </c>
      <c r="AB264" t="s">
        <v>39</v>
      </c>
      <c r="AC264" t="e">
        <f>VLOOKUP(U264,Sheet1!$F$1:$F$39,1,FALSE)</f>
        <v>#N/A</v>
      </c>
      <c r="AD264">
        <f t="shared" si="4"/>
        <v>1</v>
      </c>
    </row>
    <row r="265" spans="1:30" ht="270.75" thickBot="1" x14ac:dyDescent="0.3">
      <c r="A265" s="5">
        <v>46310</v>
      </c>
      <c r="B265" s="1">
        <v>5309</v>
      </c>
      <c r="C265" s="1">
        <v>5309050019000200</v>
      </c>
      <c r="D265" s="1" t="s">
        <v>22</v>
      </c>
      <c r="E265" s="1">
        <v>47302</v>
      </c>
      <c r="F265" s="1" t="s">
        <v>939</v>
      </c>
      <c r="G265" s="1" t="s">
        <v>672</v>
      </c>
      <c r="H265" s="1" t="s">
        <v>940</v>
      </c>
      <c r="I265" s="6">
        <v>500000</v>
      </c>
      <c r="J265" s="6">
        <v>0</v>
      </c>
      <c r="K265" s="6">
        <v>250000</v>
      </c>
      <c r="L265" s="6">
        <v>50000</v>
      </c>
      <c r="M265" s="1">
        <v>800000</v>
      </c>
      <c r="N265" s="6">
        <v>800000</v>
      </c>
      <c r="O265" s="6">
        <v>0</v>
      </c>
      <c r="P265" s="6">
        <v>50000</v>
      </c>
      <c r="Q265" s="6">
        <v>350000</v>
      </c>
      <c r="R265" s="6">
        <v>800000</v>
      </c>
      <c r="S265" s="6">
        <v>0</v>
      </c>
      <c r="T265" s="6">
        <v>6.25E-2</v>
      </c>
      <c r="U265" s="1" t="s">
        <v>941</v>
      </c>
      <c r="V265" s="1"/>
      <c r="W265" s="1"/>
      <c r="X265" s="9">
        <v>96000</v>
      </c>
      <c r="Y265" s="9">
        <v>192000</v>
      </c>
      <c r="Z265" s="1" t="s">
        <v>22</v>
      </c>
      <c r="AA265" s="1">
        <v>47302</v>
      </c>
      <c r="AB265" t="s">
        <v>39</v>
      </c>
      <c r="AC265" t="e">
        <f>VLOOKUP(U265,Sheet1!$F$1:$F$39,1,FALSE)</f>
        <v>#N/A</v>
      </c>
      <c r="AD265">
        <f t="shared" si="4"/>
        <v>1</v>
      </c>
    </row>
    <row r="266" spans="1:30" ht="270.75" thickBot="1" x14ac:dyDescent="0.3">
      <c r="A266" s="5">
        <v>46310</v>
      </c>
      <c r="B266" s="1">
        <v>5309</v>
      </c>
      <c r="C266" s="1">
        <v>5309020015001100</v>
      </c>
      <c r="D266" s="1" t="s">
        <v>22</v>
      </c>
      <c r="E266" s="1">
        <v>47302</v>
      </c>
      <c r="F266" s="1" t="s">
        <v>942</v>
      </c>
      <c r="G266" s="1" t="s">
        <v>943</v>
      </c>
      <c r="H266" s="1" t="s">
        <v>944</v>
      </c>
      <c r="I266" s="6">
        <v>1200000</v>
      </c>
      <c r="J266" s="6">
        <v>2000000</v>
      </c>
      <c r="K266" s="6">
        <v>200000</v>
      </c>
      <c r="L266" s="6">
        <v>10000</v>
      </c>
      <c r="M266" s="1">
        <v>3410000</v>
      </c>
      <c r="N266" s="6">
        <v>4000000</v>
      </c>
      <c r="O266" s="6">
        <v>1000000</v>
      </c>
      <c r="P266" s="6">
        <v>600000</v>
      </c>
      <c r="Q266" s="6">
        <v>2200000</v>
      </c>
      <c r="R266" s="6">
        <v>2000000</v>
      </c>
      <c r="S266" s="6">
        <v>0.5</v>
      </c>
      <c r="T266" s="6">
        <v>0.3</v>
      </c>
      <c r="U266" s="1" t="s">
        <v>945</v>
      </c>
      <c r="V266" s="1"/>
      <c r="W266" s="1"/>
      <c r="X266" s="9">
        <v>102857</v>
      </c>
      <c r="Y266" s="9">
        <v>617143</v>
      </c>
      <c r="Z266" s="1" t="s">
        <v>22</v>
      </c>
      <c r="AA266" s="1">
        <v>47302</v>
      </c>
      <c r="AB266" t="s">
        <v>39</v>
      </c>
      <c r="AC266" t="e">
        <f>VLOOKUP(U266,Sheet1!$F$1:$F$39,1,FALSE)</f>
        <v>#N/A</v>
      </c>
      <c r="AD266">
        <f t="shared" si="4"/>
        <v>1</v>
      </c>
    </row>
    <row r="267" spans="1:30" ht="270.75" thickBot="1" x14ac:dyDescent="0.3">
      <c r="A267" s="5">
        <v>46310</v>
      </c>
      <c r="B267" s="1">
        <v>5309</v>
      </c>
      <c r="C267" s="1">
        <v>5309062002000200</v>
      </c>
      <c r="D267" s="1" t="s">
        <v>22</v>
      </c>
      <c r="E267" s="1">
        <v>47302</v>
      </c>
      <c r="F267" s="1" t="s">
        <v>946</v>
      </c>
      <c r="G267" s="1" t="s">
        <v>852</v>
      </c>
      <c r="H267" s="1" t="s">
        <v>853</v>
      </c>
      <c r="I267" s="6">
        <v>150000</v>
      </c>
      <c r="J267" s="6">
        <v>560000</v>
      </c>
      <c r="K267" s="6">
        <v>350000</v>
      </c>
      <c r="L267" s="6">
        <v>0</v>
      </c>
      <c r="M267" s="1">
        <v>1060000</v>
      </c>
      <c r="N267" s="6">
        <v>3400000</v>
      </c>
      <c r="O267" s="6">
        <v>0</v>
      </c>
      <c r="P267" s="6">
        <v>2340000</v>
      </c>
      <c r="Q267" s="6">
        <v>200000</v>
      </c>
      <c r="R267" s="6">
        <v>2840000</v>
      </c>
      <c r="S267" s="6">
        <v>0.16470599999999999</v>
      </c>
      <c r="T267" s="6">
        <v>0.82394400000000001</v>
      </c>
      <c r="U267" s="1" t="s">
        <v>854</v>
      </c>
      <c r="V267" s="1"/>
      <c r="W267" s="1"/>
      <c r="X267" s="9">
        <v>437360</v>
      </c>
      <c r="Y267" s="9">
        <v>187440</v>
      </c>
      <c r="Z267" s="1" t="s">
        <v>22</v>
      </c>
      <c r="AA267" s="1">
        <v>47302</v>
      </c>
      <c r="AB267" t="s">
        <v>39</v>
      </c>
      <c r="AC267" t="e">
        <f>VLOOKUP(U267,Sheet1!$F$1:$F$39,1,FALSE)</f>
        <v>#N/A</v>
      </c>
      <c r="AD267">
        <f t="shared" si="4"/>
        <v>1</v>
      </c>
    </row>
    <row r="268" spans="1:30" ht="255.75" thickBot="1" x14ac:dyDescent="0.3">
      <c r="A268" s="5">
        <v>46310</v>
      </c>
      <c r="B268" s="1">
        <v>5309</v>
      </c>
      <c r="C268" s="1">
        <v>5309070008001400</v>
      </c>
      <c r="D268" s="1" t="s">
        <v>22</v>
      </c>
      <c r="E268" s="1">
        <v>47302</v>
      </c>
      <c r="F268" s="1" t="s">
        <v>947</v>
      </c>
      <c r="G268" s="1" t="s">
        <v>192</v>
      </c>
      <c r="H268" s="1" t="s">
        <v>931</v>
      </c>
      <c r="I268" s="6">
        <v>50000</v>
      </c>
      <c r="J268" s="6">
        <v>12000000</v>
      </c>
      <c r="K268" s="6">
        <v>0</v>
      </c>
      <c r="L268" s="6">
        <v>0</v>
      </c>
      <c r="M268" s="1">
        <v>12050000</v>
      </c>
      <c r="N268" s="6">
        <v>21650000</v>
      </c>
      <c r="O268" s="6">
        <v>0</v>
      </c>
      <c r="P268" s="6">
        <v>9600000</v>
      </c>
      <c r="Q268" s="6">
        <v>5000000</v>
      </c>
      <c r="R268" s="6">
        <v>9650000</v>
      </c>
      <c r="S268" s="6">
        <v>0.55427300000000002</v>
      </c>
      <c r="T268" s="6">
        <v>0.99481900000000001</v>
      </c>
      <c r="U268" s="1" t="s">
        <v>948</v>
      </c>
      <c r="V268" s="1"/>
      <c r="W268" s="1"/>
      <c r="X268" s="9">
        <v>0</v>
      </c>
      <c r="Y268" s="9">
        <v>2123000</v>
      </c>
      <c r="Z268" s="1" t="s">
        <v>22</v>
      </c>
      <c r="AA268" s="1">
        <v>47302</v>
      </c>
      <c r="AB268" t="s">
        <v>39</v>
      </c>
      <c r="AC268" t="e">
        <f>VLOOKUP(U268,Sheet1!$F$1:$F$39,1,FALSE)</f>
        <v>#N/A</v>
      </c>
      <c r="AD268">
        <f t="shared" si="4"/>
        <v>1</v>
      </c>
    </row>
    <row r="269" spans="1:30" ht="270.75" thickBot="1" x14ac:dyDescent="0.3">
      <c r="A269" s="5">
        <v>46310</v>
      </c>
      <c r="B269" s="1">
        <v>5309</v>
      </c>
      <c r="C269" s="1">
        <v>5309070002001100</v>
      </c>
      <c r="D269" s="1" t="s">
        <v>22</v>
      </c>
      <c r="E269" s="1">
        <v>47523</v>
      </c>
      <c r="F269" s="1" t="s">
        <v>949</v>
      </c>
      <c r="G269" s="1" t="s">
        <v>950</v>
      </c>
      <c r="H269" s="1" t="s">
        <v>201</v>
      </c>
      <c r="I269" s="6">
        <v>1200000</v>
      </c>
      <c r="J269" s="6">
        <v>4200000</v>
      </c>
      <c r="K269" s="6">
        <v>1500000</v>
      </c>
      <c r="L269" s="6">
        <v>580000</v>
      </c>
      <c r="M269" s="1">
        <v>3580000</v>
      </c>
      <c r="N269" s="6">
        <v>9500000</v>
      </c>
      <c r="O269" s="6">
        <v>0</v>
      </c>
      <c r="P269" s="6">
        <v>2600000</v>
      </c>
      <c r="Q269" s="6">
        <v>3000000</v>
      </c>
      <c r="R269" s="6">
        <v>5300000</v>
      </c>
      <c r="S269" s="6">
        <v>0.44210500000000003</v>
      </c>
      <c r="T269" s="6">
        <v>0.490566</v>
      </c>
      <c r="U269" s="1" t="s">
        <v>951</v>
      </c>
      <c r="V269" s="1"/>
      <c r="W269" s="1"/>
      <c r="X269" s="9">
        <v>1060000</v>
      </c>
      <c r="Y269" s="9">
        <v>848000</v>
      </c>
      <c r="Z269" s="1" t="s">
        <v>22</v>
      </c>
      <c r="AA269" s="1">
        <v>47523</v>
      </c>
      <c r="AB269" t="s">
        <v>39</v>
      </c>
      <c r="AC269" t="e">
        <f>VLOOKUP(U269,Sheet1!$F$1:$F$39,1,FALSE)</f>
        <v>#N/A</v>
      </c>
      <c r="AD269">
        <f t="shared" si="4"/>
        <v>1</v>
      </c>
    </row>
    <row r="270" spans="1:30" ht="270.75" thickBot="1" x14ac:dyDescent="0.3">
      <c r="A270" s="5">
        <v>46310</v>
      </c>
      <c r="B270" s="1">
        <v>5309</v>
      </c>
      <c r="C270" s="1">
        <v>5309070007000300</v>
      </c>
      <c r="D270" s="1" t="s">
        <v>22</v>
      </c>
      <c r="E270" s="1">
        <v>47620</v>
      </c>
      <c r="F270" s="1" t="s">
        <v>952</v>
      </c>
      <c r="G270" s="1" t="s">
        <v>953</v>
      </c>
      <c r="H270" s="1" t="s">
        <v>954</v>
      </c>
      <c r="I270" s="6">
        <v>200000</v>
      </c>
      <c r="J270" s="6">
        <v>25000000</v>
      </c>
      <c r="K270" s="6">
        <v>3500000</v>
      </c>
      <c r="L270" s="6">
        <v>0</v>
      </c>
      <c r="M270" s="1">
        <v>8500000</v>
      </c>
      <c r="N270" s="6">
        <v>45000000</v>
      </c>
      <c r="O270" s="6">
        <v>0</v>
      </c>
      <c r="P270" s="6">
        <v>16300000</v>
      </c>
      <c r="Q270" s="6">
        <v>300000</v>
      </c>
      <c r="R270" s="6">
        <v>20000000</v>
      </c>
      <c r="S270" s="6">
        <v>0.55555600000000005</v>
      </c>
      <c r="T270" s="6">
        <v>0.81499999999999995</v>
      </c>
      <c r="U270" s="1" t="s">
        <v>955</v>
      </c>
      <c r="V270" s="1"/>
      <c r="W270" s="1"/>
      <c r="X270" s="9">
        <v>4162162</v>
      </c>
      <c r="Y270" s="9">
        <v>237838</v>
      </c>
      <c r="Z270" s="1" t="s">
        <v>22</v>
      </c>
      <c r="AA270" s="1">
        <v>47620</v>
      </c>
      <c r="AB270" t="s">
        <v>39</v>
      </c>
      <c r="AC270" t="str">
        <f>VLOOKUP(U270,Sheet1!$F$1:$F$39,1,FALSE)</f>
        <v>https://fasih-sm.bps.go.id/app/assignment/fd68e454-ba45-4b85-8205-f3bf777ded24/9aef6c6c-c0f0-4d95-b3f3-28606de56cbe</v>
      </c>
      <c r="AD270">
        <f t="shared" si="4"/>
        <v>0</v>
      </c>
    </row>
    <row r="271" spans="1:30" ht="270.75" thickBot="1" x14ac:dyDescent="0.3">
      <c r="A271" s="5">
        <v>46310</v>
      </c>
      <c r="B271" s="1">
        <v>5309</v>
      </c>
      <c r="C271" s="1">
        <v>5309030028000100</v>
      </c>
      <c r="D271" s="1" t="s">
        <v>22</v>
      </c>
      <c r="E271" s="1">
        <v>47630</v>
      </c>
      <c r="F271" s="1" t="s">
        <v>956</v>
      </c>
      <c r="G271" s="1" t="s">
        <v>957</v>
      </c>
      <c r="H271" s="1" t="s">
        <v>958</v>
      </c>
      <c r="I271" s="6">
        <v>20000000</v>
      </c>
      <c r="J271" s="6">
        <v>0</v>
      </c>
      <c r="K271" s="6">
        <v>0</v>
      </c>
      <c r="L271" s="6">
        <v>0</v>
      </c>
      <c r="M271" s="1">
        <v>20000000</v>
      </c>
      <c r="N271" s="6">
        <v>40000000</v>
      </c>
      <c r="O271" s="6">
        <v>0</v>
      </c>
      <c r="P271" s="6">
        <v>20000000</v>
      </c>
      <c r="Q271" s="6">
        <v>5000000</v>
      </c>
      <c r="R271" s="6">
        <v>40000000</v>
      </c>
      <c r="S271" s="6">
        <v>0</v>
      </c>
      <c r="T271" s="6">
        <v>0.5</v>
      </c>
      <c r="U271" s="1" t="s">
        <v>959</v>
      </c>
      <c r="V271" s="1"/>
      <c r="W271" s="1"/>
      <c r="X271" s="9">
        <v>0</v>
      </c>
      <c r="Y271" s="9">
        <v>14400000</v>
      </c>
      <c r="Z271" s="1" t="s">
        <v>22</v>
      </c>
      <c r="AA271" s="1">
        <v>47630</v>
      </c>
      <c r="AB271" t="s">
        <v>39</v>
      </c>
      <c r="AC271" t="e">
        <f>VLOOKUP(U271,Sheet1!$F$1:$F$39,1,FALSE)</f>
        <v>#N/A</v>
      </c>
      <c r="AD271">
        <f t="shared" si="4"/>
        <v>1</v>
      </c>
    </row>
    <row r="272" spans="1:30" ht="270.75" thickBot="1" x14ac:dyDescent="0.3">
      <c r="A272" s="5">
        <v>46310</v>
      </c>
      <c r="B272" s="1">
        <v>5309</v>
      </c>
      <c r="C272" s="1">
        <v>5309030021000700</v>
      </c>
      <c r="D272" s="1" t="s">
        <v>22</v>
      </c>
      <c r="E272" s="1">
        <v>47711</v>
      </c>
      <c r="F272" s="1" t="s">
        <v>960</v>
      </c>
      <c r="G272" s="1" t="s">
        <v>217</v>
      </c>
      <c r="H272" s="1" t="s">
        <v>213</v>
      </c>
      <c r="I272" s="6">
        <v>720000</v>
      </c>
      <c r="J272" s="6">
        <v>12000000</v>
      </c>
      <c r="K272" s="6">
        <v>1800000</v>
      </c>
      <c r="L272" s="6">
        <v>936000</v>
      </c>
      <c r="M272" s="1">
        <v>15456000</v>
      </c>
      <c r="N272" s="6">
        <v>31200000</v>
      </c>
      <c r="O272" s="6">
        <v>0</v>
      </c>
      <c r="P272" s="6">
        <v>16680000</v>
      </c>
      <c r="Q272" s="6">
        <v>15000000</v>
      </c>
      <c r="R272" s="6">
        <v>19200000</v>
      </c>
      <c r="S272" s="6">
        <v>0.38461499999999998</v>
      </c>
      <c r="T272" s="6">
        <v>0.86875000000000002</v>
      </c>
      <c r="U272" s="1" t="s">
        <v>961</v>
      </c>
      <c r="V272" s="1"/>
      <c r="W272" s="1"/>
      <c r="X272" s="9">
        <v>3017143</v>
      </c>
      <c r="Y272" s="9">
        <v>1206857</v>
      </c>
      <c r="Z272" s="1" t="s">
        <v>22</v>
      </c>
      <c r="AA272" s="1">
        <v>47711</v>
      </c>
      <c r="AB272" t="s">
        <v>39</v>
      </c>
      <c r="AC272" t="e">
        <f>VLOOKUP(U272,Sheet1!$F$1:$F$39,1,FALSE)</f>
        <v>#N/A</v>
      </c>
      <c r="AD272">
        <f t="shared" si="4"/>
        <v>1</v>
      </c>
    </row>
    <row r="273" spans="1:30" ht="270.75" thickBot="1" x14ac:dyDescent="0.3">
      <c r="A273" s="5">
        <v>46310</v>
      </c>
      <c r="B273" s="1">
        <v>5309</v>
      </c>
      <c r="C273" s="1">
        <v>5309050016001600</v>
      </c>
      <c r="D273" s="1" t="s">
        <v>22</v>
      </c>
      <c r="E273" s="1">
        <v>47712</v>
      </c>
      <c r="F273" s="1" t="s">
        <v>962</v>
      </c>
      <c r="G273" s="1" t="s">
        <v>963</v>
      </c>
      <c r="H273" s="1" t="s">
        <v>964</v>
      </c>
      <c r="I273" s="6">
        <v>0</v>
      </c>
      <c r="J273" s="6">
        <v>10000000</v>
      </c>
      <c r="K273" s="6">
        <v>2000000</v>
      </c>
      <c r="L273" s="6">
        <v>0</v>
      </c>
      <c r="M273" s="1">
        <v>12000000</v>
      </c>
      <c r="N273" s="6">
        <v>20000000</v>
      </c>
      <c r="O273" s="6">
        <v>0</v>
      </c>
      <c r="P273" s="6">
        <v>8000000</v>
      </c>
      <c r="Q273" s="6">
        <v>500000</v>
      </c>
      <c r="R273" s="6">
        <v>10000000</v>
      </c>
      <c r="S273" s="6">
        <v>0.5</v>
      </c>
      <c r="T273" s="6">
        <v>0.8</v>
      </c>
      <c r="U273" s="1" t="s">
        <v>965</v>
      </c>
      <c r="V273" s="1"/>
      <c r="W273" s="1"/>
      <c r="X273" s="9">
        <v>2200000</v>
      </c>
      <c r="Y273" s="9">
        <v>0</v>
      </c>
      <c r="Z273" s="1" t="s">
        <v>22</v>
      </c>
      <c r="AA273" s="1">
        <v>47712</v>
      </c>
      <c r="AB273" t="s">
        <v>39</v>
      </c>
      <c r="AC273" t="e">
        <f>VLOOKUP(U273,Sheet1!$F$1:$F$39,1,FALSE)</f>
        <v>#N/A</v>
      </c>
      <c r="AD273">
        <f t="shared" si="4"/>
        <v>1</v>
      </c>
    </row>
    <row r="274" spans="1:30" ht="270.75" thickBot="1" x14ac:dyDescent="0.3">
      <c r="A274" s="5">
        <v>46310</v>
      </c>
      <c r="B274" s="1">
        <v>5309</v>
      </c>
      <c r="C274" s="1">
        <v>5309030021000700</v>
      </c>
      <c r="D274" s="1" t="s">
        <v>22</v>
      </c>
      <c r="E274" s="1">
        <v>47712</v>
      </c>
      <c r="F274" s="1" t="s">
        <v>966</v>
      </c>
      <c r="G274" s="1" t="s">
        <v>229</v>
      </c>
      <c r="H274" s="1" t="s">
        <v>229</v>
      </c>
      <c r="I274" s="6">
        <v>455000</v>
      </c>
      <c r="J274" s="6">
        <v>12000000</v>
      </c>
      <c r="K274" s="6">
        <v>8280000</v>
      </c>
      <c r="L274" s="6">
        <v>800000</v>
      </c>
      <c r="M274" s="1">
        <v>21535000</v>
      </c>
      <c r="N274" s="6">
        <v>31200000</v>
      </c>
      <c r="O274" s="6">
        <v>0</v>
      </c>
      <c r="P274" s="6">
        <v>10465000</v>
      </c>
      <c r="Q274" s="6">
        <v>30000000</v>
      </c>
      <c r="R274" s="6">
        <v>19200000</v>
      </c>
      <c r="S274" s="6">
        <v>0.38461499999999998</v>
      </c>
      <c r="T274" s="6">
        <v>0.54505199999999998</v>
      </c>
      <c r="U274" s="1" t="s">
        <v>967</v>
      </c>
      <c r="V274" s="1"/>
      <c r="W274" s="1"/>
      <c r="X274" s="9">
        <v>6551959</v>
      </c>
      <c r="Y274" s="9">
        <v>360041</v>
      </c>
      <c r="Z274" s="1" t="s">
        <v>22</v>
      </c>
      <c r="AA274" s="1">
        <v>47712</v>
      </c>
      <c r="AB274" t="s">
        <v>39</v>
      </c>
      <c r="AC274" t="e">
        <f>VLOOKUP(U274,Sheet1!$F$1:$F$39,1,FALSE)</f>
        <v>#N/A</v>
      </c>
      <c r="AD274">
        <f t="shared" si="4"/>
        <v>1</v>
      </c>
    </row>
    <row r="275" spans="1:30" ht="270.75" thickBot="1" x14ac:dyDescent="0.3">
      <c r="A275" s="5">
        <v>46310</v>
      </c>
      <c r="B275" s="1">
        <v>5309</v>
      </c>
      <c r="C275" s="1">
        <v>5309061010001600</v>
      </c>
      <c r="D275" s="1" t="s">
        <v>22</v>
      </c>
      <c r="E275" s="1">
        <v>47712</v>
      </c>
      <c r="F275" s="1" t="s">
        <v>968</v>
      </c>
      <c r="G275" s="1" t="s">
        <v>231</v>
      </c>
      <c r="H275" s="1" t="s">
        <v>969</v>
      </c>
      <c r="I275" s="6">
        <v>500000</v>
      </c>
      <c r="J275" s="6">
        <v>10000000</v>
      </c>
      <c r="K275" s="6">
        <v>500000</v>
      </c>
      <c r="L275" s="6">
        <v>0</v>
      </c>
      <c r="M275" s="1">
        <v>11000000</v>
      </c>
      <c r="N275" s="6">
        <v>15000000</v>
      </c>
      <c r="O275" s="6">
        <v>0</v>
      </c>
      <c r="P275" s="6">
        <v>4000000</v>
      </c>
      <c r="Q275" s="6">
        <v>50000</v>
      </c>
      <c r="R275" s="6">
        <v>5000000</v>
      </c>
      <c r="S275" s="6">
        <v>0.66666700000000001</v>
      </c>
      <c r="T275" s="6">
        <v>0.8</v>
      </c>
      <c r="U275" s="1" t="s">
        <v>970</v>
      </c>
      <c r="V275" s="1"/>
      <c r="W275" s="1"/>
      <c r="X275" s="9">
        <v>550000</v>
      </c>
      <c r="Y275" s="9">
        <v>550000</v>
      </c>
      <c r="Z275" s="1" t="s">
        <v>22</v>
      </c>
      <c r="AA275" s="1">
        <v>47712</v>
      </c>
      <c r="AB275" t="s">
        <v>39</v>
      </c>
      <c r="AC275" t="e">
        <f>VLOOKUP(U275,Sheet1!$F$1:$F$39,1,FALSE)</f>
        <v>#N/A</v>
      </c>
      <c r="AD275">
        <f t="shared" si="4"/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9B3B4-E96D-4905-8E8E-2F21B580ADC5}">
  <dimension ref="A1:F39"/>
  <sheetViews>
    <sheetView topLeftCell="A3" workbookViewId="0">
      <selection activeCell="E24" sqref="E24"/>
    </sheetView>
  </sheetViews>
  <sheetFormatPr defaultRowHeight="15" x14ac:dyDescent="0.25"/>
  <sheetData>
    <row r="1" spans="1:6" x14ac:dyDescent="0.25">
      <c r="A1" t="s">
        <v>976</v>
      </c>
      <c r="B1" t="s">
        <v>4</v>
      </c>
      <c r="C1" t="s">
        <v>977</v>
      </c>
      <c r="D1" t="s">
        <v>978</v>
      </c>
      <c r="E1" t="s">
        <v>979</v>
      </c>
      <c r="F1" t="s">
        <v>980</v>
      </c>
    </row>
    <row r="2" spans="1:6" x14ac:dyDescent="0.25">
      <c r="A2">
        <v>33</v>
      </c>
      <c r="B2" t="s">
        <v>148</v>
      </c>
      <c r="C2" t="s">
        <v>981</v>
      </c>
      <c r="D2" t="s">
        <v>982</v>
      </c>
      <c r="E2" t="s">
        <v>983</v>
      </c>
      <c r="F2" t="s">
        <v>150</v>
      </c>
    </row>
    <row r="3" spans="1:6" x14ac:dyDescent="0.25">
      <c r="A3">
        <v>41</v>
      </c>
      <c r="B3" t="s">
        <v>178</v>
      </c>
      <c r="C3" t="s">
        <v>984</v>
      </c>
      <c r="D3" t="s">
        <v>985</v>
      </c>
      <c r="E3" t="s">
        <v>986</v>
      </c>
      <c r="F3" t="s">
        <v>179</v>
      </c>
    </row>
    <row r="4" spans="1:6" x14ac:dyDescent="0.25">
      <c r="A4">
        <v>42</v>
      </c>
      <c r="B4" t="s">
        <v>182</v>
      </c>
      <c r="C4" t="s">
        <v>987</v>
      </c>
      <c r="D4" t="s">
        <v>985</v>
      </c>
      <c r="E4" t="s">
        <v>988</v>
      </c>
      <c r="F4" t="s">
        <v>183</v>
      </c>
    </row>
    <row r="5" spans="1:6" x14ac:dyDescent="0.25">
      <c r="A5">
        <v>45</v>
      </c>
      <c r="B5" t="s">
        <v>193</v>
      </c>
      <c r="C5" t="s">
        <v>989</v>
      </c>
      <c r="D5" t="s">
        <v>985</v>
      </c>
      <c r="E5" t="s">
        <v>990</v>
      </c>
      <c r="F5" t="s">
        <v>195</v>
      </c>
    </row>
    <row r="6" spans="1:6" x14ac:dyDescent="0.25">
      <c r="A6">
        <v>48</v>
      </c>
      <c r="B6" t="s">
        <v>203</v>
      </c>
      <c r="C6" t="s">
        <v>991</v>
      </c>
      <c r="D6" t="s">
        <v>985</v>
      </c>
      <c r="E6" t="s">
        <v>992</v>
      </c>
      <c r="F6" t="s">
        <v>206</v>
      </c>
    </row>
    <row r="7" spans="1:6" x14ac:dyDescent="0.25">
      <c r="A7">
        <v>55</v>
      </c>
      <c r="B7" t="s">
        <v>228</v>
      </c>
      <c r="C7" t="s">
        <v>993</v>
      </c>
      <c r="D7" t="s">
        <v>982</v>
      </c>
      <c r="E7" t="s">
        <v>983</v>
      </c>
      <c r="F7" t="s">
        <v>230</v>
      </c>
    </row>
    <row r="8" spans="1:6" x14ac:dyDescent="0.25">
      <c r="A8">
        <v>60</v>
      </c>
      <c r="B8" t="s">
        <v>247</v>
      </c>
      <c r="C8" t="s">
        <v>994</v>
      </c>
      <c r="D8" t="s">
        <v>985</v>
      </c>
      <c r="E8" t="s">
        <v>995</v>
      </c>
      <c r="F8" t="s">
        <v>250</v>
      </c>
    </row>
    <row r="9" spans="1:6" x14ac:dyDescent="0.25">
      <c r="A9">
        <v>69</v>
      </c>
      <c r="B9" t="s">
        <v>280</v>
      </c>
      <c r="C9" t="s">
        <v>996</v>
      </c>
      <c r="D9" t="s">
        <v>985</v>
      </c>
      <c r="E9" t="s">
        <v>997</v>
      </c>
      <c r="F9" t="s">
        <v>283</v>
      </c>
    </row>
    <row r="10" spans="1:6" x14ac:dyDescent="0.25">
      <c r="A10">
        <v>101</v>
      </c>
      <c r="B10" t="s">
        <v>389</v>
      </c>
      <c r="C10" t="s">
        <v>998</v>
      </c>
      <c r="D10" t="s">
        <v>985</v>
      </c>
      <c r="E10" t="s">
        <v>999</v>
      </c>
      <c r="F10" t="s">
        <v>392</v>
      </c>
    </row>
    <row r="11" spans="1:6" x14ac:dyDescent="0.25">
      <c r="A11">
        <v>103</v>
      </c>
      <c r="B11" t="s">
        <v>396</v>
      </c>
      <c r="C11" t="s">
        <v>1000</v>
      </c>
      <c r="D11" t="s">
        <v>985</v>
      </c>
      <c r="E11" t="s">
        <v>1001</v>
      </c>
      <c r="F11" t="s">
        <v>399</v>
      </c>
    </row>
    <row r="12" spans="1:6" x14ac:dyDescent="0.25">
      <c r="A12">
        <v>104</v>
      </c>
      <c r="B12" t="s">
        <v>400</v>
      </c>
      <c r="C12" t="s">
        <v>1002</v>
      </c>
      <c r="D12" t="s">
        <v>985</v>
      </c>
      <c r="E12" t="s">
        <v>1003</v>
      </c>
      <c r="F12" t="s">
        <v>401</v>
      </c>
    </row>
    <row r="13" spans="1:6" x14ac:dyDescent="0.25">
      <c r="A13">
        <v>105</v>
      </c>
      <c r="B13" t="s">
        <v>402</v>
      </c>
      <c r="C13" t="s">
        <v>1004</v>
      </c>
      <c r="D13" t="s">
        <v>982</v>
      </c>
      <c r="E13" t="s">
        <v>983</v>
      </c>
      <c r="F13" t="s">
        <v>403</v>
      </c>
    </row>
    <row r="14" spans="1:6" x14ac:dyDescent="0.25">
      <c r="A14">
        <v>107</v>
      </c>
      <c r="B14" t="s">
        <v>407</v>
      </c>
      <c r="C14" t="s">
        <v>1005</v>
      </c>
      <c r="D14" t="s">
        <v>985</v>
      </c>
      <c r="E14" t="s">
        <v>1006</v>
      </c>
      <c r="F14" t="s">
        <v>410</v>
      </c>
    </row>
    <row r="15" spans="1:6" x14ac:dyDescent="0.25">
      <c r="A15">
        <v>110</v>
      </c>
      <c r="B15" t="s">
        <v>1007</v>
      </c>
      <c r="C15" t="s">
        <v>1008</v>
      </c>
      <c r="D15" t="s">
        <v>1009</v>
      </c>
      <c r="E15" t="s">
        <v>1010</v>
      </c>
      <c r="F15" t="s">
        <v>420</v>
      </c>
    </row>
    <row r="16" spans="1:6" x14ac:dyDescent="0.25">
      <c r="A16">
        <v>113</v>
      </c>
      <c r="B16" t="s">
        <v>427</v>
      </c>
      <c r="C16" t="s">
        <v>1011</v>
      </c>
      <c r="D16" t="s">
        <v>985</v>
      </c>
      <c r="E16" t="s">
        <v>1012</v>
      </c>
      <c r="F16" t="s">
        <v>430</v>
      </c>
    </row>
    <row r="17" spans="1:6" x14ac:dyDescent="0.25">
      <c r="A17">
        <v>117</v>
      </c>
      <c r="B17" t="s">
        <v>443</v>
      </c>
      <c r="C17" t="s">
        <v>981</v>
      </c>
      <c r="D17" t="s">
        <v>982</v>
      </c>
      <c r="E17" t="s">
        <v>983</v>
      </c>
      <c r="F17" t="s">
        <v>444</v>
      </c>
    </row>
    <row r="18" spans="1:6" x14ac:dyDescent="0.25">
      <c r="A18">
        <v>136</v>
      </c>
      <c r="B18" t="s">
        <v>508</v>
      </c>
      <c r="C18" t="s">
        <v>1013</v>
      </c>
      <c r="D18" t="s">
        <v>985</v>
      </c>
      <c r="E18" t="s">
        <v>1014</v>
      </c>
      <c r="F18" t="s">
        <v>510</v>
      </c>
    </row>
    <row r="19" spans="1:6" x14ac:dyDescent="0.25">
      <c r="A19">
        <v>139</v>
      </c>
      <c r="B19" t="s">
        <v>519</v>
      </c>
      <c r="C19" t="s">
        <v>1015</v>
      </c>
      <c r="D19" t="s">
        <v>985</v>
      </c>
      <c r="E19" t="s">
        <v>1016</v>
      </c>
      <c r="F19" t="s">
        <v>522</v>
      </c>
    </row>
    <row r="20" spans="1:6" x14ac:dyDescent="0.25">
      <c r="A20">
        <v>144</v>
      </c>
      <c r="B20" t="s">
        <v>537</v>
      </c>
      <c r="C20" t="s">
        <v>1017</v>
      </c>
      <c r="D20" t="s">
        <v>985</v>
      </c>
      <c r="E20" t="s">
        <v>1018</v>
      </c>
      <c r="F20" t="s">
        <v>540</v>
      </c>
    </row>
    <row r="21" spans="1:6" x14ac:dyDescent="0.25">
      <c r="A21">
        <v>146</v>
      </c>
      <c r="B21" t="s">
        <v>545</v>
      </c>
      <c r="C21" t="s">
        <v>1019</v>
      </c>
      <c r="D21" t="s">
        <v>985</v>
      </c>
      <c r="E21" t="s">
        <v>1020</v>
      </c>
      <c r="F21" t="s">
        <v>546</v>
      </c>
    </row>
    <row r="22" spans="1:6" x14ac:dyDescent="0.25">
      <c r="A22">
        <v>161</v>
      </c>
      <c r="B22" t="s">
        <v>590</v>
      </c>
      <c r="C22" t="s">
        <v>1021</v>
      </c>
      <c r="D22" t="s">
        <v>985</v>
      </c>
      <c r="E22" t="s">
        <v>1022</v>
      </c>
      <c r="F22" t="s">
        <v>593</v>
      </c>
    </row>
    <row r="23" spans="1:6" x14ac:dyDescent="0.25">
      <c r="A23">
        <v>178</v>
      </c>
      <c r="B23" t="s">
        <v>645</v>
      </c>
      <c r="C23" t="s">
        <v>1023</v>
      </c>
      <c r="D23" t="s">
        <v>985</v>
      </c>
      <c r="E23" t="s">
        <v>1024</v>
      </c>
      <c r="F23" t="s">
        <v>648</v>
      </c>
    </row>
    <row r="24" spans="1:6" x14ac:dyDescent="0.25">
      <c r="A24">
        <v>179</v>
      </c>
      <c r="B24" t="s">
        <v>649</v>
      </c>
      <c r="C24" t="s">
        <v>1025</v>
      </c>
      <c r="D24" t="s">
        <v>985</v>
      </c>
      <c r="E24" t="s">
        <v>1026</v>
      </c>
      <c r="F24" t="s">
        <v>651</v>
      </c>
    </row>
    <row r="25" spans="1:6" x14ac:dyDescent="0.25">
      <c r="A25">
        <v>180</v>
      </c>
      <c r="B25" t="s">
        <v>652</v>
      </c>
      <c r="C25" t="s">
        <v>1027</v>
      </c>
      <c r="D25" t="s">
        <v>985</v>
      </c>
      <c r="E25" t="s">
        <v>1028</v>
      </c>
      <c r="F25" t="s">
        <v>654</v>
      </c>
    </row>
    <row r="26" spans="1:6" x14ac:dyDescent="0.25">
      <c r="A26">
        <v>181</v>
      </c>
      <c r="B26" t="s">
        <v>655</v>
      </c>
      <c r="C26" t="s">
        <v>1029</v>
      </c>
      <c r="D26" t="s">
        <v>985</v>
      </c>
      <c r="E26" t="s">
        <v>1030</v>
      </c>
      <c r="F26" t="s">
        <v>658</v>
      </c>
    </row>
    <row r="27" spans="1:6" x14ac:dyDescent="0.25">
      <c r="A27">
        <v>184</v>
      </c>
      <c r="B27" t="s">
        <v>668</v>
      </c>
      <c r="C27" t="s">
        <v>1031</v>
      </c>
      <c r="D27" t="s">
        <v>985</v>
      </c>
      <c r="E27" t="s">
        <v>1032</v>
      </c>
      <c r="F27" t="s">
        <v>671</v>
      </c>
    </row>
    <row r="28" spans="1:6" x14ac:dyDescent="0.25">
      <c r="A28">
        <v>191</v>
      </c>
      <c r="B28" t="s">
        <v>693</v>
      </c>
      <c r="C28" t="s">
        <v>1033</v>
      </c>
      <c r="D28" t="s">
        <v>985</v>
      </c>
      <c r="E28" t="s">
        <v>1034</v>
      </c>
      <c r="F28" t="s">
        <v>695</v>
      </c>
    </row>
    <row r="29" spans="1:6" x14ac:dyDescent="0.25">
      <c r="A29">
        <v>222</v>
      </c>
      <c r="B29" t="s">
        <v>792</v>
      </c>
      <c r="C29" t="s">
        <v>1035</v>
      </c>
      <c r="D29" t="s">
        <v>985</v>
      </c>
      <c r="E29" t="s">
        <v>1036</v>
      </c>
      <c r="F29" t="s">
        <v>795</v>
      </c>
    </row>
    <row r="30" spans="1:6" x14ac:dyDescent="0.25">
      <c r="A30">
        <v>237</v>
      </c>
      <c r="B30" t="s">
        <v>840</v>
      </c>
      <c r="C30" t="s">
        <v>1037</v>
      </c>
      <c r="D30" t="s">
        <v>982</v>
      </c>
      <c r="E30" t="s">
        <v>983</v>
      </c>
      <c r="F30" t="s">
        <v>843</v>
      </c>
    </row>
    <row r="31" spans="1:6" x14ac:dyDescent="0.25">
      <c r="A31">
        <v>249</v>
      </c>
      <c r="B31" t="s">
        <v>883</v>
      </c>
      <c r="C31" t="s">
        <v>1038</v>
      </c>
      <c r="D31" t="s">
        <v>985</v>
      </c>
      <c r="E31" t="s">
        <v>1039</v>
      </c>
      <c r="F31" t="s">
        <v>885</v>
      </c>
    </row>
    <row r="32" spans="1:6" x14ac:dyDescent="0.25">
      <c r="A32">
        <v>253</v>
      </c>
      <c r="B32" t="s">
        <v>897</v>
      </c>
      <c r="C32" t="s">
        <v>1040</v>
      </c>
      <c r="D32" t="s">
        <v>985</v>
      </c>
      <c r="E32" t="s">
        <v>1041</v>
      </c>
      <c r="F32" t="s">
        <v>898</v>
      </c>
    </row>
    <row r="33" spans="1:6" x14ac:dyDescent="0.25">
      <c r="A33">
        <v>254</v>
      </c>
      <c r="B33" t="s">
        <v>899</v>
      </c>
      <c r="C33" t="s">
        <v>1042</v>
      </c>
      <c r="D33" t="s">
        <v>985</v>
      </c>
      <c r="E33" t="s">
        <v>1043</v>
      </c>
      <c r="F33" t="s">
        <v>902</v>
      </c>
    </row>
    <row r="34" spans="1:6" x14ac:dyDescent="0.25">
      <c r="A34">
        <v>255</v>
      </c>
      <c r="B34" t="s">
        <v>903</v>
      </c>
      <c r="C34" t="s">
        <v>1044</v>
      </c>
      <c r="D34" t="s">
        <v>985</v>
      </c>
      <c r="E34" t="s">
        <v>1018</v>
      </c>
      <c r="F34" t="s">
        <v>906</v>
      </c>
    </row>
    <row r="35" spans="1:6" x14ac:dyDescent="0.25">
      <c r="A35">
        <v>256</v>
      </c>
      <c r="B35" t="s">
        <v>907</v>
      </c>
      <c r="C35" t="s">
        <v>1045</v>
      </c>
      <c r="D35" t="s">
        <v>985</v>
      </c>
      <c r="E35" t="s">
        <v>1018</v>
      </c>
      <c r="F35" t="s">
        <v>910</v>
      </c>
    </row>
    <row r="36" spans="1:6" x14ac:dyDescent="0.25">
      <c r="A36">
        <v>257</v>
      </c>
      <c r="B36" t="s">
        <v>911</v>
      </c>
      <c r="C36" t="s">
        <v>1046</v>
      </c>
      <c r="D36" t="s">
        <v>985</v>
      </c>
      <c r="E36" t="s">
        <v>1018</v>
      </c>
      <c r="F36" t="s">
        <v>913</v>
      </c>
    </row>
    <row r="37" spans="1:6" x14ac:dyDescent="0.25">
      <c r="A37">
        <v>258</v>
      </c>
      <c r="B37" t="s">
        <v>914</v>
      </c>
      <c r="C37" t="s">
        <v>1047</v>
      </c>
      <c r="D37" t="s">
        <v>985</v>
      </c>
      <c r="E37" t="s">
        <v>1018</v>
      </c>
      <c r="F37" t="s">
        <v>916</v>
      </c>
    </row>
    <row r="38" spans="1:6" x14ac:dyDescent="0.25">
      <c r="A38">
        <v>259</v>
      </c>
      <c r="B38" t="s">
        <v>917</v>
      </c>
      <c r="C38" t="s">
        <v>1048</v>
      </c>
      <c r="D38" t="s">
        <v>985</v>
      </c>
      <c r="E38" t="s">
        <v>1016</v>
      </c>
      <c r="F38" t="s">
        <v>920</v>
      </c>
    </row>
    <row r="39" spans="1:6" x14ac:dyDescent="0.25">
      <c r="A39">
        <v>270</v>
      </c>
      <c r="B39" t="s">
        <v>952</v>
      </c>
      <c r="C39" t="s">
        <v>1049</v>
      </c>
      <c r="D39" t="s">
        <v>985</v>
      </c>
      <c r="E39" t="s">
        <v>1050</v>
      </c>
      <c r="F39" t="s">
        <v>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bpscdell011023@outlook.com</dc:creator>
  <cp:lastModifiedBy>bpscdell011023@outlook.com</cp:lastModifiedBy>
  <dcterms:created xsi:type="dcterms:W3CDTF">2026-10-21T02:21:58Z</dcterms:created>
  <dcterms:modified xsi:type="dcterms:W3CDTF">2026-10-21T10:54:09Z</dcterms:modified>
</cp:coreProperties>
</file>
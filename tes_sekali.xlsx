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<sst xmlns="http://schemas.openxmlformats.org/spreadsheetml/2006/main" count="4112" uniqueCount="2480">
  <si>
    <t>kategori</t>
  </si>
  <si>
    <t>kode_kbli</t>
  </si>
  <si>
    <t>nama_usaha</t>
  </si>
  <si>
    <t>Produk</t>
  </si>
  <si>
    <t>Kegiatan Utama</t>
  </si>
  <si>
    <t>metrik_biaya_produksi</t>
  </si>
  <si>
    <t>metrik_biaya_pembelian</t>
  </si>
  <si>
    <t>metrik_biaya_operasional</t>
  </si>
  <si>
    <t>metrik_biaya_non_operasional</t>
  </si>
  <si>
    <t>total_pengeluaran</t>
  </si>
  <si>
    <t>metrik_pendapatan_barang_jasa</t>
  </si>
  <si>
    <t>metrik_pendapatan_lainnya</t>
  </si>
  <si>
    <t>metrik_nilai_tambah</t>
  </si>
  <si>
    <t>metrik_total_aset</t>
  </si>
  <si>
    <t>metrik_output</t>
  </si>
  <si>
    <t>rasio_biaya_pembelian_barang_terhadap_omzet</t>
  </si>
  <si>
    <t>rasio_ntb</t>
  </si>
  <si>
    <t>link_fasih_sm</t>
  </si>
  <si>
    <t>ntb_awal</t>
  </si>
  <si>
    <t>output_cek</t>
  </si>
  <si>
    <t>rasio_ntb_awal</t>
  </si>
  <si>
    <t>status_rasio</t>
  </si>
  <si>
    <t>ntb_baru</t>
  </si>
  <si>
    <t>selisih_ntb</t>
  </si>
  <si>
    <t>biaya_operasional_baru</t>
  </si>
  <si>
    <t>biaya_produksi_baru</t>
  </si>
  <si>
    <t>ntb_baru_cek</t>
  </si>
  <si>
    <t>rasio_ntb_baru</t>
  </si>
  <si>
    <t>cek_rasio</t>
  </si>
  <si>
    <t>flag_perubahan_besar</t>
  </si>
  <si>
    <t>G</t>
  </si>
  <si>
    <t>47112</t>
  </si>
  <si>
    <t>KIOS SEMBAKO</t>
  </si>
  <si>
    <t xml:space="preserve"> JASA PENJUALAN SEMBAKO</t>
  </si>
  <si>
    <t>MENYEDIAKAN SEMBAKO KEMUDIAN DIJUAL LANGSUNG KE PEMBELI TANPA MERUBAH BENTUK BARANG</t>
  </si>
  <si>
    <t>2050000.0</t>
  </si>
  <si>
    <t>https://fasih-sm.bps.go.id/app/assignment/fd68e454-ba45-4b85-8205-f3bf777ded24/f255c443-84fd-4c58-9d39-c06a8cf8469e</t>
  </si>
  <si>
    <t>USAHA KIOS GASPAR</t>
  </si>
  <si>
    <t xml:space="preserve">Sembako </t>
  </si>
  <si>
    <t>Menjual sembako</t>
  </si>
  <si>
    <t>1500000.0</t>
  </si>
  <si>
    <t>https://fasih-sm.bps.go.id/app/assignment/fd68e454-ba45-4b85-8205-f3bf777ded24/ec88ae20-2df2-4873-83e6-5e16812de9b6</t>
  </si>
  <si>
    <t>USAHA KIOS (NURHANI ABONG)</t>
  </si>
  <si>
    <t>SEMBAKO, ROKO, SNACK, SABUN MANDI, SABUN CUCI</t>
  </si>
  <si>
    <t xml:space="preserve">perdagangan enceran sembako </t>
  </si>
  <si>
    <t>13500000.0</t>
  </si>
  <si>
    <t>https://fasih-sm.bps.go.id/app/assignment/fd68e454-ba45-4b85-8205-f3bf777ded24/0c5a5069-af0d-4f49-88e9-62e371a31303</t>
  </si>
  <si>
    <t xml:space="preserve">KIOS CALISTA </t>
  </si>
  <si>
    <t>Menjual sembako eceran di kios</t>
  </si>
  <si>
    <t>130300000.0</t>
  </si>
  <si>
    <t>https://fasih-sm.bps.go.id/app/assignment/fd68e454-ba45-4b85-8205-f3bf777ded24/e6e22d92-52c2-4d20-85da-61a3c5d3decf</t>
  </si>
  <si>
    <t>USAHA PERDAGANGAN (MARTINA HOPILERA GAMUR)</t>
  </si>
  <si>
    <t>ECERAN SEMBAKO</t>
  </si>
  <si>
    <t>MENJUAL ECERAN SEMBAKO</t>
  </si>
  <si>
    <t>37320000.0</t>
  </si>
  <si>
    <t>https://fasih-sm.bps.go.id/app/assignment/fd68e454-ba45-4b85-8205-f3bf777ded24/f31c5b7f-d79f-4a86-b395-f981fa38f7e3</t>
  </si>
  <si>
    <t>USAHA PERDAGANGAN (HENDRIKUS PATARAYA KOLIN)</t>
  </si>
  <si>
    <t>JAMBU METE</t>
  </si>
  <si>
    <t>MEMBUDIDAYAKAN TANAMAN PERKEBUNAN</t>
  </si>
  <si>
    <t>0.0</t>
  </si>
  <si>
    <t>https://fasih-sm.bps.go.id/app/assignment/fd68e454-ba45-4b85-8205-f3bf777ded24/1e215243-5f26-4440-81c3-c5bbb8b51a06</t>
  </si>
  <si>
    <t xml:space="preserve">KIOS FATUR </t>
  </si>
  <si>
    <t xml:space="preserve">Sembako eceran </t>
  </si>
  <si>
    <t xml:space="preserve">Menjual sembako eceran </t>
  </si>
  <si>
    <t>120000000.0</t>
  </si>
  <si>
    <t>https://fasih-sm.bps.go.id/app/assignment/fd68e454-ba45-4b85-8205-f3bf777ded24/14dc0361-6c4c-445c-b14f-252b90731ac5</t>
  </si>
  <si>
    <t>KIOS ECERAN (AGUS SALIM)</t>
  </si>
  <si>
    <t>Makanan minuman eceran</t>
  </si>
  <si>
    <t>Menjual makanan minuman dan tembakau eceran di dalam rumah</t>
  </si>
  <si>
    <t>25600000.0</t>
  </si>
  <si>
    <t>https://fasih-sm.bps.go.id/app/assignment/fd68e454-ba45-4b85-8205-f3bf777ded24/213e3b07-2ba7-42e2-a01f-f3d81f84233f</t>
  </si>
  <si>
    <t>USAHA KIOS SEMBAKO(MARTINA)</t>
  </si>
  <si>
    <t xml:space="preserve"> BUAH KELAPA BULAT</t>
  </si>
  <si>
    <t>TANAM,RAWAT,PANEN DAN DI JUAL</t>
  </si>
  <si>
    <t>1100000.0</t>
  </si>
  <si>
    <t>https://fasih-sm.bps.go.id/app/assignment/fd68e454-ba45-4b85-8205-f3bf777ded24/3b816d64-7a54-4b25-bb48-563c1725fa49</t>
  </si>
  <si>
    <t>KIOS (BUNGA HULER)</t>
  </si>
  <si>
    <t>JAJANAN ECERAN</t>
  </si>
  <si>
    <t>MENJUAL SEMBAKO DAN JAJANAN ECERAN</t>
  </si>
  <si>
    <t>3350000.0</t>
  </si>
  <si>
    <t>https://fasih-sm.bps.go.id/app/assignment/fd68e454-ba45-4b85-8205-f3bf777ded24/2f5a774e-4d8b-4b0a-9d63-f951717ffd7b</t>
  </si>
  <si>
    <t>KIOS ( MARTINA TITI KOTEN )</t>
  </si>
  <si>
    <t>Sembako, rokok, dan minuman ringan</t>
  </si>
  <si>
    <t>Perdagangan eceran berbagai macam barang kebutuhan pokok di kios</t>
  </si>
  <si>
    <t>1000000.0</t>
  </si>
  <si>
    <t>https://fasih-sm.bps.go.id/app/assignment/fd68e454-ba45-4b85-8205-f3bf777ded24/3a56cee7-0d1d-4a1c-8ba2-131810f1a13c</t>
  </si>
  <si>
    <t>KIOS SEMBAKO ( STEFANUS PAJINARA WERANG)</t>
  </si>
  <si>
    <t xml:space="preserve">Kios Sembako </t>
  </si>
  <si>
    <t>5500000.0</t>
  </si>
  <si>
    <t>https://fasih-sm.bps.go.id/app/assignment/fd68e454-ba45-4b85-8205-f3bf777ded24/2d07025d-8495-4155-acb7-ff9e05595ed0</t>
  </si>
  <si>
    <t>KIOS SEMBAKO ( ELISABETH DATING )</t>
  </si>
  <si>
    <t>SEMBAKO</t>
  </si>
  <si>
    <t>MEMBELI DAN MENJUAL SEMBAKO</t>
  </si>
  <si>
    <t>7200000.0</t>
  </si>
  <si>
    <t>https://fasih-sm.bps.go.id/app/assignment/fd68e454-ba45-4b85-8205-f3bf777ded24/1f92d946-fb67-44de-8f1a-866ac1c8ece7</t>
  </si>
  <si>
    <t>PERDAGANGAN KIOS (MARIA ROBERTINA RUMA WARA)</t>
  </si>
  <si>
    <t>Aneka jajan dan roko</t>
  </si>
  <si>
    <t>MENGUSAHAKAN PERDAGAANGAN ANEKA JAJAN</t>
  </si>
  <si>
    <t>5900000.0</t>
  </si>
  <si>
    <t>https://fasih-sm.bps.go.id/app/assignment/fd68e454-ba45-4b85-8205-f3bf777ded24/689dfa19-4e87-4925-8694-8e9e99eae571</t>
  </si>
  <si>
    <t xml:space="preserve">KIOS MUA BERKAH </t>
  </si>
  <si>
    <t>Menjual aneka bahan pokok</t>
  </si>
  <si>
    <t>76900000.0</t>
  </si>
  <si>
    <t>https://fasih-sm.bps.go.id/app/assignment/fd68e454-ba45-4b85-8205-f3bf777ded24/8e22b462-b45b-4d20-9749-2933c98274f5</t>
  </si>
  <si>
    <t xml:space="preserve">KIOS AGIN (ROFINA BINCE MARAN) </t>
  </si>
  <si>
    <t>BERBAGAI MACAM KEBUTUHAN RUMAH TANGGA</t>
  </si>
  <si>
    <t>MENJUAL BAHAN MAKANAN DAN KEBUTUHAN RUMAH TANGGA DI KIOS</t>
  </si>
  <si>
    <t>20756000.0</t>
  </si>
  <si>
    <t>https://fasih-sm.bps.go.id/app/assignment/fd68e454-ba45-4b85-8205-f3bf777ded24/72b17edd-c5fa-4ff1-b9bf-56ee0fb971c4</t>
  </si>
  <si>
    <t>KIOS SEMBAKO (MAISAROH)</t>
  </si>
  <si>
    <t>Minyak goreng, telur, beras, mie dll</t>
  </si>
  <si>
    <t>8900000.0</t>
  </si>
  <si>
    <t>https://fasih-sm.bps.go.id/app/assignment/fd68e454-ba45-4b85-8205-f3bf777ded24/9b3773d8-b8bc-4231-bfaa-c8d777a7c8d6</t>
  </si>
  <si>
    <t xml:space="preserve">KIOS ( FATIMA ABDULLAH) </t>
  </si>
  <si>
    <t>Jajanan</t>
  </si>
  <si>
    <t>Menjual jajanan</t>
  </si>
  <si>
    <t>25060000.0</t>
  </si>
  <si>
    <t>https://fasih-sm.bps.go.id/app/assignment/fd68e454-ba45-4b85-8205-f3bf777ded24/92e51f2d-5375-459b-b5bb-b075846eb6e9</t>
  </si>
  <si>
    <t xml:space="preserve">KIOS (MUHAMMAD AKBAR) </t>
  </si>
  <si>
    <t>MENJUAL SEMBAKO DAN KEBUTUHAN LAINNYA</t>
  </si>
  <si>
    <t>2426075000.0</t>
  </si>
  <si>
    <t>https://fasih-sm.bps.go.id/app/assignment/fd68e454-ba45-4b85-8205-f3bf777ded24/809f0a66-8500-4403-bb22-4d6e7ee0fd0a</t>
  </si>
  <si>
    <t>USAHA KIOS(KATARINA SURAT BALA)</t>
  </si>
  <si>
    <t xml:space="preserve">MEMBUDIDAYAKAN TANAMAN JAMBU MENTE </t>
  </si>
  <si>
    <t>300000.0</t>
  </si>
  <si>
    <t>https://fasih-sm.bps.go.id/app/assignment/fd68e454-ba45-4b85-8205-f3bf777ded24/7b4f943a-5b15-4053-b728-96ad994ed715</t>
  </si>
  <si>
    <t xml:space="preserve">USAHA KIOS(ROSALINA BAREK LEWAR) </t>
  </si>
  <si>
    <t>JATI</t>
  </si>
  <si>
    <t>PEMBUDIDAYAAN KEHUTANAN</t>
  </si>
  <si>
    <t>115674.0</t>
  </si>
  <si>
    <t>https://fasih-sm.bps.go.id/app/assignment/fd68e454-ba45-4b85-8205-f3bf777ded24/a2495d85-c713-4342-8900-d47d18f0855d</t>
  </si>
  <si>
    <t>KIOS SEMBAKO(MUSLIMIN GAFUR)</t>
  </si>
  <si>
    <t xml:space="preserve">DAUN LONTAR </t>
  </si>
  <si>
    <t xml:space="preserve">KUAL BELI DAUN LONTAR </t>
  </si>
  <si>
    <t>15000000.0</t>
  </si>
  <si>
    <t>https://fasih-sm.bps.go.id/app/assignment/fd68e454-ba45-4b85-8205-f3bf777ded24/b4cead52-469c-43b0-b85e-01f8ff49d8e5</t>
  </si>
  <si>
    <t>KIOS (LUKMAN BUGA SENARI)</t>
  </si>
  <si>
    <t>Barang makanan dan non makanan</t>
  </si>
  <si>
    <t>Menjual barang makanan dan non makanan</t>
  </si>
  <si>
    <t>60600000.0</t>
  </si>
  <si>
    <t>https://fasih-sm.bps.go.id/app/assignment/fd68e454-ba45-4b85-8205-f3bf777ded24/c6050d89-ea90-44cc-aa48-559b89e0c1d4</t>
  </si>
  <si>
    <t xml:space="preserve">KIOS NURJINUNG (NURJINUNG LAMABLAWA) </t>
  </si>
  <si>
    <t>BARANG SEMBAKO ECERAN</t>
  </si>
  <si>
    <t>MENGUSAHAKAN PENJUALAN BARANG SEMBAKO ECERAN TIDAK DENGAN SISTEM SEWALAYAN</t>
  </si>
  <si>
    <t>28800000.0</t>
  </si>
  <si>
    <t>https://fasih-sm.bps.go.id/app/assignment/fd68e454-ba45-4b85-8205-f3bf777ded24/bdba3061-0756-4039-b42a-fd29f4a89f3b</t>
  </si>
  <si>
    <t xml:space="preserve">USAHA JUALAN (JULIANA SURAT LANAN) </t>
  </si>
  <si>
    <t>BERJUALAN SEMBAKO</t>
  </si>
  <si>
    <t>https://fasih-sm.bps.go.id/app/assignment/fd68e454-ba45-4b85-8205-f3bf777ded24/ca972384-0471-419c-a7d0-93b92f7ac671</t>
  </si>
  <si>
    <t>USAHA KIOS</t>
  </si>
  <si>
    <t xml:space="preserve">JASA TRANSPORTASI </t>
  </si>
  <si>
    <t xml:space="preserve">JASA ANGKUTAN PENUMPANG DAN BARANG DENGAN MOBIL PICKUP </t>
  </si>
  <si>
    <t>900000.0</t>
  </si>
  <si>
    <t>https://fasih-sm.bps.go.id/app/assignment/fd68e454-ba45-4b85-8205-f3bf777ded24/fb36adff-e874-439f-81ca-2d99b74ffb7e</t>
  </si>
  <si>
    <t>KIOS MGB (MARIA GORETI BENO)</t>
  </si>
  <si>
    <t>Kopra</t>
  </si>
  <si>
    <t>Mengasilkan Kopra</t>
  </si>
  <si>
    <t>1800000.0</t>
  </si>
  <si>
    <t>https://fasih-sm.bps.go.id/app/assignment/fd68e454-ba45-4b85-8205-f3bf777ded24/fca138e6-3a05-462b-a3d8-cd798ec59205</t>
  </si>
  <si>
    <t>USAHA KIOS(MARIA ANGELA YUNIATI TAA</t>
  </si>
  <si>
    <t>UBI KAYU</t>
  </si>
  <si>
    <t>BUDIDAYA UBI KAYU</t>
  </si>
  <si>
    <t>200000.0</t>
  </si>
  <si>
    <t>https://fasih-sm.bps.go.id/app/assignment/fd68e454-ba45-4b85-8205-f3bf777ded24/f02ff524-6273-45d8-bdff-81b914991d2a</t>
  </si>
  <si>
    <t>KIOS KRISTINA (KRISTINA KEMUHUN WERANG)</t>
  </si>
  <si>
    <t xml:space="preserve">TUKANG BANGUNAN </t>
  </si>
  <si>
    <t>USAHA BORONGAN KONTRUKSI ( YOSEF SINA URAN)</t>
  </si>
  <si>
    <t>11000000.0</t>
  </si>
  <si>
    <t>https://fasih-sm.bps.go.id/app/assignment/fd68e454-ba45-4b85-8205-f3bf777ded24/113e9601-0bbd-49f6-bdec-25695ee825c9</t>
  </si>
  <si>
    <t>KIOS PUTRI TUNGGAL RIANGKOLI BENEDIKTA BOLENG SOGEN</t>
  </si>
  <si>
    <t>BARANG BARANG KEBUTUHAN RUMAH TANGGA</t>
  </si>
  <si>
    <t>MENJUAL BARANG BARANG KEBUTUHAN RUMAH TANGGA</t>
  </si>
  <si>
    <t>88610000.0</t>
  </si>
  <si>
    <t>https://fasih-sm.bps.go.id/app/assignment/fd68e454-ba45-4b85-8205-f3bf777ded24/2bf0c1b7-b681-425b-9de9-d9c317bff72e</t>
  </si>
  <si>
    <t xml:space="preserve">KIOS LAURENSIUS LEDU KUMANIRENG </t>
  </si>
  <si>
    <t>MEMBELI BARANG DENGAN DOS DI TOKO DAN MENJUALNYA KEMBALI SECARA ECERAN</t>
  </si>
  <si>
    <t>2175000.0</t>
  </si>
  <si>
    <t>https://fasih-sm.bps.go.id/app/assignment/fd68e454-ba45-4b85-8205-f3bf777ded24/2f1d8688-e436-4c45-beab-402abd224c0d</t>
  </si>
  <si>
    <t xml:space="preserve">KIOS (BAHRIA BAREK) </t>
  </si>
  <si>
    <t>IKAN</t>
  </si>
  <si>
    <t>MEMBELI DAN MENJUAL IKAN</t>
  </si>
  <si>
    <t>39120000.0</t>
  </si>
  <si>
    <t>https://fasih-sm.bps.go.id/app/assignment/fd68e454-ba45-4b85-8205-f3bf777ded24/2f154c45-10bb-4454-9376-e37aad2f75c5</t>
  </si>
  <si>
    <t>JUALAN SEMBAKO</t>
  </si>
  <si>
    <t>MAKANAN DAN MINUMAN INSTAN</t>
  </si>
  <si>
    <t>MENJUAL BAHAN MAKANAN BERUPA SEMBAKO</t>
  </si>
  <si>
    <t>6000000.0</t>
  </si>
  <si>
    <t>https://fasih-sm.bps.go.id/app/assignment/fd68e454-ba45-4b85-8205-f3bf777ded24/28c6069f-b451-45ba-bf68-b92461c28ebd</t>
  </si>
  <si>
    <t>PEDAGANG ECERAN KIOS BAHRIA BAREK</t>
  </si>
  <si>
    <t>TERUNG</t>
  </si>
  <si>
    <t>PENANAMAN SAYUR BUAH</t>
  </si>
  <si>
    <t>1950000.0</t>
  </si>
  <si>
    <t>https://fasih-sm.bps.go.id/app/assignment/fd68e454-ba45-4b85-8205-f3bf777ded24/4ec72325-33a1-453c-9ef2-86de8ecdfe85</t>
  </si>
  <si>
    <t>KIOS AN-ANUGERAH</t>
  </si>
  <si>
    <t>PERDAGANGAN ECERAN BERBAGAI MACAM BARSNG KEBUTUHAN POKOK DI KIOS</t>
  </si>
  <si>
    <t>639500000.0</t>
  </si>
  <si>
    <t>https://fasih-sm.bps.go.id/app/assignment/fd68e454-ba45-4b85-8205-f3bf777ded24/6b755ed0-19d7-4dc7-a5c8-dc13a4d0402a</t>
  </si>
  <si>
    <t>KIOS ( CRISTINA F TUKAN )</t>
  </si>
  <si>
    <t>MENJUAL SEMBAKO</t>
  </si>
  <si>
    <t>1850000.0</t>
  </si>
  <si>
    <t>https://fasih-sm.bps.go.id/app/assignment/fd68e454-ba45-4b85-8205-f3bf777ded24/61899405-44af-4f43-a101-8c8e3332af67</t>
  </si>
  <si>
    <t>KIOS SEMBAKO(SAIDAH H KASIM</t>
  </si>
  <si>
    <t>Jual sembako</t>
  </si>
  <si>
    <t>Perdagangan sembako</t>
  </si>
  <si>
    <t>22000000.0</t>
  </si>
  <si>
    <t>https://fasih-sm.bps.go.id/app/assignment/fd68e454-ba45-4b85-8205-f3bf777ded24/6a9120f8-6dd3-4399-9ea2-65998b0f6a9b</t>
  </si>
  <si>
    <t xml:space="preserve">KIOS SEMBAKO (SARLOTA SUNARTI MENA) </t>
  </si>
  <si>
    <t>Penyewaan kamar</t>
  </si>
  <si>
    <t>500000.0</t>
  </si>
  <si>
    <t>https://fasih-sm.bps.go.id/app/assignment/fd68e454-ba45-4b85-8205-f3bf777ded24/61758925-3dc5-4e72-8130-6b9243feff10</t>
  </si>
  <si>
    <t>PEDAGANG ECERAN HAJALIA TUTO</t>
  </si>
  <si>
    <t xml:space="preserve">BEBEK </t>
  </si>
  <si>
    <t>PERKEMBANGBIAKAN BEBEK</t>
  </si>
  <si>
    <t>350000.0</t>
  </si>
  <si>
    <t>https://fasih-sm.bps.go.id/app/assignment/fd68e454-ba45-4b85-8205-f3bf777ded24/94c4f66b-c060-4de7-b4e9-2ed3fdbfe118</t>
  </si>
  <si>
    <t xml:space="preserve">USAHA KIOS </t>
  </si>
  <si>
    <t>8800000.0</t>
  </si>
  <si>
    <t>https://fasih-sm.bps.go.id/app/assignment/fd68e454-ba45-4b85-8205-f3bf777ded24/a57df11b-0bdb-468f-89e1-0e2b5547cbc7</t>
  </si>
  <si>
    <t>USAHA KIOS (KHADIJA MAHING)</t>
  </si>
  <si>
    <t>Sembako dan sayuran</t>
  </si>
  <si>
    <t xml:space="preserve">Penjualan sembako eceran </t>
  </si>
  <si>
    <t>28290000.0</t>
  </si>
  <si>
    <t>https://fasih-sm.bps.go.id/app/assignment/fd68e454-ba45-4b85-8205-f3bf777ded24/cf575bcc-360a-411e-914a-5ea80528eed3</t>
  </si>
  <si>
    <t xml:space="preserve">USAHA KIOS (ELISABETH DATE GERODA) </t>
  </si>
  <si>
    <t>BABI</t>
  </si>
  <si>
    <t>PENGEMBANGBIAKAN BABI</t>
  </si>
  <si>
    <t>https://fasih-sm.bps.go.id/app/assignment/fd68e454-ba45-4b85-8205-f3bf777ded24/ddbf7df1-56ed-47b4-9fa8-f277785110ca</t>
  </si>
  <si>
    <t>USAHA KIOS SEMBAKO ( NUR ANSE )</t>
  </si>
  <si>
    <t>Sembako</t>
  </si>
  <si>
    <t>Jualan barang sembako</t>
  </si>
  <si>
    <t>65000000.0</t>
  </si>
  <si>
    <t>https://fasih-sm.bps.go.id/app/assignment/fd68e454-ba45-4b85-8205-f3bf777ded24/f4752e4d-25e5-44cc-b8b5-9f1c3fd14266</t>
  </si>
  <si>
    <t>KIOS (SYAFRUDIN BURHAN)</t>
  </si>
  <si>
    <t>61800000.0</t>
  </si>
  <si>
    <t>https://fasih-sm.bps.go.id/app/assignment/fd68e454-ba45-4b85-8205-f3bf777ded24/eadc6b9c-9776-464d-8b0d-6ba82fe3e3ee</t>
  </si>
  <si>
    <t>47191</t>
  </si>
  <si>
    <t>Jajanan anak</t>
  </si>
  <si>
    <t>Melakuka usaha penjualan jajanan anak</t>
  </si>
  <si>
    <t>15500000.0</t>
  </si>
  <si>
    <t>https://fasih-sm.bps.go.id/app/assignment/fd68e454-ba45-4b85-8205-f3bf777ded24/1b19782e-367d-453a-bffc-f886a9c145b6</t>
  </si>
  <si>
    <t>Kios Siti Hamsah</t>
  </si>
  <si>
    <t>Tenteng Nasi</t>
  </si>
  <si>
    <t>Menjual Sembako</t>
  </si>
  <si>
    <t>9865000.0</t>
  </si>
  <si>
    <t>https://fasih-sm.bps.go.id/app/assignment/fd68e454-ba45-4b85-8205-f3bf777ded24/72bdcc68-4b8a-4767-849f-c6518e738f83</t>
  </si>
  <si>
    <t>47211</t>
  </si>
  <si>
    <t xml:space="preserve">MENJUAL HASIL PERTANIAN AGNES LEHTE ATU </t>
  </si>
  <si>
    <t>JAGUNG</t>
  </si>
  <si>
    <t>PERDANGANGAN ENCERAN JAGUNG</t>
  </si>
  <si>
    <t>16500000.0</t>
  </si>
  <si>
    <t>https://fasih-sm.bps.go.id/app/assignment/fd68e454-ba45-4b85-8205-f3bf777ded24/57cf493e-2ff8-4890-b243-882ead409b79</t>
  </si>
  <si>
    <t>PAPALELE BERAS JAGUNG (HABIBA MAMANG)</t>
  </si>
  <si>
    <t>BERAS JAGUNG</t>
  </si>
  <si>
    <t>MENJUAL BERAS JAGUNG</t>
  </si>
  <si>
    <t>https://fasih-sm.bps.go.id/app/assignment/fd68e454-ba45-4b85-8205-f3bf777ded24/a58f17b5-19b7-44a4-a54f-106fcb19448c</t>
  </si>
  <si>
    <t>USAHA PERDAGANGAN (KELEMENTINA SABU KOTEN)</t>
  </si>
  <si>
    <t>110000.0</t>
  </si>
  <si>
    <t>https://fasih-sm.bps.go.id/app/assignment/fd68e454-ba45-4b85-8205-f3bf777ded24/b6f9893d-5387-4dd7-8eec-44c7fe738bb7</t>
  </si>
  <si>
    <t>USAHA KELILING (YOVITA TANTI)</t>
  </si>
  <si>
    <t>Ubi, pisang</t>
  </si>
  <si>
    <t xml:space="preserve">Menjual berbagai hasil perkebunan </t>
  </si>
  <si>
    <t>100000.0</t>
  </si>
  <si>
    <t>https://fasih-sm.bps.go.id/app/assignment/fd68e454-ba45-4b85-8205-f3bf777ded24/fe8ab7f7-2f6f-4747-ada0-884c8695d98c</t>
  </si>
  <si>
    <t>KEBUN KEMIRI</t>
  </si>
  <si>
    <t>PADI LADANG</t>
  </si>
  <si>
    <t>BUDIDAYA TANAMAN PADI LADANG</t>
  </si>
  <si>
    <t>450000.0</t>
  </si>
  <si>
    <t>https://fasih-sm.bps.go.id/app/assignment/fd68e454-ba45-4b85-8205-f3bf777ded24/8e26ea96-3839-41de-8cfd-5dafe2bc9e1e</t>
  </si>
  <si>
    <t>PERDAGANGAN KELILING (REGINA JAWA MANUK)</t>
  </si>
  <si>
    <t>NYIRU</t>
  </si>
  <si>
    <t>MENGANYAM DAUN LONTAR</t>
  </si>
  <si>
    <t>https://fasih-sm.bps.go.id/app/assignment/fd68e454-ba45-4b85-8205-f3bf777ded24/1ab2badc-8b50-404b-853e-e7b2ef389c8e</t>
  </si>
  <si>
    <t>47212</t>
  </si>
  <si>
    <t xml:space="preserve">JUAL PISANG (YULITA HINGI DONI) </t>
  </si>
  <si>
    <t xml:space="preserve">Pisang </t>
  </si>
  <si>
    <t xml:space="preserve">Jual pisang eceran </t>
  </si>
  <si>
    <t>8000000.0</t>
  </si>
  <si>
    <t>https://fasih-sm.bps.go.id/app/assignment/fd68e454-ba45-4b85-8205-f3bf777ded24/c606ca75-d013-4ddb-a91b-7cfba1988684</t>
  </si>
  <si>
    <t xml:space="preserve">UD JUAL PISANG (YAYA) </t>
  </si>
  <si>
    <t>PISANG KEPOK</t>
  </si>
  <si>
    <t>MENJUAL PISANG KEPOK</t>
  </si>
  <si>
    <t>3000000.0</t>
  </si>
  <si>
    <t>https://fasih-sm.bps.go.id/app/assignment/fd68e454-ba45-4b85-8205-f3bf777ded24/b9b4d04c-d8be-4e0d-bd06-d68a04dff133</t>
  </si>
  <si>
    <t>JUALAN BUAH ( MARIA PENI TUKAN)</t>
  </si>
  <si>
    <t>BUAH</t>
  </si>
  <si>
    <t>MEMBELI BUAH DI PASAR DAN MENJUALNYA KEMBALI</t>
  </si>
  <si>
    <t>5950000.0</t>
  </si>
  <si>
    <t>https://fasih-sm.bps.go.id/app/assignment/fd68e454-ba45-4b85-8205-f3bf777ded24/a62e38c0-1e13-4eb6-853c-b037f396a731</t>
  </si>
  <si>
    <t>KIOS BUAH ( F WINDRO TUKAN )</t>
  </si>
  <si>
    <t>BUAH BUAHAN</t>
  </si>
  <si>
    <t>MENJUAL ANEKA BUAH</t>
  </si>
  <si>
    <t>59355000.0</t>
  </si>
  <si>
    <t>https://fasih-sm.bps.go.id/app/assignment/fd68e454-ba45-4b85-8205-f3bf777ded24/f73827f2-1276-492c-a3c6-0a6c884b5577</t>
  </si>
  <si>
    <t>47214</t>
  </si>
  <si>
    <t>AYAM GOCEL (MEGA</t>
  </si>
  <si>
    <t>AYAM GOCEL</t>
  </si>
  <si>
    <t>Usaha AYAM GOCEL</t>
  </si>
  <si>
    <t>14900000.0</t>
  </si>
  <si>
    <t>https://fasih-sm.bps.go.id/app/assignment/fd68e454-ba45-4b85-8205-f3bf777ded24/f6ab6f2f-35c2-4bda-ad48-152498f7fb96</t>
  </si>
  <si>
    <t>47216</t>
  </si>
  <si>
    <t>USAHA BERBURU (THOMAS UBA MOLAN)</t>
  </si>
  <si>
    <t>KELAPA</t>
  </si>
  <si>
    <t>BUDIDAYA TANAMAN KELAPA</t>
  </si>
  <si>
    <t>35000.0</t>
  </si>
  <si>
    <t>https://fasih-sm.bps.go.id/app/assignment/fd68e454-ba45-4b85-8205-f3bf777ded24/075dec40-8cb2-4d6c-835f-3dd8e6acb3dd</t>
  </si>
  <si>
    <t>47221</t>
  </si>
  <si>
    <t>ARAK( MARIANUS TURA BOLI)</t>
  </si>
  <si>
    <t>Arak</t>
  </si>
  <si>
    <t>Aktifitas penjualan arak</t>
  </si>
  <si>
    <t>10000000.0</t>
  </si>
  <si>
    <t>https://fasih-sm.bps.go.id/app/assignment/fd68e454-ba45-4b85-8205-f3bf777ded24/1475f61b-5609-453f-961e-c61bfd458923</t>
  </si>
  <si>
    <t>ARAK ( PIUS OLA BAHI )</t>
  </si>
  <si>
    <t>2630000.0</t>
  </si>
  <si>
    <t>https://fasih-sm.bps.go.id/app/assignment/fd68e454-ba45-4b85-8205-f3bf777ded24/3d6a943b-2264-429b-a929-58408df0f233</t>
  </si>
  <si>
    <t>ARAK ( NATHAN KOSMAS)</t>
  </si>
  <si>
    <t>Penjualan minuman beralkohol</t>
  </si>
  <si>
    <t>https://fasih-sm.bps.go.id/app/assignment/fd68e454-ba45-4b85-8205-f3bf777ded24/8b5fb992-1edd-40b5-ad7c-990dc78fe0a9</t>
  </si>
  <si>
    <t>JUAL ARAK ( NIKOLAUS NAGA NOTAN)</t>
  </si>
  <si>
    <t>2000000.0</t>
  </si>
  <si>
    <t>https://fasih-sm.bps.go.id/app/assignment/fd68e454-ba45-4b85-8205-f3bf777ded24/90b7f49b-bc68-4edf-8c29-3fdf21ebcde2</t>
  </si>
  <si>
    <t>47222</t>
  </si>
  <si>
    <t>GALON ISI ULANG FATIH (SUMARSONO ADIL)</t>
  </si>
  <si>
    <t>AIR GALON ISIA ULANG</t>
  </si>
  <si>
    <t>MENJUAL AIR GALON ISI ULANG DARI DEPOT AIR</t>
  </si>
  <si>
    <t>https://fasih-sm.bps.go.id/app/assignment/fd68e454-ba45-4b85-8205-f3bf777ded24/79667ff5-9109-443b-abb9-76089413ffca</t>
  </si>
  <si>
    <t xml:space="preserve">JUAL AIR (YOSEP TUE) </t>
  </si>
  <si>
    <t>Air bersih</t>
  </si>
  <si>
    <t>Jual air untuk kebutuhan sehari hari</t>
  </si>
  <si>
    <t>6600000.0</t>
  </si>
  <si>
    <t>https://fasih-sm.bps.go.id/app/assignment/fd68e454-ba45-4b85-8205-f3bf777ded24/a4fc3ed7-4939-4a02-a507-5b912b2fc96c</t>
  </si>
  <si>
    <t>47230</t>
  </si>
  <si>
    <t xml:space="preserve">USAHA KIOS A3 </t>
  </si>
  <si>
    <t>ROKOK</t>
  </si>
  <si>
    <t xml:space="preserve">USAHA KIOS JUAL ROKOK </t>
  </si>
  <si>
    <t>2125000.0</t>
  </si>
  <si>
    <t>https://fasih-sm.bps.go.id/app/assignment/fd68e454-ba45-4b85-8205-f3bf777ded24/dd5e24fe-d346-4a8a-9a8f-d9339fde1bc1</t>
  </si>
  <si>
    <t>47242</t>
  </si>
  <si>
    <t>USAHA KUE (FRANSISKA ITA DEORNAY)</t>
  </si>
  <si>
    <t>Ikan</t>
  </si>
  <si>
    <t>PEMBESARAN DI AIR LAUT</t>
  </si>
  <si>
    <t>https://fasih-sm.bps.go.id/app/assignment/fd68e454-ba45-4b85-8205-f3bf777ded24/684d5a7b-518f-4961-8c21-0b55201cc9bf</t>
  </si>
  <si>
    <t xml:space="preserve">JUALAN KUE(MARTINA) </t>
  </si>
  <si>
    <t>KUE BASAH</t>
  </si>
  <si>
    <t xml:space="preserve">JUALAN KUE (MARTINA) </t>
  </si>
  <si>
    <t>525000.0</t>
  </si>
  <si>
    <t>https://fasih-sm.bps.go.id/app/assignment/fd68e454-ba45-4b85-8205-f3bf777ded24/a2c3c646-0cb9-40f7-ba29-ec52482e556e</t>
  </si>
  <si>
    <t>MENJUAL KUE ( MAISARAH DJOU)</t>
  </si>
  <si>
    <t>Teajus jasjus</t>
  </si>
  <si>
    <t>JUAL ES( MAWADDAH )</t>
  </si>
  <si>
    <t>https://fasih-sm.bps.go.id/app/assignment/fd68e454-ba45-4b85-8205-f3bf777ded24/c07bd118-b963-4f86-973d-d3319f25a39f</t>
  </si>
  <si>
    <t>USAHA ROTI BAKAR</t>
  </si>
  <si>
    <t>ROTI BAKAR</t>
  </si>
  <si>
    <t>MEMBUAT ROTI BAKAR</t>
  </si>
  <si>
    <t>6500000.0</t>
  </si>
  <si>
    <t>https://fasih-sm.bps.go.id/app/assignment/fd68e454-ba45-4b85-8205-f3bf777ded24/49d7586b-a925-4d0d-b0e0-d0c6013e46b3</t>
  </si>
  <si>
    <t xml:space="preserve">JUAL KUE(MONIKA BUNGA BUKAN) </t>
  </si>
  <si>
    <t>Ternak Babi hidup siap potong</t>
  </si>
  <si>
    <t>Penggemukan dan pemeliharaan ternak Babi secara berkelanjutan</t>
  </si>
  <si>
    <t>https://fasih-sm.bps.go.id/app/assignment/fd68e454-ba45-4b85-8205-f3bf777ded24/5953cf94-e18c-42af-8c9b-6ed25756253d</t>
  </si>
  <si>
    <t>USAHA JUAL KUE (ELISABETH MAMOH)</t>
  </si>
  <si>
    <t xml:space="preserve"> PADI LADANG</t>
  </si>
  <si>
    <t xml:space="preserve">USAHA MENANAM TANAMAN PADI LADANG INHIBRIDA UNTUK DIKONSUMSI </t>
  </si>
  <si>
    <t>https://fasih-sm.bps.go.id/app/assignment/fd68e454-ba45-4b85-8205-f3bf777ded24/e01b8c75-b5f8-4806-8918-5bb377a46f65</t>
  </si>
  <si>
    <t>47243</t>
  </si>
  <si>
    <t xml:space="preserve">USAHA JUALAN GARAM (MARIAMA) </t>
  </si>
  <si>
    <t xml:space="preserve">MENJUAL GARAM </t>
  </si>
  <si>
    <t xml:space="preserve">USAHA JUALAN GARAM ( MARIAMA) </t>
  </si>
  <si>
    <t>https://fasih-sm.bps.go.id/app/assignment/fd68e454-ba45-4b85-8205-f3bf777ded24/90a1f53c-65a0-4566-a957-122aebff3308</t>
  </si>
  <si>
    <t>Usaha kios</t>
  </si>
  <si>
    <t xml:space="preserve">Menjual sembako </t>
  </si>
  <si>
    <t>750000.0</t>
  </si>
  <si>
    <t>https://fasih-sm.bps.go.id/app/assignment/fd68e454-ba45-4b85-8205-f3bf777ded24/9cad9627-fd19-4be4-b586-1492052d1c89</t>
  </si>
  <si>
    <t>47301</t>
  </si>
  <si>
    <t>JASA PERDAGANGAN BENSIN ECERAN(SARIMA MASUD)</t>
  </si>
  <si>
    <t>1750000.0</t>
  </si>
  <si>
    <t>https://fasih-sm.bps.go.id/app/assignment/fd68e454-ba45-4b85-8205-f3bf777ded24/e235d7a9-cb9f-4ac4-8a7b-b07d6f92538b</t>
  </si>
  <si>
    <t xml:space="preserve">JUAL BENSIN ECERAN (NAIMA KASIM) </t>
  </si>
  <si>
    <t xml:space="preserve"> JAGUNG LOKAL</t>
  </si>
  <si>
    <t>BUDIDAYA JAGUNG UNTUK DI JUAL DAN DI MAKAN</t>
  </si>
  <si>
    <t>https://fasih-sm.bps.go.id/app/assignment/fd68e454-ba45-4b85-8205-f3bf777ded24/08973709-d6eb-465b-a952-7191aa24d284</t>
  </si>
  <si>
    <t>JUAL MINYAK TANAH(IZAK)</t>
  </si>
  <si>
    <t>Minyak tanah</t>
  </si>
  <si>
    <t>Pangkalan minyak tanah</t>
  </si>
  <si>
    <t>62200002.0</t>
  </si>
  <si>
    <t>https://fasih-sm.bps.go.id/app/assignment/fd68e454-ba45-4b85-8205-f3bf777ded24/a075fcef-5f2b-40ad-9bee-9bf0cb45bad9</t>
  </si>
  <si>
    <t>KUD MINA GONSALU RAYA</t>
  </si>
  <si>
    <t>https://fasih-sm.bps.go.id/app/assignment/fd68e454-ba45-4b85-8205-f3bf777ded24/144ed904-d0bf-4477-b284-c92cc8afe676</t>
  </si>
  <si>
    <t xml:space="preserve">JUAL BENSIN ENCERAN </t>
  </si>
  <si>
    <t xml:space="preserve">BENSIN ENCERAN </t>
  </si>
  <si>
    <t>700000.0</t>
  </si>
  <si>
    <t>https://fasih-sm.bps.go.id/app/assignment/fd68e454-ba45-4b85-8205-f3bf777ded24/16ea7f69-d9ee-45d8-a20d-cf5abf56c500</t>
  </si>
  <si>
    <t>47302</t>
  </si>
  <si>
    <t>JUAL BENSIN (MANSUR BAHRUDIN)</t>
  </si>
  <si>
    <t>PISANG NUGGET DAN KLEPON</t>
  </si>
  <si>
    <t>MEMBUAT DAN MENJUAL KUE</t>
  </si>
  <si>
    <t>4300000.0</t>
  </si>
  <si>
    <t>https://fasih-sm.bps.go.id/app/assignment/fd68e454-ba45-4b85-8205-f3bf777ded24/8caa52a3-7d04-49a9-9947-afb518886978</t>
  </si>
  <si>
    <t xml:space="preserve">USAHA PERDAGANGAN (MENSI KEBAN) </t>
  </si>
  <si>
    <t>ECERAN BENSIN</t>
  </si>
  <si>
    <t>MENJUAL ECERAN BENSIN</t>
  </si>
  <si>
    <t>4850000.0</t>
  </si>
  <si>
    <t>https://fasih-sm.bps.go.id/app/assignment/fd68e454-ba45-4b85-8205-f3bf777ded24/bd7ffe31-3900-4c35-b87f-ee76b3436a15</t>
  </si>
  <si>
    <t>JUAL BENSIN ECERAN (RUBIAH YUSUF)</t>
  </si>
  <si>
    <t>BENSIN</t>
  </si>
  <si>
    <t>PERDAGANGAN BENSIN BOTOLAN ECERAN</t>
  </si>
  <si>
    <t>22500000.0</t>
  </si>
  <si>
    <t>https://fasih-sm.bps.go.id/app/assignment/fd68e454-ba45-4b85-8205-f3bf777ded24/7689d4ee-d001-4676-9b37-036a7e12afe7</t>
  </si>
  <si>
    <t>USAHA JUAL BENSIN ECERAN</t>
  </si>
  <si>
    <t>BUDIDAYA JAGUNG</t>
  </si>
  <si>
    <t>https://fasih-sm.bps.go.id/app/assignment/fd68e454-ba45-4b85-8205-f3bf777ded24/3a4cd8a3-b425-47fa-9d95-874a1cec3f5b</t>
  </si>
  <si>
    <t>USAHA PERDAGANGAN (MAXIMILIANUS KEWANI TUKAN)</t>
  </si>
  <si>
    <t>JAGUNG LOKAL</t>
  </si>
  <si>
    <t>MENBUDIDAYAKAN TANAMAN JAGUNG</t>
  </si>
  <si>
    <t>1105000.0</t>
  </si>
  <si>
    <t>https://fasih-sm.bps.go.id/app/assignment/fd68e454-ba45-4b85-8205-f3bf777ded24/9ed9c363-fce6-48da-bd02-83c176b005de</t>
  </si>
  <si>
    <t>PEDAGANG MINYAK ECERAN SNURI LEWAR</t>
  </si>
  <si>
    <t>Solar, minyak tanah, pertalite</t>
  </si>
  <si>
    <t>Penjualan minyak eceran</t>
  </si>
  <si>
    <t>47200000.0</t>
  </si>
  <si>
    <t>https://fasih-sm.bps.go.id/app/assignment/fd68e454-ba45-4b85-8205-f3bf777ded24/042f84a9-9588-4867-b8dd-a2e5fefcaca1</t>
  </si>
  <si>
    <t>PERDAGANGAN MINYAK TANAH ( SURYA )</t>
  </si>
  <si>
    <t xml:space="preserve">Perdagangan minyak </t>
  </si>
  <si>
    <t>Perdagangan minyak tanah, bensin</t>
  </si>
  <si>
    <t>2800000.0</t>
  </si>
  <si>
    <t>https://fasih-sm.bps.go.id/app/assignment/fd68e454-ba45-4b85-8205-f3bf777ded24/4ddb96c5-4fbb-4e11-bbed-38a8525839de</t>
  </si>
  <si>
    <t>JUAL BENSIN ECERAN</t>
  </si>
  <si>
    <t>PENGEMBANGBIAKAN</t>
  </si>
  <si>
    <t>https://fasih-sm.bps.go.id/app/assignment/fd68e454-ba45-4b85-8205-f3bf777ded24/c7c36ece-b8d0-4c49-91aa-db05b8ce7d9b</t>
  </si>
  <si>
    <t>47404</t>
  </si>
  <si>
    <t>MAHESA CELL</t>
  </si>
  <si>
    <t xml:space="preserve">Penjualan asesoris hp dan transaksi transferan </t>
  </si>
  <si>
    <t>39000000.0</t>
  </si>
  <si>
    <t>https://fasih-sm.bps.go.id/app/assignment/fd68e454-ba45-4b85-8205-f3bf777ded24/c1c4daa3-e387-4d08-87c3-702822d6e0ce</t>
  </si>
  <si>
    <t>47511</t>
  </si>
  <si>
    <t>LAPAK ( YOHANES PAJI WERANG)</t>
  </si>
  <si>
    <t xml:space="preserve">JUAL KAIN TENUN </t>
  </si>
  <si>
    <t xml:space="preserve">PENJUALAN KAIN TENUN </t>
  </si>
  <si>
    <t>11400000.0</t>
  </si>
  <si>
    <t>https://fasih-sm.bps.go.id/app/assignment/fd68e454-ba45-4b85-8205-f3bf777ded24/e0ced040-56fd-4145-ad9b-82d81c65b920</t>
  </si>
  <si>
    <t>JUAL KAIN ( KRISTINA PENATEN BEDA )</t>
  </si>
  <si>
    <t>Kain sarung</t>
  </si>
  <si>
    <t>Penjualan kain sarung</t>
  </si>
  <si>
    <t>51000000.0</t>
  </si>
  <si>
    <t>https://fasih-sm.bps.go.id/app/assignment/fd68e454-ba45-4b85-8205-f3bf777ded24/c3b5f6af-1910-4ba8-b7de-afb16c8ce7e2</t>
  </si>
  <si>
    <t>47521</t>
  </si>
  <si>
    <t>PEMASOK MATERIAL (KHAIRUL ABIDIN)</t>
  </si>
  <si>
    <t>SEMEN, SENG, BESI DAN LAINNYA</t>
  </si>
  <si>
    <t>MENJUAL BAHAN BANGUNAN</t>
  </si>
  <si>
    <t>922000000.0</t>
  </si>
  <si>
    <t>https://fasih-sm.bps.go.id/app/assignment/fd68e454-ba45-4b85-8205-f3bf777ded24/9ce56cb9-f347-4bfa-a5f0-cfece604421f</t>
  </si>
  <si>
    <t>UD PUTRA TANI ( ANDREAS LIMA LAJAR)</t>
  </si>
  <si>
    <t>Barang konstruksi</t>
  </si>
  <si>
    <t>Menyediakan perlengkapan barang barang konstruksi untuk dibeli oleh masyarakat</t>
  </si>
  <si>
    <t>59460000.0</t>
  </si>
  <si>
    <t>https://fasih-sm.bps.go.id/app/assignment/fd68e454-ba45-4b85-8205-f3bf777ded24/333671d4-e47f-4a47-8c1c-4cd20a351165</t>
  </si>
  <si>
    <t>47523</t>
  </si>
  <si>
    <t>LAPAK FERDINAND LAY</t>
  </si>
  <si>
    <t xml:space="preserve">Perkakas bangunan </t>
  </si>
  <si>
    <t xml:space="preserve">Menjual perkakas bangunan dan rumah tangga </t>
  </si>
  <si>
    <t>https://fasih-sm.bps.go.id/app/assignment/fd68e454-ba45-4b85-8205-f3bf777ded24/6475451b-b72c-4b2a-9ac4-08cd2dbbdff6</t>
  </si>
  <si>
    <t>47593</t>
  </si>
  <si>
    <t xml:space="preserve">LAPAK PENJUALAN PERABOTAN DAPUR ( ANASTASIA ADRIYANI ) </t>
  </si>
  <si>
    <t>PERABOTAN ALAT DAPUR</t>
  </si>
  <si>
    <t>PENJUALAN PERABOTAN DAPUR</t>
  </si>
  <si>
    <t>13540000.0</t>
  </si>
  <si>
    <t>https://fasih-sm.bps.go.id/app/assignment/fd68e454-ba45-4b85-8205-f3bf777ded24/14093cac-c8b9-440d-9051-44474dc1593b</t>
  </si>
  <si>
    <t>47711</t>
  </si>
  <si>
    <t xml:space="preserve">JUAL PAKAIAN (ISHAK ATANGGAE) </t>
  </si>
  <si>
    <t>PAKAIAN</t>
  </si>
  <si>
    <t>MENJUAL PAKAIAN KELILING PASAR</t>
  </si>
  <si>
    <t>186960000.0</t>
  </si>
  <si>
    <t>https://fasih-sm.bps.go.id/app/assignment/fd68e454-ba45-4b85-8205-f3bf777ded24/b12e99da-1e54-4f9a-a65f-9d2c61cc5414</t>
  </si>
  <si>
    <t xml:space="preserve">KIOS PAKAIAN 1 (RIZAL) </t>
  </si>
  <si>
    <t>Menjual pakaian</t>
  </si>
  <si>
    <t>54620000.0</t>
  </si>
  <si>
    <t>https://fasih-sm.bps.go.id/app/assignment/fd68e454-ba45-4b85-8205-f3bf777ded24/e56bccfc-852f-4d12-8c93-34d4005cee89</t>
  </si>
  <si>
    <t xml:space="preserve">KIOS PAKAIAN ASSIFA (FATCHUL MUNIF) </t>
  </si>
  <si>
    <t>Menjual pakain</t>
  </si>
  <si>
    <t>Menjual pakaian jadi</t>
  </si>
  <si>
    <t>41770000.0</t>
  </si>
  <si>
    <t>https://fasih-sm.bps.go.id/app/assignment/fd68e454-ba45-4b85-8205-f3bf777ded24/fc193fcf-736d-421f-ac1a-cfd60653a3e8</t>
  </si>
  <si>
    <t xml:space="preserve">KIOS PAKAIAN &amp; PARFUM (RIZKA) </t>
  </si>
  <si>
    <t>Menjual Pakaian dan parfum</t>
  </si>
  <si>
    <t>62164000.0</t>
  </si>
  <si>
    <t>https://fasih-sm.bps.go.id/app/assignment/fd68e454-ba45-4b85-8205-f3bf777ded24/a151b224-a1b1-47f0-9e57-db0216935331</t>
  </si>
  <si>
    <t>USAHA JUAL PAKAIAN</t>
  </si>
  <si>
    <t>BUSANA</t>
  </si>
  <si>
    <t>MENJUAL BERBAGAI JENIS BUSANA</t>
  </si>
  <si>
    <t>3400000.0</t>
  </si>
  <si>
    <t>https://fasih-sm.bps.go.id/app/assignment/fd68e454-ba45-4b85-8205-f3bf777ded24/32b7419a-ac1e-4ba6-8894-51ac0548fe11</t>
  </si>
  <si>
    <t xml:space="preserve">MIATI FASHION (YUSRAN) </t>
  </si>
  <si>
    <t>19040000.0</t>
  </si>
  <si>
    <t>https://fasih-sm.bps.go.id/app/assignment/fd68e454-ba45-4b85-8205-f3bf777ded24/814b8915-3c7f-49e4-82c4-2421d54370d1</t>
  </si>
  <si>
    <t>47712</t>
  </si>
  <si>
    <t xml:space="preserve">KIOS SENDAL SEPATU (ABDUL AZIZ 3) </t>
  </si>
  <si>
    <t>Menjual sendal sepatu</t>
  </si>
  <si>
    <t>32261000.0</t>
  </si>
  <si>
    <t>https://fasih-sm.bps.go.id/app/assignment/fd68e454-ba45-4b85-8205-f3bf777ded24/f1481da1-eed2-44a2-8ea6-c51e29dda667</t>
  </si>
  <si>
    <t>USAHA JUALAN SENDAL SULAIMAN KAHAR</t>
  </si>
  <si>
    <t>SENDAL</t>
  </si>
  <si>
    <t>MENJUAL SENDAL ORANG DEWASA</t>
  </si>
  <si>
    <t>50516000.0</t>
  </si>
  <si>
    <t>https://fasih-sm.bps.go.id/app/assignment/fd68e454-ba45-4b85-8205-f3bf777ded24/a233e5da-9c1c-4afa-a22b-36975f75bc98</t>
  </si>
  <si>
    <t>47724</t>
  </si>
  <si>
    <t>JUAL SABUN KECANTIKAN NINGSIH</t>
  </si>
  <si>
    <t>SABUN KECANTIKAN</t>
  </si>
  <si>
    <t>PERDAGANGAN ONLINE</t>
  </si>
  <si>
    <t>1250000.0</t>
  </si>
  <si>
    <t>https://fasih-sm.bps.go.id/app/assignment/fd68e454-ba45-4b85-8205-f3bf777ded24/3cbf36da-9c7d-4c29-9165-73a823e5bf55</t>
  </si>
  <si>
    <t xml:space="preserve">PERDAGANGAN KOSMETIK ONLINE </t>
  </si>
  <si>
    <t>KOSMETIK</t>
  </si>
  <si>
    <t>Perdagangan eceran kosmetik secara daring (online).</t>
  </si>
  <si>
    <t>20000000.0</t>
  </si>
  <si>
    <t>https://fasih-sm.bps.go.id/app/assignment/fd68e454-ba45-4b85-8205-f3bf777ded24/e80dc8bd-b04b-4380-b1d7-8cf864cd1bbf</t>
  </si>
  <si>
    <t xml:space="preserve">KIOS KOSMETIK (EDUARDUS LOE MAU) </t>
  </si>
  <si>
    <t>Menjual kosmetik</t>
  </si>
  <si>
    <t>92598000.0</t>
  </si>
  <si>
    <t>https://fasih-sm.bps.go.id/app/assignment/fd68e454-ba45-4b85-8205-f3bf777ded24/1490d807-1057-49b6-b0f1-8df173f4d29e</t>
  </si>
  <si>
    <t>47735</t>
  </si>
  <si>
    <t xml:space="preserve">KIOS NUR AQILA EMAS (RISNAWATI) </t>
  </si>
  <si>
    <t>Menjual perhiasan emas</t>
  </si>
  <si>
    <t>40954000.0</t>
  </si>
  <si>
    <t>https://fasih-sm.bps.go.id/app/assignment/fd68e454-ba45-4b85-8205-f3bf777ded24/4941802e-2a1f-4976-9fbf-a24e8d96ea65</t>
  </si>
  <si>
    <t>USAHA IBU SELFI</t>
  </si>
  <si>
    <t>Aksesoris hiasan dan mainan anak anak</t>
  </si>
  <si>
    <t>Aksesoris hiasan wanita</t>
  </si>
  <si>
    <t>81000000.0</t>
  </si>
  <si>
    <t>https://fasih-sm.bps.go.id/app/assignment/fd68e454-ba45-4b85-8205-f3bf777ded24/d2e5c530-23d8-40d8-9c21-9146973d9d93</t>
  </si>
  <si>
    <t>47742</t>
  </si>
  <si>
    <t>JUALAN PAKAIAN BEKAS(ANASTASIA RARI SILI)</t>
  </si>
  <si>
    <t>PAKAIAN BEKAS</t>
  </si>
  <si>
    <t>MENJUAL PAKAIAN BEKAS</t>
  </si>
  <si>
    <t>70500000.0</t>
  </si>
  <si>
    <t>https://fasih-sm.bps.go.id/app/assignment/fd68e454-ba45-4b85-8205-f3bf777ded24/e2125971-ebbc-4062-92b4-63a159372c76</t>
  </si>
  <si>
    <t>47771</t>
  </si>
  <si>
    <t xml:space="preserve">JUAL MINYAK TANAH </t>
  </si>
  <si>
    <t xml:space="preserve">Minyak tanah </t>
  </si>
  <si>
    <t xml:space="preserve">Jual minyak tanah </t>
  </si>
  <si>
    <t>477000.0</t>
  </si>
  <si>
    <t>https://fasih-sm.bps.go.id/app/assignment/fd68e454-ba45-4b85-8205-f3bf777ded24/d7155960-cf2d-4379-bdb1-1318e01bd75a</t>
  </si>
  <si>
    <t>MINYAK TANAH ( FRANSISKA P TUKAN )</t>
  </si>
  <si>
    <t>MINYAK TANAH</t>
  </si>
  <si>
    <t>MENJUAL MINYAK TANAH</t>
  </si>
  <si>
    <t>5250000.0</t>
  </si>
  <si>
    <t>https://fasih-sm.bps.go.id/app/assignment/fd68e454-ba45-4b85-8205-f3bf777ded24/11f16704-8f32-4edc-be15-ad82815dd24b</t>
  </si>
  <si>
    <t>USAHA MINYAK TANAH (MARIA GEMA)</t>
  </si>
  <si>
    <t>KOPRA</t>
  </si>
  <si>
    <t xml:space="preserve">MEMBELI KELAPA BULAT DARI ORANG LAIN DAN MENGELOLANYA MENJADI KOPRA. </t>
  </si>
  <si>
    <t>49400000.0</t>
  </si>
  <si>
    <t>https://fasih-sm.bps.go.id/app/assignment/fd68e454-ba45-4b85-8205-f3bf777ded24/4f3ee94b-12d4-4792-8b75-de1d8d9d909a</t>
  </si>
  <si>
    <t>PANGKALAN MINYAK TANAH</t>
  </si>
  <si>
    <t>Perdagangan eceran minyak tanah</t>
  </si>
  <si>
    <t>Perdagangan minyak tanah</t>
  </si>
  <si>
    <t>37740000.0</t>
  </si>
  <si>
    <t>https://fasih-sm.bps.go.id/app/assignment/fd68e454-ba45-4b85-8205-f3bf777ded24/505b3ff7-222d-4f6d-858b-1ad365fc6c01</t>
  </si>
  <si>
    <t>USAHA MINYAK TANAH SINTIA MONTEIRO</t>
  </si>
  <si>
    <t>Pedagang eceran minyak tanah</t>
  </si>
  <si>
    <t>66240000.0</t>
  </si>
  <si>
    <t>https://fasih-sm.bps.go.id/app/assignment/fd68e454-ba45-4b85-8205-f3bf777ded24/6a5fb65b-6e02-4ea3-a13d-bf52759264a2</t>
  </si>
  <si>
    <t>PANGKALAN MINYAK TANAH(LAMBERTUS KIA PATI)</t>
  </si>
  <si>
    <t xml:space="preserve">MINYAK TANAH </t>
  </si>
  <si>
    <t>25310000.0</t>
  </si>
  <si>
    <t>https://fasih-sm.bps.go.id/app/assignment/fd68e454-ba45-4b85-8205-f3bf777ded24/b6cac233-9316-4494-bf5e-6ff15605b2cb</t>
  </si>
  <si>
    <t xml:space="preserve">PANGKALAN MINYAK TANAH (NURHAYATI S TALKIM)) </t>
  </si>
  <si>
    <t xml:space="preserve">PANGKALAN MINYAK TANAH (MARIANUS BALA HAYON) </t>
  </si>
  <si>
    <t>Padi Ladang</t>
  </si>
  <si>
    <t>Membudidayakan Tanaman Padi</t>
  </si>
  <si>
    <t>875000.0</t>
  </si>
  <si>
    <t>https://fasih-sm.bps.go.id/app/assignment/fd68e454-ba45-4b85-8205-f3bf777ded24/b440cd26-bda6-4fbf-9d65-f310158c3de9</t>
  </si>
  <si>
    <t xml:space="preserve">Pangkalan minyak tanah (Rafael) </t>
  </si>
  <si>
    <t>Jagung</t>
  </si>
  <si>
    <t xml:space="preserve">Menanam tanaman pangan </t>
  </si>
  <si>
    <t>440000.0</t>
  </si>
  <si>
    <t>https://fasih-sm.bps.go.id/app/assignment/fd68e454-ba45-4b85-8205-f3bf777ded24/d26e379b-c2fb-437d-8121-19cf9cf32810</t>
  </si>
  <si>
    <t>PANGKALAN MINYAK TANAH (KORNELIS DONI TAKA)</t>
  </si>
  <si>
    <t xml:space="preserve">MENJUAL MINYAK TANAH </t>
  </si>
  <si>
    <t>26172000.0</t>
  </si>
  <si>
    <t>https://fasih-sm.bps.go.id/app/assignment/fd68e454-ba45-4b85-8205-f3bf777ded24/b2019225-14c6-4b89-af2a-599706e762ad</t>
  </si>
  <si>
    <t>PANGKALAN MINYAK TANAH ( MAGDALENA TULI LUAT )</t>
  </si>
  <si>
    <t>MENJUAL MINYAK TANAH ECERAN</t>
  </si>
  <si>
    <t>24960000.0</t>
  </si>
  <si>
    <t>https://fasih-sm.bps.go.id/app/assignment/fd68e454-ba45-4b85-8205-f3bf777ded24/c7809f51-9d27-4e34-b0d2-76d1d8c7a926</t>
  </si>
  <si>
    <t>Menjual minyak tanah eceran(Siti)</t>
  </si>
  <si>
    <t xml:space="preserve">Kue lopis </t>
  </si>
  <si>
    <t>Membuat dan menjual kue lopis</t>
  </si>
  <si>
    <t>48960000.0</t>
  </si>
  <si>
    <t>https://fasih-sm.bps.go.id/app/assignment/fd68e454-ba45-4b85-8205-f3bf777ded24/738eced9-3be5-4da1-bba8-77ab63b3ae56</t>
  </si>
  <si>
    <t>PMTBANGJAI (YEREMIAS LAMA EWAK)</t>
  </si>
  <si>
    <t>Menjual minyak tanah eceran</t>
  </si>
  <si>
    <t>25110000.0</t>
  </si>
  <si>
    <t>https://fasih-sm.bps.go.id/app/assignment/fd68e454-ba45-4b85-8205-f3bf777ded24/7208c78f-f11a-4a5a-97d8-e32331bdc6ec</t>
  </si>
  <si>
    <t>PANGKALAN MINYAK TANAH MAGDALENA DAENG</t>
  </si>
  <si>
    <t>PANGKALAN MINYAK TANAH ECERAN</t>
  </si>
  <si>
    <t>9600000.0</t>
  </si>
  <si>
    <t>https://fasih-sm.bps.go.id/app/assignment/fd68e454-ba45-4b85-8205-f3bf777ded24/be80d359-7e5f-4213-beba-cd32fd467586</t>
  </si>
  <si>
    <t>PANGKALAN MINYAK TANAH (PETRUS PANDAI LEBA)</t>
  </si>
  <si>
    <t>Menjual Minyak Tanah</t>
  </si>
  <si>
    <t>6300000.0</t>
  </si>
  <si>
    <t>https://fasih-sm.bps.go.id/app/assignment/fd68e454-ba45-4b85-8205-f3bf777ded24/e74f4bc1-d6ca-4bcb-90e1-d2edc180fef8</t>
  </si>
  <si>
    <t>47901</t>
  </si>
  <si>
    <t>JASTIP (MUHAMMAD NOOR)</t>
  </si>
  <si>
    <t>Jastip</t>
  </si>
  <si>
    <t>Pengiriman Paket lewat jastip</t>
  </si>
  <si>
    <t>5400000.0</t>
  </si>
  <si>
    <t>https://fasih-sm.bps.go.id/app/assignment/fd68e454-ba45-4b85-8205-f3bf777ded24/652e4e02-d99b-4ef8-a37e-48a9bd39dae9</t>
  </si>
  <si>
    <t>PENJUAL PULSA MARIA ELVIRA MASI LEMA</t>
  </si>
  <si>
    <t>BIJI MENTE</t>
  </si>
  <si>
    <t>PEMBUDIDAYAAN JAMBU MENTE</t>
  </si>
  <si>
    <t>365000.0</t>
  </si>
  <si>
    <t>https://fasih-sm.bps.go.id/app/assignment/fd68e454-ba45-4b85-8205-f3bf777ded24/df286393-65ff-4bf2-80bb-3ca177a959da</t>
  </si>
  <si>
    <t>46201</t>
  </si>
  <si>
    <t>UTP PERKEBUNAN</t>
  </si>
  <si>
    <t>KEMIRI</t>
  </si>
  <si>
    <t>BUDIDAYA TANAMAN KEMIRI</t>
  </si>
  <si>
    <t>https://fasih-sm.bps.go.id/app/assignment/fd68e454-ba45-4b85-8205-f3bf777ded24/3570a88d-3112-443e-875e-94a7ae23fb56</t>
  </si>
  <si>
    <t>46204</t>
  </si>
  <si>
    <t>USAHA JUALAN LONTAR DAN TEMBAKO &lt;FRANSISKA TUTO&gt;</t>
  </si>
  <si>
    <t>DAUN LONTAR DAN TEMBAKO</t>
  </si>
  <si>
    <t>MEMBERS DAUN LONTAR DAN TEMBAKO DAN MENJUAL KEMBALI</t>
  </si>
  <si>
    <t>1650000.0</t>
  </si>
  <si>
    <t>https://fasih-sm.bps.go.id/app/assignment/fd68e454-ba45-4b85-8205-f3bf777ded24/a5c1b66c-0444-4522-a8d1-30ca802b4ab4</t>
  </si>
  <si>
    <t>46209</t>
  </si>
  <si>
    <t>PENIMBANG &lt;REGINA BAREK&gt;</t>
  </si>
  <si>
    <t>BUDIDAYA PISANG KEPOK</t>
  </si>
  <si>
    <t>325000.0</t>
  </si>
  <si>
    <t>https://fasih-sm.bps.go.id/app/assignment/fd68e454-ba45-4b85-8205-f3bf777ded24/3abcede6-8bfb-4835-9f0e-97910e4b8204</t>
  </si>
  <si>
    <t>PENIMBANG (SULAIMAN BAHRUN)</t>
  </si>
  <si>
    <t xml:space="preserve">Komoditas pertanian </t>
  </si>
  <si>
    <t xml:space="preserve">Perdagangan hasil pertanian </t>
  </si>
  <si>
    <t>27000000.0</t>
  </si>
  <si>
    <t>https://fasih-sm.bps.go.id/app/assignment/fd68e454-ba45-4b85-8205-f3bf777ded24/67ce7dc6-cd43-4265-8808-c2aea656d354</t>
  </si>
  <si>
    <t xml:space="preserve">USAHA PENIMBANG &lt;RAHMAN HASYIM&gt; </t>
  </si>
  <si>
    <t>Biji dan bunga pala</t>
  </si>
  <si>
    <t xml:space="preserve">Budidaya tanaman pala </t>
  </si>
  <si>
    <t>9000000.0</t>
  </si>
  <si>
    <t>https://fasih-sm.bps.go.id/app/assignment/fd68e454-ba45-4b85-8205-f3bf777ded24/8600e8e7-2374-4b09-a509-682a2d00a5cf</t>
  </si>
  <si>
    <t>46311</t>
  </si>
  <si>
    <t>KIOS NAFATA(MASITAH MAS'UD)</t>
  </si>
  <si>
    <t>TENUN IKAT</t>
  </si>
  <si>
    <t>MERANGKAI MENENUM MENGGUNAKAN ALAT TRADISIONAL</t>
  </si>
  <si>
    <t>2650000.0</t>
  </si>
  <si>
    <t>https://fasih-sm.bps.go.id/app/assignment/fd68e454-ba45-4b85-8205-f3bf777ded24/41ee4c1a-9b06-4da2-8eaf-966ae274050a</t>
  </si>
  <si>
    <t>46313</t>
  </si>
  <si>
    <t xml:space="preserve">JUALAN SAYUR (SAIDAH KARIM) </t>
  </si>
  <si>
    <t>Menjual sayur-sayuran</t>
  </si>
  <si>
    <t>172200000.0</t>
  </si>
  <si>
    <t>https://fasih-sm.bps.go.id/app/assignment/fd68e454-ba45-4b85-8205-f3bf777ded24/c3a6e686-11f0-4e3f-8f36-2e5f33967832</t>
  </si>
  <si>
    <t>46324</t>
  </si>
  <si>
    <t xml:space="preserve">PERIKANAN (AWALUDIN RATU) </t>
  </si>
  <si>
    <t>MENJUAL IKAN KELILING</t>
  </si>
  <si>
    <t>4090000.0</t>
  </si>
  <si>
    <t>https://fasih-sm.bps.go.id/app/assignment/fd68e454-ba45-4b85-8205-f3bf777ded24/8584bff4-f845-4ce4-b4ab-b23e989807b4</t>
  </si>
  <si>
    <t>46335</t>
  </si>
  <si>
    <t>FORT DISTRO</t>
  </si>
  <si>
    <t>ROKOK ELEKTRIK(VAPE)</t>
  </si>
  <si>
    <t>MENJUAL ROKOK ELEKTRIK(VAPE)</t>
  </si>
  <si>
    <t>5150000.0</t>
  </si>
  <si>
    <t>https://fasih-sm.bps.go.id/app/assignment/fd68e454-ba45-4b85-8205-f3bf777ded24/fd70a967-aa00-4795-b28e-5ca6eb2d30cb</t>
  </si>
  <si>
    <t>46593</t>
  </si>
  <si>
    <t>BENGKEL MOTOR (AKO)</t>
  </si>
  <si>
    <t>Jasa tambal ban</t>
  </si>
  <si>
    <t>Tambal ban dan tambah angin</t>
  </si>
  <si>
    <t>250000.0</t>
  </si>
  <si>
    <t>https://fasih-sm.bps.go.id/app/assignment/fd68e454-ba45-4b85-8205-f3bf777ded24/bda8f0db-9fa1-416c-8035-6d0cc9f647e5</t>
  </si>
  <si>
    <t>46734</t>
  </si>
  <si>
    <t>PERDAGANGAN PASIR LAUT(PAHLAWAN MUSLIMIN)</t>
  </si>
  <si>
    <t>PASIR LAUT</t>
  </si>
  <si>
    <t>PERDAGANGAN PASIR LAUT</t>
  </si>
  <si>
    <t>163200000.0</t>
  </si>
  <si>
    <t>https://fasih-sm.bps.go.id/app/assignment/fd68e454-ba45-4b85-8205-f3bf777ded24/c5465794-06f2-4cee-b692-ed06a0d51ee9</t>
  </si>
  <si>
    <t>47111</t>
  </si>
  <si>
    <t>USAHA KIOS &lt;KATARINA KEWA DATENG&gt;</t>
  </si>
  <si>
    <t>4200000.0</t>
  </si>
  <si>
    <t>https://fasih-sm.bps.go.id/app/assignment/fd68e454-ba45-4b85-8205-f3bf777ded24/3338e1ee-c3ba-4d5e-bf10-7dc33403e2aa</t>
  </si>
  <si>
    <t>KIOS (KATARINA GITA TUPEN)</t>
  </si>
  <si>
    <t>Jasa</t>
  </si>
  <si>
    <t>Menjual jajanan dan bahan sembako eceran</t>
  </si>
  <si>
    <t>36300000.0</t>
  </si>
  <si>
    <t>https://fasih-sm.bps.go.id/app/assignment/fd68e454-ba45-4b85-8205-f3bf777ded24/5ee44f11-8e37-436e-9d23-ca3d7ca94765</t>
  </si>
  <si>
    <t>KIOS KELONTONG&lt;YUSTINA SURAT&gt;</t>
  </si>
  <si>
    <t>TALAS</t>
  </si>
  <si>
    <t>BUDIDAYA, MENANAM,MERAWAT DAN MEMANEN</t>
  </si>
  <si>
    <t>135000.0</t>
  </si>
  <si>
    <t>https://fasih-sm.bps.go.id/app/assignment/fd68e454-ba45-4b85-8205-f3bf777ded24/23acbd59-2054-41fc-bb22-554e8c1449c3</t>
  </si>
  <si>
    <t xml:space="preserve">KIOS SEMBAKO (NURSIA BONDA) </t>
  </si>
  <si>
    <t xml:space="preserve">Beras, gula pasir, minyak goreng, telur, tepung , kopi, sabun dan kebutuhan pokok lainya. </t>
  </si>
  <si>
    <t>Pedagang eceran berbagai macam kebutuhan pokok sehari hari</t>
  </si>
  <si>
    <t>73700000.0</t>
  </si>
  <si>
    <t>https://fasih-sm.bps.go.id/app/assignment/fd68e454-ba45-4b85-8205-f3bf777ded24/5ab56717-d068-4487-90ca-dd5b2ba3e8be</t>
  </si>
  <si>
    <t>KIOS WIJAYA BARU</t>
  </si>
  <si>
    <t>476000000.0</t>
  </si>
  <si>
    <t>https://fasih-sm.bps.go.id/app/assignment/fd68e454-ba45-4b85-8205-f3bf777ded24/115f4193-1ea3-40ab-badb-ffed04ad6d5f</t>
  </si>
  <si>
    <t>KIOS °MARIA NINI KELEN°</t>
  </si>
  <si>
    <t>BUAH MENTE</t>
  </si>
  <si>
    <t>BUDIDAYA BIJI MENTE</t>
  </si>
  <si>
    <t>840000.0</t>
  </si>
  <si>
    <t>https://fasih-sm.bps.go.id/app/assignment/fd68e454-ba45-4b85-8205-f3bf777ded24/1c66c7ae-8287-4b6d-9033-fa45636e2c8b</t>
  </si>
  <si>
    <t>KIOS SEMBAKO - MARIA LUJI FERNANDEZ</t>
  </si>
  <si>
    <t>HASIL KEMIRI YANG DIJUAL KE PENGEPUL</t>
  </si>
  <si>
    <t>https://fasih-sm.bps.go.id/app/assignment/fd68e454-ba45-4b85-8205-f3bf777ded24/2c841149-140a-409f-9f5a-d89bf6c35a25</t>
  </si>
  <si>
    <t>KIOS SEMBAKO (AMBROSIUS IVAN DIAZ)</t>
  </si>
  <si>
    <t>MENJUAL SEMBAKO DI KIOS</t>
  </si>
  <si>
    <t>241815000.0</t>
  </si>
  <si>
    <t>https://fasih-sm.bps.go.id/app/assignment/fd68e454-ba45-4b85-8205-f3bf777ded24/31ae6c45-ed6d-4d1f-8800-ad0403d1e25b</t>
  </si>
  <si>
    <t>KIOS ARDI KOLIN&lt;YUSTINA ALFIN SOGEN&gt;</t>
  </si>
  <si>
    <t xml:space="preserve">Membudidayakan jagung lokal </t>
  </si>
  <si>
    <t>https://fasih-sm.bps.go.id/app/assignment/fd68e454-ba45-4b85-8205-f3bf777ded24/6c53fe3d-0696-48c6-90b3-e6107495fb45</t>
  </si>
  <si>
    <t>PEDANG ENCERAN SEMBAKO</t>
  </si>
  <si>
    <t>BUAH KELAPA BULAT</t>
  </si>
  <si>
    <t>TANAM RAWAT PANEN JUAL</t>
  </si>
  <si>
    <t>600015.0</t>
  </si>
  <si>
    <t>https://fasih-sm.bps.go.id/app/assignment/fd68e454-ba45-4b85-8205-f3bf777ded24/9c612a13-c54d-4e15-a435-26c166019742</t>
  </si>
  <si>
    <t>KIOS SEMBAKO (KALIMAN)</t>
  </si>
  <si>
    <t>23000000.0</t>
  </si>
  <si>
    <t>https://fasih-sm.bps.go.id/app/assignment/fd68e454-ba45-4b85-8205-f3bf777ded24/852bb234-4ba3-42d5-993c-ef56ae314926</t>
  </si>
  <si>
    <t>KIOS AL-AMIN (IBRAHIM JOU)</t>
  </si>
  <si>
    <t>SEMBAKO, JAJANAN DAN LAINNYA</t>
  </si>
  <si>
    <t>MENJUAL SEMBAKO, JAJANAN RINGAN, AYAM BEKU DAN LAINNYA</t>
  </si>
  <si>
    <t>85000000.0</t>
  </si>
  <si>
    <t>https://fasih-sm.bps.go.id/app/assignment/fd68e454-ba45-4b85-8205-f3bf777ded24/e841452a-97a1-427c-8a2f-d2d4684ab21c</t>
  </si>
  <si>
    <t>USAHA PERDAGANGAN (HIRONIMUS E.RAISINA MORON)</t>
  </si>
  <si>
    <t xml:space="preserve">PULSA TELEKOMUNIKASI </t>
  </si>
  <si>
    <t xml:space="preserve">MENJUAL PULSA TELEKOMUNIKASI </t>
  </si>
  <si>
    <t>54504000.0</t>
  </si>
  <si>
    <t>https://fasih-sm.bps.go.id/app/assignment/fd68e454-ba45-4b85-8205-f3bf777ded24/e798fa00-7052-430c-b263-db505873730a</t>
  </si>
  <si>
    <t>KIOS BERKAT JAYA</t>
  </si>
  <si>
    <t xml:space="preserve">Makanan ringan dan minuman </t>
  </si>
  <si>
    <t xml:space="preserve">Menjual makanan ringan dan minuman </t>
  </si>
  <si>
    <t>3100000.0</t>
  </si>
  <si>
    <t>https://fasih-sm.bps.go.id/app/assignment/fd68e454-ba45-4b85-8205-f3bf777ded24/c6ab2af4-2cc2-411d-b482-2a26815bcc03</t>
  </si>
  <si>
    <t>KIOS WELAN (MARIA THERESIA KESE WELAN)</t>
  </si>
  <si>
    <t>12605000.0</t>
  </si>
  <si>
    <t>https://fasih-sm.bps.go.id/app/assignment/fd68e454-ba45-4b85-8205-f3bf777ded24/08ddeff4-444d-4c0e-81ae-e317a275e8de</t>
  </si>
  <si>
    <t>KIOS SEMBAKO ECERAN MARTHA DUA BEDA</t>
  </si>
  <si>
    <t>MENJUAL SEMBAKO ECERAN</t>
  </si>
  <si>
    <t>38660000.0</t>
  </si>
  <si>
    <t>https://fasih-sm.bps.go.id/app/assignment/fd68e454-ba45-4b85-8205-f3bf777ded24/c2250335-1727-4ed7-a225-d600addfaea6</t>
  </si>
  <si>
    <t>KIOS MASTURA &lt;MASTURA ADOK&gt;</t>
  </si>
  <si>
    <t>METE</t>
  </si>
  <si>
    <t>BUDIDAYA METE MULAI DARI PERAWATAN HINGGA PEMANENAN</t>
  </si>
  <si>
    <t>1225000.0</t>
  </si>
  <si>
    <t>https://fasih-sm.bps.go.id/app/assignment/fd68e454-ba45-4b85-8205-f3bf777ded24/1c557ee7-2091-4773-a887-f385d5b262b7</t>
  </si>
  <si>
    <t>KIOS</t>
  </si>
  <si>
    <t xml:space="preserve">Bahan pokok rumah tangga </t>
  </si>
  <si>
    <t>https://fasih-sm.bps.go.id/app/assignment/fd68e454-ba45-4b85-8205-f3bf777ded24/e5badf5b-ad24-4ac8-945b-9dd2a98277c1</t>
  </si>
  <si>
    <t>KIOS ASRIL&lt;KRISTINA HODEAPAN MELUR&gt;</t>
  </si>
  <si>
    <t xml:space="preserve">SEMBAKO ROKOK JAJAN </t>
  </si>
  <si>
    <t>Jual barang Sembako jajan</t>
  </si>
  <si>
    <t>5276000.0</t>
  </si>
  <si>
    <t>https://fasih-sm.bps.go.id/app/assignment/fd68e454-ba45-4b85-8205-f3bf777ded24/dc36513d-4410-4cb1-8ab7-85fc411fb855</t>
  </si>
  <si>
    <t>KIOS JUNIOR (MUHAMMAD TAHER)</t>
  </si>
  <si>
    <t xml:space="preserve">Perdagangan sembako eceran </t>
  </si>
  <si>
    <t>78500000.0</t>
  </si>
  <si>
    <t>https://fasih-sm.bps.go.id/app/assignment/fd68e454-ba45-4b85-8205-f3bf777ded24/e4e2a123-c3da-485c-a0d2-b951f31c4f49</t>
  </si>
  <si>
    <t>KIOS SEMBAKO ECERAN (KAMRULLAH BOLENG)</t>
  </si>
  <si>
    <t>Makanan, minuman &amp; tembakau eceran</t>
  </si>
  <si>
    <t>Menjual Makanan, minuman &amp; tembakau eceran</t>
  </si>
  <si>
    <t>https://fasih-sm.bps.go.id/app/assignment/fd68e454-ba45-4b85-8205-f3bf777ded24/d8a2e9a8-4219-4223-9486-a508816e233a</t>
  </si>
  <si>
    <t>KIOS SEMBAKO ECERAN HAJON ANTONIUS</t>
  </si>
  <si>
    <t>BARANG KEBUTUHAN RUMAH TANGGA</t>
  </si>
  <si>
    <t>PERDAGANGAN ECERAN BERBAGAI MACAM BARANG YANG UTAMANYA KEBUTUHAN RUMAH TANGGA</t>
  </si>
  <si>
    <t>10179000.0</t>
  </si>
  <si>
    <t>https://fasih-sm.bps.go.id/app/assignment/fd68e454-ba45-4b85-8205-f3bf777ded24/e8b59520-936a-431c-8df8-d1b0f8da32c4</t>
  </si>
  <si>
    <t>KIOS SEMBAKO (SIPRIANUS RATU DATON)</t>
  </si>
  <si>
    <t xml:space="preserve">KELAPA </t>
  </si>
  <si>
    <t xml:space="preserve">BUDIDAYA KELAPA </t>
  </si>
  <si>
    <t>225000.0</t>
  </si>
  <si>
    <t>https://fasih-sm.bps.go.id/app/assignment/fd68e454-ba45-4b85-8205-f3bf777ded24/2775c288-ba76-4cf7-b250-ebade5985376</t>
  </si>
  <si>
    <t>KIOS LEWIS SARTO</t>
  </si>
  <si>
    <t>2950000.0</t>
  </si>
  <si>
    <t>https://fasih-sm.bps.go.id/app/assignment/fd68e454-ba45-4b85-8205-f3bf777ded24/1632e1e6-4161-4cac-b2e6-f1565a185f19</t>
  </si>
  <si>
    <t>USAHA KIOS &lt;ERNI NAWATI&gt;</t>
  </si>
  <si>
    <t>KRUPUK,ES,BISKUIT,ROTI,KUE,AQUA</t>
  </si>
  <si>
    <t>MENJUAL BARANG DAGANGAN BERUPA JAJAN ANAK- ANAK DAN KEPERLUAN KEBUTUHAN KELUARGA LAINYA</t>
  </si>
  <si>
    <t>3650000.0</t>
  </si>
  <si>
    <t>https://fasih-sm.bps.go.id/app/assignment/fd68e454-ba45-4b85-8205-f3bf777ded24/326a3dfd-5235-4856-b0cc-e5db4c7a3e35</t>
  </si>
  <si>
    <t>KIOS SEMBAKO FEBBY (MUHAMAD ARIF)</t>
  </si>
  <si>
    <t>Menjual berbagai kebutuhan rumah tangga</t>
  </si>
  <si>
    <t>377000000.0</t>
  </si>
  <si>
    <t>https://fasih-sm.bps.go.id/app/assignment/fd68e454-ba45-4b85-8205-f3bf777ded24/34d1673b-a278-4cdc-97c9-f96529792be0</t>
  </si>
  <si>
    <t xml:space="preserve">KIOS LAURENSIUS LUSI DARANG </t>
  </si>
  <si>
    <t>Semua kebutuhan pokok (sembako)</t>
  </si>
  <si>
    <t xml:space="preserve">Perdagangan eceran berbagai macam barang kebutuhan pokok (sembako) di kios </t>
  </si>
  <si>
    <t>152500000.0</t>
  </si>
  <si>
    <t>https://fasih-sm.bps.go.id/app/assignment/fd68e454-ba45-4b85-8205-f3bf777ded24/3fdd1982-2661-49a5-a4be-09b2b1953838</t>
  </si>
  <si>
    <t>KIOS SEMBAKO ( MASTURA IDRIS)</t>
  </si>
  <si>
    <t xml:space="preserve">Jualan kios sembako </t>
  </si>
  <si>
    <t>https://fasih-sm.bps.go.id/app/assignment/fd68e454-ba45-4b85-8205-f3bf777ded24/4c35a086-99a7-4e01-b561-11dde9705cb1</t>
  </si>
  <si>
    <t xml:space="preserve">USAHA KIOS (SRI HARTINI) </t>
  </si>
  <si>
    <t>MENJUAL BARANG ENCERAN MAKANAN DAN MINUMAN SERTA TEMBAKAU.</t>
  </si>
  <si>
    <t>2600000.0</t>
  </si>
  <si>
    <t>https://fasih-sm.bps.go.id/app/assignment/fd68e454-ba45-4b85-8205-f3bf777ded24/483df72d-8b1e-43d6-813e-9cc1a2e96bc4</t>
  </si>
  <si>
    <t>KIOS (IGNASIUS NASU DASILVA)</t>
  </si>
  <si>
    <t>Berbagai jenis jajanan</t>
  </si>
  <si>
    <t>MENJUAL JAJANAN DAN BAHAN MASAKAN</t>
  </si>
  <si>
    <t>1050000.0</t>
  </si>
  <si>
    <t>https://fasih-sm.bps.go.id/app/assignment/fd68e454-ba45-4b85-8205-f3bf777ded24/65404a08-9a58-4346-b929-840b0e2c31a0</t>
  </si>
  <si>
    <t>Kios sembako( Idris maleng)</t>
  </si>
  <si>
    <t>Jualan sembako</t>
  </si>
  <si>
    <t>Jual sembako( Idris Maleng)</t>
  </si>
  <si>
    <t>34200000.0</t>
  </si>
  <si>
    <t>https://fasih-sm.bps.go.id/app/assignment/fd68e454-ba45-4b85-8205-f3bf777ded24/9c6c93d3-3d60-4f2b-bbf9-69d43eb494c4</t>
  </si>
  <si>
    <t>KIOS (YOHAKIM BANG RAYA)</t>
  </si>
  <si>
    <t>PENJUALAN KEPERLUAN RUMAH TANGGA</t>
  </si>
  <si>
    <t>Menjual keperluan rumah tangga dan sewa tenda jadi</t>
  </si>
  <si>
    <t>144000000.0</t>
  </si>
  <si>
    <t>https://fasih-sm.bps.go.id/app/assignment/fd68e454-ba45-4b85-8205-f3bf777ded24/6cd5394a-70ed-4989-bfb2-533c56963ff5</t>
  </si>
  <si>
    <t>USAHA KIOS (AGUSTINA TINYA RIBERU)</t>
  </si>
  <si>
    <t>BIJI METE</t>
  </si>
  <si>
    <t>BUDIDAYA JAMBU METE</t>
  </si>
  <si>
    <t>https://fasih-sm.bps.go.id/app/assignment/fd68e454-ba45-4b85-8205-f3bf777ded24/ba9213af-e2f8-418c-b6e8-569c531195da</t>
  </si>
  <si>
    <t>KIOS (SYARIFAH COREBIMA)</t>
  </si>
  <si>
    <t>TEH CUS, NUTRISARI SERBA SERIBUAN</t>
  </si>
  <si>
    <t>MENJUAL MINUMAN SERBA SACHETAN</t>
  </si>
  <si>
    <t>3780000.0</t>
  </si>
  <si>
    <t>https://fasih-sm.bps.go.id/app/assignment/fd68e454-ba45-4b85-8205-f3bf777ded24/c5283f7f-1f73-4043-b593-51284c47abbe</t>
  </si>
  <si>
    <t>KIOS SEMBAKO ECERAN AISYAH BAREK TUPEN</t>
  </si>
  <si>
    <t>SEMBAKO ECERAN</t>
  </si>
  <si>
    <t>24410000.0</t>
  </si>
  <si>
    <t>https://fasih-sm.bps.go.id/app/assignment/fd68e454-ba45-4b85-8205-f3bf777ded24/ce4abab3-672b-4da7-8670-07c0bda2493a</t>
  </si>
  <si>
    <t>KIOS DAN GERAI SEPATU MERCUSUAR</t>
  </si>
  <si>
    <t>Kios sepatu</t>
  </si>
  <si>
    <t>Kios sembako dan gerai sepatu</t>
  </si>
  <si>
    <t>https://fasih-sm.bps.go.id/app/assignment/fd68e454-ba45-4b85-8205-f3bf777ded24/9b3f56d0-8c23-4643-90cd-62b24ef27996</t>
  </si>
  <si>
    <t>KIOS ECERAN</t>
  </si>
  <si>
    <t>MENJUAL IKAN KELILING KOMPLEKS</t>
  </si>
  <si>
    <t>850000.0</t>
  </si>
  <si>
    <t>https://fasih-sm.bps.go.id/app/assignment/fd68e454-ba45-4b85-8205-f3bf777ded24/e1b6990e-a9e6-4c76-9bac-90885dd417f8</t>
  </si>
  <si>
    <t>KIOS SEMBAKO MARSELINA</t>
  </si>
  <si>
    <t>SEMBAKO; BERAS MIE TELUR</t>
  </si>
  <si>
    <t>26250000.0</t>
  </si>
  <si>
    <t>https://fasih-sm.bps.go.id/app/assignment/fd68e454-ba45-4b85-8205-f3bf777ded24/0ded5c3e-cd5c-4118-975a-ad1d1b4d5983</t>
  </si>
  <si>
    <t>KIOS SEMBAKO KRISHANTY</t>
  </si>
  <si>
    <t>Aneka sembako</t>
  </si>
  <si>
    <t>Menjual aneka sembako</t>
  </si>
  <si>
    <t>https://fasih-sm.bps.go.id/app/assignment/fd68e454-ba45-4b85-8205-f3bf777ded24/db817f6f-fed2-47b5-986b-7153f75658bf</t>
  </si>
  <si>
    <t>UTP KIOS (FRANSISIKA SABU HEWEN</t>
  </si>
  <si>
    <t>ROKOK, KOPI, GULA DAN SNACK RINGAN</t>
  </si>
  <si>
    <t xml:space="preserve">JUALAN ANEKA SEMBAKO </t>
  </si>
  <si>
    <t>5200000.0</t>
  </si>
  <si>
    <t>https://fasih-sm.bps.go.id/app/assignment/fd68e454-ba45-4b85-8205-f3bf777ded24/eec9e941-5d31-46d3-9b45-57e42f4eaa67</t>
  </si>
  <si>
    <t>JASA PERDAGANGAN ECERAN(THERESIA SOLOT NAMA)</t>
  </si>
  <si>
    <t>JASA PERDAGANGAN KIOS ECERAN</t>
  </si>
  <si>
    <t>https://fasih-sm.bps.go.id/app/assignment/fd68e454-ba45-4b85-8205-f3bf777ded24/0394e74b-7be6-4236-927f-9c07083f3217</t>
  </si>
  <si>
    <t>KIOS SEMBAKO (SESILIA GURU SOGE)</t>
  </si>
  <si>
    <t>MENJUAL BERBAGAI JENIS SEMBAKO</t>
  </si>
  <si>
    <t>210600000.0</t>
  </si>
  <si>
    <t>https://fasih-sm.bps.go.id/app/assignment/fd68e454-ba45-4b85-8205-f3bf777ded24/18ac07cb-5706-4c5b-994b-df0a0073fc08</t>
  </si>
  <si>
    <t>LAPAK DAGANGAN PASAR (EDIBERTUS NONG RIN)</t>
  </si>
  <si>
    <t>USAHA KIOS SEMBAKO&lt;SAFNIATI ABONG&gt;</t>
  </si>
  <si>
    <t>KRUPUK,BERAS,GULA PASIR,MINYAK GORENG,BUKU,LILIN</t>
  </si>
  <si>
    <t>JASA JUAL BARANG SEMBAKO</t>
  </si>
  <si>
    <t>15900000.0</t>
  </si>
  <si>
    <t>https://fasih-sm.bps.go.id/app/assignment/fd68e454-ba45-4b85-8205-f3bf777ded24/038c832c-e8ab-4e38-b8a8-176652b86bb5</t>
  </si>
  <si>
    <t xml:space="preserve">KIOS ECERAN </t>
  </si>
  <si>
    <t>Babi</t>
  </si>
  <si>
    <t>https://fasih-sm.bps.go.id/app/assignment/fd68e454-ba45-4b85-8205-f3bf777ded24/11aa5ce9-9d24-4517-bd34-fd8305959ac0</t>
  </si>
  <si>
    <t>MEGA KIOS</t>
  </si>
  <si>
    <t>Menjual berbagai makanan dan minuman</t>
  </si>
  <si>
    <t>2150000.0</t>
  </si>
  <si>
    <t>https://fasih-sm.bps.go.id/app/assignment/fd68e454-ba45-4b85-8205-f3bf777ded24/375f5d59-db75-42c1-bb3d-f6fe7595b9bf</t>
  </si>
  <si>
    <t>KIOS MIRANTI(VERONIKA KEMOLO SAWU)</t>
  </si>
  <si>
    <t>jajanan anak</t>
  </si>
  <si>
    <t>menjual jajanan anak dan rokok</t>
  </si>
  <si>
    <t>4950000.0</t>
  </si>
  <si>
    <t>https://fasih-sm.bps.go.id/app/assignment/fd68e454-ba45-4b85-8205-f3bf777ded24/338245aa-76a4-4fd9-ad35-1be875b78290</t>
  </si>
  <si>
    <t>SEMBAKO GERMANA(GERMANA GURUN URAN)</t>
  </si>
  <si>
    <t>Menanam padi di ladang</t>
  </si>
  <si>
    <t>112000.0</t>
  </si>
  <si>
    <t>https://fasih-sm.bps.go.id/app/assignment/fd68e454-ba45-4b85-8205-f3bf777ded24/467093b0-2b4f-4987-9250-aebb0d8fc13e</t>
  </si>
  <si>
    <t>KIOS MAMA MONI</t>
  </si>
  <si>
    <t>30600000.0</t>
  </si>
  <si>
    <t>https://fasih-sm.bps.go.id/app/assignment/fd68e454-ba45-4b85-8205-f3bf777ded24/4b1f233e-5ffc-45b9-a9a1-741beef1149b</t>
  </si>
  <si>
    <t>KIOS SAMUEL (MARLITA ARIESTA)</t>
  </si>
  <si>
    <t>Menjual kebutuhan keluarga</t>
  </si>
  <si>
    <t>https://fasih-sm.bps.go.id/app/assignment/fd68e454-ba45-4b85-8205-f3bf777ded24/746d4d3c-831f-44a3-b4fe-9c3b04d696ae</t>
  </si>
  <si>
    <t>KIOS (MAGDALENA)</t>
  </si>
  <si>
    <t xml:space="preserve">Menjual berbagai macam sembako dalam rumah </t>
  </si>
  <si>
    <t>4000000.0</t>
  </si>
  <si>
    <t>https://fasih-sm.bps.go.id/app/assignment/fd68e454-ba45-4b85-8205-f3bf777ded24/8a5676e7-2036-4567-9b22-4f33b79df776</t>
  </si>
  <si>
    <t>KIOS ECERAN MAKANAN DAN MINUMAN (SITTI RUBIAH)</t>
  </si>
  <si>
    <t xml:space="preserve">Barang eceran makanan dan minuman </t>
  </si>
  <si>
    <t xml:space="preserve">Menjual barang eceran makanan dan minuman </t>
  </si>
  <si>
    <t>22220000.0</t>
  </si>
  <si>
    <t>https://fasih-sm.bps.go.id/app/assignment/fd68e454-ba45-4b85-8205-f3bf777ded24/89455ed7-b5df-45ff-81ab-cd9019473326</t>
  </si>
  <si>
    <t>KIOS ANDRISTI ILDO</t>
  </si>
  <si>
    <t>BARANG SEMBAKO</t>
  </si>
  <si>
    <t>AKTIVITAS MENJUAL SEMBAKO</t>
  </si>
  <si>
    <t>3800000.0</t>
  </si>
  <si>
    <t>https://fasih-sm.bps.go.id/app/assignment/fd68e454-ba45-4b85-8205-f3bf777ded24/66324960-1909-4be9-a878-c1487222e239</t>
  </si>
  <si>
    <t xml:space="preserve">KIOS ( FARIDA DAMANG) </t>
  </si>
  <si>
    <t xml:space="preserve">MENJUAL KEBUTUHAN RUMAH TANGGA </t>
  </si>
  <si>
    <t>19560000.0</t>
  </si>
  <si>
    <t>https://fasih-sm.bps.go.id/app/assignment/fd68e454-ba45-4b85-8205-f3bf777ded24/82c8e5de-35cb-4448-bcb2-a32f0d50bfae</t>
  </si>
  <si>
    <t>KIOS ECERAN SEMBAKO KATARINA WULU KOTEN</t>
  </si>
  <si>
    <t>Sembako KATARINA</t>
  </si>
  <si>
    <t>Perdagangan eceran sembako</t>
  </si>
  <si>
    <t>4410000.0</t>
  </si>
  <si>
    <t>https://fasih-sm.bps.go.id/app/assignment/fd68e454-ba45-4b85-8205-f3bf777ded24/b57f5279-d1eb-4088-838c-979213e5d04c</t>
  </si>
  <si>
    <t xml:space="preserve">BUMBU DAPUR REMPAH (SITI SARAH MUHAMMAD) </t>
  </si>
  <si>
    <t>MENJUAL BERBAGAI MACAM REMPAH</t>
  </si>
  <si>
    <t>MENJUAL BUMBU DAPUR &amp; REMPAH</t>
  </si>
  <si>
    <t>161760000.0</t>
  </si>
  <si>
    <t>https://fasih-sm.bps.go.id/app/assignment/fd68e454-ba45-4b85-8205-f3bf777ded24/9cfb3d0a-7ab4-4aae-88e9-21e19c6f29bb</t>
  </si>
  <si>
    <t>PERDAGANGAN ECERAN KELILING GARAM NON YODIUM GERSIANA PENI WOTAN</t>
  </si>
  <si>
    <t>GARAM NON YODIUM (LOKAL)</t>
  </si>
  <si>
    <t>MENGUMPULKAN TANAH,PASIR LALU DI CAMPURKAN DENGAN AIR LAUT. SETELAH ITU SARING DENGAN MENGGUNAKAN TIKAR,AIR SISA DARI SARINGAN DI MASAK SAMPAI KERING DAN MENJADI GARAM</t>
  </si>
  <si>
    <t>https://fasih-sm.bps.go.id/app/assignment/fd68e454-ba45-4b85-8205-f3bf777ded24/c0f06105-c947-45ca-b1d5-b4c444091903</t>
  </si>
  <si>
    <t>USAHA KIOS SEMBAKO (KLAUDIUS RAFAEL ROTOK OLA)</t>
  </si>
  <si>
    <t xml:space="preserve">JASA PENYEWAAN </t>
  </si>
  <si>
    <t xml:space="preserve">JASA PENYEWAAN MEJA </t>
  </si>
  <si>
    <t>https://fasih-sm.bps.go.id/app/assignment/fd68e454-ba45-4b85-8205-f3bf777ded24/c315a7b5-a6f7-47ff-8eee-f4e08abef339</t>
  </si>
  <si>
    <t>USAHA KIOS SEMBAKO MONIKA DIAZ</t>
  </si>
  <si>
    <t>Pedagang eceran</t>
  </si>
  <si>
    <t>550000.0</t>
  </si>
  <si>
    <t>https://fasih-sm.bps.go.id/app/assignment/fd68e454-ba45-4b85-8205-f3bf777ded24/ea537d48-8bcd-4f9a-aafc-dddab629b790</t>
  </si>
  <si>
    <t>KIOS UD.ASS (AFLIANI PATI)</t>
  </si>
  <si>
    <t xml:space="preserve">BABI </t>
  </si>
  <si>
    <t>BUDIDAYA TERNAK BABI</t>
  </si>
  <si>
    <t>1150000.0</t>
  </si>
  <si>
    <t>https://fasih-sm.bps.go.id/app/assignment/fd68e454-ba45-4b85-8205-f3bf777ded24/1b30f47e-e1c8-4cee-b273-8c08b4819d48</t>
  </si>
  <si>
    <t>KIOS RABENSA</t>
  </si>
  <si>
    <t>7500000.0</t>
  </si>
  <si>
    <t>https://fasih-sm.bps.go.id/app/assignment/fd68e454-ba45-4b85-8205-f3bf777ded24/1c4e4174-99f2-4308-8134-c06cb13879c6</t>
  </si>
  <si>
    <t>KIOS ( BULU GUNE)</t>
  </si>
  <si>
    <t>Berbagai macam snack dan makanan ringan</t>
  </si>
  <si>
    <t>Melakukan aktifitas penjualan snack dan jajan</t>
  </si>
  <si>
    <t>https://fasih-sm.bps.go.id/app/assignment/fd68e454-ba45-4b85-8205-f3bf777ded24/19fed708-6204-41f9-b6f6-963fa0ea356f</t>
  </si>
  <si>
    <t xml:space="preserve">PERDAGANGAN </t>
  </si>
  <si>
    <t xml:space="preserve">JASA TAMBAL BAN </t>
  </si>
  <si>
    <t xml:space="preserve">USAHA TAMBAL BAN </t>
  </si>
  <si>
    <t>https://fasih-sm.bps.go.id/app/assignment/fd68e454-ba45-4b85-8205-f3bf777ded24/15218b8f-17f6-42ce-967b-21c29ef48b7d</t>
  </si>
  <si>
    <t xml:space="preserve">KIOS SEMBAKO </t>
  </si>
  <si>
    <t xml:space="preserve">DEKORASI </t>
  </si>
  <si>
    <t xml:space="preserve">PERSEWAAN ALAT DEKORASI </t>
  </si>
  <si>
    <t>4100000.0</t>
  </si>
  <si>
    <t>https://fasih-sm.bps.go.id/app/assignment/fd68e454-ba45-4b85-8205-f3bf777ded24/0734c8f1-2a96-4eba-89b4-e933f861c699</t>
  </si>
  <si>
    <t>KIOS SIMON LEIN</t>
  </si>
  <si>
    <t>Semabako</t>
  </si>
  <si>
    <t xml:space="preserve">Jualan sembako simon </t>
  </si>
  <si>
    <t>22800000.0</t>
  </si>
  <si>
    <t>https://fasih-sm.bps.go.id/app/assignment/fd68e454-ba45-4b85-8205-f3bf777ded24/231bf05d-b6ce-4ca1-9de2-655dc364492e</t>
  </si>
  <si>
    <t>KIOS YUSRIL RATE IKEN</t>
  </si>
  <si>
    <t>MENJUAL BARANG SEMBAKO</t>
  </si>
  <si>
    <t>30200000.0</t>
  </si>
  <si>
    <t>https://fasih-sm.bps.go.id/app/assignment/fd68e454-ba45-4b85-8205-f3bf777ded24/49258a06-f360-484b-a969-ec50d80b0d11</t>
  </si>
  <si>
    <t xml:space="preserve">PEDAGANG ECERAN NON SEMBAKO (BERNADETE KEWA IN) </t>
  </si>
  <si>
    <t xml:space="preserve">Budidaya tanaman pangan </t>
  </si>
  <si>
    <t>320000.0</t>
  </si>
  <si>
    <t>https://fasih-sm.bps.go.id/app/assignment/fd68e454-ba45-4b85-8205-f3bf777ded24/5db68a66-828c-40ed-ac45-9656c85bf4dd</t>
  </si>
  <si>
    <t xml:space="preserve">KIOS MANDIRI ( PHILOMENA ) </t>
  </si>
  <si>
    <t>20670000.0</t>
  </si>
  <si>
    <t>https://fasih-sm.bps.go.id/app/assignment/fd68e454-ba45-4b85-8205-f3bf777ded24/68a4ee26-57a3-41d5-a67c-118da776514c</t>
  </si>
  <si>
    <t>USAHA KIOS (AGNES KEWA MANUK )</t>
  </si>
  <si>
    <t>SEMBAKO YANG TERJUAL</t>
  </si>
  <si>
    <t>40200000.0</t>
  </si>
  <si>
    <t>https://fasih-sm.bps.go.id/app/assignment/fd68e454-ba45-4b85-8205-f3bf777ded24/797a5328-ddd9-4329-870c-290f444460e9</t>
  </si>
  <si>
    <t>USAHA KIOS JUALAN SEMBAKO EMELINDA</t>
  </si>
  <si>
    <t>makanan dalam kemasan</t>
  </si>
  <si>
    <t>Menjual kebutuhan sembako</t>
  </si>
  <si>
    <t>10250000.0</t>
  </si>
  <si>
    <t>https://fasih-sm.bps.go.id/app/assignment/fd68e454-ba45-4b85-8205-f3bf777ded24/7b51c5cd-bd7f-4351-9316-4c02797df1f0</t>
  </si>
  <si>
    <t>USAHA KIOS SEMBAKO( HAWIA)</t>
  </si>
  <si>
    <t>KIOS SEMBAKO( HAWIA)</t>
  </si>
  <si>
    <t>https://fasih-sm.bps.go.id/app/assignment/fd68e454-ba45-4b85-8205-f3bf777ded24/67117330-c489-497c-8ea3-7634f46c7050</t>
  </si>
  <si>
    <t>KIOS ONCU ANTONIA BAREK KELASA</t>
  </si>
  <si>
    <t>JASA PERDAGANGAN</t>
  </si>
  <si>
    <t>12500000.0</t>
  </si>
  <si>
    <t>https://fasih-sm.bps.go.id/app/assignment/fd68e454-ba45-4b85-8205-f3bf777ded24/8edac1a4-31b6-4da8-89ee-641e4986d4b9</t>
  </si>
  <si>
    <t xml:space="preserve">KIOS ENCERAN ( SILVESTER) </t>
  </si>
  <si>
    <t xml:space="preserve"> JAMBU METE</t>
  </si>
  <si>
    <t>MEMBUDIDAYAKAN JAMBUMETE</t>
  </si>
  <si>
    <t>223000.0</t>
  </si>
  <si>
    <t>https://fasih-sm.bps.go.id/app/assignment/fd68e454-ba45-4b85-8205-f3bf777ded24/94fea1e2-3721-4459-a85d-b6b2c049bf81</t>
  </si>
  <si>
    <t>KIOS °FRANSISKA YOSEFINA BITA°</t>
  </si>
  <si>
    <t>MAKANAN, MINUMAN DAN KEBUTUHAN RUMAH TANGGA LAINNYA</t>
  </si>
  <si>
    <t>PERDAGANGAN BERBAGAI MACAM BARANG, YANG UTAMANYA MAKANAN, MINUMAN DAN TEMBAKAU</t>
  </si>
  <si>
    <t>20065000.0</t>
  </si>
  <si>
    <t>https://fasih-sm.bps.go.id/app/assignment/fd68e454-ba45-4b85-8205-f3bf777ded24/cc677b13-2841-4f73-8d32-c736af82bd75</t>
  </si>
  <si>
    <t>KIOS FIRDAUS &lt;SITI HABIBA ISMAIL&gt;</t>
  </si>
  <si>
    <t>2300000.0</t>
  </si>
  <si>
    <t>https://fasih-sm.bps.go.id/app/assignment/fd68e454-ba45-4b85-8205-f3bf777ded24/bc7e8910-66ed-4b97-9b89-ad434eabb150</t>
  </si>
  <si>
    <t>KIOS SEMBAKO&lt; MARTINA LIPAT GELALN&gt;</t>
  </si>
  <si>
    <t>Pisang</t>
  </si>
  <si>
    <t>TANAM RAWAT DAN PANEN</t>
  </si>
  <si>
    <t>https://fasih-sm.bps.go.id/app/assignment/fd68e454-ba45-4b85-8205-f3bf777ded24/f78ec85c-a82b-4ec4-b319-33b642d8d7d4</t>
  </si>
  <si>
    <t>KIOS SUMBER HARAPAN</t>
  </si>
  <si>
    <t>Menjual sembako eceran</t>
  </si>
  <si>
    <t>74600000.0</t>
  </si>
  <si>
    <t>https://fasih-sm.bps.go.id/app/assignment/fd68e454-ba45-4b85-8205-f3bf777ded24/f251d0c3-407a-4856-9534-daa89ffa70e1</t>
  </si>
  <si>
    <t>JUALAN SEMBAKO (KIOS)</t>
  </si>
  <si>
    <t>187100000.0</t>
  </si>
  <si>
    <t>https://fasih-sm.bps.go.id/app/assignment/fd68e454-ba45-4b85-8205-f3bf777ded24/bd6f4040-fadb-4a87-a7a0-35e7e8d226fa</t>
  </si>
  <si>
    <t>UTP KIOS (ERVINA WAIN MAKIN)</t>
  </si>
  <si>
    <t>Kopra kelapa</t>
  </si>
  <si>
    <t>Mengumpulkan hasil kopra</t>
  </si>
  <si>
    <t>1480000.0</t>
  </si>
  <si>
    <t>https://fasih-sm.bps.go.id/app/assignment/fd68e454-ba45-4b85-8205-f3bf777ded24/a18b8029-de9d-4f01-ad41-7aa7fc06e812</t>
  </si>
  <si>
    <t>KIOS JUALAN SEMBAKO MAMA LESTARI</t>
  </si>
  <si>
    <t xml:space="preserve">perbaikan </t>
  </si>
  <si>
    <t>perbaikan motor</t>
  </si>
  <si>
    <t>https://fasih-sm.bps.go.id/app/assignment/fd68e454-ba45-4b85-8205-f3bf777ded24/df3ac28a-0630-4a0e-a332-0ee6eeab0b62</t>
  </si>
  <si>
    <t xml:space="preserve">MENJUAL BUMBU REMPAH ECERAN (MARIA MIKAELA) </t>
  </si>
  <si>
    <t>Penjualan rempah</t>
  </si>
  <si>
    <t>211320000.0</t>
  </si>
  <si>
    <t>https://fasih-sm.bps.go.id/app/assignment/fd68e454-ba45-4b85-8205-f3bf777ded24/6db9452f-e710-40dd-8bee-b3b255fa4081</t>
  </si>
  <si>
    <t>TANAMAN PORANG</t>
  </si>
  <si>
    <t>Porang</t>
  </si>
  <si>
    <t>Budidaya tanaman porang</t>
  </si>
  <si>
    <t>https://fasih-sm.bps.go.id/app/assignment/fd68e454-ba45-4b85-8205-f3bf777ded24/a4e2c8dd-37bc-454a-8c82-ebeefd5fcdef</t>
  </si>
  <si>
    <t>PEDAGANG PISANG &lt;MARIA TUTO SEKO&gt;</t>
  </si>
  <si>
    <t xml:space="preserve"> JATI</t>
  </si>
  <si>
    <t>BUDIDAYA TANAMAN HUTAN JATI</t>
  </si>
  <si>
    <t>https://fasih-sm.bps.go.id/app/assignment/fd68e454-ba45-4b85-8205-f3bf777ded24/790df53c-a18d-4d62-9690-dc281b16b57b</t>
  </si>
  <si>
    <t>JUAL RAMBUTAN</t>
  </si>
  <si>
    <t>Buah rambutan segar</t>
  </si>
  <si>
    <t>Menjual Rambutan</t>
  </si>
  <si>
    <t>https://fasih-sm.bps.go.id/app/assignment/fd68e454-ba45-4b85-8205-f3bf777ded24/27289c34-7bdd-404a-814f-4810cbc4f50a</t>
  </si>
  <si>
    <t>USAHA PERDAGANGAN( URSULA ABON)</t>
  </si>
  <si>
    <t>Daging beku</t>
  </si>
  <si>
    <t>Menjual daging beku</t>
  </si>
  <si>
    <t>27750000.0</t>
  </si>
  <si>
    <t>https://fasih-sm.bps.go.id/app/assignment/fd68e454-ba45-4b85-8205-f3bf777ded24/bb557492-104c-44f6-843e-aff0d2730f35</t>
  </si>
  <si>
    <t>UTP PETERNAKAN</t>
  </si>
  <si>
    <t>KAMBING</t>
  </si>
  <si>
    <t>MEMELIHARA KAMBING UNTUK DIJUAL</t>
  </si>
  <si>
    <t>1600000.0</t>
  </si>
  <si>
    <t>https://fasih-sm.bps.go.id/app/assignment/fd68e454-ba45-4b85-8205-f3bf777ded24/639f5930-9551-40aa-a227-12ee6eac4034</t>
  </si>
  <si>
    <t xml:space="preserve">USAHA PENGEPUL BARANG HASIL </t>
  </si>
  <si>
    <t xml:space="preserve">HASIL KOMODITI PERKEBUNAN </t>
  </si>
  <si>
    <t>MEMBELI HASIL PERKEBUNAN KEMIRI</t>
  </si>
  <si>
    <t>https://fasih-sm.bps.go.id/app/assignment/fd68e454-ba45-4b85-8205-f3bf777ded24/4fd2a5e3-f5f9-468f-b840-29958a6a6304</t>
  </si>
  <si>
    <t>USAHA PERDAGANGAN (THERESIA TULIN LAMEN)</t>
  </si>
  <si>
    <t>ARAK</t>
  </si>
  <si>
    <t>MENJUAL ARAK YANG DIBELI DARI TANGGAN PERTAMA</t>
  </si>
  <si>
    <t>https://fasih-sm.bps.go.id/app/assignment/fd68e454-ba45-4b85-8205-f3bf777ded24/53d5b6b9-621b-4255-bcd7-88fab952bfdc</t>
  </si>
  <si>
    <t>USAHA JUALAN ARAK ( YOHANES BERKEREMENS KROBI )</t>
  </si>
  <si>
    <t>AYAM LOKAL</t>
  </si>
  <si>
    <t>Pengembangbiakan</t>
  </si>
  <si>
    <t>395000.0</t>
  </si>
  <si>
    <t>https://fasih-sm.bps.go.id/app/assignment/fd68e454-ba45-4b85-8205-f3bf777ded24/5f7606f2-43a1-4684-82c4-b69e929ca0c6</t>
  </si>
  <si>
    <t>SELERA ARAK BESIRA</t>
  </si>
  <si>
    <t>ARAK MIRAS</t>
  </si>
  <si>
    <t>Membeli arak dan menjualnya kembali</t>
  </si>
  <si>
    <t>https://fasih-sm.bps.go.id/app/assignment/fd68e454-ba45-4b85-8205-f3bf777ded24/f5cd0e33-5a8d-4e51-88fd-6e1c2c6bdef9</t>
  </si>
  <si>
    <t>ARAK ( MARIANUS PERADA NIMUNUHO)</t>
  </si>
  <si>
    <t>3250000.0</t>
  </si>
  <si>
    <t>https://fasih-sm.bps.go.id/app/assignment/fd68e454-ba45-4b85-8205-f3bf777ded24/b959ed6a-2801-4fb0-b0f6-6d9c5aef2f13</t>
  </si>
  <si>
    <t>ISTRI KE 2</t>
  </si>
  <si>
    <t xml:space="preserve">Minuman beralkohol </t>
  </si>
  <si>
    <t>Perdagangan eceran berbagai jenis minuman beralkohol (seperti bir, anggur, atau spirit) yang dibeli dari distributor untuk dijual kembali ke konsumen akhir</t>
  </si>
  <si>
    <t>10300000.0</t>
  </si>
  <si>
    <t>https://fasih-sm.bps.go.id/app/assignment/fd68e454-ba45-4b85-8205-f3bf777ded24/d9c274ed-ff78-4c23-a5a4-46f237025a62</t>
  </si>
  <si>
    <t>USAHA JUAL TEMBAKAU FRANSISKA TUTO MASAN</t>
  </si>
  <si>
    <t>Tembakau</t>
  </si>
  <si>
    <t xml:space="preserve">Menjual tembakau </t>
  </si>
  <si>
    <t>14452000.0</t>
  </si>
  <si>
    <t>https://fasih-sm.bps.go.id/app/assignment/fd68e454-ba45-4b85-8205-f3bf777ded24/745bd94b-2ed5-44bb-a585-303d1d6dca54</t>
  </si>
  <si>
    <t>JUALAN KUE MOLENG</t>
  </si>
  <si>
    <t>Kue moleng</t>
  </si>
  <si>
    <t>Menjual kue moleng</t>
  </si>
  <si>
    <t>10690000.0</t>
  </si>
  <si>
    <t>https://fasih-sm.bps.go.id/app/assignment/fd68e454-ba45-4b85-8205-f3bf777ded24/43f02e2d-b599-480e-96df-ff62e4e16a5e</t>
  </si>
  <si>
    <t>USAHA JUALAN KUE AGUSTINUS FAMAY</t>
  </si>
  <si>
    <t>KUE TRADISIONAL</t>
  </si>
  <si>
    <t>Usaha jualan kue</t>
  </si>
  <si>
    <t>5600000.0</t>
  </si>
  <si>
    <t>https://fasih-sm.bps.go.id/app/assignment/fd68e454-ba45-4b85-8205-f3bf777ded24/573da197-92de-4029-a63d-3268bf0bee4e</t>
  </si>
  <si>
    <t xml:space="preserve">PENJUAL KUE BASAH DAN KERING (HENDRIKA) </t>
  </si>
  <si>
    <t>Kue kering dan basah</t>
  </si>
  <si>
    <t>Proses dan pencampuran bahan untuk menghasilkan sebuah kue</t>
  </si>
  <si>
    <t>2460000.0</t>
  </si>
  <si>
    <t>https://fasih-sm.bps.go.id/app/assignment/fd68e454-ba45-4b85-8205-f3bf777ded24/f452c000-f322-4f2e-bd4e-e652cd93103f</t>
  </si>
  <si>
    <t>USAHA ROTI GORENG KIMILIA MUHAMAD</t>
  </si>
  <si>
    <t>ROTI GORENG</t>
  </si>
  <si>
    <t xml:space="preserve">MEMBUAT ROTI GORENG </t>
  </si>
  <si>
    <t>https://fasih-sm.bps.go.id/app/assignment/fd68e454-ba45-4b85-8205-f3bf777ded24/8b2665f5-12ce-4614-a9c1-e75ec6980542</t>
  </si>
  <si>
    <t>USAHA KIOS SEMBAKO (DANIEL TAIN TUKAN)</t>
  </si>
  <si>
    <t>KOPI, GULA, BERAS, MINYAK GORENG</t>
  </si>
  <si>
    <t>MENJUAL BERBAGAI KEBUTUHAN POKOK MASYARAKAT SEHARI HARI</t>
  </si>
  <si>
    <t>https://fasih-sm.bps.go.id/app/assignment/fd68e454-ba45-4b85-8205-f3bf777ded24/3afdb7e2-8982-4058-af1b-34998e9d4f16</t>
  </si>
  <si>
    <t>47244</t>
  </si>
  <si>
    <t>JUAL KELILING ( MUSTAMIN)</t>
  </si>
  <si>
    <t>TAHU TEMPE</t>
  </si>
  <si>
    <t>JUAL TAHU TEMPE KELILING</t>
  </si>
  <si>
    <t>57400000.0</t>
  </si>
  <si>
    <t>https://fasih-sm.bps.go.id/app/assignment/fd68e454-ba45-4b85-8205-f3bf777ded24/46dc895c-90d5-4888-9ecc-8b523f962ea5</t>
  </si>
  <si>
    <t>JUAL BENSIN(AGUSTINUS MANGU GERODA)</t>
  </si>
  <si>
    <t>https://fasih-sm.bps.go.id/app/assignment/fd68e454-ba45-4b85-8205-f3bf777ded24/657d1962-a5af-4824-8bf1-33d79c5e7d94</t>
  </si>
  <si>
    <t>JUALAN BENSIN ECERAN SIMEON DEROSARI</t>
  </si>
  <si>
    <t xml:space="preserve">Jualan bensin eceran </t>
  </si>
  <si>
    <t>3572000.0</t>
  </si>
  <si>
    <t>https://fasih-sm.bps.go.id/app/assignment/fd68e454-ba45-4b85-8205-f3bf777ded24/f4e9f717-29ee-4def-be9d-7783c3aa11e1</t>
  </si>
  <si>
    <t>USAHA ECERAN BENSIN(MARGARETA TONU KROWIN)</t>
  </si>
  <si>
    <t>JASA</t>
  </si>
  <si>
    <t>Menjual eceran bensin</t>
  </si>
  <si>
    <t>https://fasih-sm.bps.go.id/app/assignment/fd68e454-ba45-4b85-8205-f3bf777ded24/fd2a74f2-2b29-4015-a9a1-adf59ab250ef</t>
  </si>
  <si>
    <t>JUALAN BENSIN ECERAN TONCE DIAZ</t>
  </si>
  <si>
    <t>Jual ikan melon</t>
  </si>
  <si>
    <t>245000.0</t>
  </si>
  <si>
    <t>https://fasih-sm.bps.go.id/app/assignment/fd68e454-ba45-4b85-8205-f3bf777ded24/240e52b5-840e-48d3-adc7-efc858d575f7</t>
  </si>
  <si>
    <t>PENGECER BENSIN (SUBAN)</t>
  </si>
  <si>
    <t>PERTALITE</t>
  </si>
  <si>
    <t>PENJUALAN ECERAN BAHAN BAKAR MINYAK</t>
  </si>
  <si>
    <t>https://fasih-sm.bps.go.id/app/assignment/fd68e454-ba45-4b85-8205-f3bf777ded24/bd10d963-0a55-4691-8546-746839b21f43</t>
  </si>
  <si>
    <t>PENJUALAN BENSIN ECERAN - ANASTASIA ANI KOTEN</t>
  </si>
  <si>
    <t>PENJUALAN BENSIN ECERAN</t>
  </si>
  <si>
    <t>20643000.0</t>
  </si>
  <si>
    <t>https://fasih-sm.bps.go.id/app/assignment/fd68e454-ba45-4b85-8205-f3bf777ded24/201158dd-8a6c-4b44-af4d-28bba74703ea</t>
  </si>
  <si>
    <t>ARTOMORO SOLAR ECERAN (MUHAMADKIRAMAN)</t>
  </si>
  <si>
    <t>Solar</t>
  </si>
  <si>
    <t>Menjual bahan bakar Solar</t>
  </si>
  <si>
    <t>https://fasih-sm.bps.go.id/app/assignment/fd68e454-ba45-4b85-8205-f3bf777ded24/6dba99c5-857d-474e-bf68-b288e1c814e4</t>
  </si>
  <si>
    <t>PERDAGANGAN ECERAN BENSIN(RIDWAN DAUD)</t>
  </si>
  <si>
    <t>MEMBELI DAN MENJUAL KEMBALI MINYAK TANAH</t>
  </si>
  <si>
    <t>https://fasih-sm.bps.go.id/app/assignment/fd68e454-ba45-4b85-8205-f3bf777ded24/29163c16-eb48-467b-8a7d-d612a8139a9e</t>
  </si>
  <si>
    <t>USAHA JUAL BENSIN ECERAN(GERARDUS GEWALIK HEKIN)</t>
  </si>
  <si>
    <t>BUDIDAYA TANAMAN MENTE</t>
  </si>
  <si>
    <t>https://fasih-sm.bps.go.id/app/assignment/fd68e454-ba45-4b85-8205-f3bf777ded24/7abe7731-ad1e-435b-87fc-2d5dac56e0f3</t>
  </si>
  <si>
    <t xml:space="preserve">USAHA ECERAN BENSIN(ANGELINA BERIHAN SAYA) </t>
  </si>
  <si>
    <t>6100000.0</t>
  </si>
  <si>
    <t>https://fasih-sm.bps.go.id/app/assignment/fd68e454-ba45-4b85-8205-f3bf777ded24/84809883-9250-423a-acbe-63441c19e1e8</t>
  </si>
  <si>
    <t>MENJUAL.BAHAN BAKAR BENSIN</t>
  </si>
  <si>
    <t xml:space="preserve">Menjual Bahan Bakar bensin </t>
  </si>
  <si>
    <t>https://fasih-sm.bps.go.id/app/assignment/fd68e454-ba45-4b85-8205-f3bf777ded24/da02cb0b-ed7b-4122-87d8-3c1f6099857b</t>
  </si>
  <si>
    <t xml:space="preserve">KONTER SASFA CELL </t>
  </si>
  <si>
    <t>Aksesoris handphone</t>
  </si>
  <si>
    <t>Perdagangan enceran aksesoris handphone</t>
  </si>
  <si>
    <t>75200000.0</t>
  </si>
  <si>
    <t>https://fasih-sm.bps.go.id/app/assignment/fd68e454-ba45-4b85-8205-f3bf777ded24/f55c2064-6b4f-40b1-824a-0b3760b138f6</t>
  </si>
  <si>
    <t xml:space="preserve">USAHA JUALAN (THERESIA BENGA SANI) </t>
  </si>
  <si>
    <t>BUDIDAYA DAN PEMELIHARAAN</t>
  </si>
  <si>
    <t>https://fasih-sm.bps.go.id/app/assignment/fd68e454-ba45-4b85-8205-f3bf777ded24/a9692ae0-7256-446e-8423-ceee5394e858</t>
  </si>
  <si>
    <t>47591</t>
  </si>
  <si>
    <t>JASA MEBEL (BARTHO LEWAR)</t>
  </si>
  <si>
    <t>Lemari</t>
  </si>
  <si>
    <t xml:space="preserve">Pembuatan lemari,kursi,meja </t>
  </si>
  <si>
    <t>12800000.0</t>
  </si>
  <si>
    <t>https://fasih-sm.bps.go.id/app/assignment/fd68e454-ba45-4b85-8205-f3bf777ded24/a8c581f9-261b-4374-9493-89ae6bf7a012</t>
  </si>
  <si>
    <t>47592</t>
  </si>
  <si>
    <t xml:space="preserve">TOKO NUSANTARA </t>
  </si>
  <si>
    <t xml:space="preserve">PERDAGANGAN ECERAN BERBAGAI MACam spon, alat elektronik </t>
  </si>
  <si>
    <t>88800000.0</t>
  </si>
  <si>
    <t>https://fasih-sm.bps.go.id/app/assignment/fd68e454-ba45-4b85-8205-f3bf777ded24/65c56bc4-2fc8-4f66-b8b3-0f7221173892</t>
  </si>
  <si>
    <t>47630</t>
  </si>
  <si>
    <t>JUALAN MAINAN (MASWAHDIYAH)</t>
  </si>
  <si>
    <t xml:space="preserve">Mainan anak-anak </t>
  </si>
  <si>
    <t>Menjual berbagai jenis mainan anak-anak</t>
  </si>
  <si>
    <t>12000000.0</t>
  </si>
  <si>
    <t>https://fasih-sm.bps.go.id/app/assignment/fd68e454-ba45-4b85-8205-f3bf777ded24/39921e53-e47b-43ff-9b95-b0a0008f2d04</t>
  </si>
  <si>
    <t xml:space="preserve">JUALAN PAKAIAN (SUMANTI BETHAN) </t>
  </si>
  <si>
    <t>22696000.0</t>
  </si>
  <si>
    <t>https://fasih-sm.bps.go.id/app/assignment/fd68e454-ba45-4b85-8205-f3bf777ded24/f58c43e7-21b9-4525-8640-a9b6665e1560</t>
  </si>
  <si>
    <t>JUALAN BAJU LAUDE NURDIN</t>
  </si>
  <si>
    <t>Baju</t>
  </si>
  <si>
    <t>Menjual baju anak-anak dan dewasa</t>
  </si>
  <si>
    <t>11192000.0</t>
  </si>
  <si>
    <t>https://fasih-sm.bps.go.id/app/assignment/fd68e454-ba45-4b85-8205-f3bf777ded24/3a41534a-6c0d-44d4-a5a5-32e483202fad</t>
  </si>
  <si>
    <t>SAERA URAN</t>
  </si>
  <si>
    <t>96888000.0</t>
  </si>
  <si>
    <t>https://fasih-sm.bps.go.id/app/assignment/fd68e454-ba45-4b85-8205-f3bf777ded24/3469d625-d8fd-42bf-ac22-5fe72dd20847</t>
  </si>
  <si>
    <t xml:space="preserve">JUAL PAKAIAN (KISMAN) </t>
  </si>
  <si>
    <t>Pakaian</t>
  </si>
  <si>
    <t>Menjual Pakaian</t>
  </si>
  <si>
    <t>30500000.0</t>
  </si>
  <si>
    <t>https://fasih-sm.bps.go.id/app/assignment/fd68e454-ba45-4b85-8205-f3bf777ded24/952342cf-a532-4d92-9f81-6ac6d2288d24</t>
  </si>
  <si>
    <t>PENJUAL PAKAIAN SYAID ANWAR</t>
  </si>
  <si>
    <t>PENJUAL PAKAIAN</t>
  </si>
  <si>
    <t>https://fasih-sm.bps.go.id/app/assignment/fd68e454-ba45-4b85-8205-f3bf777ded24/4c093b88-d2a9-4e8e-bd1b-a6d1e66f0e5c</t>
  </si>
  <si>
    <t xml:space="preserve">KIOS SENDAL SEPATU (LUKMAN) </t>
  </si>
  <si>
    <t>23640000.0</t>
  </si>
  <si>
    <t>https://fasih-sm.bps.go.id/app/assignment/fd68e454-ba45-4b85-8205-f3bf777ded24/14c73987-f96f-48c6-817a-c97a82d74ab8</t>
  </si>
  <si>
    <t>ROMBENGAN (MARIA MAGDALENA )</t>
  </si>
  <si>
    <t>MENJUAL BAJU BEKAS</t>
  </si>
  <si>
    <t>112600000.0</t>
  </si>
  <si>
    <t>https://fasih-sm.bps.go.id/app/assignment/fd68e454-ba45-4b85-8205-f3bf777ded24/a2b9543e-5768-408d-8e13-0cb0a10dedbc</t>
  </si>
  <si>
    <t>PENJUALAN MINYAK TANAH</t>
  </si>
  <si>
    <t>50420000.0</t>
  </si>
  <si>
    <t>https://fasih-sm.bps.go.id/app/assignment/fd68e454-ba45-4b85-8205-f3bf777ded24/e55e88f2-7be7-4571-b39d-882ec00f3de8</t>
  </si>
  <si>
    <t>2140000.0</t>
  </si>
  <si>
    <t>https://fasih-sm.bps.go.id/app/assignment/fd68e454-ba45-4b85-8205-f3bf777ded24/1cef09ef-63f2-41ca-b1ed-18b6988fe6a0</t>
  </si>
  <si>
    <t>JUAL MINYAK TANAH(ARIA BATUTI)</t>
  </si>
  <si>
    <t xml:space="preserve">Rumah kontrakan </t>
  </si>
  <si>
    <t>https://fasih-sm.bps.go.id/app/assignment/fd68e454-ba45-4b85-8205-f3bf777ded24/73961503-f9ae-4b92-93ef-dd67f7356d7f</t>
  </si>
  <si>
    <t xml:space="preserve">USAHA PANGKALAN MINYAK TANAH ( MOHAMAD) </t>
  </si>
  <si>
    <t>MANGGA</t>
  </si>
  <si>
    <t>BUFIDAYA POHON MANGGA</t>
  </si>
  <si>
    <t>30000.0</t>
  </si>
  <si>
    <t>https://fasih-sm.bps.go.id/app/assignment/fd68e454-ba45-4b85-8205-f3bf777ded24/91184f7a-44fd-42ca-ab13-163c163c54f4</t>
  </si>
  <si>
    <t>PANGKALAN MINYAK TANAH (MARIA KIDI SABON)</t>
  </si>
  <si>
    <t>Mengusahakan tanaman pangan</t>
  </si>
  <si>
    <t>60000.0</t>
  </si>
  <si>
    <t>https://fasih-sm.bps.go.id/app/assignment/fd68e454-ba45-4b85-8205-f3bf777ded24/bb47f9f3-8c38-4567-90e3-ba672e92a6b6</t>
  </si>
  <si>
    <t xml:space="preserve">PANGKALAN MINYAK (MARIA IMAKULATA TULI SAMON) </t>
  </si>
  <si>
    <t>Menerima dan Menjual kembali minyak tanah</t>
  </si>
  <si>
    <t>https://fasih-sm.bps.go.id/app/assignment/fd68e454-ba45-4b85-8205-f3bf777ded24/c1f3e485-4f6e-4c72-886f-e4596b7cfd48</t>
  </si>
  <si>
    <t xml:space="preserve">PANGKALAN MINYAK TANAH(HENDRIKUS SALON MEBEL) </t>
  </si>
  <si>
    <t>MEMBELI DAN MENJUAL MINYAK TANAH</t>
  </si>
  <si>
    <t>25010000.0</t>
  </si>
  <si>
    <t>https://fasih-sm.bps.go.id/app/assignment/fd68e454-ba45-4b85-8205-f3bf777ded24/2d598689-119f-4d32-ab89-80234a072a9a</t>
  </si>
  <si>
    <t>PMT ARINA(RIDWAN DAUD)</t>
  </si>
  <si>
    <t xml:space="preserve">PANGKALAN MINYAK TANA (TASLIM SYAMSUDIN) </t>
  </si>
  <si>
    <t>Membeli minyak tanah secara banyak ke pertamina untuk di jual di masyarakat dengan harga yang di tentukan oleh pertamina</t>
  </si>
  <si>
    <t>12480000.0</t>
  </si>
  <si>
    <t>https://fasih-sm.bps.go.id/app/assignment/fd68e454-ba45-4b85-8205-f3bf777ded24/7c421fa9-3acf-4f76-a9d7-ebfa717e69c0</t>
  </si>
  <si>
    <t xml:space="preserve">USAHA MINYAK MURNI( HELENA) </t>
  </si>
  <si>
    <t>MINYAK MURNI</t>
  </si>
  <si>
    <t>JUALAN MINYAK MURNI</t>
  </si>
  <si>
    <t>540000.0</t>
  </si>
  <si>
    <t>https://fasih-sm.bps.go.id/app/assignment/fd68e454-ba45-4b85-8205-f3bf777ded24/3a0bedee-d393-45aa-88a1-2397a884d56c</t>
  </si>
  <si>
    <t>PANGAKALAN MINYAK TANAH (YOSEFINA UBA BEDA)</t>
  </si>
  <si>
    <t>Menjual minyak tanah</t>
  </si>
  <si>
    <t>14550000.0</t>
  </si>
  <si>
    <t>https://fasih-sm.bps.go.id/app/assignment/fd68e454-ba45-4b85-8205-f3bf777ded24/2316cfc1-c9cc-459a-91e1-68b37c27714d</t>
  </si>
  <si>
    <t>PANGKALAN MINYAK TANAH (KAMSINA SURAT WASA)</t>
  </si>
  <si>
    <t>BUAH KELAPA</t>
  </si>
  <si>
    <t>PERAWATAN SAMPAI PEMANENAN BUAH KELAPA</t>
  </si>
  <si>
    <t>https://fasih-sm.bps.go.id/app/assignment/fd68e454-ba45-4b85-8205-f3bf777ded24/ace81861-c8b8-4bdc-8f50-bb9f3e5340b6</t>
  </si>
  <si>
    <t>47774</t>
  </si>
  <si>
    <t>LEIKA PARFUM (EDWIN ALI)</t>
  </si>
  <si>
    <t>PARFUM</t>
  </si>
  <si>
    <t>MENJUAL ANEKA PEWANGI (PARFUM)</t>
  </si>
  <si>
    <t>17000000.0</t>
  </si>
  <si>
    <t>https://fasih-sm.bps.go.id/app/assignment/fd68e454-ba45-4b85-8205-f3bf777ded24/5e997936-f185-46df-b43f-29aeddc33514</t>
  </si>
  <si>
    <t>GLOBAL OFFSET SEJATHERA</t>
  </si>
  <si>
    <t>KEBUTUHAN LOGISTIK DAN KOMODITAS</t>
  </si>
  <si>
    <t>PENGADAAN BARANG</t>
  </si>
  <si>
    <t>https://fasih-sm.bps.go.id/app/assignment/fd68e454-ba45-4b85-8205-f3bf777ded24/62577f5b-3bc8-4e5c-9e8f-b4c22bb8babf</t>
  </si>
  <si>
    <t>46206</t>
  </si>
  <si>
    <t>NELAYAN (UZMAN)</t>
  </si>
  <si>
    <t>Menangkap ikan di laut</t>
  </si>
  <si>
    <t>4050000.0</t>
  </si>
  <si>
    <t>https://fasih-sm.bps.go.id/app/assignment/fd68e454-ba45-4b85-8205-f3bf777ded24/42fa9abb-e753-4ef1-b18e-ea05b393b1d4</t>
  </si>
  <si>
    <t>USAHA IKAN (SALEH)</t>
  </si>
  <si>
    <t xml:space="preserve">Membeli dan menjual ikan antar kabupaten </t>
  </si>
  <si>
    <t>1628200000.0</t>
  </si>
  <si>
    <t>https://fasih-sm.bps.go.id/app/assignment/fd68e454-ba45-4b85-8205-f3bf777ded24/ea873663-b1f3-412d-b0a7-22250ce0c491</t>
  </si>
  <si>
    <t>PENIMBANG ABDUL PALA (ABDUL KABIR SABON)</t>
  </si>
  <si>
    <t>Perdagangan hasil pertanian</t>
  </si>
  <si>
    <t>https://fasih-sm.bps.go.id/app/assignment/fd68e454-ba45-4b85-8205-f3bf777ded24/3e4ba761-f132-4714-a5b9-883a69eb4775</t>
  </si>
  <si>
    <t>UD HASIL PERKEBUNAN ( SILVESTER NASIP )</t>
  </si>
  <si>
    <t>HASIL PERKEBUNAN</t>
  </si>
  <si>
    <t>MEMBELI HASIL KOMUDITAS PERKEBUNAN LALU MENJUAL KEMBALI</t>
  </si>
  <si>
    <t>151820000.0</t>
  </si>
  <si>
    <t>https://fasih-sm.bps.go.id/app/assignment/fd68e454-ba45-4b85-8205-f3bf777ded24/99777333-e7b4-457c-a81f-d5bc4b873f84</t>
  </si>
  <si>
    <t>46319</t>
  </si>
  <si>
    <t>Utp perkebunan Yakobus malen</t>
  </si>
  <si>
    <t>Kemiri</t>
  </si>
  <si>
    <t xml:space="preserve">Budidaya tanaman perkebunan </t>
  </si>
  <si>
    <t>https://fasih-sm.bps.go.id/app/assignment/fd68e454-ba45-4b85-8205-f3bf777ded24/1fc5e074-9782-4d7e-91e0-c77a26c1144c</t>
  </si>
  <si>
    <t xml:space="preserve">USAHA PENGEPUL HASIL PERTANIAN PERKEBUNAN(MIKAEL DARE LOSOR) </t>
  </si>
  <si>
    <t>SEMBAKO DAN JAJANAN</t>
  </si>
  <si>
    <t>MENJUAL BERBAGAI JENIS SEMBAKO DAN JAJANAN</t>
  </si>
  <si>
    <t>5080000.0</t>
  </si>
  <si>
    <t>https://fasih-sm.bps.go.id/app/assignment/fd68e454-ba45-4b85-8205-f3bf777ded24/f0d78ee6-0a6c-4b3d-8074-6fe3860f0066</t>
  </si>
  <si>
    <t>USAHA PERDAGANGAN (WILHELMINA TUKAN)</t>
  </si>
  <si>
    <t xml:space="preserve">PADI </t>
  </si>
  <si>
    <t>MEMBUDIDAYAKAN TANAMAN PADI</t>
  </si>
  <si>
    <t>955000.0</t>
  </si>
  <si>
    <t>https://fasih-sm.bps.go.id/app/assignment/fd68e454-ba45-4b85-8205-f3bf777ded24/5d6eb871-b3a4-44af-9dfd-039aa4022126</t>
  </si>
  <si>
    <t>BENGKEL MOTOR LESTARI</t>
  </si>
  <si>
    <t>Suku cadang motor</t>
  </si>
  <si>
    <t>Penjualan suku cadang</t>
  </si>
  <si>
    <t>2415000.0</t>
  </si>
  <si>
    <t>https://fasih-sm.bps.go.id/app/assignment/fd68e454-ba45-4b85-8205-f3bf777ded24/ed8b468b-cdf4-4442-a6c3-011b144b5d0a</t>
  </si>
  <si>
    <t>46633</t>
  </si>
  <si>
    <t>DAKAPER MOTOR</t>
  </si>
  <si>
    <t>Tidak ada</t>
  </si>
  <si>
    <t>Jual Beli barang sperpat Motor</t>
  </si>
  <si>
    <t>1739570000.0</t>
  </si>
  <si>
    <t>https://fasih-sm.bps.go.id/app/assignment/fd68e454-ba45-4b85-8205-f3bf777ded24/72f87ffd-7889-4f72-b944-119d6313ff53</t>
  </si>
  <si>
    <t>46738</t>
  </si>
  <si>
    <t xml:space="preserve">Usaha jualan matrial bangunana ( marselinus wujo) </t>
  </si>
  <si>
    <t>Menjual material bangunana</t>
  </si>
  <si>
    <t>737000000.0</t>
  </si>
  <si>
    <t>https://fasih-sm.bps.go.id/app/assignment/fd68e454-ba45-4b85-8205-f3bf777ded24/e9a8030c-6b80-459c-b1a3-2c84d5ab661b</t>
  </si>
  <si>
    <t>KIOS BISARA (YOHANES OLA SUA)</t>
  </si>
  <si>
    <t xml:space="preserve">Barang sembako </t>
  </si>
  <si>
    <t xml:space="preserve">MENJUAL BARANG SEMBAKO </t>
  </si>
  <si>
    <t>149000000.0</t>
  </si>
  <si>
    <t>https://fasih-sm.bps.go.id/app/assignment/fd68e454-ba45-4b85-8205-f3bf777ded24/340a5cb1-ee9b-4ec8-aae8-9a7d54a25c8d</t>
  </si>
  <si>
    <t>KIOS GLORIA</t>
  </si>
  <si>
    <t>Kios sembako agustinus diaz</t>
  </si>
  <si>
    <t>https://fasih-sm.bps.go.id/app/assignment/fd68e454-ba45-4b85-8205-f3bf777ded24/44daa5d9-6a0d-4c42-a239-b01c76254b31</t>
  </si>
  <si>
    <t>KIOS (MARIA TUTO OLA)</t>
  </si>
  <si>
    <t>BUAH KELAPA TUA</t>
  </si>
  <si>
    <t>MEMBUDIDAYAKAN TANAMAN KELAPA MELIPUTI PENANAMAN, PEMELIHARAAN DAN PEMANENAN BUAH KELAPA TUA</t>
  </si>
  <si>
    <t>600000.0</t>
  </si>
  <si>
    <t>https://fasih-sm.bps.go.id/app/assignment/fd68e454-ba45-4b85-8205-f3bf777ded24/e6bc22a2-ae70-406a-9938-d713b598817d</t>
  </si>
  <si>
    <t>USAHA MUHAMMAD WAIMAHING</t>
  </si>
  <si>
    <t>BAHAN SEMBAKO RUMAH TANGGA</t>
  </si>
  <si>
    <t>MENCUAL SEMBAKO DI RUMAH</t>
  </si>
  <si>
    <t>25200000.0</t>
  </si>
  <si>
    <t>https://fasih-sm.bps.go.id/app/assignment/fd68e454-ba45-4b85-8205-f3bf777ded24/cd51fc26-1236-470c-9e7f-4552dbc84c2d</t>
  </si>
  <si>
    <t>KIOS (MONIKA PENI MASAN)</t>
  </si>
  <si>
    <t>Jajan, sembako, tembakau</t>
  </si>
  <si>
    <t>Menjual jajanan, sembako, dan tembakau</t>
  </si>
  <si>
    <t>28350000.0</t>
  </si>
  <si>
    <t>https://fasih-sm.bps.go.id/app/assignment/fd68e454-ba45-4b85-8205-f3bf777ded24/4485e691-ef32-4be3-be08-3094d892946d</t>
  </si>
  <si>
    <t xml:space="preserve">USAHA KIOS YUSTINA LITO LEIN </t>
  </si>
  <si>
    <t xml:space="preserve">Mie instan, minyak goreng,rokok, telur,dan gula pasir </t>
  </si>
  <si>
    <t xml:space="preserve">Perdagangan eceran berbagai macam barang kebutuhan pokok (sembako)di kios </t>
  </si>
  <si>
    <t>36000000.0</t>
  </si>
  <si>
    <t>https://fasih-sm.bps.go.id/app/assignment/fd68e454-ba45-4b85-8205-f3bf777ded24/0849b37f-8941-4cf8-9cf8-1f664606760a</t>
  </si>
  <si>
    <t>KIOS SEMBAKO DUA PUTRA (NURASIAH)</t>
  </si>
  <si>
    <t>https://fasih-sm.bps.go.id/app/assignment/fd68e454-ba45-4b85-8205-f3bf777ded24/120f458c-61b4-4f31-9c2e-1f1e444b6302</t>
  </si>
  <si>
    <t>USAHA KIOS SEMBAKO (KATARINA PENI WUJON)</t>
  </si>
  <si>
    <t>JUAL BELI BARANG SEMBAKO</t>
  </si>
  <si>
    <t>https://fasih-sm.bps.go.id/app/assignment/fd68e454-ba45-4b85-8205-f3bf777ded24/147d2d50-d706-4e6c-a7a8-4fec51568715</t>
  </si>
  <si>
    <t>KIOS ARSAVE (MARIA BAHI)</t>
  </si>
  <si>
    <t>Berbagai macam barang kebutuhan pokok</t>
  </si>
  <si>
    <t>Perdagangan eceran sembako dan bahan pokok lainnya</t>
  </si>
  <si>
    <t>38900000.0</t>
  </si>
  <si>
    <t>https://fasih-sm.bps.go.id/app/assignment/fd68e454-ba45-4b85-8205-f3bf777ded24/05dbade5-bfe5-43ba-b143-5cf5cdbf62e8</t>
  </si>
  <si>
    <t>KIOS SEMBAKO (AISYA NUGI)</t>
  </si>
  <si>
    <t>Beras</t>
  </si>
  <si>
    <t>Kios menjual sembako</t>
  </si>
  <si>
    <t>https://fasih-sm.bps.go.id/app/assignment/fd68e454-ba45-4b85-8205-f3bf777ded24/595ad76b-d538-4b6c-b4ec-9635216c3c14</t>
  </si>
  <si>
    <t xml:space="preserve">KIOS ORA ET LABORA (THERESIA LIMUT) </t>
  </si>
  <si>
    <t>jual makanan, minuman atau tembakau</t>
  </si>
  <si>
    <t>256100000.0</t>
  </si>
  <si>
    <t>https://fasih-sm.bps.go.id/app/assignment/fd68e454-ba45-4b85-8205-f3bf777ded24/630ed2bf-8eb4-440d-b53d-891b1a3ce8e2</t>
  </si>
  <si>
    <t>KIOS BUBALA(ADELCE BUBALA)</t>
  </si>
  <si>
    <t>sembako</t>
  </si>
  <si>
    <t>menjual sembako</t>
  </si>
  <si>
    <t>13100000.0</t>
  </si>
  <si>
    <t>https://fasih-sm.bps.go.id/app/assignment/fd68e454-ba45-4b85-8205-f3bf777ded24/644d50be-1275-435e-92c3-e11e84e88856</t>
  </si>
  <si>
    <t>USAHA KIOS RISNA (TERESIA WERANG)</t>
  </si>
  <si>
    <t>MENJUAL BARANG ECERAN SEMBAKO</t>
  </si>
  <si>
    <t>29760000.0</t>
  </si>
  <si>
    <t>https://fasih-sm.bps.go.id/app/assignment/fd68e454-ba45-4b85-8205-f3bf777ded24/6132740a-157b-4fb9-b90f-8f05bf4d7206</t>
  </si>
  <si>
    <t xml:space="preserve">KIOS DIVA (MARIA ULFA) </t>
  </si>
  <si>
    <t>Jasa transfer dan simpan uang</t>
  </si>
  <si>
    <t>Jasa transfer dan penyimpanan uang</t>
  </si>
  <si>
    <t>14400000.0</t>
  </si>
  <si>
    <t>https://fasih-sm.bps.go.id/app/assignment/fd68e454-ba45-4b85-8205-f3bf777ded24/7f908a23-963d-4583-9794-1cea31016306</t>
  </si>
  <si>
    <t xml:space="preserve">KIOS LENY </t>
  </si>
  <si>
    <t>Eceran Sembako</t>
  </si>
  <si>
    <t>Kios jualan eceran sembako</t>
  </si>
  <si>
    <t>800000.0</t>
  </si>
  <si>
    <t>https://fasih-sm.bps.go.id/app/assignment/fd68e454-ba45-4b85-8205-f3bf777ded24/934fdab2-b3b5-448c-be73-20de34ed5d7b</t>
  </si>
  <si>
    <t xml:space="preserve">KIOS SEMBAKO (DAHLIA ALI) </t>
  </si>
  <si>
    <t>SEMBAKO DAN LAINNYA</t>
  </si>
  <si>
    <t>MENJUAL KEBUTUHAN POKOK DAN KEPRLUAN LAINNYA</t>
  </si>
  <si>
    <t>147310000.0</t>
  </si>
  <si>
    <t>https://fasih-sm.bps.go.id/app/assignment/fd68e454-ba45-4b85-8205-f3bf777ded24/905cfed2-b769-40cb-9450-500e08feca56</t>
  </si>
  <si>
    <t>KIOS ARMAN (NILAWATI)</t>
  </si>
  <si>
    <t>SNACK</t>
  </si>
  <si>
    <t>PERDAGANGAN ECERAN BERBAGAI MACAM BARANG KEBUTUHAN POKOK DI KIOS</t>
  </si>
  <si>
    <t>323500000.0</t>
  </si>
  <si>
    <t>https://fasih-sm.bps.go.id/app/assignment/fd68e454-ba45-4b85-8205-f3bf777ded24/8a172147-5448-4d44-8d1e-abf922f58b0d</t>
  </si>
  <si>
    <t>KIOS (YOHANA TUTO PARI)</t>
  </si>
  <si>
    <t>Penjualan kepeluan rumah tangga</t>
  </si>
  <si>
    <t xml:space="preserve">MENJUAL SEMBAKO </t>
  </si>
  <si>
    <t>6700000.0</t>
  </si>
  <si>
    <t>https://fasih-sm.bps.go.id/app/assignment/fd68e454-ba45-4b85-8205-f3bf777ded24/af365f99-add6-44ce-b4db-ca914d9aa927</t>
  </si>
  <si>
    <t xml:space="preserve">BUDIDAYA TANAMAN PISANG KEPOK </t>
  </si>
  <si>
    <t>400000.0</t>
  </si>
  <si>
    <t>https://fasih-sm.bps.go.id/app/assignment/fd68e454-ba45-4b85-8205-f3bf777ded24/d123e948-3235-46b1-b021-28518d1321e3</t>
  </si>
  <si>
    <t xml:space="preserve">KIOS ERLEN </t>
  </si>
  <si>
    <t>menjual sarimie, telur, rokok</t>
  </si>
  <si>
    <t>https://fasih-sm.bps.go.id/app/assignment/fd68e454-ba45-4b85-8205-f3bf777ded24/e1b51513-4b0b-44ca-bb06-477e3a9e9624</t>
  </si>
  <si>
    <t>KIOS ( ELISABET K HURUNG )</t>
  </si>
  <si>
    <t xml:space="preserve">BANGUNAN KONTRAKAN </t>
  </si>
  <si>
    <t xml:space="preserve">PENYEWAAN BANGUNAN </t>
  </si>
  <si>
    <t>https://fasih-sm.bps.go.id/app/assignment/fd68e454-ba45-4b85-8205-f3bf777ded24/f487e0bd-a249-4120-a9a6-6a6472550639</t>
  </si>
  <si>
    <t>KIOS OSE BALE (OSE BALE)</t>
  </si>
  <si>
    <t xml:space="preserve">Jualan Aneka Sembako </t>
  </si>
  <si>
    <t>5338000.0</t>
  </si>
  <si>
    <t>https://fasih-sm.bps.go.id/app/assignment/fd68e454-ba45-4b85-8205-f3bf777ded24/dd38301a-428e-4c43-97b1-920efbd23b01</t>
  </si>
  <si>
    <t xml:space="preserve">KIOS SEMBAKO (LASARUS GULA OPUN HULER) </t>
  </si>
  <si>
    <t>259000000.0</t>
  </si>
  <si>
    <t>https://fasih-sm.bps.go.id/app/assignment/fd68e454-ba45-4b85-8205-f3bf777ded24/04e8469a-7281-4143-883f-460bc88a93a3</t>
  </si>
  <si>
    <t>KIOS SEMBAKO DONI KELEN</t>
  </si>
  <si>
    <t>Barang-barang kebutuhan pokok</t>
  </si>
  <si>
    <t>Menjual barang sembako</t>
  </si>
  <si>
    <t>11050000.0</t>
  </si>
  <si>
    <t>https://fasih-sm.bps.go.id/app/assignment/fd68e454-ba45-4b85-8205-f3bf777ded24/3da91d6c-7001-477c-ad9a-1331cc88085b</t>
  </si>
  <si>
    <t xml:space="preserve">JUAL GARAM LOKAL (JOHOR) </t>
  </si>
  <si>
    <t>Menangkap ikan konsumsi</t>
  </si>
  <si>
    <t>https://fasih-sm.bps.go.id/app/assignment/fd68e454-ba45-4b85-8205-f3bf777ded24/06964471-82b9-4abb-b4c1-1c15e2094a3c</t>
  </si>
  <si>
    <t>USAHA KIOS (ELISABETH TIMU)</t>
  </si>
  <si>
    <t>https://fasih-sm.bps.go.id/app/assignment/fd68e454-ba45-4b85-8205-f3bf777ded24/03c7b3db-6a55-4fdc-980b-f8547b96976f</t>
  </si>
  <si>
    <t>KIOS (AGNES UTO)</t>
  </si>
  <si>
    <t xml:space="preserve">barang kebutuhan sehari-hari </t>
  </si>
  <si>
    <t xml:space="preserve">menjual barang kebutuhan sehari-hari </t>
  </si>
  <si>
    <t>26500000.0</t>
  </si>
  <si>
    <t>https://fasih-sm.bps.go.id/app/assignment/fd68e454-ba45-4b85-8205-f3bf777ded24/3561db4c-8a1d-4022-ae2d-5aabb922bdc2</t>
  </si>
  <si>
    <t>KIOS WATO EKOT</t>
  </si>
  <si>
    <t>17850000.0</t>
  </si>
  <si>
    <t>https://fasih-sm.bps.go.id/app/assignment/fd68e454-ba45-4b85-8205-f3bf777ded24/4c01fdb4-f383-4f1d-8fef-c66a85abe708</t>
  </si>
  <si>
    <t>KIOS WINNYMOTTOREY</t>
  </si>
  <si>
    <t xml:space="preserve">Menjual kebutuhan sehari-hari </t>
  </si>
  <si>
    <t>67000000.0</t>
  </si>
  <si>
    <t>https://fasih-sm.bps.go.id/app/assignment/fd68e454-ba45-4b85-8205-f3bf777ded24/2f8efd7b-d36c-48bc-9bd8-b157897928c3</t>
  </si>
  <si>
    <t>USAHA KIOS ( YANTO B. ARNOLDUSAMO )</t>
  </si>
  <si>
    <t>PADI LADANG INBRIDA</t>
  </si>
  <si>
    <t>MEMBUDIDAYAKAN TANAMAN PANGAN UNTUK DIKONSUMSI SENDIRI</t>
  </si>
  <si>
    <t>255000.0</t>
  </si>
  <si>
    <t>https://fasih-sm.bps.go.id/app/assignment/fd68e454-ba45-4b85-8205-f3bf777ded24/209e3a00-77d7-4b07-b64f-e6c67c49d5d9</t>
  </si>
  <si>
    <t>KIOS SEMBAKO (ANESTA INA METE)</t>
  </si>
  <si>
    <t>jualan sembako;tugu buaya,shampoo,jasjus,</t>
  </si>
  <si>
    <t>jualan sembako;tugu buaya,shampoo,jasjus,permen,coriorio,columbia,daia,energen,telur ayam,mie instan,wings,gula pasir,ajinomoto</t>
  </si>
  <si>
    <t>16850000.0</t>
  </si>
  <si>
    <t>https://fasih-sm.bps.go.id/app/assignment/fd68e454-ba45-4b85-8205-f3bf777ded24/59507922-709f-4411-9778-43e92f119da9</t>
  </si>
  <si>
    <t>PERDAGANGAN SEMBAKO (FATIMAH UMAR)</t>
  </si>
  <si>
    <t xml:space="preserve">ANEKA SEMBAKO </t>
  </si>
  <si>
    <t xml:space="preserve">MENJUAL ANEKA SEMBAKO </t>
  </si>
  <si>
    <t>203400000.0</t>
  </si>
  <si>
    <t>https://fasih-sm.bps.go.id/app/assignment/fd68e454-ba45-4b85-8205-f3bf777ded24/41cd1b6e-0b3f-40db-baa4-903f580c11eb</t>
  </si>
  <si>
    <t>KIOS RIANGMUDA (YOSEF KIA HAYON)</t>
  </si>
  <si>
    <t>SEMBAKO DAN PERALATAN PANCING</t>
  </si>
  <si>
    <t>1370000.0</t>
  </si>
  <si>
    <t>https://fasih-sm.bps.go.id/app/assignment/fd68e454-ba45-4b85-8205-f3bf777ded24/7e71d844-23a7-49da-b660-b0fa61235b08</t>
  </si>
  <si>
    <t xml:space="preserve">KIOS SEMBAKO (LUSIA SOMI MARAN) </t>
  </si>
  <si>
    <t>Barang sembako</t>
  </si>
  <si>
    <t>https://fasih-sm.bps.go.id/app/assignment/fd68e454-ba45-4b85-8205-f3bf777ded24/a6ca222c-2e2b-4995-ada0-5926408a3092</t>
  </si>
  <si>
    <t>Kios(Martinus)</t>
  </si>
  <si>
    <t>37440000.0</t>
  </si>
  <si>
    <t>https://fasih-sm.bps.go.id/app/assignment/fd68e454-ba45-4b85-8205-f3bf777ded24/a946cabd-b358-4590-8974-91343b02f87f</t>
  </si>
  <si>
    <t>USAHA KIOS (ELISABETH JAWA ARAN)</t>
  </si>
  <si>
    <t>JAMBU MENTE</t>
  </si>
  <si>
    <t>https://fasih-sm.bps.go.id/app/assignment/fd68e454-ba45-4b85-8205-f3bf777ded24/66f262b3-aa67-4664-96f8-d12b8a4c1bd7</t>
  </si>
  <si>
    <t>KIOS BUMDES SOGA LEWO</t>
  </si>
  <si>
    <t>BAHAN SEMBAKO</t>
  </si>
  <si>
    <t>MENJUAL BAHAN SEMBAKO</t>
  </si>
  <si>
    <t>68400000.0</t>
  </si>
  <si>
    <t>https://fasih-sm.bps.go.id/app/assignment/fd68e454-ba45-4b85-8205-f3bf777ded24/a5270c26-ea6d-4159-91fe-6546eaea0df4</t>
  </si>
  <si>
    <t xml:space="preserve"> KELAPA</t>
  </si>
  <si>
    <t xml:space="preserve">BUDIDAYA TANAMAN KELAPA </t>
  </si>
  <si>
    <t>650000.0</t>
  </si>
  <si>
    <t>https://fasih-sm.bps.go.id/app/assignment/fd68e454-ba45-4b85-8205-f3bf777ded24/812c68f2-9ad6-4758-be00-9d1a0f8274a5</t>
  </si>
  <si>
    <t>KIOS &lt;EMILIA ERO&gt;</t>
  </si>
  <si>
    <t>UBI TALAS</t>
  </si>
  <si>
    <t>BUDIDAYA TANAMAN PANGAN UBI TALAS</t>
  </si>
  <si>
    <t>https://fasih-sm.bps.go.id/app/assignment/fd68e454-ba45-4b85-8205-f3bf777ded24/d7cb1b32-525e-4d5a-a0fb-ab03fc775dba</t>
  </si>
  <si>
    <t>KIOS -MONIKA NOGO KUNG-</t>
  </si>
  <si>
    <t>Menjual beras, gula pasir, kopi, minyak goreng, tepung dan lain lain</t>
  </si>
  <si>
    <t>9700000.0</t>
  </si>
  <si>
    <t>https://fasih-sm.bps.go.id/app/assignment/fd68e454-ba45-4b85-8205-f3bf777ded24/a28667da-ad21-4686-abbb-9611e4d710a5</t>
  </si>
  <si>
    <t>KIOS SEMBAKO (SESILIA KENEKA MULI)</t>
  </si>
  <si>
    <t xml:space="preserve">MENANAM JAGUNG </t>
  </si>
  <si>
    <t>https://fasih-sm.bps.go.id/app/assignment/fd68e454-ba45-4b85-8205-f3bf777ded24/b24c043c-10a8-48e3-a388-1f33a96a32e0</t>
  </si>
  <si>
    <t>KIOS VARLIN</t>
  </si>
  <si>
    <t>MEMBUDIDAYAKAN PADI LADANG</t>
  </si>
  <si>
    <t>2750000.0</t>
  </si>
  <si>
    <t>https://fasih-sm.bps.go.id/app/assignment/fd68e454-ba45-4b85-8205-f3bf777ded24/e38974c1-2daf-4813-8c7b-c0529dafe871</t>
  </si>
  <si>
    <t>USAHA KIOS SEMBAKO NASRIL ( NURUL HIDAYAH ABDULLAH )</t>
  </si>
  <si>
    <t>INDUSTRI AIR MINUM ISI ULANG</t>
  </si>
  <si>
    <t>MEMPRODUKSI AIR MINUM ISI ULANG DARI AIR BAKU MELALUI PROSES PENJERNIHAN</t>
  </si>
  <si>
    <t>10474000.0</t>
  </si>
  <si>
    <t>https://fasih-sm.bps.go.id/app/assignment/fd68e454-ba45-4b85-8205-f3bf777ded24/e97bc598-5f0a-4aaf-a90f-e4eee5f61374</t>
  </si>
  <si>
    <t>USAHA KIOS(KRISTINA WELE)</t>
  </si>
  <si>
    <t>8550000.0</t>
  </si>
  <si>
    <t>https://fasih-sm.bps.go.id/app/assignment/fd68e454-ba45-4b85-8205-f3bf777ded24/fbbf1924-319a-4909-b4f3-4fd4897721ee</t>
  </si>
  <si>
    <t xml:space="preserve">KIOS (NONA RIDWAN) </t>
  </si>
  <si>
    <t>BARANG ENCERAN MAKANAN DAN MINUMAN</t>
  </si>
  <si>
    <t>MENJUAL SEMBAKO, BARANG ENCERAN MAKANAN DAN MINUMAN SERTA TEMBAKAU.</t>
  </si>
  <si>
    <t>24350000.0</t>
  </si>
  <si>
    <t>https://fasih-sm.bps.go.id/app/assignment/fd68e454-ba45-4b85-8205-f3bf777ded24/f23ab874-37cf-4a24-8463-f3da94e3df61</t>
  </si>
  <si>
    <t>KIOS SITI AMINA</t>
  </si>
  <si>
    <t xml:space="preserve">Barang kebutuhan sehari-hari rumah tangga </t>
  </si>
  <si>
    <t xml:space="preserve">Menjual Barang kebutuhan sehari-hari rumah tangga </t>
  </si>
  <si>
    <t>9510000.0</t>
  </si>
  <si>
    <t>https://fasih-sm.bps.go.id/app/assignment/fd68e454-ba45-4b85-8205-f3bf777ded24/e909dc05-8ca7-4e0e-a889-473c6709b947</t>
  </si>
  <si>
    <t>KIOS TIGA BERSAUDARA (FARIDA BAKTIAR)</t>
  </si>
  <si>
    <t>Jual barang Sembako</t>
  </si>
  <si>
    <t>75000000.0</t>
  </si>
  <si>
    <t>https://fasih-sm.bps.go.id/app/assignment/fd68e454-ba45-4b85-8205-f3bf777ded24/ec4eae5a-afd1-4dad-ac62-7278dde0f334</t>
  </si>
  <si>
    <t xml:space="preserve">KIOS ( MM THERESIA WAIN) </t>
  </si>
  <si>
    <t>KAIN SARUNG KEWATEK</t>
  </si>
  <si>
    <t>MENGIKAT MOTIF PADA BENANG LALU MENENUNNYA MENJADI KAIN SARUNG KEWATEK</t>
  </si>
  <si>
    <t>3950000.0</t>
  </si>
  <si>
    <t>https://fasih-sm.bps.go.id/app/assignment/fd68e454-ba45-4b85-8205-f3bf777ded24/1a0dc985-b7de-417a-bf77-cd076ed6b685</t>
  </si>
  <si>
    <t>KEDAI MINUM</t>
  </si>
  <si>
    <t>Es, kue dan jajan snek lainya</t>
  </si>
  <si>
    <t>Jualan jajan kue, es dan makanan ringan lainya</t>
  </si>
  <si>
    <t>https://fasih-sm.bps.go.id/app/assignment/fd68e454-ba45-4b85-8205-f3bf777ded24/1df5bace-e409-45c0-9845-7b3d035764dd</t>
  </si>
  <si>
    <t>KIOS (BENEDIKTA JARI)</t>
  </si>
  <si>
    <t xml:space="preserve">Menjual berbagai berbagai macam sembako </t>
  </si>
  <si>
    <t>https://fasih-sm.bps.go.id/app/assignment/fd68e454-ba45-4b85-8205-f3bf777ded24/01492feb-db47-4bad-a0b4-cefce2122b2b</t>
  </si>
  <si>
    <t>12200000.0</t>
  </si>
  <si>
    <t>https://fasih-sm.bps.go.id/app/assignment/fd68e454-ba45-4b85-8205-f3bf777ded24/005f2aed-8b02-4cfd-859a-6594b525af6c</t>
  </si>
  <si>
    <t>PINANG</t>
  </si>
  <si>
    <t>BUDIDAYA DAN PEMELIHARAAN POHON PINANG UNTUK MENGHASILKAN BUAH DAN DIJUAL</t>
  </si>
  <si>
    <t>https://fasih-sm.bps.go.id/app/assignment/fd68e454-ba45-4b85-8205-f3bf777ded24/765940a9-44d4-42d0-96b5-bacbd33b2e90</t>
  </si>
  <si>
    <t>WARUNG SEMBAKO REGINA</t>
  </si>
  <si>
    <t>3750000.0</t>
  </si>
  <si>
    <t>https://fasih-sm.bps.go.id/app/assignment/fd68e454-ba45-4b85-8205-f3bf777ded24/69f19224-61fe-44a4-b9af-01a00b77ee04</t>
  </si>
  <si>
    <t>KIOS SEMBAKO&lt;MUHAMAD FANDY&gt;</t>
  </si>
  <si>
    <t>SEMBAKO; BERAS, TELUR, MINYAK</t>
  </si>
  <si>
    <t>MENJUAL SEMBAKO; BERAS, TELUR, MINYAK</t>
  </si>
  <si>
    <t>33000000.0</t>
  </si>
  <si>
    <t>https://fasih-sm.bps.go.id/app/assignment/fd68e454-ba45-4b85-8205-f3bf777ded24/76820031-b2df-42e6-9079-30b954f06bcf</t>
  </si>
  <si>
    <t>UTP KIOS SEMBAKO (KATARINA SURAT WURIN)</t>
  </si>
  <si>
    <t xml:space="preserve">SEMBAKO DAN TEMBAKAU </t>
  </si>
  <si>
    <t xml:space="preserve">PERDAGANGAN ECERAN SEMBAKO </t>
  </si>
  <si>
    <t>34110000.0</t>
  </si>
  <si>
    <t>https://fasih-sm.bps.go.id/app/assignment/fd68e454-ba45-4b85-8205-f3bf777ded24/9236f300-3d4c-44a9-b037-2e86b494a7c1</t>
  </si>
  <si>
    <t xml:space="preserve">UTP TANAMAN PANGAN (HELENA HUPAR TAPO) </t>
  </si>
  <si>
    <t>PENJUALAN SEMBAKO</t>
  </si>
  <si>
    <t>USAHA KIOS SEMBAKO</t>
  </si>
  <si>
    <t>950000.0</t>
  </si>
  <si>
    <t>https://fasih-sm.bps.go.id/app/assignment/fd68e454-ba45-4b85-8205-f3bf777ded24/88ffbc76-3f71-4c7a-ab43-b76303fd38fd</t>
  </si>
  <si>
    <t>KIOS SEMBAKO (MARIA NATALIA PENI MUDAY)</t>
  </si>
  <si>
    <t>MENJUAL BUAH KELAPA BULAT</t>
  </si>
  <si>
    <t>https://fasih-sm.bps.go.id/app/assignment/fd68e454-ba45-4b85-8205-f3bf777ded24/c3d1e8ba-333c-4075-9f9e-305bbb43450d</t>
  </si>
  <si>
    <t>KIOS PANTE WERU (MAMA BETI)</t>
  </si>
  <si>
    <t>ANEKA BARANG MAKAN MINUM DALAM KEMASAN</t>
  </si>
  <si>
    <t xml:space="preserve">MENJUAL ANEKA BARANG MAKAN MINUM DALAM KEMASAN </t>
  </si>
  <si>
    <t>10290000.0</t>
  </si>
  <si>
    <t>https://fasih-sm.bps.go.id/app/assignment/fd68e454-ba45-4b85-8205-f3bf777ded24/d83dee31-07fe-4833-93ea-c58e12e2b1e3</t>
  </si>
  <si>
    <t xml:space="preserve">KIOS SEMBAKO (PETRONELA ARE) </t>
  </si>
  <si>
    <t>PEDAGANG ECERAN</t>
  </si>
  <si>
    <t>https://fasih-sm.bps.go.id/app/assignment/fd68e454-ba45-4b85-8205-f3bf777ded24/b167b14f-94eb-4ce0-8d2e-8aa5af60c31e</t>
  </si>
  <si>
    <t xml:space="preserve">KIOS RAISA </t>
  </si>
  <si>
    <t xml:space="preserve">Barang eceran makanan dan minuman. </t>
  </si>
  <si>
    <t xml:space="preserve">Menjual barang eceran makanan dan minuman serta tembakau. </t>
  </si>
  <si>
    <t>22170000.0</t>
  </si>
  <si>
    <t>https://fasih-sm.bps.go.id/app/assignment/fd68e454-ba45-4b85-8205-f3bf777ded24/d9170c21-6ff8-4d26-8f2d-fe5dab206954</t>
  </si>
  <si>
    <t>TOKO CEMERLANG</t>
  </si>
  <si>
    <t xml:space="preserve">Menjual berbagai kebutuhan </t>
  </si>
  <si>
    <t>https://fasih-sm.bps.go.id/app/assignment/fd68e454-ba45-4b85-8205-f3bf777ded24/f8eabee4-727c-4feb-929e-a0dc49c59b15</t>
  </si>
  <si>
    <t>KIOS VERREL</t>
  </si>
  <si>
    <t xml:space="preserve">BARANG KEBUTUHAN SEHARI-HARI </t>
  </si>
  <si>
    <t>MEMBELI DAN MENJUAL BARANG ECERAN</t>
  </si>
  <si>
    <t>4580000.0</t>
  </si>
  <si>
    <t>https://fasih-sm.bps.go.id/app/assignment/fd68e454-ba45-4b85-8205-f3bf777ded24/fb2e8b1c-1504-4427-904e-3a131a3745f4</t>
  </si>
  <si>
    <t>PERDAGANGAN SEMBAKO (LUSIA UTO KAPITAN)</t>
  </si>
  <si>
    <t>Berbagai barang kebutuhan pokok (sembako)</t>
  </si>
  <si>
    <t>Perdagangan Eceran Sembako / Kebutuhan Pokok</t>
  </si>
  <si>
    <t>https://fasih-sm.bps.go.id/app/assignment/fd68e454-ba45-4b85-8205-f3bf777ded24/f991f533-473f-4e60-aa1a-982e564e5d02</t>
  </si>
  <si>
    <t xml:space="preserve">USAHA KIOS(AGUSTINA SULASTRI URAN) </t>
  </si>
  <si>
    <t>BUDIDAYA PETERNAKAN</t>
  </si>
  <si>
    <t>150000.0</t>
  </si>
  <si>
    <t>https://fasih-sm.bps.go.id/app/assignment/fd68e454-ba45-4b85-8205-f3bf777ded24/17be1e74-eb43-470d-9917-47dc395fa640</t>
  </si>
  <si>
    <t xml:space="preserve">JUAL MAKANAN DAN MINUMAN RINGAN (JAINAB AHMAB) </t>
  </si>
  <si>
    <t>SNACK DAN MINUMAN RINGAN</t>
  </si>
  <si>
    <t>MENJUAL SNACK DAN MINUMAN RINGAN</t>
  </si>
  <si>
    <t>11200000.0</t>
  </si>
  <si>
    <t>https://fasih-sm.bps.go.id/app/assignment/fd68e454-ba45-4b85-8205-f3bf777ded24/28808619-a2b1-4124-9faf-4b2ae4106d20</t>
  </si>
  <si>
    <t>KIOS SEMBAKO SAYID ALI</t>
  </si>
  <si>
    <t>Sembako sayid ali</t>
  </si>
  <si>
    <t xml:space="preserve">Kios sembako sayid ali </t>
  </si>
  <si>
    <t>https://fasih-sm.bps.go.id/app/assignment/fd68e454-ba45-4b85-8205-f3bf777ded24/34816d1e-676a-421e-8940-14967184a5ca</t>
  </si>
  <si>
    <t>USAHA KIOS SEMBAKO ( RAHMI ALWAN )</t>
  </si>
  <si>
    <t>87500000.0</t>
  </si>
  <si>
    <t>https://fasih-sm.bps.go.id/app/assignment/fd68e454-ba45-4b85-8205-f3bf777ded24/2184c3f5-7d63-4728-a0d2-abb98dcf264e</t>
  </si>
  <si>
    <t xml:space="preserve">KIOS EMA LIAS SISILIA NADUK KOTEN </t>
  </si>
  <si>
    <t xml:space="preserve">SEMBAKO ECERAN </t>
  </si>
  <si>
    <t xml:space="preserve">MENJUAL SEMBAKO ECERAN </t>
  </si>
  <si>
    <t>https://fasih-sm.bps.go.id/app/assignment/fd68e454-ba45-4b85-8205-f3bf777ded24/5afb094f-31b7-4e9f-b58e-278ee12e5f69</t>
  </si>
  <si>
    <t>KIOS &lt;MARIA FLORIDA NINI LAOT&gt;</t>
  </si>
  <si>
    <t xml:space="preserve"> PISANG KEPOK</t>
  </si>
  <si>
    <t xml:space="preserve">BUDIDAYA MULAI DARI PENANAMAN HINGGA OEMANENAN </t>
  </si>
  <si>
    <t>https://fasih-sm.bps.go.id/app/assignment/fd68e454-ba45-4b85-8205-f3bf777ded24/67e4c373-4add-412b-a640-8fb49fd35513</t>
  </si>
  <si>
    <t xml:space="preserve">JUALAN SEMBAKO ECERAN (WASUMI HAEPA) </t>
  </si>
  <si>
    <t xml:space="preserve">SEMBAKO </t>
  </si>
  <si>
    <t xml:space="preserve">MENGUSAHAKAN JUALAN SEMBAKO ECERAN </t>
  </si>
  <si>
    <t>13800000.0</t>
  </si>
  <si>
    <t>https://fasih-sm.bps.go.id/app/assignment/fd68e454-ba45-4b85-8205-f3bf777ded24/6c4e08ec-1ddd-45d2-8bec-90b613edfc2b</t>
  </si>
  <si>
    <t>USAHA KIOS ECERAN ( NICOLAUS HANDOKO DA GOMEZ</t>
  </si>
  <si>
    <t>https://fasih-sm.bps.go.id/app/assignment/fd68e454-ba45-4b85-8205-f3bf777ded24/65c0b1b3-7b34-41a6-8286-4103883c7897</t>
  </si>
  <si>
    <t>USAHA SEMBAKO</t>
  </si>
  <si>
    <t>BIJI PALA</t>
  </si>
  <si>
    <t>BUDIDAYA PALA &lt;SAMBORA&gt;</t>
  </si>
  <si>
    <t>https://fasih-sm.bps.go.id/app/assignment/fd68e454-ba45-4b85-8205-f3bf777ded24/9126d1b1-9515-4f81-84ce-9fb8b2e1fbd7</t>
  </si>
  <si>
    <t xml:space="preserve">KIOS (KAMSINA UMAR) </t>
  </si>
  <si>
    <t>BIJI JAMBU METE</t>
  </si>
  <si>
    <t>Memelihara jambu mente</t>
  </si>
  <si>
    <t>https://fasih-sm.bps.go.id/app/assignment/fd68e454-ba45-4b85-8205-f3bf777ded24/8fb8b6de-dce6-4780-911a-2c499a2136ff</t>
  </si>
  <si>
    <t>KIOS CENDANA (PETRONELA LEWAR)</t>
  </si>
  <si>
    <t>https://fasih-sm.bps.go.id/app/assignment/fd68e454-ba45-4b85-8205-f3bf777ded24/a4f6ce9b-ff8f-48b3-9198-28650bf9ba3e</t>
  </si>
  <si>
    <t>KIOS FADILA (SIBEN ABDULLAH)</t>
  </si>
  <si>
    <t>Barang dagang eceran sembako</t>
  </si>
  <si>
    <t>746000000.0</t>
  </si>
  <si>
    <t>https://fasih-sm.bps.go.id/app/assignment/fd68e454-ba45-4b85-8205-f3bf777ded24/acdd1620-3057-4f58-b70c-5bca01638e92</t>
  </si>
  <si>
    <t>USAHA PERDAGANGAN ( LAURENSIUS NAWAWUTUN NIRON)</t>
  </si>
  <si>
    <t xml:space="preserve">KAMBING POTONG </t>
  </si>
  <si>
    <t xml:space="preserve">BUDIDAYA KAMBING POTONG </t>
  </si>
  <si>
    <t>https://fasih-sm.bps.go.id/app/assignment/fd68e454-ba45-4b85-8205-f3bf777ded24/dd6f0216-ece9-4d6c-8715-b8b8dbe628cd</t>
  </si>
  <si>
    <t>KIOS SEMBAKO (ALFONSIUS KEMARA LEWAR)</t>
  </si>
  <si>
    <t>ENCERAN SEMBAKO</t>
  </si>
  <si>
    <t>MENJUAL ENCERAN SEMBAKO</t>
  </si>
  <si>
    <t>37000000.0</t>
  </si>
  <si>
    <t>https://fasih-sm.bps.go.id/app/assignment/fd68e454-ba45-4b85-8205-f3bf777ded24/e5bf6afd-3608-4872-9cd6-c2746cc30ec3</t>
  </si>
  <si>
    <t xml:space="preserve">JUALAN AKSESORIS </t>
  </si>
  <si>
    <t>Penjualan berbagai aksesoris</t>
  </si>
  <si>
    <t xml:space="preserve">Menjual berbagai aksesoris </t>
  </si>
  <si>
    <t>10710000.0</t>
  </si>
  <si>
    <t>https://fasih-sm.bps.go.id/app/assignment/fd68e454-ba45-4b85-8205-f3bf777ded24/8898ef4a-4830-4785-b88e-ec671357aa1c</t>
  </si>
  <si>
    <t>KIOS MAMA AMINAH SALEH</t>
  </si>
  <si>
    <t>19500000.0</t>
  </si>
  <si>
    <t>https://fasih-sm.bps.go.id/app/assignment/fd68e454-ba45-4b85-8205-f3bf777ded24/49eb2329-6da5-4b83-84d9-77671a5da3f1</t>
  </si>
  <si>
    <t>https://fasih-sm.bps.go.id/app/assignment/fd68e454-ba45-4b85-8205-f3bf777ded24/af980fcd-4ffc-4cf9-9897-2f80003b451b</t>
  </si>
  <si>
    <t>USAHA PERDAGANGAN (WILMINCE KROON)</t>
  </si>
  <si>
    <t>LEMARI</t>
  </si>
  <si>
    <t>USAHA INDUSTRI FURNITUR</t>
  </si>
  <si>
    <t>4800000.0</t>
  </si>
  <si>
    <t>https://fasih-sm.bps.go.id/app/assignment/fd68e454-ba45-4b85-8205-f3bf777ded24/4417f164-6696-41f5-bb6d-60588bd4d274</t>
  </si>
  <si>
    <t>USAHA HOLTIKULTURA(PENATEN KELON MARIA)</t>
  </si>
  <si>
    <t>MEMETIK DAN MENJUAL MANGGA</t>
  </si>
  <si>
    <t>https://fasih-sm.bps.go.id/app/assignment/fd68e454-ba45-4b85-8205-f3bf777ded24/723a29fb-b326-40e3-98d4-b8a924b28eb1</t>
  </si>
  <si>
    <t>USAHA KELILING (KRISTINA RIKA)</t>
  </si>
  <si>
    <t xml:space="preserve">Menjual pisang di pasar </t>
  </si>
  <si>
    <t>https://fasih-sm.bps.go.id/app/assignment/fd68e454-ba45-4b85-8205-f3bf777ded24/db8813f6-ed6d-46f0-8a1f-83df768d62c3</t>
  </si>
  <si>
    <t>PEDAGANG PISANG &lt;MARDIA YUSUF&gt;</t>
  </si>
  <si>
    <t>PENGOLAHAN BUAH KELAPA MENJADI KOPRA</t>
  </si>
  <si>
    <t>https://fasih-sm.bps.go.id/app/assignment/fd68e454-ba45-4b85-8205-f3bf777ded24/50092168-d389-4512-a0a4-bac33b657699</t>
  </si>
  <si>
    <t>KIOS(MASYITA KURNIAWAN)</t>
  </si>
  <si>
    <t>TELUR</t>
  </si>
  <si>
    <t>MENJUAL BARANG ECERAN MAKANAN DAN MINUMAN</t>
  </si>
  <si>
    <t>4380000.0</t>
  </si>
  <si>
    <t>https://fasih-sm.bps.go.id/app/assignment/fd68e454-ba45-4b85-8205-f3bf777ded24/81f24160-c681-4b3a-9fbe-65f2eb7c0b32</t>
  </si>
  <si>
    <t xml:space="preserve">INDUSTRI PENYULINGAN ARAK </t>
  </si>
  <si>
    <t xml:space="preserve">ARAK </t>
  </si>
  <si>
    <t>PENYULINGAN ARAK</t>
  </si>
  <si>
    <t>https://fasih-sm.bps.go.id/app/assignment/fd68e454-ba45-4b85-8205-f3bf777ded24/5eed62fc-146e-4ab1-b3bc-519a628f5e19</t>
  </si>
  <si>
    <t>GALON GLORYA</t>
  </si>
  <si>
    <t>AIR GALON ISI ULANG</t>
  </si>
  <si>
    <t>GALON ISI ULANG AIR</t>
  </si>
  <si>
    <t>18800000.0</t>
  </si>
  <si>
    <t>https://fasih-sm.bps.go.id/app/assignment/fd68e454-ba45-4b85-8205-f3bf777ded24/fb2b372e-41fb-4b9e-a103-0bd8a5a0df9b</t>
  </si>
  <si>
    <t>USAHA KUE IBU FRANSISKA SILI</t>
  </si>
  <si>
    <t xml:space="preserve">Babi dewasa dan anak babi </t>
  </si>
  <si>
    <t>Aktivitas pembudidayan ternak babi</t>
  </si>
  <si>
    <t>3500000.0</t>
  </si>
  <si>
    <t>https://fasih-sm.bps.go.id/app/assignment/fd68e454-ba45-4b85-8205-f3bf777ded24/80ba05d8-4b31-42d6-bd55-9b0d31498e91</t>
  </si>
  <si>
    <t xml:space="preserve">USAHA KUE(SOFIA POLIN) </t>
  </si>
  <si>
    <t>KANGKUNG</t>
  </si>
  <si>
    <t>PEMBUDIDAYAAN HORTIKULTURA</t>
  </si>
  <si>
    <t>315674.0</t>
  </si>
  <si>
    <t>https://fasih-sm.bps.go.id/app/assignment/fd68e454-ba45-4b85-8205-f3bf777ded24/5fc43431-873a-439f-a309-80252fa0cefd</t>
  </si>
  <si>
    <t xml:space="preserve">USAHA MENJUAL KUE MARIA THERESITA OSE WELIN </t>
  </si>
  <si>
    <t>KUE JADI YANG DIJUAL</t>
  </si>
  <si>
    <t>JASA PEMBUATAN KUE</t>
  </si>
  <si>
    <t>39848000.0</t>
  </si>
  <si>
    <t>https://fasih-sm.bps.go.id/app/assignment/fd68e454-ba45-4b85-8205-f3bf777ded24/9c485081-2177-495c-845e-c7e1a60b18b6</t>
  </si>
  <si>
    <t>Produksi kue (Aisya)</t>
  </si>
  <si>
    <t xml:space="preserve">Pisang nugget </t>
  </si>
  <si>
    <t xml:space="preserve">Pembuatan kue pisang nugget </t>
  </si>
  <si>
    <t>1205000.0</t>
  </si>
  <si>
    <t>https://fasih-sm.bps.go.id/app/assignment/fd68e454-ba45-4b85-8205-f3bf777ded24/36234967-0d03-4986-ace8-f637e358d453</t>
  </si>
  <si>
    <t>ROYAL BAKERY</t>
  </si>
  <si>
    <t>Berbagai macam jenis roti</t>
  </si>
  <si>
    <t>Menjual Aneka kue basah</t>
  </si>
  <si>
    <t>https://fasih-sm.bps.go.id/app/assignment/fd68e454-ba45-4b85-8205-f3bf777ded24/a881e8b9-6d2c-4ac8-a363-8baac158cd88</t>
  </si>
  <si>
    <t>USAHA KIOS SEMBAKO (MARIA STEFANIA MARAN)</t>
  </si>
  <si>
    <t>MENJUAL SEMBAKO DAN KEBUTUHAN POKOK DEHARI HARI SEPERTI KOPI GULA DAN PRODUK KEBUTUHAN MASYARAKAT</t>
  </si>
  <si>
    <t>MENJUAL BERBAGGAI KEBUTUHAN POKOK DAN KEBUTUHAN SEHARI HARI KEPADA MASYARAKAT</t>
  </si>
  <si>
    <t>2500000.0</t>
  </si>
  <si>
    <t>https://fasih-sm.bps.go.id/app/assignment/fd68e454-ba45-4b85-8205-f3bf777ded24/716d8c96-d888-484f-90d0-0b573c33eb84</t>
  </si>
  <si>
    <t>USAHA KIOS YOSEP RARA NAMA</t>
  </si>
  <si>
    <t>sembako eceran</t>
  </si>
  <si>
    <t>Menjual eceran sembako</t>
  </si>
  <si>
    <t>https://fasih-sm.bps.go.id/app/assignment/fd68e454-ba45-4b85-8205-f3bf777ded24/ce2e858f-e730-4fc9-8c11-517863adbfe4</t>
  </si>
  <si>
    <t>KIOS SEMBAKO ( MAGDALENA BOTA KERANS )</t>
  </si>
  <si>
    <t>3200000.0</t>
  </si>
  <si>
    <t>https://fasih-sm.bps.go.id/app/assignment/fd68e454-ba45-4b85-8205-f3bf777ded24/b0970d22-fdb5-4dd3-b3de-948536b5bf87</t>
  </si>
  <si>
    <t>KIOS (VERONIKA PAJAN MUDA)</t>
  </si>
  <si>
    <t>Kopi,gula,aneka makanan ringan,rokok</t>
  </si>
  <si>
    <t>Menjual berbagai macam barang kebutuhan pokok (sembako) di kios</t>
  </si>
  <si>
    <t>3600000.0</t>
  </si>
  <si>
    <t>https://fasih-sm.bps.go.id/app/assignment/fd68e454-ba45-4b85-8205-f3bf777ded24/4dd2bca1-c42a-45f4-a292-d49322a023bc</t>
  </si>
  <si>
    <t>WARUNG KOPI (BULU)</t>
  </si>
  <si>
    <t>Kopi dan teh</t>
  </si>
  <si>
    <t>Penyediaan minuman kopi dan teh siap saji</t>
  </si>
  <si>
    <t>https://fasih-sm.bps.go.id/app/assignment/fd68e454-ba45-4b85-8205-f3bf777ded24/fc0075cf-e366-442c-9bcf-3f677dd08781</t>
  </si>
  <si>
    <t>JUAL BENSIN AHMAD</t>
  </si>
  <si>
    <t>Bensin</t>
  </si>
  <si>
    <t>Membeli dan menjual bensin eceran</t>
  </si>
  <si>
    <t>32550000.0</t>
  </si>
  <si>
    <t>https://fasih-sm.bps.go.id/app/assignment/fd68e454-ba45-4b85-8205-f3bf777ded24/2f6a3ebc-9961-4895-a04c-35fd7d397a17</t>
  </si>
  <si>
    <t>USAHA JUAL BENSIN (KURNIYATI YAHYA)</t>
  </si>
  <si>
    <t>JASA ANGKUT PENUMPANG</t>
  </si>
  <si>
    <t>19000000.0</t>
  </si>
  <si>
    <t>https://fasih-sm.bps.go.id/app/assignment/fd68e454-ba45-4b85-8205-f3bf777ded24/c6e6ed72-ff62-4497-a420-9b09dfc98c55</t>
  </si>
  <si>
    <t>JUALAN BENSIN( MAMA MERI)</t>
  </si>
  <si>
    <t>6850000.0</t>
  </si>
  <si>
    <t>https://fasih-sm.bps.go.id/app/assignment/fd68e454-ba45-4b85-8205-f3bf777ded24/1fb893d8-1d6f-4c97-8771-44e9da85c6ed</t>
  </si>
  <si>
    <t>POM MINI DAN KIOS (YONAS DAKROWE)</t>
  </si>
  <si>
    <t>Bahan bakar</t>
  </si>
  <si>
    <t xml:space="preserve">Menjual bahan bakar Bensin </t>
  </si>
  <si>
    <t>13464000.0</t>
  </si>
  <si>
    <t>https://fasih-sm.bps.go.id/app/assignment/fd68e454-ba45-4b85-8205-f3bf777ded24/4b03ef1e-ec54-4acf-8552-cb17347f255f</t>
  </si>
  <si>
    <t xml:space="preserve">UTP BENSIN ECERAN (TARSISIUS YAKOBUS KOTEN) </t>
  </si>
  <si>
    <t>BENSIN ECERAN</t>
  </si>
  <si>
    <t>JUALAN BENSIN ECERAN</t>
  </si>
  <si>
    <t>37080000.0</t>
  </si>
  <si>
    <t>https://fasih-sm.bps.go.id/app/assignment/fd68e454-ba45-4b85-8205-f3bf777ded24/228d0c4d-fd49-4e21-9e30-5f9fd6f2364a</t>
  </si>
  <si>
    <t>JUAL BENSIN ECERAN (DIDI DEROSARI)</t>
  </si>
  <si>
    <t xml:space="preserve">Jual bensin eceran </t>
  </si>
  <si>
    <t>Jual bensin eceran</t>
  </si>
  <si>
    <t>2200000.0</t>
  </si>
  <si>
    <t>https://fasih-sm.bps.go.id/app/assignment/fd68e454-ba45-4b85-8205-f3bf777ded24/745922af-4c1f-45e7-a2fb-91d61f559ee1</t>
  </si>
  <si>
    <t>JUAL SOLAR (RAMADHAN BUNGA)</t>
  </si>
  <si>
    <t>Jual Minyak Tanah Pangkalan</t>
  </si>
  <si>
    <t>24680000.0</t>
  </si>
  <si>
    <t>https://fasih-sm.bps.go.id/app/assignment/fd68e454-ba45-4b85-8205-f3bf777ded24/82deba89-00b0-45ce-b2a5-0368ab4fb2c0</t>
  </si>
  <si>
    <t>USAHA PERDAGANGAN( UMAR RAYA DAEN)</t>
  </si>
  <si>
    <t>Bensin eceran</t>
  </si>
  <si>
    <t>Jual Bensin Eceran</t>
  </si>
  <si>
    <t>8825000.0</t>
  </si>
  <si>
    <t>https://fasih-sm.bps.go.id/app/assignment/fd68e454-ba45-4b85-8205-f3bf777ded24/98082252-895f-44ad-b03b-cf1371e6f262</t>
  </si>
  <si>
    <t>47303</t>
  </si>
  <si>
    <t>KIOS APLIANA LELE</t>
  </si>
  <si>
    <t>BUDIDAYA TANAMAN PANGAN</t>
  </si>
  <si>
    <t>https://fasih-sm.bps.go.id/app/assignment/fd68e454-ba45-4b85-8205-f3bf777ded24/e490c599-564d-469c-8b02-dcb91c10ad89</t>
  </si>
  <si>
    <t>HIDAYAH CELL</t>
  </si>
  <si>
    <t xml:space="preserve">Handphone </t>
  </si>
  <si>
    <t>Menjual handphone,asesoris hp,pulsa hp dan service hp</t>
  </si>
  <si>
    <t>414600000.0</t>
  </si>
  <si>
    <t>https://fasih-sm.bps.go.id/app/assignment/fd68e454-ba45-4b85-8205-f3bf777ded24/fccb4c8c-a3bf-4a58-b219-69746f170083</t>
  </si>
  <si>
    <t xml:space="preserve">COUNTER ARIZONA </t>
  </si>
  <si>
    <t xml:space="preserve">MENJUAL HP DAN AKSESORIS,pulsa hp </t>
  </si>
  <si>
    <t>410600000.0</t>
  </si>
  <si>
    <t>https://fasih-sm.bps.go.id/app/assignment/fd68e454-ba45-4b85-8205-f3bf777ded24/afeb7733-4dd5-47a3-b287-610f1821b488</t>
  </si>
  <si>
    <t xml:space="preserve">JUAL TEUNUN IKAT (ASIA JUMAD) </t>
  </si>
  <si>
    <t>Mowak</t>
  </si>
  <si>
    <t>Membentuk motif dari benang mengunakan tali lalu mencelupkannya di larutan pewarna</t>
  </si>
  <si>
    <t>6480000.0</t>
  </si>
  <si>
    <t>https://fasih-sm.bps.go.id/app/assignment/fd68e454-ba45-4b85-8205-f3bf777ded24/f5b4a3fc-002a-4886-acd3-40be5496d88f</t>
  </si>
  <si>
    <t>47512</t>
  </si>
  <si>
    <t>PENJUAL KASUR (SANIA)</t>
  </si>
  <si>
    <t>Kasur dan bantal</t>
  </si>
  <si>
    <t>Menjual kasur dan bantal</t>
  </si>
  <si>
    <t>5000000.0</t>
  </si>
  <si>
    <t>https://fasih-sm.bps.go.id/app/assignment/fd68e454-ba45-4b85-8205-f3bf777ded24/01d3dc9c-6153-494f-88a5-4b38de6f4ff0</t>
  </si>
  <si>
    <t>USAHA JUAL TIKAR DAN KARUNG</t>
  </si>
  <si>
    <t>Tikar dan karung</t>
  </si>
  <si>
    <t>Usaha jualan tikar</t>
  </si>
  <si>
    <t>https://fasih-sm.bps.go.id/app/assignment/fd68e454-ba45-4b85-8205-f3bf777ded24/025240c8-7a51-480b-bf59-a46417d4ead1</t>
  </si>
  <si>
    <t xml:space="preserve">USAHA JUAL BATU (LUKMAN) </t>
  </si>
  <si>
    <t>Menangkap Ikan Konsusmsi</t>
  </si>
  <si>
    <t>1450000.0</t>
  </si>
  <si>
    <t>https://fasih-sm.bps.go.id/app/assignment/fd68e454-ba45-4b85-8205-f3bf777ded24/66670cfd-d66c-4763-a612-13fea5df009e</t>
  </si>
  <si>
    <t>USAHA JUAL KAYU KELAS 2</t>
  </si>
  <si>
    <t xml:space="preserve">PERSIAPAN LAHAN, PENANAMAN, PEMELIHARAAN DAN PEMANENAN </t>
  </si>
  <si>
    <t>https://fasih-sm.bps.go.id/app/assignment/fd68e454-ba45-4b85-8205-f3bf777ded24/c65104e1-4e03-4505-9838-4853e9917f74</t>
  </si>
  <si>
    <t xml:space="preserve">MEBEL SEWA PAKAI LUKAS ( LUKAS LALANG HAYONG ) </t>
  </si>
  <si>
    <t xml:space="preserve">PENYEWAAN MEJA UNTUJ ACARA </t>
  </si>
  <si>
    <t xml:space="preserve">SEWA PAKAI MEJA </t>
  </si>
  <si>
    <t>https://fasih-sm.bps.go.id/app/assignment/fd68e454-ba45-4b85-8205-f3bf777ded24/ca1ac380-8410-4d0f-b880-55d55f84f9e8</t>
  </si>
  <si>
    <t xml:space="preserve">PENJUALAN PERABOTAN PENERANGAN (DEWIYATI WUJON) </t>
  </si>
  <si>
    <t xml:space="preserve">JUAL LAMPU PENERANGAN </t>
  </si>
  <si>
    <t xml:space="preserve">MENJUAL PERABOTAN PENERANGAN </t>
  </si>
  <si>
    <t>https://fasih-sm.bps.go.id/app/assignment/fd68e454-ba45-4b85-8205-f3bf777ded24/c54da39b-4a06-44a7-9a09-56b7e8154f1f</t>
  </si>
  <si>
    <t>KIOS KARYA DAMAI ( BERNADUS PELATIN KEIN )</t>
  </si>
  <si>
    <t xml:space="preserve">Peralatan listrik </t>
  </si>
  <si>
    <t xml:space="preserve">JUAL PERALATAN LISTRIK </t>
  </si>
  <si>
    <t>16100000.0</t>
  </si>
  <si>
    <t>https://fasih-sm.bps.go.id/app/assignment/fd68e454-ba45-4b85-8205-f3bf777ded24/cb1b2830-4549-43ca-8e35-f358777f3c87</t>
  </si>
  <si>
    <t xml:space="preserve">PERABOTAN RUMAH (RIANTI) </t>
  </si>
  <si>
    <t>Menjual perabotan rumah</t>
  </si>
  <si>
    <t>18988000.0</t>
  </si>
  <si>
    <t>https://fasih-sm.bps.go.id/app/assignment/fd68e454-ba45-4b85-8205-f3bf777ded24/752a3020-5e04-4d42-9f36-a78157e3ba1e</t>
  </si>
  <si>
    <t xml:space="preserve">UD PERABOTAN RUMAH TANGGA( VITALIS) </t>
  </si>
  <si>
    <t>BABI POTONG</t>
  </si>
  <si>
    <t>PENGGEMUKAN BABI POTONG</t>
  </si>
  <si>
    <t>https://fasih-sm.bps.go.id/app/assignment/fd68e454-ba45-4b85-8205-f3bf777ded24/1e84655d-153a-4efd-b9cf-65119cd6a2b5</t>
  </si>
  <si>
    <t xml:space="preserve">KIOS PERABOTAN RUMAH (SUSILO HIMAWAN) </t>
  </si>
  <si>
    <t>Menjual perabotan</t>
  </si>
  <si>
    <t>1580000.0</t>
  </si>
  <si>
    <t>https://fasih-sm.bps.go.id/app/assignment/fd68e454-ba45-4b85-8205-f3bf777ded24/40c2d95c-f376-41ec-934e-b4d946c1faac</t>
  </si>
  <si>
    <t>KIOS GRASELLA</t>
  </si>
  <si>
    <t>https://fasih-sm.bps.go.id/app/assignment/fd68e454-ba45-4b85-8205-f3bf777ded24/45e8025e-b1eb-43fb-9e32-19d68a1715e0</t>
  </si>
  <si>
    <t>DAGANG PAKAIAN ( ABDURAHMAN SENGAJI )</t>
  </si>
  <si>
    <t>MEMBELI DAN MENJUAL KEMBALI PAKAIAN</t>
  </si>
  <si>
    <t>37400000.0</t>
  </si>
  <si>
    <t>https://fasih-sm.bps.go.id/app/assignment/fd68e454-ba45-4b85-8205-f3bf777ded24/ef7072ca-e5c2-4d45-8a65-bf659d44be74</t>
  </si>
  <si>
    <t>KIOS PAKAIAN (NONA)</t>
  </si>
  <si>
    <t>260345000.0</t>
  </si>
  <si>
    <t>https://fasih-sm.bps.go.id/app/assignment/fd68e454-ba45-4b85-8205-f3bf777ded24/47013344-6852-4f23-a654-0664b83e8ddb</t>
  </si>
  <si>
    <t>USAHA JUAL PAKAIAN RAMLA</t>
  </si>
  <si>
    <t xml:space="preserve">Menjual berbagai model pakaian </t>
  </si>
  <si>
    <t>30110000.0</t>
  </si>
  <si>
    <t>https://fasih-sm.bps.go.id/app/assignment/fd68e454-ba45-4b85-8205-f3bf777ded24/60ab3d93-b21b-47ba-a11b-0e273fb2ee86</t>
  </si>
  <si>
    <t xml:space="preserve">KIOS PAKAIAN 2 (NASTAIN) </t>
  </si>
  <si>
    <t>16748000.0</t>
  </si>
  <si>
    <t>https://fasih-sm.bps.go.id/app/assignment/fd68e454-ba45-4b85-8205-f3bf777ded24/8e36c338-62a9-4399-bb4c-633ea1b77b55</t>
  </si>
  <si>
    <t xml:space="preserve">RUKO ELVIAWATI </t>
  </si>
  <si>
    <t xml:space="preserve">Pakaian jadi </t>
  </si>
  <si>
    <t>Jualan pakaian jadi dan sepatu</t>
  </si>
  <si>
    <t>167400000.0</t>
  </si>
  <si>
    <t>https://fasih-sm.bps.go.id/app/assignment/fd68e454-ba45-4b85-8205-f3bf777ded24/e5bec3d1-20a0-475d-bfe6-ad931575db47</t>
  </si>
  <si>
    <t>UTP PERDAGANGAN BERNADETE BUNGA LOLON</t>
  </si>
  <si>
    <t>PEMBUDIDAYAAN TANAMAN PANGAN</t>
  </si>
  <si>
    <t>415000.0</t>
  </si>
  <si>
    <t>https://fasih-sm.bps.go.id/app/assignment/fd68e454-ba45-4b85-8205-f3bf777ded24/03d58791-e56e-45ca-b5c1-18be8876e22d</t>
  </si>
  <si>
    <t xml:space="preserve">JUAL SANDAL KELILING (MAS TARNO) </t>
  </si>
  <si>
    <t xml:space="preserve">PULSA ELEKTRONIK </t>
  </si>
  <si>
    <t xml:space="preserve">Menjual kembali Pulsa Elektronik di kios pulsa milik sendiri di rumah </t>
  </si>
  <si>
    <t>12400000.0</t>
  </si>
  <si>
    <t>https://fasih-sm.bps.go.id/app/assignment/fd68e454-ba45-4b85-8205-f3bf777ded24/94492fc3-fbd4-43d0-97f6-00d7964579bf</t>
  </si>
  <si>
    <t xml:space="preserve">KIOS SENDAL SEPATU (ERNAWATI) </t>
  </si>
  <si>
    <t>46948000.0</t>
  </si>
  <si>
    <t>https://fasih-sm.bps.go.id/app/assignment/fd68e454-ba45-4b85-8205-f3bf777ded24/98de06b9-5233-45f1-93a7-75d59046eed2</t>
  </si>
  <si>
    <t xml:space="preserve">USAHA JUAL SENDAL SITI MARIFA </t>
  </si>
  <si>
    <t xml:space="preserve">SENDAL </t>
  </si>
  <si>
    <t>USAHA MENJUAL SENDAL</t>
  </si>
  <si>
    <t>13092000.0</t>
  </si>
  <si>
    <t>https://fasih-sm.bps.go.id/app/assignment/fd68e454-ba45-4b85-8205-f3bf777ded24/0cd519d3-02ce-4cc8-9c05-2c93ab49e909</t>
  </si>
  <si>
    <t>47713</t>
  </si>
  <si>
    <t>JUALAN PAKAIAN SITI ROHANIA</t>
  </si>
  <si>
    <t xml:space="preserve">Jualan pakaian siti rohania </t>
  </si>
  <si>
    <t xml:space="preserve">Jualan pakaian siti koharia </t>
  </si>
  <si>
    <t>5800000.0</t>
  </si>
  <si>
    <t>https://fasih-sm.bps.go.id/app/assignment/fd68e454-ba45-4b85-8205-f3bf777ded24/99b4885b-68c7-4a12-9f6b-fda214a212cc</t>
  </si>
  <si>
    <t>47722</t>
  </si>
  <si>
    <t>USAHA JUALAN OBAT NUTRISI AMBROSIA SOFYANE MANUK</t>
  </si>
  <si>
    <t>AKTIVITAS PERKEMBANGBIAKAN TERNAK AYAM LOKAL</t>
  </si>
  <si>
    <t>3168000.0</t>
  </si>
  <si>
    <t>https://fasih-sm.bps.go.id/app/assignment/fd68e454-ba45-4b85-8205-f3bf777ded24/2d24efb6-5509-4558-a44c-0595db46a792</t>
  </si>
  <si>
    <t xml:space="preserve">CITRA ABADI </t>
  </si>
  <si>
    <t xml:space="preserve">Kosmetik </t>
  </si>
  <si>
    <t xml:space="preserve">Menjual aneka barang , seperti kosmetik </t>
  </si>
  <si>
    <t>153000000.0</t>
  </si>
  <si>
    <t>https://fasih-sm.bps.go.id/app/assignment/fd68e454-ba45-4b85-8205-f3bf777ded24/c6b1bd59-6f67-40aa-b26b-46401e4cae0a</t>
  </si>
  <si>
    <t>47763</t>
  </si>
  <si>
    <t>KIOS VERONIKA L.BEOANG</t>
  </si>
  <si>
    <t>MENJUAL BERBAGAI MACAM PUPUK CAIR UNTUK SEMPROT PADI</t>
  </si>
  <si>
    <t>https://fasih-sm.bps.go.id/app/assignment/fd68e454-ba45-4b85-8205-f3bf777ded24/0a787213-1e6e-41a5-912c-496dbb26c9df</t>
  </si>
  <si>
    <t>Jualan minyak tanah</t>
  </si>
  <si>
    <t>920000.0</t>
  </si>
  <si>
    <t>https://fasih-sm.bps.go.id/app/assignment/fd68e454-ba45-4b85-8205-f3bf777ded24/3029c238-254c-4348-ad6f-c411f7e2b1f7</t>
  </si>
  <si>
    <t>PANGKALAN MINYAK TANAH (MARIA LIPA TUPEN)</t>
  </si>
  <si>
    <t xml:space="preserve">MENJUAL MINYAK TANAH ECERAN </t>
  </si>
  <si>
    <t>49920000.0</t>
  </si>
  <si>
    <t>https://fasih-sm.bps.go.id/app/assignment/fd68e454-ba45-4b85-8205-f3bf777ded24/048dd5c2-088e-49fa-b244-94b605ac074d</t>
  </si>
  <si>
    <t>MINYAK TANAH ECERAN -MARIA ELISABETH BATAONA-</t>
  </si>
  <si>
    <t>MINYAK TANAH ECERAN</t>
  </si>
  <si>
    <t>Menjual minyak tanah sebagai agen minyak tanah</t>
  </si>
  <si>
    <t>55200000.0</t>
  </si>
  <si>
    <t>https://fasih-sm.bps.go.id/app/assignment/fd68e454-ba45-4b85-8205-f3bf777ded24/8d2b03ba-b8a8-4e40-bfec-6a5f1ce028b1</t>
  </si>
  <si>
    <t>Pangkalan Minyak(Martinus)</t>
  </si>
  <si>
    <t>USAHA JUAL MINYAK TANAH</t>
  </si>
  <si>
    <t>MENJUAL MINYAK TANAH KEPADA KONSUMEN</t>
  </si>
  <si>
    <t>2250000.0</t>
  </si>
  <si>
    <t>https://fasih-sm.bps.go.id/app/assignment/fd68e454-ba45-4b85-8205-f3bf777ded24/2c476e9e-c78b-45f6-8972-11857a2e2339</t>
  </si>
  <si>
    <t>Pangkalan Minyak Tanah (Ramadhan Bunga)</t>
  </si>
  <si>
    <t>PANGKALAN MINYAK TANAH AGUSTINUS KLEDEN</t>
  </si>
  <si>
    <t>Jual minyak tanah</t>
  </si>
  <si>
    <t>https://fasih-sm.bps.go.id/app/assignment/fd68e454-ba45-4b85-8205-f3bf777ded24/c4eb031c-87a6-4a11-80f0-cced109640f9</t>
  </si>
  <si>
    <t>MINYAK TANAH ECERAN -SALAWATI-</t>
  </si>
  <si>
    <t>https://fasih-sm.bps.go.id/app/assignment/fd68e454-ba45-4b85-8205-f3bf777ded24/93ba0bae-4999-4190-83d2-ba787d7271d2</t>
  </si>
  <si>
    <t xml:space="preserve">PANGKALAN MINYAK TANAH (KRISTINA MURIN) </t>
  </si>
  <si>
    <t>BERUSAHA MENJUAL MINYAK TANAH DI KIOS MILIK SENDIRI</t>
  </si>
  <si>
    <t>43700000.0</t>
  </si>
  <si>
    <t>https://fasih-sm.bps.go.id/app/assignment/fd68e454-ba45-4b85-8205-f3bf777ded24/9ee7b7a7-6898-4582-be9b-9d3979763f97</t>
  </si>
  <si>
    <t>USAHA PANGKALAN MINYAK TANAH</t>
  </si>
  <si>
    <t>Kelapa</t>
  </si>
  <si>
    <t>Usaha kebun kelapa</t>
  </si>
  <si>
    <t>https://fasih-sm.bps.go.id/app/assignment/fd68e454-ba45-4b85-8205-f3bf777ded24/a07adf6b-69e7-4276-a560-9894b86c4126</t>
  </si>
  <si>
    <t>PENJUAL BAJU ONLINE MARLIA</t>
  </si>
  <si>
    <t>Jual Pulsa</t>
  </si>
  <si>
    <t>Aktivitas telekomunikasi</t>
  </si>
  <si>
    <t>https://fasih-sm.bps.go.id/app/assignment/fd68e454-ba45-4b85-8205-f3bf777ded24/34523e79-5630-44ae-96dd-9ff8c455714a</t>
  </si>
  <si>
    <t>47909</t>
  </si>
  <si>
    <t>JUALAN ONLINE ROSANTI</t>
  </si>
  <si>
    <t>Jualan keliling</t>
  </si>
  <si>
    <t>https://fasih-sm.bps.go.id/app/assignment/fd68e454-ba45-4b85-8205-f3bf777ded24/78903638-009c-4599-bad4-fb8d63038875</t>
  </si>
  <si>
    <t>KIOS DAMAI INDAH</t>
  </si>
  <si>
    <t>12700000.0</t>
  </si>
  <si>
    <t>https://fasih-sm.bps.go.id/app/assignment/fd68e454-ba45-4b85-8205-f3bf777ded24/05b19947-f1f1-4e12-8e5e-a82a7b92f783</t>
  </si>
  <si>
    <t>46202</t>
  </si>
  <si>
    <t>USAHA PENGEPUL</t>
  </si>
  <si>
    <t>BUDIDAYA DAN MERAWAT POHON METE</t>
  </si>
  <si>
    <t>https://fasih-sm.bps.go.id/app/assignment/fd68e454-ba45-4b85-8205-f3bf777ded24/d139536e-2abf-4d82-b0ca-d153ca6fd5ef</t>
  </si>
  <si>
    <t xml:space="preserve">UPT PERIKANAN </t>
  </si>
  <si>
    <t xml:space="preserve">PADI LADANG </t>
  </si>
  <si>
    <t xml:space="preserve">PEMBIBITAN DAN PERAWATAN </t>
  </si>
  <si>
    <t>310000.0</t>
  </si>
  <si>
    <t>https://fasih-sm.bps.go.id/app/assignment/fd68e454-ba45-4b85-8205-f3bf777ded24/f00b1179-b1b2-4e0d-8ffb-f393028563e3</t>
  </si>
  <si>
    <t>GUDANG KOPRA (YANCE)</t>
  </si>
  <si>
    <t>MEMBELI KOPRA DARI PETANI DAN MENJUAL KEMBALI</t>
  </si>
  <si>
    <t>993600000.0</t>
  </si>
  <si>
    <t>https://fasih-sm.bps.go.id/app/assignment/fd68e454-ba45-4b85-8205-f3bf777ded24/364331bd-3706-48e3-bee0-5cd34c3134ee</t>
  </si>
  <si>
    <t>PENIMBANG(DIDIMUS KOPONG MITEN)</t>
  </si>
  <si>
    <t xml:space="preserve">JASA PERDAGANGAN HASIL PERKEBUNAN </t>
  </si>
  <si>
    <t>KELILING UNTUK MENIMBANG PALA</t>
  </si>
  <si>
    <t>4350000.0</t>
  </si>
  <si>
    <t>https://fasih-sm.bps.go.id/app/assignment/fd68e454-ba45-4b85-8205-f3bf777ded24/5669419d-99fb-49a8-9073-0b8346f7ce1c</t>
  </si>
  <si>
    <t xml:space="preserve">TIMBANG HASIL BUMI (YOHANES BALO BUKAN) </t>
  </si>
  <si>
    <t>Jasa perdagangan hasil komoditi , kopra kemiri dan mente</t>
  </si>
  <si>
    <t>Melakukan perdagangan besar hasil pertanian kopra, kemiri dan mente dengan cara membeli dari petani untuk dijual kembali</t>
  </si>
  <si>
    <t>73000000.0</t>
  </si>
  <si>
    <t>https://fasih-sm.bps.go.id/app/assignment/fd68e454-ba45-4b85-8205-f3bf777ded24/52a9e86e-2980-43dd-bfae-5ac35ea37e7d</t>
  </si>
  <si>
    <t xml:space="preserve">DUMP TRUCK PASIR (SERVASIUS SERE KEDANG) </t>
  </si>
  <si>
    <t>Pasir dan batu</t>
  </si>
  <si>
    <t>Membeli dan menjual kembali batu dan pasir</t>
  </si>
  <si>
    <t>206900000.0</t>
  </si>
  <si>
    <t>https://fasih-sm.bps.go.id/app/assignment/fd68e454-ba45-4b85-8205-f3bf777ded24/fe09a520-8164-4c33-979a-264a8aece2a6</t>
  </si>
  <si>
    <t>GUDANG SEMEN</t>
  </si>
  <si>
    <t xml:space="preserve">SEMEN </t>
  </si>
  <si>
    <t>JUAL BAHAN BANGUNA</t>
  </si>
  <si>
    <t>https://fasih-sm.bps.go.id/app/assignment/fd68e454-ba45-4b85-8205-f3bf777ded24/a78d0e66-c2c1-447e-80bf-f0052fc4ff98</t>
  </si>
  <si>
    <t>USAHA KIOS MAKAN RINGAN</t>
  </si>
  <si>
    <t>MAKANAN RINGAN</t>
  </si>
  <si>
    <t>https://fasih-sm.bps.go.id/app/assignment/fd68e454-ba45-4b85-8205-f3bf777ded24/9e7a7c2b-f0fd-4617-aa73-c835070df5ae</t>
  </si>
  <si>
    <t>KIOS SEMBAKO(KURNIAWATI)</t>
  </si>
  <si>
    <t>Berbagai macam barang kebutuhan pokok dan barang konsumsi rumah tangga</t>
  </si>
  <si>
    <t>Perdagangan eceran berbagai macam barang</t>
  </si>
  <si>
    <t>31020000.0</t>
  </si>
  <si>
    <t>https://fasih-sm.bps.go.id/app/assignment/fd68e454-ba45-4b85-8205-f3bf777ded24/e30ef672-f100-4295-ac70-9825effeaa3c</t>
  </si>
  <si>
    <t xml:space="preserve">USAHA KIOS (SOFIANA PERADA TERON) </t>
  </si>
  <si>
    <t>Jasa perdagangan sembako ecera</t>
  </si>
  <si>
    <t>Perdagangan eceran bahan makanan dan minuman</t>
  </si>
  <si>
    <t>3700000.0</t>
  </si>
  <si>
    <t>https://fasih-sm.bps.go.id/app/assignment/fd68e454-ba45-4b85-8205-f3bf777ded24/065d3954-b596-44b4-a4a5-c1941a30ec6a</t>
  </si>
  <si>
    <t xml:space="preserve">KIOS SEMBAKO(MARTHA MATILDA) </t>
  </si>
  <si>
    <t>4600000.0</t>
  </si>
  <si>
    <t>https://fasih-sm.bps.go.id/app/assignment/fd68e454-ba45-4b85-8205-f3bf777ded24/0d8f52c3-ad6a-4cf6-aeb8-b670957abe79</t>
  </si>
  <si>
    <t>KIOS MAJU TERUS ( ELISABETH NOGO TUKAN )</t>
  </si>
  <si>
    <t>106377000.0</t>
  </si>
  <si>
    <t>https://fasih-sm.bps.go.id/app/assignment/fd68e454-ba45-4b85-8205-f3bf777ded24/554b2407-f613-4569-921b-c78fb1400a80</t>
  </si>
  <si>
    <t xml:space="preserve">KIOS SEMBAKO (DOMINIKUS) </t>
  </si>
  <si>
    <t>146000000.0</t>
  </si>
  <si>
    <t>https://fasih-sm.bps.go.id/app/assignment/fd68e454-ba45-4b85-8205-f3bf777ded24/c971f4df-47af-47a3-867d-ab613b2ea827</t>
  </si>
  <si>
    <t>USAHA KIOS (HENDRIKUS HEKA SOGEN)</t>
  </si>
  <si>
    <t>JUAL BARANG SEMBAKO</t>
  </si>
  <si>
    <t>25000000.0</t>
  </si>
  <si>
    <t>https://fasih-sm.bps.go.id/app/assignment/fd68e454-ba45-4b85-8205-f3bf777ded24/103773c6-3981-4897-a6d5-5556cf4c3269</t>
  </si>
  <si>
    <t>KIOS EMANUEL (THERESIA KEWA)</t>
  </si>
  <si>
    <t xml:space="preserve">MEMBUDIDAYAKAN TANAMAN METE </t>
  </si>
  <si>
    <t>75000.0</t>
  </si>
  <si>
    <t>https://fasih-sm.bps.go.id/app/assignment/fd68e454-ba45-4b85-8205-f3bf777ded24/0ce8abdf-776c-4d49-a370-50d50ab3953f</t>
  </si>
  <si>
    <t>KIOS REJEKI (MARIA GORETI MUKO KOLAH</t>
  </si>
  <si>
    <t>20500000.0</t>
  </si>
  <si>
    <t>https://fasih-sm.bps.go.id/app/assignment/fd68e454-ba45-4b85-8205-f3bf777ded24/3fa4f2c0-9ac7-4295-a37b-9029319144c1</t>
  </si>
  <si>
    <t>KIOS ENCERAN( ELISABET SOMI SOGAN)</t>
  </si>
  <si>
    <t>https://fasih-sm.bps.go.id/app/assignment/fd68e454-ba45-4b85-8205-f3bf777ded24/6bcec3d7-f98d-42bc-bb4d-7d6f06bbbcae</t>
  </si>
  <si>
    <t xml:space="preserve">KIOS EDITA AVELINA </t>
  </si>
  <si>
    <t>Soundsistem music</t>
  </si>
  <si>
    <t xml:space="preserve">Sewa alat soundsistem </t>
  </si>
  <si>
    <t>https://fasih-sm.bps.go.id/app/assignment/fd68e454-ba45-4b85-8205-f3bf777ded24/75c247a7-12b5-4046-a1f9-cd33bc997293</t>
  </si>
  <si>
    <t>KIOS BERGITA LAJAR</t>
  </si>
  <si>
    <t>Pulsa Telekomunikasi</t>
  </si>
  <si>
    <t>Menjual pulsa listrik dan pulsa telkomunikasi</t>
  </si>
  <si>
    <t>1025000.0</t>
  </si>
  <si>
    <t>https://fasih-sm.bps.go.id/app/assignment/fd68e454-ba45-4b85-8205-f3bf777ded24/9528c7c8-239e-492d-814f-a6f9daf005ac</t>
  </si>
  <si>
    <t>KIOS SEMBAKO (FATIMAH ASAR) oo</t>
  </si>
  <si>
    <t xml:space="preserve">Ikan segar </t>
  </si>
  <si>
    <t>Jual ikan keliling ( Fatimah Asar)</t>
  </si>
  <si>
    <t>1700000.0</t>
  </si>
  <si>
    <t>https://fasih-sm.bps.go.id/app/assignment/fd68e454-ba45-4b85-8205-f3bf777ded24/8cbe5ba1-b1ab-4c7d-a4df-30a676362e7a</t>
  </si>
  <si>
    <t xml:space="preserve">KIOS SEMBAKO (SKOLASTIKA PENI KABELEN) </t>
  </si>
  <si>
    <t>Aneka sembako dan kue</t>
  </si>
  <si>
    <t>Jual aneka sembako dan kue</t>
  </si>
  <si>
    <t>1400000.0</t>
  </si>
  <si>
    <t>https://fasih-sm.bps.go.id/app/assignment/fd68e454-ba45-4b85-8205-f3bf777ded24/966e96ab-55b4-46c3-af72-6456a32ed688</t>
  </si>
  <si>
    <t>KIOS SEMBAKO (KATARINA KIDI SANGA)</t>
  </si>
  <si>
    <t>Mengolah buah kelapa yang sudah tua menjadi kopra</t>
  </si>
  <si>
    <t>5820000.0</t>
  </si>
  <si>
    <t>https://fasih-sm.bps.go.id/app/assignment/fd68e454-ba45-4b85-8205-f3bf777ded24/bb514375-2608-4d3b-be8e-f983dd87ef53</t>
  </si>
  <si>
    <t xml:space="preserve">KIOS (YUSTINA NINI KIAN) </t>
  </si>
  <si>
    <t>Sembako, barang eceran</t>
  </si>
  <si>
    <t>Menjual sembako, barang eceran</t>
  </si>
  <si>
    <t>3894000.0</t>
  </si>
  <si>
    <t>https://fasih-sm.bps.go.id/app/assignment/fd68e454-ba45-4b85-8205-f3bf777ded24/a3179919-5827-4e09-8004-583a8220d24f</t>
  </si>
  <si>
    <t>KIOS FOJA</t>
  </si>
  <si>
    <t xml:space="preserve">SEMBAKO,JAJAN,ROKOK </t>
  </si>
  <si>
    <t>5264000.0</t>
  </si>
  <si>
    <t>https://fasih-sm.bps.go.id/app/assignment/fd68e454-ba45-4b85-8205-f3bf777ded24/ed0501f6-4757-4448-8090-43c1c0166df7</t>
  </si>
  <si>
    <t>USAHA NASI KUNING (MARIA KOMO)</t>
  </si>
  <si>
    <t xml:space="preserve">Budidaya jambu mete </t>
  </si>
  <si>
    <t>1.0</t>
  </si>
  <si>
    <t>https://fasih-sm.bps.go.id/app/assignment/fd68e454-ba45-4b85-8205-f3bf777ded24/ddb8dc7c-32c6-4f76-8dd8-0a8267ef1d2d</t>
  </si>
  <si>
    <t>TOKO KARYA BUDI</t>
  </si>
  <si>
    <t>Sembako dan kebutuhan lainnya</t>
  </si>
  <si>
    <t>Jualan sembako dan kebutuhan lainnya</t>
  </si>
  <si>
    <t>https://fasih-sm.bps.go.id/app/assignment/fd68e454-ba45-4b85-8205-f3bf777ded24/c8f38ff3-490e-4fb9-b4e3-2f37535a14dd</t>
  </si>
  <si>
    <t>KIOS BANTEL(EMILIA KEWA WARA)</t>
  </si>
  <si>
    <t>29500000.0</t>
  </si>
  <si>
    <t>https://fasih-sm.bps.go.id/app/assignment/fd68e454-ba45-4b85-8205-f3bf777ded24/0504aa2a-62b9-445e-8b27-7be3d43dcfe1</t>
  </si>
  <si>
    <t>KIOS SEMBAKO DAN PULSA ( KRISTINA INA WOLOR )</t>
  </si>
  <si>
    <t>PADI SAWAH INBRIDA</t>
  </si>
  <si>
    <t xml:space="preserve">BUDIDAYA TANAMAN PANGAN </t>
  </si>
  <si>
    <t>https://fasih-sm.bps.go.id/app/assignment/fd68e454-ba45-4b85-8205-f3bf777ded24/1ed5c0ff-f9d0-44bf-a3c1-ef179fd00618</t>
  </si>
  <si>
    <t>KIOS (DANIEL SUBAN)</t>
  </si>
  <si>
    <t>Gula, terigu, susu, rokok, jajan-jajanan atau makanan dan minuman dalam kemasan</t>
  </si>
  <si>
    <t>Menjual sembako, makanan dan minuman ringan dalam kemasan, rokok</t>
  </si>
  <si>
    <t>15100000.0</t>
  </si>
  <si>
    <t>https://fasih-sm.bps.go.id/app/assignment/fd68e454-ba45-4b85-8205-f3bf777ded24/d09f31df-6891-4c76-9350-1988ded32f89</t>
  </si>
  <si>
    <t xml:space="preserve">KIOS REHAN WALANG (THERESIA ESI BERIBE) </t>
  </si>
  <si>
    <t xml:space="preserve">Aneka Jasa </t>
  </si>
  <si>
    <t>1900000.0</t>
  </si>
  <si>
    <t>https://fasih-sm.bps.go.id/app/assignment/fd68e454-ba45-4b85-8205-f3bf777ded24/d96f5e03-b108-43ec-b11d-1707f0bb39b0</t>
  </si>
  <si>
    <t>SUWADI JUALAN BUMBU DAPUR INSTANT</t>
  </si>
  <si>
    <t>Menjual bumbu dapur</t>
  </si>
  <si>
    <t>26320000.0</t>
  </si>
  <si>
    <t>https://fasih-sm.bps.go.id/app/assignment/fd68e454-ba45-4b85-8205-f3bf777ded24/236cda10-03e6-43f2-b638-ced85fb425d1</t>
  </si>
  <si>
    <t>USAHA KIOS ECERAN SEMBAKO ( HABIBA MASANG )</t>
  </si>
  <si>
    <t>Sembako Eceran</t>
  </si>
  <si>
    <t>Kios Sembako Eceran</t>
  </si>
  <si>
    <t>11500000.0</t>
  </si>
  <si>
    <t>https://fasih-sm.bps.go.id/app/assignment/fd68e454-ba45-4b85-8205-f3bf777ded24/24450b7e-70b8-41d8-98db-0b815fd0ccdf</t>
  </si>
  <si>
    <t>KIOS PAPILAYA (MARICE PAPILAYA)</t>
  </si>
  <si>
    <t>MENJUAL BARANG ECERANSEMABKO DIKIOS</t>
  </si>
  <si>
    <t>https://fasih-sm.bps.go.id/app/assignment/fd68e454-ba45-4b85-8205-f3bf777ded24/0cfe6537-521c-46b3-a5fc-6d4eb3824e9f</t>
  </si>
  <si>
    <t>KIOS ANGGUN</t>
  </si>
  <si>
    <t xml:space="preserve">Penjualan sembako </t>
  </si>
  <si>
    <t>https://fasih-sm.bps.go.id/app/assignment/fd68e454-ba45-4b85-8205-f3bf777ded24/326c8879-4a50-4ed7-b5f6-e6b3084a7d53</t>
  </si>
  <si>
    <t>KIOS HALIMAH (HALIMAH SYABAN)</t>
  </si>
  <si>
    <t>Jajanan anak anak</t>
  </si>
  <si>
    <t>Menjual jajan jajan</t>
  </si>
  <si>
    <t>3900000.0</t>
  </si>
  <si>
    <t>https://fasih-sm.bps.go.id/app/assignment/fd68e454-ba45-4b85-8205-f3bf777ded24/4a46bdda-407b-4314-9231-ba6f13665ce4</t>
  </si>
  <si>
    <t xml:space="preserve">KIOS (SALMIAH ABDULAH COREBIMA) </t>
  </si>
  <si>
    <t>MEMBELI DAN MENJUAL ECERAN SEMBAKO</t>
  </si>
  <si>
    <t>49020000.0</t>
  </si>
  <si>
    <t>https://fasih-sm.bps.go.id/app/assignment/fd68e454-ba45-4b85-8205-f3bf777ded24/4dc0985a-1c19-4cd1-bd9a-cb08945821a7</t>
  </si>
  <si>
    <t>KIOS KLEMENS DEMON</t>
  </si>
  <si>
    <t>Beras, kopi saset, gula pasir, tepung terigu, masako</t>
  </si>
  <si>
    <t>3850000.0</t>
  </si>
  <si>
    <t>https://fasih-sm.bps.go.id/app/assignment/fd68e454-ba45-4b85-8205-f3bf777ded24/1ee6c250-64d4-42c0-8f0a-6da178693efa</t>
  </si>
  <si>
    <t>KELAPA DI BELA DI CUNGKIL DAN DI JEMUR</t>
  </si>
  <si>
    <t>https://fasih-sm.bps.go.id/app/assignment/fd68e454-ba45-4b85-8205-f3bf777ded24/53352e45-bb8c-472c-84c6-08de51992d10</t>
  </si>
  <si>
    <t>KIOS MA IMA</t>
  </si>
  <si>
    <t xml:space="preserve">Menjual eceran sembako </t>
  </si>
  <si>
    <t>https://fasih-sm.bps.go.id/app/assignment/fd68e454-ba45-4b85-8205-f3bf777ded24/794026dc-b0e5-4164-9a8b-ae2886472bdd</t>
  </si>
  <si>
    <t>KIOS(AGNES BOLENG)</t>
  </si>
  <si>
    <t xml:space="preserve">Usaha kios sembako </t>
  </si>
  <si>
    <t>Penjualan sembako</t>
  </si>
  <si>
    <t>https://fasih-sm.bps.go.id/app/assignment/fd68e454-ba45-4b85-8205-f3bf777ded24/7bd96eaa-68df-41e5-a2b5-29aa686e4089</t>
  </si>
  <si>
    <t>KIOS SATESY</t>
  </si>
  <si>
    <t>https://fasih-sm.bps.go.id/app/assignment/fd68e454-ba45-4b85-8205-f3bf777ded24/5f18d471-26ba-48fc-9a67-6957009e332a</t>
  </si>
  <si>
    <t>USAHA PERDAGANGAN (VERONIKA KILUK TUKAN)</t>
  </si>
  <si>
    <t>2910000.0</t>
  </si>
  <si>
    <t>https://fasih-sm.bps.go.id/app/assignment/fd68e454-ba45-4b85-8205-f3bf777ded24/9ad660bb-c96e-4484-9933-519b122dc457</t>
  </si>
  <si>
    <t>PEDAGANG MAKANAN RINGAN (YULIA)</t>
  </si>
  <si>
    <t>Antar jemput penumpang menggunakan sepeda motor</t>
  </si>
  <si>
    <t>Jasa transportasi roda dua</t>
  </si>
  <si>
    <t>https://fasih-sm.bps.go.id/app/assignment/fd68e454-ba45-4b85-8205-f3bf777ded24/9188c074-75d7-4284-a965-090a3164f877</t>
  </si>
  <si>
    <t>KIOS SEMBAKO ECERAN</t>
  </si>
  <si>
    <t>https://fasih-sm.bps.go.id/app/assignment/fd68e454-ba45-4b85-8205-f3bf777ded24/a83d9569-81b6-468d-bc2a-e5c71419826d</t>
  </si>
  <si>
    <t>KIOS (AGUSTINA WALENG HURIT)</t>
  </si>
  <si>
    <t>Barang sembako eceran</t>
  </si>
  <si>
    <t>pedagang barang eceran</t>
  </si>
  <si>
    <t>https://fasih-sm.bps.go.id/app/assignment/fd68e454-ba45-4b85-8205-f3bf777ded24/a42699fc-d662-492b-957f-4c4f3997d154</t>
  </si>
  <si>
    <t>JUAL SEMBAKO KELILING (RAHMAT HARIS)</t>
  </si>
  <si>
    <t xml:space="preserve">Jualan sembako keliling </t>
  </si>
  <si>
    <t>912000000.0</t>
  </si>
  <si>
    <t>https://fasih-sm.bps.go.id/app/assignment/fd68e454-ba45-4b85-8205-f3bf777ded24/ae63a6e9-0845-476b-9ca0-907e30e8f74a</t>
  </si>
  <si>
    <t xml:space="preserve">ANEKA MINUMAN ES (ANIS) </t>
  </si>
  <si>
    <t>Jualan es</t>
  </si>
  <si>
    <t>Jualan es pisang, pop Ice, teh jus</t>
  </si>
  <si>
    <t>46152000.0</t>
  </si>
  <si>
    <t>https://fasih-sm.bps.go.id/app/assignment/fd68e454-ba45-4b85-8205-f3bf777ded24/97399e02-b2d0-4e0a-8cbf-62bafbc66e8d</t>
  </si>
  <si>
    <t>KIOS (ASMA APU)</t>
  </si>
  <si>
    <t xml:space="preserve">Kebutuhan enceran rumah tangga </t>
  </si>
  <si>
    <t xml:space="preserve">Menjual kebutuhan enceran rumah tangga </t>
  </si>
  <si>
    <t>https://fasih-sm.bps.go.id/app/assignment/fd68e454-ba45-4b85-8205-f3bf777ded24/91d9b0b2-bdf9-407e-985d-5dae27ebe05f</t>
  </si>
  <si>
    <t>KIOS ATI SYUKUR</t>
  </si>
  <si>
    <t>Makanan dan sembako</t>
  </si>
  <si>
    <t xml:space="preserve">Menjual makanan dan sembako </t>
  </si>
  <si>
    <t>https://fasih-sm.bps.go.id/app/assignment/fd68e454-ba45-4b85-8205-f3bf777ded24/8dadc703-b26a-4155-b4ce-45bc5e0e215d</t>
  </si>
  <si>
    <t>USAHA KIOS SEMBAKO (FRANSISKUS BUMI LUBUR)</t>
  </si>
  <si>
    <t>MENJUAL ANEKA SEMBAKO</t>
  </si>
  <si>
    <t>109000000.0</t>
  </si>
  <si>
    <t>https://fasih-sm.bps.go.id/app/assignment/fd68e454-ba45-4b85-8205-f3bf777ded24/8a519382-8279-4576-8d47-768a73a79cab</t>
  </si>
  <si>
    <t>KIOS ( FRANSISKA SISI FERNANDEZ)</t>
  </si>
  <si>
    <t>BUDIDAYA TANAMAN PADI</t>
  </si>
  <si>
    <t>15000.0</t>
  </si>
  <si>
    <t>https://fasih-sm.bps.go.id/app/assignment/fd68e454-ba45-4b85-8205-f3bf777ded24/8a93a868-fc68-49d4-b70e-f5de47776385</t>
  </si>
  <si>
    <t xml:space="preserve">KIOS MARTOYO (MUHAMMAD NASIR) </t>
  </si>
  <si>
    <t>Menjual berbagai kerupuk</t>
  </si>
  <si>
    <t>64350000.0</t>
  </si>
  <si>
    <t>https://fasih-sm.bps.go.id/app/assignment/fd68e454-ba45-4b85-8205-f3bf777ded24/d3781700-da2e-4f29-803d-846f5ce3fab8</t>
  </si>
  <si>
    <t>USAHA JUALAN ES</t>
  </si>
  <si>
    <t>ES KEMASAN</t>
  </si>
  <si>
    <t xml:space="preserve">MENJUAL ES KEMASAN DENGAN BERBAGAI VARIAN RASA </t>
  </si>
  <si>
    <t>https://fasih-sm.bps.go.id/app/assignment/fd68e454-ba45-4b85-8205-f3bf777ded24/c89a179d-3b3f-49bd-a1f4-d20262196950</t>
  </si>
  <si>
    <t>KIOS LESTARI SARTENG(ERNESTA KATANA)</t>
  </si>
  <si>
    <t>24300000.0</t>
  </si>
  <si>
    <t>https://fasih-sm.bps.go.id/app/assignment/fd68e454-ba45-4b85-8205-f3bf777ded24/c03048f9-47ea-4518-a20b-20bac6ecca69</t>
  </si>
  <si>
    <t>KIOS PAK YOSEF TAU DIAZ ALFI</t>
  </si>
  <si>
    <t>Jualan sembako eceran</t>
  </si>
  <si>
    <t>https://fasih-sm.bps.go.id/app/assignment/fd68e454-ba45-4b85-8205-f3bf777ded24/f5b4972d-ef47-4e42-9d15-4817cbb9febb</t>
  </si>
  <si>
    <t xml:space="preserve">KIOS (YUSTINA RELU DULI) </t>
  </si>
  <si>
    <t>Jagung titi</t>
  </si>
  <si>
    <t xml:space="preserve">Usaha pengolahan jagung menjadi jagung titi untuk dijual </t>
  </si>
  <si>
    <t>220000.0</t>
  </si>
  <si>
    <t>https://fasih-sm.bps.go.id/app/assignment/fd68e454-ba45-4b85-8205-f3bf777ded24/e532a517-a876-49e6-9627-9614e60bf6ed</t>
  </si>
  <si>
    <t xml:space="preserve">KIOS SEMBAKO (MUHAMMAD BAZHER) </t>
  </si>
  <si>
    <t>3098000.0</t>
  </si>
  <si>
    <t>https://fasih-sm.bps.go.id/app/assignment/fd68e454-ba45-4b85-8205-f3bf777ded24/e7600f43-f1f3-4c7b-bf1f-15fb3411715f</t>
  </si>
  <si>
    <t>KIOS( MARIA UBA OLA)</t>
  </si>
  <si>
    <t>Aneka makanan ringan</t>
  </si>
  <si>
    <t>Perdagangan makanan ringan</t>
  </si>
  <si>
    <t>https://fasih-sm.bps.go.id/app/assignment/fd68e454-ba45-4b85-8205-f3bf777ded24/efd12a48-e15c-4392-ac3f-07af452f695d</t>
  </si>
  <si>
    <t>KIOS BADIN (YOSEP BOKI BADIN)</t>
  </si>
  <si>
    <t>BERBAGAI MACAM BARANG SEMBAKO</t>
  </si>
  <si>
    <t>MENJUAL SEMBAKO ENCERAN DI KIOS</t>
  </si>
  <si>
    <t>15200000.0</t>
  </si>
  <si>
    <t>https://fasih-sm.bps.go.id/app/assignment/fd68e454-ba45-4b85-8205-f3bf777ded24/08468e88-2280-4a20-b744-a0910dbb1430</t>
  </si>
  <si>
    <t>JASA PERDAGANGAN KIOS ECERAN(DEWI SUSANTI)</t>
  </si>
  <si>
    <t>23750000.0</t>
  </si>
  <si>
    <t>https://fasih-sm.bps.go.id/app/assignment/fd68e454-ba45-4b85-8205-f3bf777ded24/f207e04a-3fa6-44ac-ac8a-8d16d60c8e4e</t>
  </si>
  <si>
    <t xml:space="preserve">PERDAGANGAN ECERAN ( MARIA MARGARETA BENGA OLA) </t>
  </si>
  <si>
    <t>KAMBING POTONG</t>
  </si>
  <si>
    <t>Mengusahakan ternak kambing</t>
  </si>
  <si>
    <t>16000.0</t>
  </si>
  <si>
    <t>https://fasih-sm.bps.go.id/app/assignment/fd68e454-ba45-4b85-8205-f3bf777ded24/0abc2539-ac3c-43b9-92f8-08dbc3f69c28</t>
  </si>
  <si>
    <t>USAHA KIOS(PUTRA RADIT)</t>
  </si>
  <si>
    <t>Jasa Perbaikan Motor</t>
  </si>
  <si>
    <t>Memperbaiki Kendara Bermotor</t>
  </si>
  <si>
    <t>6150000.0</t>
  </si>
  <si>
    <t>https://fasih-sm.bps.go.id/app/assignment/fd68e454-ba45-4b85-8205-f3bf777ded24/004c8307-4031-4529-bccb-11ddc6dfeefb</t>
  </si>
  <si>
    <t>LIKRI KLEDEN KIOS (IBRAHIM KOPONG BOLI)</t>
  </si>
  <si>
    <t>Barang eceran makanan dan minuman serta tembakau</t>
  </si>
  <si>
    <t>Perdagangan barang eceran makanan dan minuman serta tembakau</t>
  </si>
  <si>
    <t>43450000.0</t>
  </si>
  <si>
    <t>https://fasih-sm.bps.go.id/app/assignment/fd68e454-ba45-4b85-8205-f3bf777ded24/00c3a62f-cf6d-44b0-811b-a06334cf665d</t>
  </si>
  <si>
    <t>KIOS ECERAN RUMAHAN (NAFISA YAKUB)</t>
  </si>
  <si>
    <t>Bahan-bahan dapur</t>
  </si>
  <si>
    <t>Jualan Kios Eceran Rumahan</t>
  </si>
  <si>
    <t>4500000.0</t>
  </si>
  <si>
    <t>https://fasih-sm.bps.go.id/app/assignment/fd68e454-ba45-4b85-8205-f3bf777ded24/3470f360-aa7d-450a-a5d0-62a03d7d6e86</t>
  </si>
  <si>
    <t>UTP KIOS SEMBAKO (THERESIA TERE DAHE)</t>
  </si>
  <si>
    <t xml:space="preserve">KOPRA </t>
  </si>
  <si>
    <t xml:space="preserve">INDUSTRI PENGOLAHAN KELAPA MENJADI KOPRA </t>
  </si>
  <si>
    <t>5650000.0</t>
  </si>
  <si>
    <t>https://fasih-sm.bps.go.id/app/assignment/fd68e454-ba45-4b85-8205-f3bf777ded24/23c0fd6c-baec-402b-a699-9df1eb4144ee</t>
  </si>
  <si>
    <t>WARUNG JAJANAN DAN KEBUTUHAN HARIAN RUMAH TANGGA (MARIA AGUSTINA)</t>
  </si>
  <si>
    <t>Penggemukan babi</t>
  </si>
  <si>
    <t>https://fasih-sm.bps.go.id/app/assignment/fd68e454-ba45-4b85-8205-f3bf777ded24/2311ea0b-2ba6-4c21-81bf-543cb3842db8</t>
  </si>
  <si>
    <t>KIOS ADI ARI (KRISTINA KEWA ARE)</t>
  </si>
  <si>
    <t>Menjual berbagai macam makanan dan minuman</t>
  </si>
  <si>
    <t>34500000.0</t>
  </si>
  <si>
    <t>https://fasih-sm.bps.go.id/app/assignment/fd68e454-ba45-4b85-8205-f3bf777ded24/4049f4d1-57c8-471b-8db5-8a37c9582271</t>
  </si>
  <si>
    <t>KIOS SEMBAKO ( MARIA SITI NURAIDA )</t>
  </si>
  <si>
    <t>7400000.0</t>
  </si>
  <si>
    <t>https://fasih-sm.bps.go.id/app/assignment/fd68e454-ba45-4b85-8205-f3bf777ded24/564e0a13-fd10-43c0-8fa2-f3103b5162d7</t>
  </si>
  <si>
    <t>USAHA KIOS &lt;DEMENTRIUS DONI BOLEN&gt;</t>
  </si>
  <si>
    <t xml:space="preserve">JASA PERDAGANGAN BENSIN ENCERAN </t>
  </si>
  <si>
    <t>JUAL ENCERAN BBM</t>
  </si>
  <si>
    <t>1060000.0</t>
  </si>
  <si>
    <t>https://fasih-sm.bps.go.id/app/assignment/fd68e454-ba45-4b85-8205-f3bf777ded24/5cdf107e-9101-4447-b07a-fd80a8632819</t>
  </si>
  <si>
    <t>SEMBAKO SAEMAH DAUD</t>
  </si>
  <si>
    <t>USAHA JUALAN SEMBAKO</t>
  </si>
  <si>
    <t>https://fasih-sm.bps.go.id/app/assignment/fd68e454-ba45-4b85-8205-f3bf777ded24/6a23e483-8e08-4165-bf79-57c99bcd72c3</t>
  </si>
  <si>
    <t>KIOS SEMBAKO (MONIKA PERADA BERAN)</t>
  </si>
  <si>
    <t>SEMBAKO DAN JAJAN ANAK</t>
  </si>
  <si>
    <t>MENJUAL SEMBAKO DAN JAJAN ANAK</t>
  </si>
  <si>
    <t>8685000.0</t>
  </si>
  <si>
    <t>https://fasih-sm.bps.go.id/app/assignment/fd68e454-ba45-4b85-8205-f3bf777ded24/73ccf083-ec1e-405a-a6ca-0c2188931fa1</t>
  </si>
  <si>
    <t>KIOS BATAONA PUTRA</t>
  </si>
  <si>
    <t>Sembako eceran</t>
  </si>
  <si>
    <t>Menjual.sembako eceran</t>
  </si>
  <si>
    <t>https://fasih-sm.bps.go.id/app/assignment/fd68e454-ba45-4b85-8205-f3bf777ded24/6181d690-e811-4ed1-aa69-587e4a2ac9aa</t>
  </si>
  <si>
    <t>Usaha kios sembako mingga diaz</t>
  </si>
  <si>
    <t>BUDIDAYA ubi kayu</t>
  </si>
  <si>
    <t>https://fasih-sm.bps.go.id/app/assignment/fd68e454-ba45-4b85-8205-f3bf777ded24/991b8646-ff87-469f-bc55-54d81a8b9029</t>
  </si>
  <si>
    <t xml:space="preserve">KIOS SEMBAKO ECERAN RAHIMA </t>
  </si>
  <si>
    <t>72180000.0</t>
  </si>
  <si>
    <t>https://fasih-sm.bps.go.id/app/assignment/fd68e454-ba45-4b85-8205-f3bf777ded24/7fbb98e0-f0eb-4203-b5b5-4e02f6bbff30</t>
  </si>
  <si>
    <t xml:space="preserve">KIOS DANDI (ELISABETH BOTA WELAN) </t>
  </si>
  <si>
    <t>MENJUAL SEMBAKO ECERAN DI KIOS</t>
  </si>
  <si>
    <t>1120000.0</t>
  </si>
  <si>
    <t>https://fasih-sm.bps.go.id/app/assignment/fd68e454-ba45-4b85-8205-f3bf777ded24/912e3d69-d3b1-44f0-b531-73f193bbe07f</t>
  </si>
  <si>
    <t>USAHA KIOS SEMBAKO&lt;UMI AFIFAH ZAKARIA&gt;</t>
  </si>
  <si>
    <t>JASA ANGKUTAN PENUMPANG</t>
  </si>
  <si>
    <t>ANGKUTAN PENUMPANG PEDESAAN</t>
  </si>
  <si>
    <t>https://fasih-sm.bps.go.id/app/assignment/fd68e454-ba45-4b85-8205-f3bf777ded24/855b776b-7d8e-49c7-8fb2-e9b92ae0b5e5</t>
  </si>
  <si>
    <t xml:space="preserve">USAHA KIOS (ENDANG BUGIS) </t>
  </si>
  <si>
    <t>IKAN AIR LAUT</t>
  </si>
  <si>
    <t>PENANGKAPAN IKAN DAN BIAOTA LAUT</t>
  </si>
  <si>
    <t>7010000.0</t>
  </si>
  <si>
    <t>https://fasih-sm.bps.go.id/app/assignment/fd68e454-ba45-4b85-8205-f3bf777ded24/bf9cace1-4bc5-4a72-aa03-afcf8dc9bbb1</t>
  </si>
  <si>
    <t>KIOS SUCI</t>
  </si>
  <si>
    <t>197050000.0</t>
  </si>
  <si>
    <t>https://fasih-sm.bps.go.id/app/assignment/fd68e454-ba45-4b85-8205-f3bf777ded24/b033112f-fe33-4260-8161-7f725b4086b3</t>
  </si>
  <si>
    <t>KIOS ECERAN HAFSAH</t>
  </si>
  <si>
    <t>PERDAGANGAN MAKANAN ECERAN</t>
  </si>
  <si>
    <t>PERDAGANGAN ECERAN MAKANAN</t>
  </si>
  <si>
    <t>61400000.0</t>
  </si>
  <si>
    <t>https://fasih-sm.bps.go.id/app/assignment/fd68e454-ba45-4b85-8205-f3bf777ded24/a8751130-6674-45dc-9700-c0dc4f0f975a</t>
  </si>
  <si>
    <t>KIOS PUTERA MANDIRI</t>
  </si>
  <si>
    <t>SEMBAKO DAN MAKANAN RINGAN</t>
  </si>
  <si>
    <t>Menjual Sembako Eceran untuk kebutuhan sehari hari</t>
  </si>
  <si>
    <t>8300000.0</t>
  </si>
  <si>
    <t>https://fasih-sm.bps.go.id/app/assignment/fd68e454-ba45-4b85-8205-f3bf777ded24/a01d8180-9629-426f-ae41-29e5ca70144d</t>
  </si>
  <si>
    <t xml:space="preserve">USAHA PERDAGANGAN ECERAN ( SITI) </t>
  </si>
  <si>
    <t xml:space="preserve">MENGELOLAH KELAPA MENJADI KOPRA </t>
  </si>
  <si>
    <t>https://fasih-sm.bps.go.id/app/assignment/fd68e454-ba45-4b85-8205-f3bf777ded24/aacf9e4a-a619-4687-9d32-9da134085f02</t>
  </si>
  <si>
    <t xml:space="preserve">KIOS ECERAN ( YULIANA SURA PAYONG) </t>
  </si>
  <si>
    <t>BUDIDAYA TANAMAN UBI MELIPUTI PENGOLAHAN LAHAN PENANAMAN PEMELIHARAAN DAN PEMANENAN</t>
  </si>
  <si>
    <t>https://fasih-sm.bps.go.id/app/assignment/fd68e454-ba45-4b85-8205-f3bf777ded24/b0e18676-8040-4ef0-896b-be33aff247bd</t>
  </si>
  <si>
    <t xml:space="preserve">UTP PERDAGANGAN SEMBAKO (HENDRIKUS LINOME) </t>
  </si>
  <si>
    <t>PERDAGANGAN HASIL KOMIDITI</t>
  </si>
  <si>
    <t>JUAL DAN BELI HASIL PERTANIAN SEPERTI KELAPA, KEMIRI, DAN KAKAO</t>
  </si>
  <si>
    <t>101500000.0</t>
  </si>
  <si>
    <t>https://fasih-sm.bps.go.id/app/assignment/fd68e454-ba45-4b85-8205-f3bf777ded24/c47a4d4b-b87b-4a37-876e-831cf1389c52</t>
  </si>
  <si>
    <t>KIOS ENCERAN (MARIA BULU DEMON)</t>
  </si>
  <si>
    <t>KACANG TANAH</t>
  </si>
  <si>
    <t>BUDIDAYA KACANG TANAH</t>
  </si>
  <si>
    <t>https://fasih-sm.bps.go.id/app/assignment/fd68e454-ba45-4b85-8205-f3bf777ded24/bb16c2ed-fdb0-44c8-aab2-3369b2db3324</t>
  </si>
  <si>
    <t>KIOS SEMBAKO(EMERENSIA J.LEYN)</t>
  </si>
  <si>
    <t>KURSI</t>
  </si>
  <si>
    <t>PENYEWAAN KURSI UNTUK ACARA</t>
  </si>
  <si>
    <t>https://fasih-sm.bps.go.id/app/assignment/fd68e454-ba45-4b85-8205-f3bf777ded24/cf10fca4-1075-4fdd-8893-fc4157406742</t>
  </si>
  <si>
    <t>UTP KIOS (ANASTASIA JARI SILI)</t>
  </si>
  <si>
    <t>BUAH PISANG</t>
  </si>
  <si>
    <t>https://fasih-sm.bps.go.id/app/assignment/fd68e454-ba45-4b85-8205-f3bf777ded24/e8564686-cdab-49ed-8ede-549b0c40c3d1</t>
  </si>
  <si>
    <t>KIOS REALIN (ASTRY FERNANDEZ AIKOLI)</t>
  </si>
  <si>
    <t>https://fasih-sm.bps.go.id/app/assignment/fd68e454-ba45-4b85-8205-f3bf777ded24/e97c62ab-dca9-4ec2-99d7-c85dfdd11bf5</t>
  </si>
  <si>
    <t>KIOS (MARNI)</t>
  </si>
  <si>
    <t>Menjual berbagai jenis barang eceran kebutuhan makan minum rumah tangga</t>
  </si>
  <si>
    <t>2720000.0</t>
  </si>
  <si>
    <t>https://fasih-sm.bps.go.id/app/assignment/fd68e454-ba45-4b85-8205-f3bf777ded24/1a23961c-95ab-4d0d-bbc5-c63794daf67e</t>
  </si>
  <si>
    <t>KIOS SEMBAKO&lt; ALEXANDER ASAN ADONAEN&gt;.</t>
  </si>
  <si>
    <t>JASA PENJUALAN SEMBAKO</t>
  </si>
  <si>
    <t>MEMBELI BARANG DI PASAR KEMUDIAN MENJUAL LANGSUNG KEPADA PEMBELI</t>
  </si>
  <si>
    <t>13000000.0</t>
  </si>
  <si>
    <t>https://fasih-sm.bps.go.id/app/assignment/fd68e454-ba45-4b85-8205-f3bf777ded24/153a3e10-86f0-441c-af67-07c53e6483ba</t>
  </si>
  <si>
    <t>KIOS NIKEN N RIANI SARAI HAYON</t>
  </si>
  <si>
    <t xml:space="preserve">Aktivitas penjualan sembako eceran </t>
  </si>
  <si>
    <t>12120000.0</t>
  </si>
  <si>
    <t>https://fasih-sm.bps.go.id/app/assignment/fd68e454-ba45-4b85-8205-f3bf777ded24/37efd52c-6d40-4bd5-86ae-92cf70bc95a0</t>
  </si>
  <si>
    <t xml:space="preserve">KIOS DUA BERSAUDARA MARSELINUS&lt;TERAAMA HERIN&gt; </t>
  </si>
  <si>
    <t>SEMBAKO,ROKOK JAJAN</t>
  </si>
  <si>
    <t>5504000.0</t>
  </si>
  <si>
    <t>https://fasih-sm.bps.go.id/app/assignment/fd68e454-ba45-4b85-8205-f3bf777ded24/343f86d6-32dd-4c64-bb88-4c7f60d233b6</t>
  </si>
  <si>
    <t>KIOS TIGASATU (EMERENSIANA FLORENTIN DHAE)</t>
  </si>
  <si>
    <t>Sembako dan barang kebutuhan lainnya</t>
  </si>
  <si>
    <t>Perdagangan eceran berbagai barang kebutuhan pokok sehari-hari.</t>
  </si>
  <si>
    <t>https://fasih-sm.bps.go.id/app/assignment/fd68e454-ba45-4b85-8205-f3bf777ded24/498e8797-853c-4d21-b56e-3b186a8fd459</t>
  </si>
  <si>
    <t>KIOS ECERAN &lt;SAIDAH&gt;</t>
  </si>
  <si>
    <t>6530000.0</t>
  </si>
  <si>
    <t>https://fasih-sm.bps.go.id/app/assignment/fd68e454-ba45-4b85-8205-f3bf777ded24/713ee8dc-8552-476c-b847-183c5994face</t>
  </si>
  <si>
    <t>UTP PERDAGANGAN ECERAN (YULITA TULIT PEKA)</t>
  </si>
  <si>
    <t>7440000.0</t>
  </si>
  <si>
    <t>https://fasih-sm.bps.go.id/app/assignment/fd68e454-ba45-4b85-8205-f3bf777ded24/976c9c46-03b4-477c-ab4c-75edf6fa6a4b</t>
  </si>
  <si>
    <t>KIOS SAMUDRA (PETRUS PEHAN HEWEN)</t>
  </si>
  <si>
    <t>Barang dagangan</t>
  </si>
  <si>
    <t>Jualan sembako dan barang kebutuhan lainnya</t>
  </si>
  <si>
    <t>5520000.0</t>
  </si>
  <si>
    <t>https://fasih-sm.bps.go.id/app/assignment/fd68e454-ba45-4b85-8205-f3bf777ded24/8f806498-9b20-4ea0-9de9-5b0e1f096e8d</t>
  </si>
  <si>
    <t>KIOS HIDIN</t>
  </si>
  <si>
    <t>Makanan eceran</t>
  </si>
  <si>
    <t xml:space="preserve">Perdagangan makanan Eceran </t>
  </si>
  <si>
    <t>https://fasih-sm.bps.go.id/app/assignment/fd68e454-ba45-4b85-8205-f3bf777ded24/907643c9-9155-4796-ae41-3c8a4ee6c193</t>
  </si>
  <si>
    <t xml:space="preserve">Kios putri (syaidah Mahmud) </t>
  </si>
  <si>
    <t>https://fasih-sm.bps.go.id/app/assignment/fd68e454-ba45-4b85-8205-f3bf777ded24/82b84d63-f945-46f6-97d9-efc81bd52ff4</t>
  </si>
  <si>
    <t>https://fasih-sm.bps.go.id/app/assignment/fd68e454-ba45-4b85-8205-f3bf777ded24/b841240f-25dd-43f0-84a4-a90d5224970b</t>
  </si>
  <si>
    <t>KIOS BRYDHINNA (MARLINA MASI KOPON)</t>
  </si>
  <si>
    <t>SNACK, MIE INSTAN, ROKOK, MINUMAN DINGIN</t>
  </si>
  <si>
    <t>PERDAGANGAN ECERAN SEMBAKO DI KIOS</t>
  </si>
  <si>
    <t>65274000.0</t>
  </si>
  <si>
    <t>https://fasih-sm.bps.go.id/app/assignment/fd68e454-ba45-4b85-8205-f3bf777ded24/c9c36d28-f31d-44a2-9aa6-e0d6ca19e666</t>
  </si>
  <si>
    <t>KIOS FAIZ (SITI HASAN)</t>
  </si>
  <si>
    <t>ANEKA SEMBAKO</t>
  </si>
  <si>
    <t>7300000.0</t>
  </si>
  <si>
    <t>https://fasih-sm.bps.go.id/app/assignment/fd68e454-ba45-4b85-8205-f3bf777ded24/cba676ec-5cfd-4644-88bf-62bf3c776cf9</t>
  </si>
  <si>
    <t>KIOS -BENGAN KOPONG BERONIKA-</t>
  </si>
  <si>
    <t>Minyak Goreng, Kopi, Gula, Teh, Telur</t>
  </si>
  <si>
    <t>Menjual beras,minyak goreng,gula pasir,kopi, tepung makanan anak anak</t>
  </si>
  <si>
    <t>https://fasih-sm.bps.go.id/app/assignment/fd68e454-ba45-4b85-8205-f3bf777ded24/cb00b82b-7df8-4674-b04c-126e3c7aa6a2</t>
  </si>
  <si>
    <t>UTP KIOS SEMBAKO (MARIA BENGA BORO)</t>
  </si>
  <si>
    <t xml:space="preserve">SAYUR DAUN DAN BUAH </t>
  </si>
  <si>
    <t xml:space="preserve">JUAL SAYUR KELILING </t>
  </si>
  <si>
    <t>76380000.0</t>
  </si>
  <si>
    <t>https://fasih-sm.bps.go.id/app/assignment/fd68e454-ba45-4b85-8205-f3bf777ded24/f6003171-c6c1-49ed-9522-a49dc98c5d54</t>
  </si>
  <si>
    <t xml:space="preserve">KELAPA DI BELA DI CUNGKIL DI JEMUR </t>
  </si>
  <si>
    <t>https://fasih-sm.bps.go.id/app/assignment/fd68e454-ba45-4b85-8205-f3bf777ded24/e78a5635-0b72-4716-a1e0-1159fad309e7</t>
  </si>
  <si>
    <t>KIOS THOMAS AQWINO SADA WURA</t>
  </si>
  <si>
    <t>Jual barang sembako</t>
  </si>
  <si>
    <t>https://fasih-sm.bps.go.id/app/assignment/fd68e454-ba45-4b85-8205-f3bf777ded24/fb857acd-5e75-4181-9c08-e5afa0a5c4da</t>
  </si>
  <si>
    <t>KIOS SABAR (SAMSIA)</t>
  </si>
  <si>
    <t>Makanan dan minuman dan kebutuhan rumh tangga</t>
  </si>
  <si>
    <t>Menjual berbagai jajanan anak dan kebutuhan rumah tangga</t>
  </si>
  <si>
    <t>https://fasih-sm.bps.go.id/app/assignment/fd68e454-ba45-4b85-8205-f3bf777ded24/fc27d4f3-85ea-4f62-a34f-ea54767f9794</t>
  </si>
  <si>
    <t>KIOS SEMBAKO (SANAWATI BURHAN)</t>
  </si>
  <si>
    <t>PADI DAN JAGUNG</t>
  </si>
  <si>
    <t>TANAMAN PANGAN PADI DAN JAGUNG</t>
  </si>
  <si>
    <t>1880000.0</t>
  </si>
  <si>
    <t>https://fasih-sm.bps.go.id/app/assignment/fd68e454-ba45-4b85-8205-f3bf777ded24/fe9d4665-dc97-43e1-8e48-1aeebd91e854</t>
  </si>
  <si>
    <t>KIOS SEMBAKO (ADRIANA EMA DULI)</t>
  </si>
  <si>
    <t>KAIN ATAU SARUNG ADAT ADONARA</t>
  </si>
  <si>
    <t>MEMBELI BENANG DAN MENGUBAH BENANG TERSEBUT MENJADI KAIN ATAU SARUNG ADAT ADONARA</t>
  </si>
  <si>
    <t>https://fasih-sm.bps.go.id/app/assignment/fd68e454-ba45-4b85-8205-f3bf777ded24/fad0f9c6-dc62-4183-85fb-1015c2a7a003</t>
  </si>
  <si>
    <t>KIOS ( FAUTUS AYA KOLIN)</t>
  </si>
  <si>
    <t>6800000.0</t>
  </si>
  <si>
    <t>https://fasih-sm.bps.go.id/app/assignment/fd68e454-ba45-4b85-8205-f3bf777ded24/93710cb0-cb7e-4e6e-94fb-65395128276f</t>
  </si>
  <si>
    <t>PEJUAL HASIL TANAMAN PANGAN LODOVIKA</t>
  </si>
  <si>
    <t>BALOK, PAPAN</t>
  </si>
  <si>
    <t>JASA PENEBANGAN POHON ATAU KAYU</t>
  </si>
  <si>
    <t>https://fasih-sm.bps.go.id/app/assignment/fd68e454-ba45-4b85-8205-f3bf777ded24/c5a6eb3b-7a3a-4231-8fa6-94151f2653aa</t>
  </si>
  <si>
    <t>JUALAN SAWO MARVIANA MITAN</t>
  </si>
  <si>
    <t>BUAH SAWO</t>
  </si>
  <si>
    <t>menjual buah sawo matan</t>
  </si>
  <si>
    <t>160000.0</t>
  </si>
  <si>
    <t>https://fasih-sm.bps.go.id/app/assignment/fd68e454-ba45-4b85-8205-f3bf777ded24/05833d34-3df8-4f4b-b246-c843b802fc5e</t>
  </si>
  <si>
    <t>PERDAGANGAN AYAM KAMPUNG( BENEDIKTA BENGAN SANGA) )</t>
  </si>
  <si>
    <t>Jagung lokal</t>
  </si>
  <si>
    <t>https://fasih-sm.bps.go.id/app/assignment/fd68e454-ba45-4b85-8205-f3bf777ded24/a35b1b6f-6d31-4797-91bc-9475dd016532</t>
  </si>
  <si>
    <t>JUAL HALIA(NURBAYA BAHRUDIN)</t>
  </si>
  <si>
    <t>HALIA</t>
  </si>
  <si>
    <t>4400000.0</t>
  </si>
  <si>
    <t>https://fasih-sm.bps.go.id/app/assignment/fd68e454-ba45-4b85-8205-f3bf777ded24/eaa2fc99-0fa8-4f0e-afd6-602a05513a94</t>
  </si>
  <si>
    <t>ARAK ( AGUSTINUS KIA PATI)</t>
  </si>
  <si>
    <t>Penanaman perawatan dan pemanenan</t>
  </si>
  <si>
    <t>425000.0</t>
  </si>
  <si>
    <t>https://fasih-sm.bps.go.id/app/assignment/fd68e454-ba45-4b85-8205-f3bf777ded24/4928399a-8757-4a9b-9e6b-c12d01d67b4b</t>
  </si>
  <si>
    <t>Penjual minuman tradisional martinus riung</t>
  </si>
  <si>
    <t>BUDIDAYA TANAMAN PERKEBUNAN</t>
  </si>
  <si>
    <t>https://fasih-sm.bps.go.id/app/assignment/fd68e454-ba45-4b85-8205-f3bf777ded24/cb0ea229-388a-469b-b6b1-062fe0efe3ca</t>
  </si>
  <si>
    <t>ARAK ( MARIA FLORIDA TITIN PELATE)</t>
  </si>
  <si>
    <t>7000000.0</t>
  </si>
  <si>
    <t>https://fasih-sm.bps.go.id/app/assignment/fd68e454-ba45-4b85-8205-f3bf777ded24/6c2e6a98-5100-46bc-94d1-5cf5b0b18380</t>
  </si>
  <si>
    <t>USAHA JUALAN ES JAS JUS MENGGOTA TELUMA</t>
  </si>
  <si>
    <t xml:space="preserve">Es manis </t>
  </si>
  <si>
    <t>Usaha jualan es jas jus</t>
  </si>
  <si>
    <t>https://fasih-sm.bps.go.id/app/assignment/fd68e454-ba45-4b85-8205-f3bf777ded24/65051c16-c156-4858-93ee-06ac5fd00a6f</t>
  </si>
  <si>
    <t>PENJUAL ROKOK KELILING (BAHRUDIN DAHLAN)</t>
  </si>
  <si>
    <t>MENJUAL SEMBAKO, JAJANAN DAN LAIN SEBAGAINYA</t>
  </si>
  <si>
    <t>74000000.0</t>
  </si>
  <si>
    <t>https://fasih-sm.bps.go.id/app/assignment/fd68e454-ba45-4b85-8205-f3bf777ded24/ca31d394-b126-4015-8eed-6075004aaae8</t>
  </si>
  <si>
    <t>USAHA KUE ANI DASANTO</t>
  </si>
  <si>
    <t xml:space="preserve">Aneka kue </t>
  </si>
  <si>
    <t xml:space="preserve">Penjualan aneka kue </t>
  </si>
  <si>
    <t>https://fasih-sm.bps.go.id/app/assignment/fd68e454-ba45-4b85-8205-f3bf777ded24/ae7419cb-8d22-41f1-896c-c0119d222a37</t>
  </si>
  <si>
    <t xml:space="preserve">UD JUALAN KUE (ISA DASILVA) </t>
  </si>
  <si>
    <t>TERANG BULAN</t>
  </si>
  <si>
    <t>JUALAN KUE TERANG BULAN</t>
  </si>
  <si>
    <t>https://fasih-sm.bps.go.id/app/assignment/fd68e454-ba45-4b85-8205-f3bf777ded24/5bd3f27b-a903-44ec-a424-818829b112a6</t>
  </si>
  <si>
    <t>JUALAN KUE (BERNADETE)</t>
  </si>
  <si>
    <t>Aneka kue basah</t>
  </si>
  <si>
    <t>Jualan anek.kue</t>
  </si>
  <si>
    <t>5880000.0</t>
  </si>
  <si>
    <t>https://fasih-sm.bps.go.id/app/assignment/fd68e454-ba45-4b85-8205-f3bf777ded24/32c3560c-d187-4c59-bc5f-ac130e9cd600</t>
  </si>
  <si>
    <t>JUALAN ROTI DONAT CUCUR</t>
  </si>
  <si>
    <t>Roti goreng cucur donat dll</t>
  </si>
  <si>
    <t>Buat kue donat cucur lena</t>
  </si>
  <si>
    <t>https://fasih-sm.bps.go.id/app/assignment/fd68e454-ba45-4b85-8205-f3bf777ded24/4c73f194-483c-4e97-bad2-c56ea4d3ac03</t>
  </si>
  <si>
    <t>PERDANGANGAN ECERAN KUE &lt; JULIANA PRADA MASAN&gt;</t>
  </si>
  <si>
    <t xml:space="preserve">KUE </t>
  </si>
  <si>
    <t xml:space="preserve">PEDAGANG ECERAN KUE </t>
  </si>
  <si>
    <t>15300000.0</t>
  </si>
  <si>
    <t>https://fasih-sm.bps.go.id/app/assignment/fd68e454-ba45-4b85-8205-f3bf777ded24/a7fad7fa-3db0-41da-aa4d-82cb2407925a</t>
  </si>
  <si>
    <t>JUALAN KUE ( KATHARINA KESE )</t>
  </si>
  <si>
    <t>ANEKA KUE</t>
  </si>
  <si>
    <t>MEMBUA DAN MENJUAL KUE</t>
  </si>
  <si>
    <t>37225000.0</t>
  </si>
  <si>
    <t>https://fasih-sm.bps.go.id/app/assignment/fd68e454-ba45-4b85-8205-f3bf777ded24/f8b8fccb-f726-48eb-a215-71badb79cb90</t>
  </si>
  <si>
    <t>KIOS DIVO HEKIN(LODOVIKUS SUBAN HEKIN)</t>
  </si>
  <si>
    <t>KIOS JUALAN SEMBAKO</t>
  </si>
  <si>
    <t>https://fasih-sm.bps.go.id/app/assignment/fd68e454-ba45-4b85-8205-f3bf777ded24/57433dfe-8db5-4f4b-977c-b6a0f121fa52</t>
  </si>
  <si>
    <t>GULA TUAK</t>
  </si>
  <si>
    <t>Memasak arak alkohol</t>
  </si>
  <si>
    <t>1200000.0</t>
  </si>
  <si>
    <t>https://fasih-sm.bps.go.id/app/assignment/fd68e454-ba45-4b85-8205-f3bf777ded24/b0eae117-1bb7-4a31-843c-025af490f342</t>
  </si>
  <si>
    <t>USAHA KIOS MARIANTO SANGA PAYON</t>
  </si>
  <si>
    <t>Beras, gula, krupuk, permen, minyak goreng</t>
  </si>
  <si>
    <t xml:space="preserve">Menjual beras, gula, kopi, krupuk, permen, minyak goreng. </t>
  </si>
  <si>
    <t>https://fasih-sm.bps.go.id/app/assignment/fd68e454-ba45-4b85-8205-f3bf777ded24/a69246f1-8b14-482b-8ca5-a0ecda35c40b</t>
  </si>
  <si>
    <t>MENJUAL TAHU DAN TEMPE</t>
  </si>
  <si>
    <t xml:space="preserve">TAHU </t>
  </si>
  <si>
    <t>MENGOLAH KACANG KEDELI MENJADI TAHU</t>
  </si>
  <si>
    <t>17362537.0</t>
  </si>
  <si>
    <t>https://fasih-sm.bps.go.id/app/assignment/fd68e454-ba45-4b85-8205-f3bf777ded24/ae1e1210-b2f7-47cc-9c8f-f234a98c9128</t>
  </si>
  <si>
    <t>JUALAN BENSIN ECERAN (ELIGIUS BEKI DOREN)</t>
  </si>
  <si>
    <t xml:space="preserve">BENSIN </t>
  </si>
  <si>
    <t xml:space="preserve">MENJUAL BENSIN ECERAN </t>
  </si>
  <si>
    <t>5205000.0</t>
  </si>
  <si>
    <t>https://fasih-sm.bps.go.id/app/assignment/fd68e454-ba45-4b85-8205-f3bf777ded24/247c3af0-e814-4424-a407-633be8d109c4</t>
  </si>
  <si>
    <t xml:space="preserve">JUAL BENSIN ( HENDRIKUS REGI KUNG) </t>
  </si>
  <si>
    <t>PERDAGANGAN MELALUI PENJUALAN BENSIN ECERAN</t>
  </si>
  <si>
    <t>1210000.0</t>
  </si>
  <si>
    <t>https://fasih-sm.bps.go.id/app/assignment/fd68e454-ba45-4b85-8205-f3bf777ded24/2ceb48b1-c462-426d-b15d-18c1cc1074cb</t>
  </si>
  <si>
    <t xml:space="preserve">USAHA BENSIN ECERAN FENDY DEORNAY </t>
  </si>
  <si>
    <t xml:space="preserve">Bensin eceran </t>
  </si>
  <si>
    <t xml:space="preserve">Aktivitas penjualan bensin eceran </t>
  </si>
  <si>
    <t>3818000.0</t>
  </si>
  <si>
    <t>https://fasih-sm.bps.go.id/app/assignment/fd68e454-ba45-4b85-8205-f3bf777ded24/5f39a54c-415d-46fb-8970-2649d38dae6f</t>
  </si>
  <si>
    <t xml:space="preserve">Penjual bensin enceran( NYLISON ) </t>
  </si>
  <si>
    <t xml:space="preserve">Jagung </t>
  </si>
  <si>
    <t>Menanam jagung lokal dan mengkonsumsi sendiir</t>
  </si>
  <si>
    <t>120000.0</t>
  </si>
  <si>
    <t>https://fasih-sm.bps.go.id/app/assignment/fd68e454-ba45-4b85-8205-f3bf777ded24/e1ed183a-03b8-4dc4-bd15-cffe9de68d3f</t>
  </si>
  <si>
    <t>PENJUALAN SOLAR ECERAN ( M SALEH ATU )</t>
  </si>
  <si>
    <t>USAHA BENSIN ECERAN YOHANES IGO BERIBE</t>
  </si>
  <si>
    <t>16320000.0</t>
  </si>
  <si>
    <t>https://fasih-sm.bps.go.id/app/assignment/fd68e454-ba45-4b85-8205-f3bf777ded24/23247add-5d9f-4f71-b02a-a5505ed8934a</t>
  </si>
  <si>
    <t>KIOS ADITYA FILOMENA ARAN</t>
  </si>
  <si>
    <t>Sembako, makanan ,minuman</t>
  </si>
  <si>
    <t>Kios makanan ,minuman</t>
  </si>
  <si>
    <t>https://fasih-sm.bps.go.id/app/assignment/fd68e454-ba45-4b85-8205-f3bf777ded24/25d044bb-d790-46b6-99cd-1484eeaa819c</t>
  </si>
  <si>
    <t>USAHA BENSIN KHALIL MUDA&lt;KHALIL MUDA&gt;</t>
  </si>
  <si>
    <t>MEMBELI,MEBGISI,MEMAJANGKAN DAN MENJUAL</t>
  </si>
  <si>
    <t>335000.0</t>
  </si>
  <si>
    <t>https://fasih-sm.bps.go.id/app/assignment/fd68e454-ba45-4b85-8205-f3bf777ded24/197b0dc4-e4a4-4496-b9ff-d6a6bbb0e003</t>
  </si>
  <si>
    <t>PEDAGANG BENSIN ECERAN (TUAN)</t>
  </si>
  <si>
    <t>Pedagang bensin eceran</t>
  </si>
  <si>
    <t>29800000.0</t>
  </si>
  <si>
    <t>https://fasih-sm.bps.go.id/app/assignment/fd68e454-ba45-4b85-8205-f3bf777ded24/1c08f0c1-97d8-46f0-a81f-98a1bb9462a4</t>
  </si>
  <si>
    <t xml:space="preserve">USAHA JUAL BENSIN (LUSIA) </t>
  </si>
  <si>
    <t>Usaha Jual Bensin</t>
  </si>
  <si>
    <t>https://fasih-sm.bps.go.id/app/assignment/fd68e454-ba45-4b85-8205-f3bf777ded24/34499b5d-9fec-4bf1-ad3f-0856a1dd5912</t>
  </si>
  <si>
    <t>JUALAN BBM ECERAN</t>
  </si>
  <si>
    <t>Bahan bakar minyak</t>
  </si>
  <si>
    <t>Menjual bahan bakar minyak (BBM) eceran</t>
  </si>
  <si>
    <t>3410000.0</t>
  </si>
  <si>
    <t>https://fasih-sm.bps.go.id/app/assignment/fd68e454-ba45-4b85-8205-f3bf777ded24/3d4773b7-7e90-4409-996a-d9783655b9f5</t>
  </si>
  <si>
    <t>USAHA JUAL BENSIN&lt;DEMENTRIUS DONI BOLEN&gt;</t>
  </si>
  <si>
    <t xml:space="preserve">JB (ROSNAWATI TOKAN) </t>
  </si>
  <si>
    <t>MENJUAL BENSIN ECERAN</t>
  </si>
  <si>
    <t>12050000.0</t>
  </si>
  <si>
    <t>https://fasih-sm.bps.go.id/app/assignment/fd68e454-ba45-4b85-8205-f3bf777ded24/96464126-8f00-4f2f-80f4-4cdf897cd30f</t>
  </si>
  <si>
    <t>JUAL BENSIN ECERAN (MARIA PRAHESTI)</t>
  </si>
  <si>
    <t xml:space="preserve">MENJUAL BENSIN ECERAN DI PINGGIR JALAN DEKAN RUMAH </t>
  </si>
  <si>
    <t>12405000.0</t>
  </si>
  <si>
    <t>https://fasih-sm.bps.go.id/app/assignment/fd68e454-ba45-4b85-8205-f3bf777ded24/1a3bbcca-9a16-491c-b44e-5836a5cdfa68</t>
  </si>
  <si>
    <t xml:space="preserve">USAHA JUAL BENSIN (SULAIMAN) </t>
  </si>
  <si>
    <t>https://fasih-sm.bps.go.id/app/assignment/fd68e454-ba45-4b85-8205-f3bf777ded24/7f8b01c4-edf4-4c0e-b37b-e66c92dcd530</t>
  </si>
  <si>
    <t>USAHA PARANG ( TOMAS UMAR)</t>
  </si>
  <si>
    <t>AYAM KAMPUNG BIASA</t>
  </si>
  <si>
    <t>3580000.0</t>
  </si>
  <si>
    <t>https://fasih-sm.bps.go.id/app/assignment/fd68e454-ba45-4b85-8205-f3bf777ded24/80f0adf1-fd72-489c-92d8-45b8fa001a90</t>
  </si>
  <si>
    <t xml:space="preserve">TOKO USAHA JAYA </t>
  </si>
  <si>
    <t xml:space="preserve">Perdagangan eceran bola lampu dan alat elektronik lain </t>
  </si>
  <si>
    <t xml:space="preserve">Perdagangan lampu bohlam dan alat elektronik lain </t>
  </si>
  <si>
    <t>12350000.0</t>
  </si>
  <si>
    <t>https://fasih-sm.bps.go.id/app/assignment/fd68e454-ba45-4b85-8205-f3bf777ded24/6a8b58f6-8885-4c83-b5ba-8e74711e41fb</t>
  </si>
  <si>
    <t>47620</t>
  </si>
  <si>
    <t>KIOS (TONNY JOHAN)</t>
  </si>
  <si>
    <t>ALAT PANCING DAN PERLENGKAPANNYA</t>
  </si>
  <si>
    <t>PERDAGANGAN ECERAN ALAT PANCING DAN PERLENGKAPAN HOBI DI KIOS</t>
  </si>
  <si>
    <t>42110000.0</t>
  </si>
  <si>
    <t>https://fasih-sm.bps.go.id/app/assignment/fd68e454-ba45-4b85-8205-f3bf777ded24/0b151fe3-201e-4e45-860f-a63c46c682a6</t>
  </si>
  <si>
    <t>USAHA JUAL ALAT MANCING (MARIA GORAN)</t>
  </si>
  <si>
    <t>Jasa cetak foto</t>
  </si>
  <si>
    <t>Mencetak foto dari file digital ke berbagai ukuran dan media serta menyediakan jasa edit, produk turunan foto, dan layanan pendukungnyaffo</t>
  </si>
  <si>
    <t>8500000.0</t>
  </si>
  <si>
    <t>https://fasih-sm.bps.go.id/app/assignment/fd68e454-ba45-4b85-8205-f3bf777ded24/9aef6c6c-c0f0-4d95-b3f3-28606de56cbe</t>
  </si>
  <si>
    <t xml:space="preserve">JUAL MAINAN (MUSTAIN) </t>
  </si>
  <si>
    <t>Mainan anak anak</t>
  </si>
  <si>
    <t>Jual mainan anak anak</t>
  </si>
  <si>
    <t>https://fasih-sm.bps.go.id/app/assignment/fd68e454-ba45-4b85-8205-f3bf777ded24/eb654618-1004-4042-b2f2-d5e3953f2e58</t>
  </si>
  <si>
    <t>LIA OLSHOP</t>
  </si>
  <si>
    <t xml:space="preserve"> BAJU DAN AKSESORIS LAINNYA</t>
  </si>
  <si>
    <t>MEMBELI PAKAIAN, DAN AKSESORIS DALAM BESARAN, LALU MENJUALNYA KEMBALI SECARA ECERAN</t>
  </si>
  <si>
    <t>7106000.0</t>
  </si>
  <si>
    <t>https://fasih-sm.bps.go.id/app/assignment/fd68e454-ba45-4b85-8205-f3bf777ded24/74039136-4bc0-439d-ad0e-f979d4860b29</t>
  </si>
  <si>
    <t>PENJUAL PAKAIAN KEILING ( BASO AKO )</t>
  </si>
  <si>
    <t>Baju,celana,dll</t>
  </si>
  <si>
    <t xml:space="preserve">Jual pakaian keliling </t>
  </si>
  <si>
    <t>31200000.0</t>
  </si>
  <si>
    <t>https://fasih-sm.bps.go.id/app/assignment/fd68e454-ba45-4b85-8205-f3bf777ded24/b0438489-aa0e-4f6d-9766-c6a661c99360</t>
  </si>
  <si>
    <t>LAPAK (MUHAMMAD RATU )</t>
  </si>
  <si>
    <t xml:space="preserve">Penjualan pakaian </t>
  </si>
  <si>
    <t>30100000.0</t>
  </si>
  <si>
    <t>https://fasih-sm.bps.go.id/app/assignment/fd68e454-ba45-4b85-8205-f3bf777ded24/e57251c3-f0ee-4b1a-9338-4682ed448cc3</t>
  </si>
  <si>
    <t xml:space="preserve">TOKO PAKAIAN </t>
  </si>
  <si>
    <t>PAKAIAN DAN AKSESORIS</t>
  </si>
  <si>
    <t>MENJUAL PAKAIAN</t>
  </si>
  <si>
    <t>10050000.0</t>
  </si>
  <si>
    <t>https://fasih-sm.bps.go.id/app/assignment/fd68e454-ba45-4b85-8205-f3bf777ded24/07846247-d8da-431e-80eb-23a750fe015a</t>
  </si>
  <si>
    <t xml:space="preserve">KIOS MAINAN (SUL HIDAYAH) </t>
  </si>
  <si>
    <t>15456000.0</t>
  </si>
  <si>
    <t>https://fasih-sm.bps.go.id/app/assignment/fd68e454-ba45-4b85-8205-f3bf777ded24/70e368c2-28a4-4ef3-9ad0-849e5bf4e02b</t>
  </si>
  <si>
    <t>TOKO PAKAIAN MAMA INCES</t>
  </si>
  <si>
    <t xml:space="preserve">Menjual pakaian </t>
  </si>
  <si>
    <t>59500000.0</t>
  </si>
  <si>
    <t>https://fasih-sm.bps.go.id/app/assignment/fd68e454-ba45-4b85-8205-f3bf777ded24/51eec490-ab8e-4bd8-bf0d-e49a17aa141d</t>
  </si>
  <si>
    <t>SENGAJI SPORT LOHAYONG (FADHILAH SYAHRULFITRAH)</t>
  </si>
  <si>
    <t>SEPATU</t>
  </si>
  <si>
    <t>JUAL SEPATU DNA LAINNYA</t>
  </si>
  <si>
    <t>https://fasih-sm.bps.go.id/app/assignment/fd68e454-ba45-4b85-8205-f3bf777ded24/2d7d93ba-c94d-479b-bfd8-aa56f07bbc08</t>
  </si>
  <si>
    <t xml:space="preserve">KIOS SENDAL SEPATU (BASO MARZUKI) </t>
  </si>
  <si>
    <t>21535000.0</t>
  </si>
  <si>
    <t>https://fasih-sm.bps.go.id/app/assignment/fd68e454-ba45-4b85-8205-f3bf777ded24/9ed7efb3-6a41-4b7c-b9c9-b6f3481f478e</t>
  </si>
  <si>
    <t>PENJUAL SENDAL NURYANTI MUAHAMAD</t>
  </si>
  <si>
    <t>USAHA JUALAN SENDAL</t>
  </si>
  <si>
    <t>https://fasih-sm.bps.go.id/app/assignment/fd68e454-ba45-4b85-8205-f3bf777ded24/df8f8644-42d2-4e82-875e-98ed9610746a</t>
  </si>
  <si>
    <t>OBRAL KAOS KAKI</t>
  </si>
  <si>
    <t>Kaos kaki</t>
  </si>
  <si>
    <t>Menjual kaos kaki</t>
  </si>
  <si>
    <t>47700000.0</t>
  </si>
  <si>
    <t>https://fasih-sm.bps.go.id/app/assignment/fd68e454-ba45-4b85-8205-f3bf777ded24/54906070-7584-4458-b906-5f4ea895aded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</si>
</sst>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"/>
    <numFmt numFmtId="179" formatCode="0.00000"/>
    <numFmt numFmtId="180" formatCode="0.000"/>
    <numFmt numFmtId="181" formatCode="0.0"/>
    <numFmt numFmtId="182" formatCode="0.0000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"/>
    </font>
    <font>
      <sz val="11"/>
      <color theme="1"/>
      <name val="Aptos Narrow"/>
      <charset val="1"/>
    </font>
    <font>
      <sz val="11"/>
      <name val="Calibri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Alignment="1">
      <alignment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vertical="top" wrapText="1"/>
    </xf>
    <xf numFmtId="0" fontId="3" fillId="0" borderId="0" xfId="0" applyFont="1" applyFill="1" applyAlignment="1">
      <alignment horizontal="right" vertical="top"/>
    </xf>
    <xf numFmtId="178" fontId="3" fillId="0" borderId="0" xfId="0" applyNumberFormat="1" applyFont="1" applyFill="1" applyAlignment="1">
      <alignment horizontal="right" vertical="top"/>
    </xf>
    <xf numFmtId="179" fontId="3" fillId="0" borderId="0" xfId="0" applyNumberFormat="1" applyFont="1" applyFill="1" applyAlignment="1">
      <alignment horizontal="right" vertical="top"/>
    </xf>
    <xf numFmtId="3" fontId="3" fillId="0" borderId="0" xfId="0" applyNumberFormat="1" applyFont="1" applyFill="1" applyAlignment="1">
      <alignment vertical="top"/>
    </xf>
    <xf numFmtId="178" fontId="3" fillId="0" borderId="0" xfId="0" applyNumberFormat="1" applyFont="1" applyFill="1" applyAlignment="1">
      <alignment vertical="top"/>
    </xf>
    <xf numFmtId="0" fontId="3" fillId="0" borderId="0" xfId="0" applyFont="1" applyFill="1" applyAlignment="1">
      <alignment vertical="top"/>
    </xf>
    <xf numFmtId="180" fontId="3" fillId="0" borderId="0" xfId="0" applyNumberFormat="1" applyFont="1" applyFill="1" applyAlignment="1">
      <alignment horizontal="right" vertical="top"/>
    </xf>
    <xf numFmtId="2" fontId="3" fillId="0" borderId="0" xfId="0" applyNumberFormat="1" applyFont="1" applyFill="1" applyAlignment="1">
      <alignment horizontal="right" vertical="top"/>
    </xf>
    <xf numFmtId="181" fontId="3" fillId="0" borderId="0" xfId="0" applyNumberFormat="1" applyFont="1" applyFill="1" applyAlignment="1">
      <alignment horizontal="right" vertical="top"/>
    </xf>
    <xf numFmtId="182" fontId="3" fillId="0" borderId="0" xfId="0" applyNumberFormat="1" applyFont="1" applyFill="1" applyAlignment="1">
      <alignment horizontal="right" vertical="top"/>
    </xf>
    <xf numFmtId="0" fontId="4" fillId="0" borderId="0" xfId="6" applyFill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asih-sm.bps.go.id/app/assignment/fd68e454-ba45-4b85-8205-f3bf777ded24/d83dee31-07fe-4833-93ea-c58e12e2b1e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85"/>
  <sheetViews>
    <sheetView tabSelected="1" workbookViewId="0">
      <selection activeCell="H2" sqref="H2"/>
    </sheetView>
  </sheetViews>
  <sheetFormatPr defaultColWidth="9.14285714285714" defaultRowHeight="15"/>
  <cols>
    <col min="14" max="15" width="13.7142857142857" customWidth="1"/>
    <col min="19" max="20" width="9.71428571428571"/>
    <col min="24" max="24" width="10.4285714285714"/>
    <col min="25" max="26" width="9.7142857142857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228" spans="1:30">
      <c r="A2" s="2" t="s">
        <v>30</v>
      </c>
      <c r="B2" s="2" t="s">
        <v>31</v>
      </c>
      <c r="C2" s="3" t="s">
        <v>32</v>
      </c>
      <c r="D2" s="3" t="s">
        <v>33</v>
      </c>
      <c r="E2" s="3" t="s">
        <v>34</v>
      </c>
      <c r="F2" s="4">
        <v>0</v>
      </c>
      <c r="G2" s="4">
        <v>2000000</v>
      </c>
      <c r="H2" s="4">
        <v>50000</v>
      </c>
      <c r="I2" s="4">
        <v>0</v>
      </c>
      <c r="J2" s="2" t="s">
        <v>35</v>
      </c>
      <c r="K2" s="4">
        <v>3600000</v>
      </c>
      <c r="L2" s="4">
        <v>0</v>
      </c>
      <c r="M2" s="4">
        <v>1550000</v>
      </c>
      <c r="N2" s="4">
        <v>400000</v>
      </c>
      <c r="O2" s="4">
        <v>1600000</v>
      </c>
      <c r="P2" s="5">
        <v>0.555556</v>
      </c>
      <c r="Q2" s="6">
        <v>0.96875</v>
      </c>
      <c r="R2" s="2" t="s">
        <v>36</v>
      </c>
      <c r="S2" s="7">
        <f t="shared" ref="S2:S65" si="0">K2-F2-G2-H2</f>
        <v>1550000</v>
      </c>
      <c r="T2" s="7">
        <f t="shared" ref="T2:T65" si="1">K2-G2</f>
        <v>1600000</v>
      </c>
      <c r="U2" s="8">
        <f t="shared" ref="U2:U65" si="2">IF(T2&lt;=0,"",S2/T2)</f>
        <v>0.96875</v>
      </c>
      <c r="V2" s="9" t="e">
        <f>IF(T2&lt;=0,"Output &lt;= 0",IF(U2&gt;#REF!,"Terlalu tinggi",IF(U2&lt;#REF!,"Terlalu rendah","Sesuai")))</f>
        <v>#REF!</v>
      </c>
      <c r="W2" s="7" t="e">
        <f>IF(T2&lt;=0,S2,IF(U2&gt;#REF!,ROUNDDOWN(T2*#REF!,0),IF(U2&lt;#REF!,ROUNDUP(T2*#REF!,0),S2)))</f>
        <v>#REF!</v>
      </c>
      <c r="X2" s="7" t="e">
        <f t="shared" ref="X2:X65" si="3">W2-S2</f>
        <v>#REF!</v>
      </c>
      <c r="Y2" s="7" t="e">
        <f t="shared" ref="Y2:Y65" si="4">IF(F2+H2&gt;0,ROUND((T2-W2)*H2/(F2+H2),0),T2-W2)</f>
        <v>#REF!</v>
      </c>
      <c r="Z2" s="7" t="e">
        <f t="shared" ref="Z2:Z65" si="5">(T2-W2)-Y2</f>
        <v>#REF!</v>
      </c>
      <c r="AA2" s="7" t="e">
        <f t="shared" ref="AA2:AA65" si="6">K2-Z2-G2-Y2</f>
        <v>#REF!</v>
      </c>
      <c r="AB2" s="8" t="e">
        <f t="shared" ref="AB2:AB65" si="7">IF(T2&lt;=0,"",AA2/T2)</f>
        <v>#REF!</v>
      </c>
      <c r="AC2" s="9" t="e">
        <f>IF(T2&lt;=0,"Output &lt;= 0, cek manual",IF(OR(Z2&lt;0,Y2&lt;0),"Biaya negatif",IF(AND(AB2&gt;=#REF!,AB2&lt;=#REF!),"OK","Di luar rentang")))</f>
        <v>#REF!</v>
      </c>
    </row>
    <row r="3" ht="57" spans="1:30">
      <c r="A3" s="2" t="s">
        <v>30</v>
      </c>
      <c r="B3" s="2" t="s">
        <v>31</v>
      </c>
      <c r="C3" s="3" t="s">
        <v>37</v>
      </c>
      <c r="D3" s="3" t="s">
        <v>38</v>
      </c>
      <c r="E3" s="3" t="s">
        <v>39</v>
      </c>
      <c r="F3" s="4">
        <v>1000000</v>
      </c>
      <c r="G3" s="4">
        <v>500000</v>
      </c>
      <c r="H3" s="4">
        <v>0</v>
      </c>
      <c r="I3" s="4">
        <v>0</v>
      </c>
      <c r="J3" s="2" t="s">
        <v>40</v>
      </c>
      <c r="K3" s="4">
        <v>1500000</v>
      </c>
      <c r="L3" s="4">
        <v>0</v>
      </c>
      <c r="M3" s="4">
        <v>0</v>
      </c>
      <c r="N3" s="4">
        <v>0</v>
      </c>
      <c r="O3" s="4">
        <v>1000000</v>
      </c>
      <c r="P3" s="5">
        <v>0.333333</v>
      </c>
      <c r="Q3" s="4">
        <v>0</v>
      </c>
      <c r="R3" s="2" t="s">
        <v>41</v>
      </c>
      <c r="S3" s="7">
        <f t="shared" si="0"/>
        <v>0</v>
      </c>
      <c r="T3" s="7">
        <f t="shared" si="1"/>
        <v>1000000</v>
      </c>
      <c r="U3" s="8">
        <f t="shared" si="2"/>
        <v>0</v>
      </c>
      <c r="V3" s="9" t="e">
        <f>IF(T3&lt;=0,"Output &lt;= 0",IF(U3&gt;#REF!,"Terlalu tinggi",IF(U3&lt;#REF!,"Terlalu rendah","Sesuai")))</f>
        <v>#REF!</v>
      </c>
      <c r="W3" s="7" t="e">
        <f>IF(T3&lt;=0,S3,IF(U3&gt;#REF!,ROUNDDOWN(T3*#REF!,0),IF(U3&lt;#REF!,ROUNDUP(T3*#REF!,0),S3)))</f>
        <v>#REF!</v>
      </c>
      <c r="X3" s="7" t="e">
        <f t="shared" si="3"/>
        <v>#REF!</v>
      </c>
      <c r="Y3" s="7" t="e">
        <f t="shared" si="4"/>
        <v>#REF!</v>
      </c>
      <c r="Z3" s="7" t="e">
        <f t="shared" si="5"/>
        <v>#REF!</v>
      </c>
      <c r="AA3" s="7" t="e">
        <f t="shared" si="6"/>
        <v>#REF!</v>
      </c>
      <c r="AB3" s="8" t="e">
        <f t="shared" si="7"/>
        <v>#REF!</v>
      </c>
      <c r="AC3" s="9" t="e">
        <f>IF(T3&lt;=0,"Output &lt;= 0, cek manual",IF(OR(Z3&lt;0,Y3&lt;0),"Biaya negatif",IF(AND(AB3&gt;=#REF!,AB3&lt;=#REF!),"OK","Di luar rentang")))</f>
        <v>#REF!</v>
      </c>
    </row>
    <row r="4" ht="114" spans="1:30">
      <c r="A4" s="2" t="s">
        <v>30</v>
      </c>
      <c r="B4" s="2" t="s">
        <v>31</v>
      </c>
      <c r="C4" s="3" t="s">
        <v>42</v>
      </c>
      <c r="D4" s="3" t="s">
        <v>43</v>
      </c>
      <c r="E4" s="3" t="s">
        <v>44</v>
      </c>
      <c r="F4" s="4">
        <v>13000000</v>
      </c>
      <c r="G4" s="4">
        <v>0</v>
      </c>
      <c r="H4" s="4">
        <v>500000</v>
      </c>
      <c r="I4" s="4">
        <v>0</v>
      </c>
      <c r="J4" s="2" t="s">
        <v>45</v>
      </c>
      <c r="K4" s="4">
        <v>20000000</v>
      </c>
      <c r="L4" s="4">
        <v>0</v>
      </c>
      <c r="M4" s="4">
        <v>6500000</v>
      </c>
      <c r="N4" s="4">
        <v>2000000</v>
      </c>
      <c r="O4" s="4">
        <v>20000000</v>
      </c>
      <c r="P4" s="4">
        <v>0</v>
      </c>
      <c r="Q4" s="10">
        <v>0.325</v>
      </c>
      <c r="R4" s="2" t="s">
        <v>46</v>
      </c>
      <c r="S4" s="7">
        <f t="shared" si="0"/>
        <v>6500000</v>
      </c>
      <c r="T4" s="7">
        <f t="shared" si="1"/>
        <v>20000000</v>
      </c>
      <c r="U4" s="8">
        <f t="shared" si="2"/>
        <v>0.325</v>
      </c>
      <c r="V4" s="9" t="e">
        <f>IF(T4&lt;=0,"Output &lt;= 0",IF(U4&gt;#REF!,"Terlalu tinggi",IF(U4&lt;#REF!,"Terlalu rendah","Sesuai")))</f>
        <v>#REF!</v>
      </c>
      <c r="W4" s="7" t="e">
        <f>IF(T4&lt;=0,S4,IF(U4&gt;#REF!,ROUNDDOWN(T4*#REF!,0),IF(U4&lt;#REF!,ROUNDUP(T4*#REF!,0),S4)))</f>
        <v>#REF!</v>
      </c>
      <c r="X4" s="7" t="e">
        <f t="shared" si="3"/>
        <v>#REF!</v>
      </c>
      <c r="Y4" s="7" t="e">
        <f t="shared" si="4"/>
        <v>#REF!</v>
      </c>
      <c r="Z4" s="7" t="e">
        <f t="shared" si="5"/>
        <v>#REF!</v>
      </c>
      <c r="AA4" s="7" t="e">
        <f t="shared" si="6"/>
        <v>#REF!</v>
      </c>
      <c r="AB4" s="8" t="e">
        <f t="shared" si="7"/>
        <v>#REF!</v>
      </c>
      <c r="AC4" s="9" t="e">
        <f>IF(T4&lt;=0,"Output &lt;= 0, cek manual",IF(OR(Z4&lt;0,Y4&lt;0),"Biaya negatif",IF(AND(AB4&gt;=#REF!,AB4&lt;=#REF!),"OK","Di luar rentang")))</f>
        <v>#REF!</v>
      </c>
    </row>
    <row r="5" ht="57" spans="1:30">
      <c r="A5" s="2" t="s">
        <v>30</v>
      </c>
      <c r="B5" s="2" t="s">
        <v>31</v>
      </c>
      <c r="C5" s="3" t="s">
        <v>47</v>
      </c>
      <c r="D5" s="3" t="s">
        <v>38</v>
      </c>
      <c r="E5" s="3" t="s">
        <v>48</v>
      </c>
      <c r="F5" s="4">
        <v>20000000</v>
      </c>
      <c r="G5" s="4">
        <v>100000000</v>
      </c>
      <c r="H5" s="4">
        <v>10000000</v>
      </c>
      <c r="I5" s="4">
        <v>300000</v>
      </c>
      <c r="J5" s="2" t="s">
        <v>49</v>
      </c>
      <c r="K5" s="4">
        <v>166000000</v>
      </c>
      <c r="L5" s="4">
        <v>16000000</v>
      </c>
      <c r="M5" s="4">
        <v>36000000</v>
      </c>
      <c r="N5" s="4">
        <v>13000000</v>
      </c>
      <c r="O5" s="4">
        <v>66000000</v>
      </c>
      <c r="P5" s="6">
        <v>0.60241</v>
      </c>
      <c r="Q5" s="5">
        <v>0.545455</v>
      </c>
      <c r="R5" s="2" t="s">
        <v>50</v>
      </c>
      <c r="S5" s="7">
        <f t="shared" si="0"/>
        <v>36000000</v>
      </c>
      <c r="T5" s="7">
        <f t="shared" si="1"/>
        <v>66000000</v>
      </c>
      <c r="U5" s="8">
        <f t="shared" si="2"/>
        <v>0.545454545454545</v>
      </c>
      <c r="V5" s="9" t="e">
        <f>IF(T5&lt;=0,"Output &lt;= 0",IF(U5&gt;#REF!,"Terlalu tinggi",IF(U5&lt;#REF!,"Terlalu rendah","Sesuai")))</f>
        <v>#REF!</v>
      </c>
      <c r="W5" s="7" t="e">
        <f>IF(T5&lt;=0,S5,IF(U5&gt;#REF!,ROUNDDOWN(T5*#REF!,0),IF(U5&lt;#REF!,ROUNDUP(T5*#REF!,0),S5)))</f>
        <v>#REF!</v>
      </c>
      <c r="X5" s="7" t="e">
        <f t="shared" si="3"/>
        <v>#REF!</v>
      </c>
      <c r="Y5" s="7" t="e">
        <f t="shared" si="4"/>
        <v>#REF!</v>
      </c>
      <c r="Z5" s="7" t="e">
        <f t="shared" si="5"/>
        <v>#REF!</v>
      </c>
      <c r="AA5" s="7" t="e">
        <f t="shared" si="6"/>
        <v>#REF!</v>
      </c>
      <c r="AB5" s="8" t="e">
        <f t="shared" si="7"/>
        <v>#REF!</v>
      </c>
      <c r="AC5" s="9" t="e">
        <f>IF(T5&lt;=0,"Output &lt;= 0, cek manual",IF(OR(Z5&lt;0,Y5&lt;0),"Biaya negatif",IF(AND(AB5&gt;=#REF!,AB5&lt;=#REF!),"OK","Di luar rentang")))</f>
        <v>#REF!</v>
      </c>
    </row>
    <row r="6" ht="128.25" spans="1:30">
      <c r="A6" s="2" t="s">
        <v>30</v>
      </c>
      <c r="B6" s="2" t="s">
        <v>31</v>
      </c>
      <c r="C6" s="3" t="s">
        <v>51</v>
      </c>
      <c r="D6" s="3" t="s">
        <v>52</v>
      </c>
      <c r="E6" s="3" t="s">
        <v>53</v>
      </c>
      <c r="F6" s="4">
        <v>0</v>
      </c>
      <c r="G6" s="4">
        <v>36000000</v>
      </c>
      <c r="H6" s="4">
        <v>1320000</v>
      </c>
      <c r="I6" s="4">
        <v>0</v>
      </c>
      <c r="J6" s="2" t="s">
        <v>54</v>
      </c>
      <c r="K6" s="4">
        <v>46920000</v>
      </c>
      <c r="L6" s="4">
        <v>0</v>
      </c>
      <c r="M6" s="4">
        <v>9600000</v>
      </c>
      <c r="N6" s="4">
        <v>0</v>
      </c>
      <c r="O6" s="4">
        <v>10920000</v>
      </c>
      <c r="P6" s="5">
        <v>0.767263</v>
      </c>
      <c r="Q6" s="5">
        <v>0.879121</v>
      </c>
      <c r="R6" s="2" t="s">
        <v>55</v>
      </c>
      <c r="S6" s="7">
        <f t="shared" si="0"/>
        <v>9600000</v>
      </c>
      <c r="T6" s="7">
        <f t="shared" si="1"/>
        <v>10920000</v>
      </c>
      <c r="U6" s="8">
        <f t="shared" si="2"/>
        <v>0.879120879120879</v>
      </c>
      <c r="V6" s="9" t="e">
        <f>IF(T6&lt;=0,"Output &lt;= 0",IF(U6&gt;#REF!,"Terlalu tinggi",IF(U6&lt;#REF!,"Terlalu rendah","Sesuai")))</f>
        <v>#REF!</v>
      </c>
      <c r="W6" s="7" t="e">
        <f>IF(T6&lt;=0,S6,IF(U6&gt;#REF!,ROUNDDOWN(T6*#REF!,0),IF(U6&lt;#REF!,ROUNDUP(T6*#REF!,0),S6)))</f>
        <v>#REF!</v>
      </c>
      <c r="X6" s="7" t="e">
        <f t="shared" si="3"/>
        <v>#REF!</v>
      </c>
      <c r="Y6" s="7" t="e">
        <f t="shared" si="4"/>
        <v>#REF!</v>
      </c>
      <c r="Z6" s="7" t="e">
        <f t="shared" si="5"/>
        <v>#REF!</v>
      </c>
      <c r="AA6" s="7" t="e">
        <f t="shared" si="6"/>
        <v>#REF!</v>
      </c>
      <c r="AB6" s="8" t="e">
        <f t="shared" si="7"/>
        <v>#REF!</v>
      </c>
      <c r="AC6" s="9" t="e">
        <f>IF(T6&lt;=0,"Output &lt;= 0, cek manual",IF(OR(Z6&lt;0,Y6&lt;0),"Biaya negatif",IF(AND(AB6&gt;=#REF!,AB6&lt;=#REF!),"OK","Di luar rentang")))</f>
        <v>#REF!</v>
      </c>
    </row>
    <row r="7" ht="128.25" spans="1:30">
      <c r="A7" s="2" t="s">
        <v>30</v>
      </c>
      <c r="B7" s="2" t="s">
        <v>31</v>
      </c>
      <c r="C7" s="3" t="s">
        <v>56</v>
      </c>
      <c r="D7" s="3" t="s">
        <v>57</v>
      </c>
      <c r="E7" s="3" t="s">
        <v>58</v>
      </c>
      <c r="F7" s="4">
        <v>0</v>
      </c>
      <c r="G7" s="4">
        <v>28800000</v>
      </c>
      <c r="H7" s="4">
        <v>0</v>
      </c>
      <c r="I7" s="4">
        <v>0</v>
      </c>
      <c r="J7" s="2" t="s">
        <v>59</v>
      </c>
      <c r="K7" s="4">
        <v>34800000</v>
      </c>
      <c r="L7" s="4">
        <v>0</v>
      </c>
      <c r="M7" s="4">
        <v>6000000</v>
      </c>
      <c r="N7" s="4">
        <v>38200000</v>
      </c>
      <c r="O7" s="4">
        <v>6000000</v>
      </c>
      <c r="P7" s="5">
        <v>0.827586</v>
      </c>
      <c r="Q7" s="4">
        <v>1</v>
      </c>
      <c r="R7" s="2" t="s">
        <v>60</v>
      </c>
      <c r="S7" s="7">
        <f t="shared" si="0"/>
        <v>6000000</v>
      </c>
      <c r="T7" s="7">
        <f t="shared" si="1"/>
        <v>6000000</v>
      </c>
      <c r="U7" s="8">
        <f t="shared" si="2"/>
        <v>1</v>
      </c>
      <c r="V7" s="9" t="e">
        <f>IF(T7&lt;=0,"Output &lt;= 0",IF(U7&gt;#REF!,"Terlalu tinggi",IF(U7&lt;#REF!,"Terlalu rendah","Sesuai")))</f>
        <v>#REF!</v>
      </c>
      <c r="W7" s="7" t="e">
        <f>IF(T7&lt;=0,S7,IF(U7&gt;#REF!,ROUNDDOWN(T7*#REF!,0),IF(U7&lt;#REF!,ROUNDUP(T7*#REF!,0),S7)))</f>
        <v>#REF!</v>
      </c>
      <c r="X7" s="7" t="e">
        <f t="shared" si="3"/>
        <v>#REF!</v>
      </c>
      <c r="Y7" s="7" t="e">
        <f t="shared" si="4"/>
        <v>#REF!</v>
      </c>
      <c r="Z7" s="7" t="e">
        <f t="shared" si="5"/>
        <v>#REF!</v>
      </c>
      <c r="AA7" s="7" t="e">
        <f t="shared" si="6"/>
        <v>#REF!</v>
      </c>
      <c r="AB7" s="8" t="e">
        <f t="shared" si="7"/>
        <v>#REF!</v>
      </c>
      <c r="AC7" s="9" t="e">
        <f>IF(T7&lt;=0,"Output &lt;= 0, cek manual",IF(OR(Z7&lt;0,Y7&lt;0),"Biaya negatif",IF(AND(AB7&gt;=#REF!,AB7&lt;=#REF!),"OK","Di luar rentang")))</f>
        <v>#REF!</v>
      </c>
    </row>
    <row r="8" ht="42.75" spans="1:30">
      <c r="A8" s="2" t="s">
        <v>30</v>
      </c>
      <c r="B8" s="2" t="s">
        <v>31</v>
      </c>
      <c r="C8" s="3" t="s">
        <v>61</v>
      </c>
      <c r="D8" s="3" t="s">
        <v>62</v>
      </c>
      <c r="E8" s="3" t="s">
        <v>63</v>
      </c>
      <c r="F8" s="4">
        <v>0</v>
      </c>
      <c r="G8" s="4">
        <v>120000000</v>
      </c>
      <c r="H8" s="4">
        <v>0</v>
      </c>
      <c r="I8" s="4">
        <v>0</v>
      </c>
      <c r="J8" s="2" t="s">
        <v>64</v>
      </c>
      <c r="K8" s="4">
        <v>180000000</v>
      </c>
      <c r="L8" s="4">
        <v>0</v>
      </c>
      <c r="M8" s="4">
        <v>60000000</v>
      </c>
      <c r="N8" s="4">
        <v>15000000</v>
      </c>
      <c r="O8" s="4">
        <v>60000000</v>
      </c>
      <c r="P8" s="5">
        <v>0.666667</v>
      </c>
      <c r="Q8" s="4">
        <v>1</v>
      </c>
      <c r="R8" s="2" t="s">
        <v>65</v>
      </c>
      <c r="S8" s="7">
        <f t="shared" si="0"/>
        <v>60000000</v>
      </c>
      <c r="T8" s="7">
        <f t="shared" si="1"/>
        <v>60000000</v>
      </c>
      <c r="U8" s="8">
        <f t="shared" si="2"/>
        <v>1</v>
      </c>
      <c r="V8" s="9" t="e">
        <f>IF(T8&lt;=0,"Output &lt;= 0",IF(U8&gt;#REF!,"Terlalu tinggi",IF(U8&lt;#REF!,"Terlalu rendah","Sesuai")))</f>
        <v>#REF!</v>
      </c>
      <c r="W8" s="7" t="e">
        <f>IF(T8&lt;=0,S8,IF(U8&gt;#REF!,ROUNDDOWN(T8*#REF!,0),IF(U8&lt;#REF!,ROUNDUP(T8*#REF!,0),S8)))</f>
        <v>#REF!</v>
      </c>
      <c r="X8" s="7" t="e">
        <f t="shared" si="3"/>
        <v>#REF!</v>
      </c>
      <c r="Y8" s="7" t="e">
        <f t="shared" si="4"/>
        <v>#REF!</v>
      </c>
      <c r="Z8" s="7" t="e">
        <f t="shared" si="5"/>
        <v>#REF!</v>
      </c>
      <c r="AA8" s="7" t="e">
        <f t="shared" si="6"/>
        <v>#REF!</v>
      </c>
      <c r="AB8" s="8" t="e">
        <f t="shared" si="7"/>
        <v>#REF!</v>
      </c>
      <c r="AC8" s="9" t="e">
        <f>IF(T8&lt;=0,"Output &lt;= 0, cek manual",IF(OR(Z8&lt;0,Y8&lt;0),"Biaya negatif",IF(AND(AB8&gt;=#REF!,AB8&lt;=#REF!),"OK","Di luar rentang")))</f>
        <v>#REF!</v>
      </c>
    </row>
    <row r="9" ht="128.25" spans="1:30">
      <c r="A9" s="2" t="s">
        <v>30</v>
      </c>
      <c r="B9" s="2" t="s">
        <v>31</v>
      </c>
      <c r="C9" s="3" t="s">
        <v>66</v>
      </c>
      <c r="D9" s="3" t="s">
        <v>67</v>
      </c>
      <c r="E9" s="3" t="s">
        <v>68</v>
      </c>
      <c r="F9" s="4">
        <v>100000</v>
      </c>
      <c r="G9" s="4">
        <v>22000000</v>
      </c>
      <c r="H9" s="4">
        <v>3000000</v>
      </c>
      <c r="I9" s="4">
        <v>500000</v>
      </c>
      <c r="J9" s="2" t="s">
        <v>69</v>
      </c>
      <c r="K9" s="4">
        <v>29000000</v>
      </c>
      <c r="L9" s="4">
        <v>0</v>
      </c>
      <c r="M9" s="4">
        <v>3900000</v>
      </c>
      <c r="N9" s="4">
        <v>2500000</v>
      </c>
      <c r="O9" s="4">
        <v>7000000</v>
      </c>
      <c r="P9" s="5">
        <v>0.758621</v>
      </c>
      <c r="Q9" s="5">
        <v>0.557143</v>
      </c>
      <c r="R9" s="2" t="s">
        <v>70</v>
      </c>
      <c r="S9" s="7">
        <f t="shared" si="0"/>
        <v>3900000</v>
      </c>
      <c r="T9" s="7">
        <f t="shared" si="1"/>
        <v>7000000</v>
      </c>
      <c r="U9" s="8">
        <f t="shared" si="2"/>
        <v>0.557142857142857</v>
      </c>
      <c r="V9" s="9" t="e">
        <f>IF(T9&lt;=0,"Output &lt;= 0",IF(U9&gt;#REF!,"Terlalu tinggi",IF(U9&lt;#REF!,"Terlalu rendah","Sesuai")))</f>
        <v>#REF!</v>
      </c>
      <c r="W9" s="7" t="e">
        <f>IF(T9&lt;=0,S9,IF(U9&gt;#REF!,ROUNDDOWN(T9*#REF!,0),IF(U9&lt;#REF!,ROUNDUP(T9*#REF!,0),S9)))</f>
        <v>#REF!</v>
      </c>
      <c r="X9" s="7" t="e">
        <f t="shared" si="3"/>
        <v>#REF!</v>
      </c>
      <c r="Y9" s="7" t="e">
        <f t="shared" si="4"/>
        <v>#REF!</v>
      </c>
      <c r="Z9" s="7" t="e">
        <f t="shared" si="5"/>
        <v>#REF!</v>
      </c>
      <c r="AA9" s="7" t="e">
        <f t="shared" si="6"/>
        <v>#REF!</v>
      </c>
      <c r="AB9" s="8" t="e">
        <f t="shared" si="7"/>
        <v>#REF!</v>
      </c>
      <c r="AC9" s="9" t="e">
        <f>IF(T9&lt;=0,"Output &lt;= 0, cek manual",IF(OR(Z9&lt;0,Y9&lt;0),"Biaya negatif",IF(AND(AB9&gt;=#REF!,AB9&lt;=#REF!),"OK","Di luar rentang")))</f>
        <v>#REF!</v>
      </c>
    </row>
    <row r="10" ht="71.25" spans="1:30">
      <c r="A10" s="2" t="s">
        <v>30</v>
      </c>
      <c r="B10" s="2" t="s">
        <v>31</v>
      </c>
      <c r="C10" s="3" t="s">
        <v>71</v>
      </c>
      <c r="D10" s="3" t="s">
        <v>72</v>
      </c>
      <c r="E10" s="3" t="s">
        <v>73</v>
      </c>
      <c r="F10" s="4">
        <v>300000</v>
      </c>
      <c r="G10" s="4">
        <v>10000000</v>
      </c>
      <c r="H10" s="4">
        <v>500000</v>
      </c>
      <c r="I10" s="4">
        <v>0</v>
      </c>
      <c r="J10" s="2" t="s">
        <v>74</v>
      </c>
      <c r="K10" s="4">
        <v>15000000</v>
      </c>
      <c r="L10" s="4">
        <v>0</v>
      </c>
      <c r="M10" s="4">
        <v>4200000</v>
      </c>
      <c r="N10" s="4">
        <v>5400000</v>
      </c>
      <c r="O10" s="4">
        <v>5000000</v>
      </c>
      <c r="P10" s="5">
        <v>0.666667</v>
      </c>
      <c r="Q10" s="11">
        <v>0.84</v>
      </c>
      <c r="R10" s="2" t="s">
        <v>75</v>
      </c>
      <c r="S10" s="7">
        <f t="shared" si="0"/>
        <v>4200000</v>
      </c>
      <c r="T10" s="7">
        <f t="shared" si="1"/>
        <v>5000000</v>
      </c>
      <c r="U10" s="8">
        <f t="shared" si="2"/>
        <v>0.84</v>
      </c>
      <c r="V10" s="9" t="e">
        <f>IF(T10&lt;=0,"Output &lt;= 0",IF(U10&gt;#REF!,"Terlalu tinggi",IF(U10&lt;#REF!,"Terlalu rendah","Sesuai")))</f>
        <v>#REF!</v>
      </c>
      <c r="W10" s="7" t="e">
        <f>IF(T10&lt;=0,S10,IF(U10&gt;#REF!,ROUNDDOWN(T10*#REF!,0),IF(U10&lt;#REF!,ROUNDUP(T10*#REF!,0),S10)))</f>
        <v>#REF!</v>
      </c>
      <c r="X10" s="7" t="e">
        <f t="shared" si="3"/>
        <v>#REF!</v>
      </c>
      <c r="Y10" s="7" t="e">
        <f t="shared" si="4"/>
        <v>#REF!</v>
      </c>
      <c r="Z10" s="7" t="e">
        <f t="shared" si="5"/>
        <v>#REF!</v>
      </c>
      <c r="AA10" s="7" t="e">
        <f t="shared" si="6"/>
        <v>#REF!</v>
      </c>
      <c r="AB10" s="8" t="e">
        <f t="shared" si="7"/>
        <v>#REF!</v>
      </c>
      <c r="AC10" s="9" t="e">
        <f>IF(T10&lt;=0,"Output &lt;= 0, cek manual",IF(OR(Z10&lt;0,Y10&lt;0),"Biaya negatif",IF(AND(AB10&gt;=#REF!,AB10&lt;=#REF!),"OK","Di luar rentang")))</f>
        <v>#REF!</v>
      </c>
    </row>
    <row r="11" ht="114" spans="1:30">
      <c r="A11" s="2" t="s">
        <v>30</v>
      </c>
      <c r="B11" s="2" t="s">
        <v>31</v>
      </c>
      <c r="C11" s="3" t="s">
        <v>76</v>
      </c>
      <c r="D11" s="3" t="s">
        <v>77</v>
      </c>
      <c r="E11" s="3" t="s">
        <v>78</v>
      </c>
      <c r="F11" s="4">
        <v>0</v>
      </c>
      <c r="G11" s="4">
        <v>36000000</v>
      </c>
      <c r="H11" s="4">
        <v>4200000</v>
      </c>
      <c r="I11" s="4">
        <v>0</v>
      </c>
      <c r="J11" s="2" t="s">
        <v>79</v>
      </c>
      <c r="K11" s="4">
        <v>158400000</v>
      </c>
      <c r="L11" s="4">
        <v>0</v>
      </c>
      <c r="M11" s="4">
        <v>118200000</v>
      </c>
      <c r="N11" s="4">
        <v>0</v>
      </c>
      <c r="O11" s="4">
        <v>122400000</v>
      </c>
      <c r="P11" s="5">
        <v>0.227273</v>
      </c>
      <c r="Q11" s="5">
        <v>0.965686</v>
      </c>
      <c r="R11" s="2" t="s">
        <v>80</v>
      </c>
      <c r="S11" s="7">
        <f t="shared" si="0"/>
        <v>118200000</v>
      </c>
      <c r="T11" s="7">
        <f t="shared" si="1"/>
        <v>122400000</v>
      </c>
      <c r="U11" s="8">
        <f t="shared" si="2"/>
        <v>0.965686274509804</v>
      </c>
      <c r="V11" s="9" t="e">
        <f>IF(T11&lt;=0,"Output &lt;= 0",IF(U11&gt;#REF!,"Terlalu tinggi",IF(U11&lt;#REF!,"Terlalu rendah","Sesuai")))</f>
        <v>#REF!</v>
      </c>
      <c r="W11" s="7" t="e">
        <f>IF(T11&lt;=0,S11,IF(U11&gt;#REF!,ROUNDDOWN(T11*#REF!,0),IF(U11&lt;#REF!,ROUNDUP(T11*#REF!,0),S11)))</f>
        <v>#REF!</v>
      </c>
      <c r="X11" s="7" t="e">
        <f t="shared" si="3"/>
        <v>#REF!</v>
      </c>
      <c r="Y11" s="7" t="e">
        <f t="shared" si="4"/>
        <v>#REF!</v>
      </c>
      <c r="Z11" s="7" t="e">
        <f t="shared" si="5"/>
        <v>#REF!</v>
      </c>
      <c r="AA11" s="7" t="e">
        <f t="shared" si="6"/>
        <v>#REF!</v>
      </c>
      <c r="AB11" s="8" t="e">
        <f t="shared" si="7"/>
        <v>#REF!</v>
      </c>
      <c r="AC11" s="9" t="e">
        <f>IF(T11&lt;=0,"Output &lt;= 0, cek manual",IF(OR(Z11&lt;0,Y11&lt;0),"Biaya negatif",IF(AND(AB11&gt;=#REF!,AB11&lt;=#REF!),"OK","Di luar rentang")))</f>
        <v>#REF!</v>
      </c>
    </row>
    <row r="12" ht="128.25" spans="1:30">
      <c r="A12" s="2" t="s">
        <v>30</v>
      </c>
      <c r="B12" s="2" t="s">
        <v>31</v>
      </c>
      <c r="C12" s="3" t="s">
        <v>81</v>
      </c>
      <c r="D12" s="3" t="s">
        <v>82</v>
      </c>
      <c r="E12" s="3" t="s">
        <v>83</v>
      </c>
      <c r="F12" s="4">
        <v>0</v>
      </c>
      <c r="G12" s="4">
        <v>500000</v>
      </c>
      <c r="H12" s="4">
        <v>500000</v>
      </c>
      <c r="I12" s="4">
        <v>0</v>
      </c>
      <c r="J12" s="2" t="s">
        <v>84</v>
      </c>
      <c r="K12" s="4">
        <v>1000000</v>
      </c>
      <c r="L12" s="4">
        <v>0</v>
      </c>
      <c r="M12" s="4">
        <v>0</v>
      </c>
      <c r="N12" s="4">
        <v>30000000</v>
      </c>
      <c r="O12" s="4">
        <v>500000</v>
      </c>
      <c r="P12" s="12">
        <v>0.5</v>
      </c>
      <c r="Q12" s="4">
        <v>0</v>
      </c>
      <c r="R12" s="2" t="s">
        <v>85</v>
      </c>
      <c r="S12" s="7">
        <f t="shared" si="0"/>
        <v>0</v>
      </c>
      <c r="T12" s="7">
        <f t="shared" si="1"/>
        <v>500000</v>
      </c>
      <c r="U12" s="8">
        <f t="shared" si="2"/>
        <v>0</v>
      </c>
      <c r="V12" s="9" t="e">
        <f>IF(T12&lt;=0,"Output &lt;= 0",IF(U12&gt;#REF!,"Terlalu tinggi",IF(U12&lt;#REF!,"Terlalu rendah","Sesuai")))</f>
        <v>#REF!</v>
      </c>
      <c r="W12" s="7" t="e">
        <f>IF(T12&lt;=0,S12,IF(U12&gt;#REF!,ROUNDDOWN(T12*#REF!,0),IF(U12&lt;#REF!,ROUNDUP(T12*#REF!,0),S12)))</f>
        <v>#REF!</v>
      </c>
      <c r="X12" s="7" t="e">
        <f t="shared" si="3"/>
        <v>#REF!</v>
      </c>
      <c r="Y12" s="7" t="e">
        <f t="shared" si="4"/>
        <v>#REF!</v>
      </c>
      <c r="Z12" s="7" t="e">
        <f t="shared" si="5"/>
        <v>#REF!</v>
      </c>
      <c r="AA12" s="7" t="e">
        <f t="shared" si="6"/>
        <v>#REF!</v>
      </c>
      <c r="AB12" s="8" t="e">
        <f t="shared" si="7"/>
        <v>#REF!</v>
      </c>
      <c r="AC12" s="9" t="e">
        <f>IF(T12&lt;=0,"Output &lt;= 0, cek manual",IF(OR(Z12&lt;0,Y12&lt;0),"Biaya negatif",IF(AND(AB12&gt;=#REF!,AB12&lt;=#REF!),"OK","Di luar rentang")))</f>
        <v>#REF!</v>
      </c>
    </row>
    <row r="13" ht="128.25" spans="1:30">
      <c r="A13" s="2" t="s">
        <v>30</v>
      </c>
      <c r="B13" s="2" t="s">
        <v>31</v>
      </c>
      <c r="C13" s="3" t="s">
        <v>86</v>
      </c>
      <c r="D13" s="3" t="s">
        <v>87</v>
      </c>
      <c r="E13" s="3" t="s">
        <v>86</v>
      </c>
      <c r="F13" s="4">
        <v>300000</v>
      </c>
      <c r="G13" s="4">
        <v>5000000</v>
      </c>
      <c r="H13" s="4">
        <v>200000</v>
      </c>
      <c r="I13" s="4">
        <v>0</v>
      </c>
      <c r="J13" s="2" t="s">
        <v>88</v>
      </c>
      <c r="K13" s="4">
        <v>10000000</v>
      </c>
      <c r="L13" s="4">
        <v>0</v>
      </c>
      <c r="M13" s="4">
        <v>4500000</v>
      </c>
      <c r="N13" s="4">
        <v>8000000</v>
      </c>
      <c r="O13" s="4">
        <v>5000000</v>
      </c>
      <c r="P13" s="12">
        <v>0.5</v>
      </c>
      <c r="Q13" s="12">
        <v>0.9</v>
      </c>
      <c r="R13" s="2" t="s">
        <v>89</v>
      </c>
      <c r="S13" s="7">
        <f t="shared" si="0"/>
        <v>4500000</v>
      </c>
      <c r="T13" s="7">
        <f t="shared" si="1"/>
        <v>5000000</v>
      </c>
      <c r="U13" s="8">
        <f t="shared" si="2"/>
        <v>0.9</v>
      </c>
      <c r="V13" s="9" t="e">
        <f>IF(T13&lt;=0,"Output &lt;= 0",IF(U13&gt;#REF!,"Terlalu tinggi",IF(U13&lt;#REF!,"Terlalu rendah","Sesuai")))</f>
        <v>#REF!</v>
      </c>
      <c r="W13" s="7" t="e">
        <f>IF(T13&lt;=0,S13,IF(U13&gt;#REF!,ROUNDDOWN(T13*#REF!,0),IF(U13&lt;#REF!,ROUNDUP(T13*#REF!,0),S13)))</f>
        <v>#REF!</v>
      </c>
      <c r="X13" s="7" t="e">
        <f t="shared" si="3"/>
        <v>#REF!</v>
      </c>
      <c r="Y13" s="7" t="e">
        <f t="shared" si="4"/>
        <v>#REF!</v>
      </c>
      <c r="Z13" s="7" t="e">
        <f t="shared" si="5"/>
        <v>#REF!</v>
      </c>
      <c r="AA13" s="7" t="e">
        <f t="shared" si="6"/>
        <v>#REF!</v>
      </c>
      <c r="AB13" s="8" t="e">
        <f t="shared" si="7"/>
        <v>#REF!</v>
      </c>
      <c r="AC13" s="9" t="e">
        <f>IF(T13&lt;=0,"Output &lt;= 0, cek manual",IF(OR(Z13&lt;0,Y13&lt;0),"Biaya negatif",IF(AND(AB13&gt;=#REF!,AB13&lt;=#REF!),"OK","Di luar rentang")))</f>
        <v>#REF!</v>
      </c>
    </row>
    <row r="14" ht="99.75" spans="1:30">
      <c r="A14" s="2" t="s">
        <v>30</v>
      </c>
      <c r="B14" s="2" t="s">
        <v>31</v>
      </c>
      <c r="C14" s="3" t="s">
        <v>90</v>
      </c>
      <c r="D14" s="3" t="s">
        <v>91</v>
      </c>
      <c r="E14" s="3" t="s">
        <v>92</v>
      </c>
      <c r="F14" s="4">
        <v>0</v>
      </c>
      <c r="G14" s="4">
        <v>7000000</v>
      </c>
      <c r="H14" s="4">
        <v>200000</v>
      </c>
      <c r="I14" s="4">
        <v>0</v>
      </c>
      <c r="J14" s="2" t="s">
        <v>93</v>
      </c>
      <c r="K14" s="4">
        <v>12000000</v>
      </c>
      <c r="L14" s="4">
        <v>0</v>
      </c>
      <c r="M14" s="4">
        <v>4800000</v>
      </c>
      <c r="N14" s="4">
        <v>9000000</v>
      </c>
      <c r="O14" s="4">
        <v>5000000</v>
      </c>
      <c r="P14" s="5">
        <v>0.583333</v>
      </c>
      <c r="Q14" s="11">
        <v>0.96</v>
      </c>
      <c r="R14" s="2" t="s">
        <v>94</v>
      </c>
      <c r="S14" s="7">
        <f t="shared" si="0"/>
        <v>4800000</v>
      </c>
      <c r="T14" s="7">
        <f t="shared" si="1"/>
        <v>5000000</v>
      </c>
      <c r="U14" s="8">
        <f t="shared" si="2"/>
        <v>0.96</v>
      </c>
      <c r="V14" s="9" t="e">
        <f>IF(T14&lt;=0,"Output &lt;= 0",IF(U14&gt;#REF!,"Terlalu tinggi",IF(U14&lt;#REF!,"Terlalu rendah","Sesuai")))</f>
        <v>#REF!</v>
      </c>
      <c r="W14" s="7" t="e">
        <f>IF(T14&lt;=0,S14,IF(U14&gt;#REF!,ROUNDDOWN(T14*#REF!,0),IF(U14&lt;#REF!,ROUNDUP(T14*#REF!,0),S14)))</f>
        <v>#REF!</v>
      </c>
      <c r="X14" s="7" t="e">
        <f t="shared" si="3"/>
        <v>#REF!</v>
      </c>
      <c r="Y14" s="7" t="e">
        <f t="shared" si="4"/>
        <v>#REF!</v>
      </c>
      <c r="Z14" s="7" t="e">
        <f t="shared" si="5"/>
        <v>#REF!</v>
      </c>
      <c r="AA14" s="7" t="e">
        <f t="shared" si="6"/>
        <v>#REF!</v>
      </c>
      <c r="AB14" s="8" t="e">
        <f t="shared" si="7"/>
        <v>#REF!</v>
      </c>
      <c r="AC14" s="9" t="e">
        <f>IF(T14&lt;=0,"Output &lt;= 0, cek manual",IF(OR(Z14&lt;0,Y14&lt;0),"Biaya negatif",IF(AND(AB14&gt;=#REF!,AB14&lt;=#REF!),"OK","Di luar rentang")))</f>
        <v>#REF!</v>
      </c>
    </row>
    <row r="15" ht="114" spans="1:30">
      <c r="A15" s="2" t="s">
        <v>30</v>
      </c>
      <c r="B15" s="2" t="s">
        <v>31</v>
      </c>
      <c r="C15" s="3" t="s">
        <v>95</v>
      </c>
      <c r="D15" s="3" t="s">
        <v>96</v>
      </c>
      <c r="E15" s="3" t="s">
        <v>97</v>
      </c>
      <c r="F15" s="4">
        <v>100000</v>
      </c>
      <c r="G15" s="4">
        <v>5500000</v>
      </c>
      <c r="H15" s="4">
        <v>300000</v>
      </c>
      <c r="I15" s="4">
        <v>0</v>
      </c>
      <c r="J15" s="2" t="s">
        <v>98</v>
      </c>
      <c r="K15" s="4">
        <v>10500000</v>
      </c>
      <c r="L15" s="4">
        <v>0</v>
      </c>
      <c r="M15" s="4">
        <v>4600000</v>
      </c>
      <c r="N15" s="4">
        <v>9000000</v>
      </c>
      <c r="O15" s="4">
        <v>5000000</v>
      </c>
      <c r="P15" s="6">
        <v>0.52381</v>
      </c>
      <c r="Q15" s="11">
        <v>0.92</v>
      </c>
      <c r="R15" s="2" t="s">
        <v>99</v>
      </c>
      <c r="S15" s="7">
        <f t="shared" si="0"/>
        <v>4600000</v>
      </c>
      <c r="T15" s="7">
        <f t="shared" si="1"/>
        <v>5000000</v>
      </c>
      <c r="U15" s="8">
        <f t="shared" si="2"/>
        <v>0.92</v>
      </c>
      <c r="V15" s="9" t="e">
        <f>IF(T15&lt;=0,"Output &lt;= 0",IF(U15&gt;#REF!,"Terlalu tinggi",IF(U15&lt;#REF!,"Terlalu rendah","Sesuai")))</f>
        <v>#REF!</v>
      </c>
      <c r="W15" s="7" t="e">
        <f>IF(T15&lt;=0,S15,IF(U15&gt;#REF!,ROUNDDOWN(T15*#REF!,0),IF(U15&lt;#REF!,ROUNDUP(T15*#REF!,0),S15)))</f>
        <v>#REF!</v>
      </c>
      <c r="X15" s="7" t="e">
        <f t="shared" si="3"/>
        <v>#REF!</v>
      </c>
      <c r="Y15" s="7" t="e">
        <f t="shared" si="4"/>
        <v>#REF!</v>
      </c>
      <c r="Z15" s="7" t="e">
        <f t="shared" si="5"/>
        <v>#REF!</v>
      </c>
      <c r="AA15" s="7" t="e">
        <f t="shared" si="6"/>
        <v>#REF!</v>
      </c>
      <c r="AB15" s="8" t="e">
        <f t="shared" si="7"/>
        <v>#REF!</v>
      </c>
      <c r="AC15" s="9" t="e">
        <f>IF(T15&lt;=0,"Output &lt;= 0, cek manual",IF(OR(Z15&lt;0,Y15&lt;0),"Biaya negatif",IF(AND(AB15&gt;=#REF!,AB15&lt;=#REF!),"OK","Di luar rentang")))</f>
        <v>#REF!</v>
      </c>
    </row>
    <row r="16" ht="57" spans="1:30">
      <c r="A16" s="2" t="s">
        <v>30</v>
      </c>
      <c r="B16" s="2" t="s">
        <v>31</v>
      </c>
      <c r="C16" s="3" t="s">
        <v>100</v>
      </c>
      <c r="D16" s="3" t="s">
        <v>101</v>
      </c>
      <c r="E16" s="3" t="s">
        <v>101</v>
      </c>
      <c r="F16" s="4">
        <v>3600000</v>
      </c>
      <c r="G16" s="4">
        <v>70000000</v>
      </c>
      <c r="H16" s="4">
        <v>3300000</v>
      </c>
      <c r="I16" s="4">
        <v>0</v>
      </c>
      <c r="J16" s="2" t="s">
        <v>102</v>
      </c>
      <c r="K16" s="4">
        <v>240000000</v>
      </c>
      <c r="L16" s="4">
        <v>0</v>
      </c>
      <c r="M16" s="4">
        <v>163100000</v>
      </c>
      <c r="N16" s="4">
        <v>18000000</v>
      </c>
      <c r="O16" s="4">
        <v>170000000</v>
      </c>
      <c r="P16" s="5">
        <v>0.291667</v>
      </c>
      <c r="Q16" s="5">
        <v>0.959412</v>
      </c>
      <c r="R16" s="2" t="s">
        <v>103</v>
      </c>
      <c r="S16" s="7">
        <f t="shared" si="0"/>
        <v>163100000</v>
      </c>
      <c r="T16" s="7">
        <f t="shared" si="1"/>
        <v>170000000</v>
      </c>
      <c r="U16" s="8">
        <f t="shared" si="2"/>
        <v>0.959411764705882</v>
      </c>
      <c r="V16" s="9" t="e">
        <f>IF(T16&lt;=0,"Output &lt;= 0",IF(U16&gt;#REF!,"Terlalu tinggi",IF(U16&lt;#REF!,"Terlalu rendah","Sesuai")))</f>
        <v>#REF!</v>
      </c>
      <c r="W16" s="7" t="e">
        <f>IF(T16&lt;=0,S16,IF(U16&gt;#REF!,ROUNDDOWN(T16*#REF!,0),IF(U16&lt;#REF!,ROUNDUP(T16*#REF!,0),S16)))</f>
        <v>#REF!</v>
      </c>
      <c r="X16" s="7" t="e">
        <f t="shared" si="3"/>
        <v>#REF!</v>
      </c>
      <c r="Y16" s="7" t="e">
        <f t="shared" si="4"/>
        <v>#REF!</v>
      </c>
      <c r="Z16" s="7" t="e">
        <f t="shared" si="5"/>
        <v>#REF!</v>
      </c>
      <c r="AA16" s="7" t="e">
        <f t="shared" si="6"/>
        <v>#REF!</v>
      </c>
      <c r="AB16" s="8" t="e">
        <f t="shared" si="7"/>
        <v>#REF!</v>
      </c>
      <c r="AC16" s="9" t="e">
        <f>IF(T16&lt;=0,"Output &lt;= 0, cek manual",IF(OR(Z16&lt;0,Y16&lt;0),"Biaya negatif",IF(AND(AB16&gt;=#REF!,AB16&lt;=#REF!),"OK","Di luar rentang")))</f>
        <v>#REF!</v>
      </c>
    </row>
    <row r="17" ht="142.5" spans="1:29">
      <c r="A17" s="2" t="s">
        <v>30</v>
      </c>
      <c r="B17" s="2" t="s">
        <v>31</v>
      </c>
      <c r="C17" s="3" t="s">
        <v>104</v>
      </c>
      <c r="D17" s="3" t="s">
        <v>105</v>
      </c>
      <c r="E17" s="3" t="s">
        <v>106</v>
      </c>
      <c r="F17" s="4">
        <v>0</v>
      </c>
      <c r="G17" s="4">
        <v>19200000</v>
      </c>
      <c r="H17" s="4">
        <v>1500000</v>
      </c>
      <c r="I17" s="4">
        <v>56000</v>
      </c>
      <c r="J17" s="2" t="s">
        <v>107</v>
      </c>
      <c r="K17" s="4">
        <v>29750000</v>
      </c>
      <c r="L17" s="4">
        <v>0</v>
      </c>
      <c r="M17" s="4">
        <v>9050000</v>
      </c>
      <c r="N17" s="4">
        <v>27000000</v>
      </c>
      <c r="O17" s="4">
        <v>10550000</v>
      </c>
      <c r="P17" s="5">
        <v>0.645378</v>
      </c>
      <c r="Q17" s="6">
        <v>0.85782</v>
      </c>
      <c r="R17" s="2" t="s">
        <v>108</v>
      </c>
      <c r="S17" s="7">
        <f t="shared" si="0"/>
        <v>9050000</v>
      </c>
      <c r="T17" s="7">
        <f t="shared" si="1"/>
        <v>10550000</v>
      </c>
      <c r="U17" s="8">
        <f t="shared" si="2"/>
        <v>0.85781990521327</v>
      </c>
      <c r="V17" s="9" t="e">
        <f>IF(T17&lt;=0,"Output &lt;= 0",IF(U17&gt;#REF!,"Terlalu tinggi",IF(U17&lt;#REF!,"Terlalu rendah","Sesuai")))</f>
        <v>#REF!</v>
      </c>
      <c r="W17" s="7" t="e">
        <f>IF(T17&lt;=0,S17,IF(U17&gt;#REF!,ROUNDDOWN(T17*#REF!,0),IF(U17&lt;#REF!,ROUNDUP(T17*#REF!,0),S17)))</f>
        <v>#REF!</v>
      </c>
      <c r="X17" s="7" t="e">
        <f t="shared" si="3"/>
        <v>#REF!</v>
      </c>
      <c r="Y17" s="7" t="e">
        <f t="shared" si="4"/>
        <v>#REF!</v>
      </c>
      <c r="Z17" s="7" t="e">
        <f t="shared" si="5"/>
        <v>#REF!</v>
      </c>
      <c r="AA17" s="7" t="e">
        <f t="shared" si="6"/>
        <v>#REF!</v>
      </c>
      <c r="AB17" s="8" t="e">
        <f t="shared" si="7"/>
        <v>#REF!</v>
      </c>
      <c r="AC17" s="9" t="e">
        <f>IF(T17&lt;=0,"Output &lt;= 0, cek manual",IF(OR(Z17&lt;0,Y17&lt;0),"Biaya negatif",IF(AND(AB17&gt;=#REF!,AB17&lt;=#REF!),"OK","Di luar rentang")))</f>
        <v>#REF!</v>
      </c>
    </row>
    <row r="18" ht="71.25" spans="1:29">
      <c r="A18" s="2" t="s">
        <v>30</v>
      </c>
      <c r="B18" s="2" t="s">
        <v>31</v>
      </c>
      <c r="C18" s="3" t="s">
        <v>109</v>
      </c>
      <c r="D18" s="3" t="s">
        <v>110</v>
      </c>
      <c r="E18" s="3" t="s">
        <v>39</v>
      </c>
      <c r="F18" s="4">
        <v>0</v>
      </c>
      <c r="G18" s="4">
        <v>8000000</v>
      </c>
      <c r="H18" s="4">
        <v>900000</v>
      </c>
      <c r="I18" s="4">
        <v>0</v>
      </c>
      <c r="J18" s="2" t="s">
        <v>111</v>
      </c>
      <c r="K18" s="4">
        <v>9500000</v>
      </c>
      <c r="L18" s="4">
        <v>0</v>
      </c>
      <c r="M18" s="4">
        <v>600000</v>
      </c>
      <c r="N18" s="4">
        <v>2800000</v>
      </c>
      <c r="O18" s="4">
        <v>1500000</v>
      </c>
      <c r="P18" s="5">
        <v>0.842105</v>
      </c>
      <c r="Q18" s="12">
        <v>0.4</v>
      </c>
      <c r="R18" s="2" t="s">
        <v>112</v>
      </c>
      <c r="S18" s="7">
        <f t="shared" si="0"/>
        <v>600000</v>
      </c>
      <c r="T18" s="7">
        <f t="shared" si="1"/>
        <v>1500000</v>
      </c>
      <c r="U18" s="8">
        <f t="shared" si="2"/>
        <v>0.4</v>
      </c>
      <c r="V18" s="9" t="e">
        <f>IF(T18&lt;=0,"Output &lt;= 0",IF(U18&gt;#REF!,"Terlalu tinggi",IF(U18&lt;#REF!,"Terlalu rendah","Sesuai")))</f>
        <v>#REF!</v>
      </c>
      <c r="W18" s="7" t="e">
        <f>IF(T18&lt;=0,S18,IF(U18&gt;#REF!,ROUNDDOWN(T18*#REF!,0),IF(U18&lt;#REF!,ROUNDUP(T18*#REF!,0),S18)))</f>
        <v>#REF!</v>
      </c>
      <c r="X18" s="7" t="e">
        <f t="shared" si="3"/>
        <v>#REF!</v>
      </c>
      <c r="Y18" s="7" t="e">
        <f t="shared" si="4"/>
        <v>#REF!</v>
      </c>
      <c r="Z18" s="7" t="e">
        <f t="shared" si="5"/>
        <v>#REF!</v>
      </c>
      <c r="AA18" s="7" t="e">
        <f t="shared" si="6"/>
        <v>#REF!</v>
      </c>
      <c r="AB18" s="8" t="e">
        <f t="shared" si="7"/>
        <v>#REF!</v>
      </c>
      <c r="AC18" s="9" t="e">
        <f>IF(T18&lt;=0,"Output &lt;= 0, cek manual",IF(OR(Z18&lt;0,Y18&lt;0),"Biaya negatif",IF(AND(AB18&gt;=#REF!,AB18&lt;=#REF!),"OK","Di luar rentang")))</f>
        <v>#REF!</v>
      </c>
    </row>
    <row r="19" ht="57" spans="1:29">
      <c r="A19" s="2" t="s">
        <v>30</v>
      </c>
      <c r="B19" s="2" t="s">
        <v>31</v>
      </c>
      <c r="C19" s="3" t="s">
        <v>113</v>
      </c>
      <c r="D19" s="3" t="s">
        <v>114</v>
      </c>
      <c r="E19" s="3" t="s">
        <v>115</v>
      </c>
      <c r="F19" s="4">
        <v>100000</v>
      </c>
      <c r="G19" s="4">
        <v>24000000</v>
      </c>
      <c r="H19" s="4">
        <v>960000</v>
      </c>
      <c r="I19" s="4">
        <v>0</v>
      </c>
      <c r="J19" s="2" t="s">
        <v>116</v>
      </c>
      <c r="K19" s="4">
        <v>36000000</v>
      </c>
      <c r="L19" s="4">
        <v>0</v>
      </c>
      <c r="M19" s="4">
        <v>10940000</v>
      </c>
      <c r="N19" s="4">
        <v>600000</v>
      </c>
      <c r="O19" s="4">
        <v>12000000</v>
      </c>
      <c r="P19" s="5">
        <v>0.666667</v>
      </c>
      <c r="Q19" s="5">
        <v>0.911667</v>
      </c>
      <c r="R19" s="2" t="s">
        <v>117</v>
      </c>
      <c r="S19" s="7">
        <f t="shared" si="0"/>
        <v>10940000</v>
      </c>
      <c r="T19" s="7">
        <f t="shared" si="1"/>
        <v>12000000</v>
      </c>
      <c r="U19" s="8">
        <f t="shared" si="2"/>
        <v>0.911666666666667</v>
      </c>
      <c r="V19" s="9" t="e">
        <f>IF(T19&lt;=0,"Output &lt;= 0",IF(U19&gt;#REF!,"Terlalu tinggi",IF(U19&lt;#REF!,"Terlalu rendah","Sesuai")))</f>
        <v>#REF!</v>
      </c>
      <c r="W19" s="7" t="e">
        <f>IF(T19&lt;=0,S19,IF(U19&gt;#REF!,ROUNDDOWN(T19*#REF!,0),IF(U19&lt;#REF!,ROUNDUP(T19*#REF!,0),S19)))</f>
        <v>#REF!</v>
      </c>
      <c r="X19" s="7" t="e">
        <f t="shared" si="3"/>
        <v>#REF!</v>
      </c>
      <c r="Y19" s="7" t="e">
        <f t="shared" si="4"/>
        <v>#REF!</v>
      </c>
      <c r="Z19" s="7" t="e">
        <f t="shared" si="5"/>
        <v>#REF!</v>
      </c>
      <c r="AA19" s="7" t="e">
        <f t="shared" si="6"/>
        <v>#REF!</v>
      </c>
      <c r="AB19" s="8" t="e">
        <f t="shared" si="7"/>
        <v>#REF!</v>
      </c>
      <c r="AC19" s="9" t="e">
        <f>IF(T19&lt;=0,"Output &lt;= 0, cek manual",IF(OR(Z19&lt;0,Y19&lt;0),"Biaya negatif",IF(AND(AB19&gt;=#REF!,AB19&lt;=#REF!),"OK","Di luar rentang")))</f>
        <v>#REF!</v>
      </c>
    </row>
    <row r="20" ht="99.75" spans="1:29">
      <c r="A20" s="2" t="s">
        <v>30</v>
      </c>
      <c r="B20" s="2" t="s">
        <v>31</v>
      </c>
      <c r="C20" s="3" t="s">
        <v>118</v>
      </c>
      <c r="D20" s="3" t="s">
        <v>91</v>
      </c>
      <c r="E20" s="3" t="s">
        <v>119</v>
      </c>
      <c r="F20" s="4">
        <v>1500000</v>
      </c>
      <c r="G20" s="4">
        <v>2400000000</v>
      </c>
      <c r="H20" s="4">
        <v>12000000</v>
      </c>
      <c r="I20" s="4">
        <v>575000</v>
      </c>
      <c r="J20" s="2" t="s">
        <v>120</v>
      </c>
      <c r="K20" s="4">
        <v>2520000000</v>
      </c>
      <c r="L20" s="4">
        <v>0</v>
      </c>
      <c r="M20" s="4">
        <v>106500000</v>
      </c>
      <c r="N20" s="4">
        <v>1025000000</v>
      </c>
      <c r="O20" s="4">
        <v>120000000</v>
      </c>
      <c r="P20" s="5">
        <v>0.952381</v>
      </c>
      <c r="Q20" s="13">
        <v>0.8875</v>
      </c>
      <c r="R20" s="2" t="s">
        <v>121</v>
      </c>
      <c r="S20" s="7">
        <f t="shared" si="0"/>
        <v>106500000</v>
      </c>
      <c r="T20" s="7">
        <f t="shared" si="1"/>
        <v>120000000</v>
      </c>
      <c r="U20" s="8">
        <f t="shared" si="2"/>
        <v>0.8875</v>
      </c>
      <c r="V20" s="9" t="e">
        <f>IF(T20&lt;=0,"Output &lt;= 0",IF(U20&gt;#REF!,"Terlalu tinggi",IF(U20&lt;#REF!,"Terlalu rendah","Sesuai")))</f>
        <v>#REF!</v>
      </c>
      <c r="W20" s="7" t="e">
        <f>IF(T20&lt;=0,S20,IF(U20&gt;#REF!,ROUNDDOWN(T20*#REF!,0),IF(U20&lt;#REF!,ROUNDUP(T20*#REF!,0),S20)))</f>
        <v>#REF!</v>
      </c>
      <c r="X20" s="7" t="e">
        <f t="shared" si="3"/>
        <v>#REF!</v>
      </c>
      <c r="Y20" s="7" t="e">
        <f t="shared" si="4"/>
        <v>#REF!</v>
      </c>
      <c r="Z20" s="7" t="e">
        <f t="shared" si="5"/>
        <v>#REF!</v>
      </c>
      <c r="AA20" s="7" t="e">
        <f t="shared" si="6"/>
        <v>#REF!</v>
      </c>
      <c r="AB20" s="8" t="e">
        <f t="shared" si="7"/>
        <v>#REF!</v>
      </c>
      <c r="AC20" s="9" t="e">
        <f>IF(T20&lt;=0,"Output &lt;= 0, cek manual",IF(OR(Z20&lt;0,Y20&lt;0),"Biaya negatif",IF(AND(AB20&gt;=#REF!,AB20&lt;=#REF!),"OK","Di luar rentang")))</f>
        <v>#REF!</v>
      </c>
    </row>
    <row r="21" ht="99.75" spans="1:29">
      <c r="A21" s="2" t="s">
        <v>30</v>
      </c>
      <c r="B21" s="2" t="s">
        <v>31</v>
      </c>
      <c r="C21" s="3" t="s">
        <v>122</v>
      </c>
      <c r="D21" s="3" t="s">
        <v>57</v>
      </c>
      <c r="E21" s="3" t="s">
        <v>123</v>
      </c>
      <c r="F21" s="4">
        <v>1000000</v>
      </c>
      <c r="G21" s="4">
        <v>250000</v>
      </c>
      <c r="H21" s="4">
        <v>0</v>
      </c>
      <c r="I21" s="4">
        <v>0</v>
      </c>
      <c r="J21" s="2" t="s">
        <v>124</v>
      </c>
      <c r="K21" s="4">
        <v>8000000</v>
      </c>
      <c r="L21" s="4">
        <v>0</v>
      </c>
      <c r="M21" s="4">
        <v>6750000</v>
      </c>
      <c r="N21" s="4">
        <v>1000000</v>
      </c>
      <c r="O21" s="4">
        <v>7750000</v>
      </c>
      <c r="P21" s="6">
        <v>0.03125</v>
      </c>
      <c r="Q21" s="5">
        <v>0.870968</v>
      </c>
      <c r="R21" s="2" t="s">
        <v>125</v>
      </c>
      <c r="S21" s="7">
        <f t="shared" si="0"/>
        <v>6750000</v>
      </c>
      <c r="T21" s="7">
        <f t="shared" si="1"/>
        <v>7750000</v>
      </c>
      <c r="U21" s="8">
        <f t="shared" si="2"/>
        <v>0.870967741935484</v>
      </c>
      <c r="V21" s="9" t="e">
        <f>IF(T21&lt;=0,"Output &lt;= 0",IF(U21&gt;#REF!,"Terlalu tinggi",IF(U21&lt;#REF!,"Terlalu rendah","Sesuai")))</f>
        <v>#REF!</v>
      </c>
      <c r="W21" s="7" t="e">
        <f>IF(T21&lt;=0,S21,IF(U21&gt;#REF!,ROUNDDOWN(T21*#REF!,0),IF(U21&lt;#REF!,ROUNDUP(T21*#REF!,0),S21)))</f>
        <v>#REF!</v>
      </c>
      <c r="X21" s="7" t="e">
        <f t="shared" si="3"/>
        <v>#REF!</v>
      </c>
      <c r="Y21" s="7" t="e">
        <f t="shared" si="4"/>
        <v>#REF!</v>
      </c>
      <c r="Z21" s="7" t="e">
        <f t="shared" si="5"/>
        <v>#REF!</v>
      </c>
      <c r="AA21" s="7" t="e">
        <f t="shared" si="6"/>
        <v>#REF!</v>
      </c>
      <c r="AB21" s="8" t="e">
        <f t="shared" si="7"/>
        <v>#REF!</v>
      </c>
      <c r="AC21" s="9" t="e">
        <f>IF(T21&lt;=0,"Output &lt;= 0, cek manual",IF(OR(Z21&lt;0,Y21&lt;0),"Biaya negatif",IF(AND(AB21&gt;=#REF!,AB21&lt;=#REF!),"OK","Di luar rentang")))</f>
        <v>#REF!</v>
      </c>
    </row>
    <row r="22" ht="85.5" spans="1:29">
      <c r="A22" s="2" t="s">
        <v>30</v>
      </c>
      <c r="B22" s="2" t="s">
        <v>31</v>
      </c>
      <c r="C22" s="3" t="s">
        <v>126</v>
      </c>
      <c r="D22" s="3" t="s">
        <v>127</v>
      </c>
      <c r="E22" s="3" t="s">
        <v>128</v>
      </c>
      <c r="F22" s="4">
        <v>1525000</v>
      </c>
      <c r="G22" s="4">
        <v>550000</v>
      </c>
      <c r="H22" s="4">
        <v>100000</v>
      </c>
      <c r="I22" s="4">
        <v>21610</v>
      </c>
      <c r="J22" s="2" t="s">
        <v>129</v>
      </c>
      <c r="K22" s="4">
        <v>2500000</v>
      </c>
      <c r="L22" s="4">
        <v>500000</v>
      </c>
      <c r="M22" s="4">
        <v>325000</v>
      </c>
      <c r="N22" s="4">
        <v>52500000</v>
      </c>
      <c r="O22" s="4">
        <v>1950000</v>
      </c>
      <c r="P22" s="11">
        <v>0.22</v>
      </c>
      <c r="Q22" s="5">
        <v>0.166667</v>
      </c>
      <c r="R22" s="2" t="s">
        <v>130</v>
      </c>
      <c r="S22" s="7">
        <f t="shared" si="0"/>
        <v>325000</v>
      </c>
      <c r="T22" s="7">
        <f t="shared" si="1"/>
        <v>1950000</v>
      </c>
      <c r="U22" s="8">
        <f t="shared" si="2"/>
        <v>0.166666666666667</v>
      </c>
      <c r="V22" s="9" t="e">
        <f>IF(T22&lt;=0,"Output &lt;= 0",IF(U22&gt;#REF!,"Terlalu tinggi",IF(U22&lt;#REF!,"Terlalu rendah","Sesuai")))</f>
        <v>#REF!</v>
      </c>
      <c r="W22" s="7" t="e">
        <f>IF(T22&lt;=0,S22,IF(U22&gt;#REF!,ROUNDDOWN(T22*#REF!,0),IF(U22&lt;#REF!,ROUNDUP(T22*#REF!,0),S22)))</f>
        <v>#REF!</v>
      </c>
      <c r="X22" s="7" t="e">
        <f t="shared" si="3"/>
        <v>#REF!</v>
      </c>
      <c r="Y22" s="7" t="e">
        <f t="shared" si="4"/>
        <v>#REF!</v>
      </c>
      <c r="Z22" s="7" t="e">
        <f t="shared" si="5"/>
        <v>#REF!</v>
      </c>
      <c r="AA22" s="7" t="e">
        <f t="shared" si="6"/>
        <v>#REF!</v>
      </c>
      <c r="AB22" s="8" t="e">
        <f t="shared" si="7"/>
        <v>#REF!</v>
      </c>
      <c r="AC22" s="9" t="e">
        <f>IF(T22&lt;=0,"Output &lt;= 0, cek manual",IF(OR(Z22&lt;0,Y22&lt;0),"Biaya negatif",IF(AND(AB22&gt;=#REF!,AB22&lt;=#REF!),"OK","Di luar rentang")))</f>
        <v>#REF!</v>
      </c>
    </row>
    <row r="23" ht="71.25" spans="1:29">
      <c r="A23" s="2" t="s">
        <v>30</v>
      </c>
      <c r="B23" s="2" t="s">
        <v>31</v>
      </c>
      <c r="C23" s="3" t="s">
        <v>131</v>
      </c>
      <c r="D23" s="3" t="s">
        <v>132</v>
      </c>
      <c r="E23" s="3" t="s">
        <v>133</v>
      </c>
      <c r="F23" s="4">
        <v>0</v>
      </c>
      <c r="G23" s="4">
        <v>14000000</v>
      </c>
      <c r="H23" s="4">
        <v>100000</v>
      </c>
      <c r="I23" s="4">
        <v>0</v>
      </c>
      <c r="J23" s="2" t="s">
        <v>134</v>
      </c>
      <c r="K23" s="4">
        <v>18000000</v>
      </c>
      <c r="L23" s="4">
        <v>0</v>
      </c>
      <c r="M23" s="4">
        <v>3900000</v>
      </c>
      <c r="N23" s="4">
        <v>7400000</v>
      </c>
      <c r="O23" s="4">
        <v>4000000</v>
      </c>
      <c r="P23" s="5">
        <v>0.777778</v>
      </c>
      <c r="Q23" s="10">
        <v>0.975</v>
      </c>
      <c r="R23" s="2" t="s">
        <v>135</v>
      </c>
      <c r="S23" s="7">
        <f t="shared" si="0"/>
        <v>3900000</v>
      </c>
      <c r="T23" s="7">
        <f t="shared" si="1"/>
        <v>4000000</v>
      </c>
      <c r="U23" s="8">
        <f t="shared" si="2"/>
        <v>0.975</v>
      </c>
      <c r="V23" s="9" t="e">
        <f>IF(T23&lt;=0,"Output &lt;= 0",IF(U23&gt;#REF!,"Terlalu tinggi",IF(U23&lt;#REF!,"Terlalu rendah","Sesuai")))</f>
        <v>#REF!</v>
      </c>
      <c r="W23" s="7" t="e">
        <f>IF(T23&lt;=0,S23,IF(U23&gt;#REF!,ROUNDDOWN(T23*#REF!,0),IF(U23&lt;#REF!,ROUNDUP(T23*#REF!,0),S23)))</f>
        <v>#REF!</v>
      </c>
      <c r="X23" s="7" t="e">
        <f t="shared" si="3"/>
        <v>#REF!</v>
      </c>
      <c r="Y23" s="7" t="e">
        <f t="shared" si="4"/>
        <v>#REF!</v>
      </c>
      <c r="Z23" s="7" t="e">
        <f t="shared" si="5"/>
        <v>#REF!</v>
      </c>
      <c r="AA23" s="7" t="e">
        <f t="shared" si="6"/>
        <v>#REF!</v>
      </c>
      <c r="AB23" s="8" t="e">
        <f t="shared" si="7"/>
        <v>#REF!</v>
      </c>
      <c r="AC23" s="9" t="e">
        <f>IF(T23&lt;=0,"Output &lt;= 0, cek manual",IF(OR(Z23&lt;0,Y23&lt;0),"Biaya negatif",IF(AND(AB23&gt;=#REF!,AB23&lt;=#REF!),"OK","Di luar rentang")))</f>
        <v>#REF!</v>
      </c>
    </row>
    <row r="24" ht="99.75" spans="1:29">
      <c r="A24" s="2" t="s">
        <v>30</v>
      </c>
      <c r="B24" s="2" t="s">
        <v>31</v>
      </c>
      <c r="C24" s="3" t="s">
        <v>136</v>
      </c>
      <c r="D24" s="3" t="s">
        <v>137</v>
      </c>
      <c r="E24" s="3" t="s">
        <v>138</v>
      </c>
      <c r="F24" s="4">
        <v>0</v>
      </c>
      <c r="G24" s="4">
        <v>60000000</v>
      </c>
      <c r="H24" s="4">
        <v>600000</v>
      </c>
      <c r="I24" s="4">
        <v>0</v>
      </c>
      <c r="J24" s="2" t="s">
        <v>139</v>
      </c>
      <c r="K24" s="4">
        <v>108000000</v>
      </c>
      <c r="L24" s="4">
        <v>0</v>
      </c>
      <c r="M24" s="4">
        <v>47400000</v>
      </c>
      <c r="N24" s="4">
        <v>12500000</v>
      </c>
      <c r="O24" s="4">
        <v>48000000</v>
      </c>
      <c r="P24" s="5">
        <v>0.555556</v>
      </c>
      <c r="Q24" s="13">
        <v>0.9875</v>
      </c>
      <c r="R24" s="2" t="s">
        <v>140</v>
      </c>
      <c r="S24" s="7">
        <f t="shared" si="0"/>
        <v>47400000</v>
      </c>
      <c r="T24" s="7">
        <f t="shared" si="1"/>
        <v>48000000</v>
      </c>
      <c r="U24" s="8">
        <f t="shared" si="2"/>
        <v>0.9875</v>
      </c>
      <c r="V24" s="9" t="e">
        <f>IF(T24&lt;=0,"Output &lt;= 0",IF(U24&gt;#REF!,"Terlalu tinggi",IF(U24&lt;#REF!,"Terlalu rendah","Sesuai")))</f>
        <v>#REF!</v>
      </c>
      <c r="W24" s="7" t="e">
        <f>IF(T24&lt;=0,S24,IF(U24&gt;#REF!,ROUNDDOWN(T24*#REF!,0),IF(U24&lt;#REF!,ROUNDUP(T24*#REF!,0),S24)))</f>
        <v>#REF!</v>
      </c>
      <c r="X24" s="7" t="e">
        <f t="shared" si="3"/>
        <v>#REF!</v>
      </c>
      <c r="Y24" s="7" t="e">
        <f t="shared" si="4"/>
        <v>#REF!</v>
      </c>
      <c r="Z24" s="7" t="e">
        <f t="shared" si="5"/>
        <v>#REF!</v>
      </c>
      <c r="AA24" s="7" t="e">
        <f t="shared" si="6"/>
        <v>#REF!</v>
      </c>
      <c r="AB24" s="8" t="e">
        <f t="shared" si="7"/>
        <v>#REF!</v>
      </c>
      <c r="AC24" s="9" t="e">
        <f>IF(T24&lt;=0,"Output &lt;= 0, cek manual",IF(OR(Z24&lt;0,Y24&lt;0),"Biaya negatif",IF(AND(AB24&gt;=#REF!,AB24&lt;=#REF!),"OK","Di luar rentang")))</f>
        <v>#REF!</v>
      </c>
    </row>
    <row r="25" ht="228" spans="1:29">
      <c r="A25" s="2" t="s">
        <v>30</v>
      </c>
      <c r="B25" s="2" t="s">
        <v>31</v>
      </c>
      <c r="C25" s="3" t="s">
        <v>141</v>
      </c>
      <c r="D25" s="3" t="s">
        <v>142</v>
      </c>
      <c r="E25" s="3" t="s">
        <v>143</v>
      </c>
      <c r="F25" s="4">
        <v>0</v>
      </c>
      <c r="G25" s="4">
        <v>24000000</v>
      </c>
      <c r="H25" s="4">
        <v>4800000</v>
      </c>
      <c r="I25" s="4">
        <v>0</v>
      </c>
      <c r="J25" s="2" t="s">
        <v>144</v>
      </c>
      <c r="K25" s="4">
        <v>33600000</v>
      </c>
      <c r="L25" s="4">
        <v>0</v>
      </c>
      <c r="M25" s="4">
        <v>4800000</v>
      </c>
      <c r="N25" s="4">
        <v>25000000</v>
      </c>
      <c r="O25" s="4">
        <v>9600000</v>
      </c>
      <c r="P25" s="5">
        <v>0.714286</v>
      </c>
      <c r="Q25" s="12">
        <v>0.5</v>
      </c>
      <c r="R25" s="2" t="s">
        <v>145</v>
      </c>
      <c r="S25" s="7">
        <f t="shared" si="0"/>
        <v>4800000</v>
      </c>
      <c r="T25" s="7">
        <f t="shared" si="1"/>
        <v>9600000</v>
      </c>
      <c r="U25" s="8">
        <f t="shared" si="2"/>
        <v>0.5</v>
      </c>
      <c r="V25" s="9" t="e">
        <f>IF(T25&lt;=0,"Output &lt;= 0",IF(U25&gt;#REF!,"Terlalu tinggi",IF(U25&lt;#REF!,"Terlalu rendah","Sesuai")))</f>
        <v>#REF!</v>
      </c>
      <c r="W25" s="7" t="e">
        <f>IF(T25&lt;=0,S25,IF(U25&gt;#REF!,ROUNDDOWN(T25*#REF!,0),IF(U25&lt;#REF!,ROUNDUP(T25*#REF!,0),S25)))</f>
        <v>#REF!</v>
      </c>
      <c r="X25" s="7" t="e">
        <f t="shared" si="3"/>
        <v>#REF!</v>
      </c>
      <c r="Y25" s="7" t="e">
        <f t="shared" si="4"/>
        <v>#REF!</v>
      </c>
      <c r="Z25" s="7" t="e">
        <f t="shared" si="5"/>
        <v>#REF!</v>
      </c>
      <c r="AA25" s="7" t="e">
        <f t="shared" si="6"/>
        <v>#REF!</v>
      </c>
      <c r="AB25" s="8" t="e">
        <f t="shared" si="7"/>
        <v>#REF!</v>
      </c>
      <c r="AC25" s="9" t="e">
        <f>IF(T25&lt;=0,"Output &lt;= 0, cek manual",IF(OR(Z25&lt;0,Y25&lt;0),"Biaya negatif",IF(AND(AB25&gt;=#REF!,AB25&lt;=#REF!),"OK","Di luar rentang")))</f>
        <v>#REF!</v>
      </c>
    </row>
    <row r="26" ht="85.5" spans="1:29">
      <c r="A26" s="2" t="s">
        <v>30</v>
      </c>
      <c r="B26" s="2" t="s">
        <v>31</v>
      </c>
      <c r="C26" s="3" t="s">
        <v>146</v>
      </c>
      <c r="D26" s="3" t="s">
        <v>91</v>
      </c>
      <c r="E26" s="3" t="s">
        <v>147</v>
      </c>
      <c r="F26" s="4">
        <v>300000</v>
      </c>
      <c r="G26" s="4">
        <v>800000</v>
      </c>
      <c r="H26" s="4">
        <v>0</v>
      </c>
      <c r="I26" s="4">
        <v>0</v>
      </c>
      <c r="J26" s="2" t="s">
        <v>74</v>
      </c>
      <c r="K26" s="4">
        <v>1500000</v>
      </c>
      <c r="L26" s="4">
        <v>0</v>
      </c>
      <c r="M26" s="4">
        <v>400000</v>
      </c>
      <c r="N26" s="4">
        <v>800000</v>
      </c>
      <c r="O26" s="4">
        <v>700000</v>
      </c>
      <c r="P26" s="5">
        <v>0.533333</v>
      </c>
      <c r="Q26" s="5">
        <v>0.571429</v>
      </c>
      <c r="R26" s="2" t="s">
        <v>148</v>
      </c>
      <c r="S26" s="7">
        <f t="shared" si="0"/>
        <v>400000</v>
      </c>
      <c r="T26" s="7">
        <f t="shared" si="1"/>
        <v>700000</v>
      </c>
      <c r="U26" s="8">
        <f t="shared" si="2"/>
        <v>0.571428571428571</v>
      </c>
      <c r="V26" s="9" t="e">
        <f>IF(T26&lt;=0,"Output &lt;= 0",IF(U26&gt;#REF!,"Terlalu tinggi",IF(U26&lt;#REF!,"Terlalu rendah","Sesuai")))</f>
        <v>#REF!</v>
      </c>
      <c r="W26" s="7" t="e">
        <f>IF(T26&lt;=0,S26,IF(U26&gt;#REF!,ROUNDDOWN(T26*#REF!,0),IF(U26&lt;#REF!,ROUNDUP(T26*#REF!,0),S26)))</f>
        <v>#REF!</v>
      </c>
      <c r="X26" s="7" t="e">
        <f t="shared" si="3"/>
        <v>#REF!</v>
      </c>
      <c r="Y26" s="7" t="e">
        <f t="shared" si="4"/>
        <v>#REF!</v>
      </c>
      <c r="Z26" s="7" t="e">
        <f t="shared" si="5"/>
        <v>#REF!</v>
      </c>
      <c r="AA26" s="7" t="e">
        <f t="shared" si="6"/>
        <v>#REF!</v>
      </c>
      <c r="AB26" s="8" t="e">
        <f t="shared" si="7"/>
        <v>#REF!</v>
      </c>
      <c r="AC26" s="9" t="e">
        <f>IF(T26&lt;=0,"Output &lt;= 0, cek manual",IF(OR(Z26&lt;0,Y26&lt;0),"Biaya negatif",IF(AND(AB26&gt;=#REF!,AB26&lt;=#REF!),"OK","Di luar rentang")))</f>
        <v>#REF!</v>
      </c>
    </row>
    <row r="27" ht="156.75" spans="1:29">
      <c r="A27" s="2" t="s">
        <v>30</v>
      </c>
      <c r="B27" s="2" t="s">
        <v>31</v>
      </c>
      <c r="C27" s="3" t="s">
        <v>149</v>
      </c>
      <c r="D27" s="3" t="s">
        <v>150</v>
      </c>
      <c r="E27" s="3" t="s">
        <v>151</v>
      </c>
      <c r="F27" s="4">
        <v>150000</v>
      </c>
      <c r="G27" s="4">
        <v>2000000</v>
      </c>
      <c r="H27" s="4">
        <v>500000</v>
      </c>
      <c r="I27" s="4">
        <v>0</v>
      </c>
      <c r="J27" s="2" t="s">
        <v>152</v>
      </c>
      <c r="K27" s="4">
        <v>6000000</v>
      </c>
      <c r="L27" s="4">
        <v>0</v>
      </c>
      <c r="M27" s="4">
        <v>3350000</v>
      </c>
      <c r="N27" s="4">
        <v>19000000</v>
      </c>
      <c r="O27" s="4">
        <v>4000000</v>
      </c>
      <c r="P27" s="5">
        <v>0.333333</v>
      </c>
      <c r="Q27" s="13">
        <v>0.8375</v>
      </c>
      <c r="R27" s="2" t="s">
        <v>153</v>
      </c>
      <c r="S27" s="7">
        <f t="shared" si="0"/>
        <v>3350000</v>
      </c>
      <c r="T27" s="7">
        <f t="shared" si="1"/>
        <v>4000000</v>
      </c>
      <c r="U27" s="8">
        <f t="shared" si="2"/>
        <v>0.8375</v>
      </c>
      <c r="V27" s="9" t="e">
        <f>IF(T27&lt;=0,"Output &lt;= 0",IF(U27&gt;#REF!,"Terlalu tinggi",IF(U27&lt;#REF!,"Terlalu rendah","Sesuai")))</f>
        <v>#REF!</v>
      </c>
      <c r="W27" s="7" t="e">
        <f>IF(T27&lt;=0,S27,IF(U27&gt;#REF!,ROUNDDOWN(T27*#REF!,0),IF(U27&lt;#REF!,ROUNDUP(T27*#REF!,0),S27)))</f>
        <v>#REF!</v>
      </c>
      <c r="X27" s="7" t="e">
        <f t="shared" si="3"/>
        <v>#REF!</v>
      </c>
      <c r="Y27" s="7" t="e">
        <f t="shared" si="4"/>
        <v>#REF!</v>
      </c>
      <c r="Z27" s="7" t="e">
        <f t="shared" si="5"/>
        <v>#REF!</v>
      </c>
      <c r="AA27" s="7" t="e">
        <f t="shared" si="6"/>
        <v>#REF!</v>
      </c>
      <c r="AB27" s="8" t="e">
        <f t="shared" si="7"/>
        <v>#REF!</v>
      </c>
      <c r="AC27" s="9" t="e">
        <f>IF(T27&lt;=0,"Output &lt;= 0, cek manual",IF(OR(Z27&lt;0,Y27&lt;0),"Biaya negatif",IF(AND(AB27&gt;=#REF!,AB27&lt;=#REF!),"OK","Di luar rentang")))</f>
        <v>#REF!</v>
      </c>
    </row>
    <row r="28" ht="71.25" spans="1:29">
      <c r="A28" s="2" t="s">
        <v>30</v>
      </c>
      <c r="B28" s="2" t="s">
        <v>31</v>
      </c>
      <c r="C28" s="3" t="s">
        <v>154</v>
      </c>
      <c r="D28" s="3" t="s">
        <v>155</v>
      </c>
      <c r="E28" s="3" t="s">
        <v>156</v>
      </c>
      <c r="F28" s="4">
        <v>4000000</v>
      </c>
      <c r="G28" s="4">
        <v>1000000</v>
      </c>
      <c r="H28" s="4">
        <v>500000</v>
      </c>
      <c r="I28" s="4">
        <v>0</v>
      </c>
      <c r="J28" s="2" t="s">
        <v>157</v>
      </c>
      <c r="K28" s="4">
        <v>9000000</v>
      </c>
      <c r="L28" s="4">
        <v>0</v>
      </c>
      <c r="M28" s="4">
        <v>3500000</v>
      </c>
      <c r="N28" s="4">
        <v>11000000</v>
      </c>
      <c r="O28" s="4">
        <v>8000000</v>
      </c>
      <c r="P28" s="5">
        <v>0.111111</v>
      </c>
      <c r="Q28" s="13">
        <v>0.4375</v>
      </c>
      <c r="R28" s="2" t="s">
        <v>158</v>
      </c>
      <c r="S28" s="7">
        <f t="shared" si="0"/>
        <v>3500000</v>
      </c>
      <c r="T28" s="7">
        <f t="shared" si="1"/>
        <v>8000000</v>
      </c>
      <c r="U28" s="8">
        <f t="shared" si="2"/>
        <v>0.4375</v>
      </c>
      <c r="V28" s="9" t="e">
        <f>IF(T28&lt;=0,"Output &lt;= 0",IF(U28&gt;#REF!,"Terlalu tinggi",IF(U28&lt;#REF!,"Terlalu rendah","Sesuai")))</f>
        <v>#REF!</v>
      </c>
      <c r="W28" s="7" t="e">
        <f>IF(T28&lt;=0,S28,IF(U28&gt;#REF!,ROUNDDOWN(T28*#REF!,0),IF(U28&lt;#REF!,ROUNDUP(T28*#REF!,0),S28)))</f>
        <v>#REF!</v>
      </c>
      <c r="X28" s="7" t="e">
        <f t="shared" si="3"/>
        <v>#REF!</v>
      </c>
      <c r="Y28" s="7" t="e">
        <f t="shared" si="4"/>
        <v>#REF!</v>
      </c>
      <c r="Z28" s="7" t="e">
        <f t="shared" si="5"/>
        <v>#REF!</v>
      </c>
      <c r="AA28" s="7" t="e">
        <f t="shared" si="6"/>
        <v>#REF!</v>
      </c>
      <c r="AB28" s="8" t="e">
        <f t="shared" si="7"/>
        <v>#REF!</v>
      </c>
      <c r="AC28" s="9" t="e">
        <f>IF(T28&lt;=0,"Output &lt;= 0, cek manual",IF(OR(Z28&lt;0,Y28&lt;0),"Biaya negatif",IF(AND(AB28&gt;=#REF!,AB28&lt;=#REF!),"OK","Di luar rentang")))</f>
        <v>#REF!</v>
      </c>
    </row>
    <row r="29" ht="85.5" spans="1:29">
      <c r="A29" s="2" t="s">
        <v>30</v>
      </c>
      <c r="B29" s="2" t="s">
        <v>31</v>
      </c>
      <c r="C29" s="3" t="s">
        <v>159</v>
      </c>
      <c r="D29" s="3" t="s">
        <v>160</v>
      </c>
      <c r="E29" s="3" t="s">
        <v>161</v>
      </c>
      <c r="F29" s="4">
        <v>5000000</v>
      </c>
      <c r="G29" s="4">
        <v>1000000</v>
      </c>
      <c r="H29" s="4">
        <v>100000</v>
      </c>
      <c r="I29" s="4">
        <v>0</v>
      </c>
      <c r="J29" s="2" t="s">
        <v>162</v>
      </c>
      <c r="K29" s="4">
        <v>7500000</v>
      </c>
      <c r="L29" s="4">
        <v>0</v>
      </c>
      <c r="M29" s="4">
        <v>1400000</v>
      </c>
      <c r="N29" s="4">
        <v>8600000</v>
      </c>
      <c r="O29" s="4">
        <v>6500000</v>
      </c>
      <c r="P29" s="5">
        <v>0.133333</v>
      </c>
      <c r="Q29" s="5">
        <v>0.215385</v>
      </c>
      <c r="R29" s="2" t="s">
        <v>163</v>
      </c>
      <c r="S29" s="7">
        <f t="shared" si="0"/>
        <v>1400000</v>
      </c>
      <c r="T29" s="7">
        <f t="shared" si="1"/>
        <v>6500000</v>
      </c>
      <c r="U29" s="8">
        <f t="shared" si="2"/>
        <v>0.215384615384615</v>
      </c>
      <c r="V29" s="9" t="e">
        <f>IF(T29&lt;=0,"Output &lt;= 0",IF(U29&gt;#REF!,"Terlalu tinggi",IF(U29&lt;#REF!,"Terlalu rendah","Sesuai")))</f>
        <v>#REF!</v>
      </c>
      <c r="W29" s="7" t="e">
        <f>IF(T29&lt;=0,S29,IF(U29&gt;#REF!,ROUNDDOWN(T29*#REF!,0),IF(U29&lt;#REF!,ROUNDUP(T29*#REF!,0),S29)))</f>
        <v>#REF!</v>
      </c>
      <c r="X29" s="7" t="e">
        <f t="shared" si="3"/>
        <v>#REF!</v>
      </c>
      <c r="Y29" s="7" t="e">
        <f t="shared" si="4"/>
        <v>#REF!</v>
      </c>
      <c r="Z29" s="7" t="e">
        <f t="shared" si="5"/>
        <v>#REF!</v>
      </c>
      <c r="AA29" s="7" t="e">
        <f t="shared" si="6"/>
        <v>#REF!</v>
      </c>
      <c r="AB29" s="8" t="e">
        <f t="shared" si="7"/>
        <v>#REF!</v>
      </c>
      <c r="AC29" s="9" t="e">
        <f>IF(T29&lt;=0,"Output &lt;= 0, cek manual",IF(OR(Z29&lt;0,Y29&lt;0),"Biaya negatif",IF(AND(AB29&gt;=#REF!,AB29&lt;=#REF!),"OK","Di luar rentang")))</f>
        <v>#REF!</v>
      </c>
    </row>
    <row r="30" ht="128.25" spans="1:29">
      <c r="A30" s="2" t="s">
        <v>30</v>
      </c>
      <c r="B30" s="2" t="s">
        <v>31</v>
      </c>
      <c r="C30" s="3" t="s">
        <v>164</v>
      </c>
      <c r="D30" s="3" t="s">
        <v>165</v>
      </c>
      <c r="E30" s="3" t="s">
        <v>166</v>
      </c>
      <c r="F30" s="4">
        <v>100000</v>
      </c>
      <c r="G30" s="4">
        <v>3000000</v>
      </c>
      <c r="H30" s="4">
        <v>100000</v>
      </c>
      <c r="I30" s="4">
        <v>0</v>
      </c>
      <c r="J30" s="2" t="s">
        <v>167</v>
      </c>
      <c r="K30" s="4">
        <v>5000000</v>
      </c>
      <c r="L30" s="4">
        <v>0</v>
      </c>
      <c r="M30" s="4">
        <v>1800000</v>
      </c>
      <c r="N30" s="4">
        <v>0</v>
      </c>
      <c r="O30" s="4">
        <v>2000000</v>
      </c>
      <c r="P30" s="12">
        <v>0.6</v>
      </c>
      <c r="Q30" s="12">
        <v>0.9</v>
      </c>
      <c r="R30" s="2" t="s">
        <v>168</v>
      </c>
      <c r="S30" s="7">
        <f t="shared" si="0"/>
        <v>1800000</v>
      </c>
      <c r="T30" s="7">
        <f t="shared" si="1"/>
        <v>2000000</v>
      </c>
      <c r="U30" s="8">
        <f t="shared" si="2"/>
        <v>0.9</v>
      </c>
      <c r="V30" s="9" t="e">
        <f>IF(T30&lt;=0,"Output &lt;= 0",IF(U30&gt;#REF!,"Terlalu tinggi",IF(U30&lt;#REF!,"Terlalu rendah","Sesuai")))</f>
        <v>#REF!</v>
      </c>
      <c r="W30" s="7" t="e">
        <f>IF(T30&lt;=0,S30,IF(U30&gt;#REF!,ROUNDDOWN(T30*#REF!,0),IF(U30&lt;#REF!,ROUNDUP(T30*#REF!,0),S30)))</f>
        <v>#REF!</v>
      </c>
      <c r="X30" s="7" t="e">
        <f t="shared" si="3"/>
        <v>#REF!</v>
      </c>
      <c r="Y30" s="7" t="e">
        <f t="shared" si="4"/>
        <v>#REF!</v>
      </c>
      <c r="Z30" s="7" t="e">
        <f t="shared" si="5"/>
        <v>#REF!</v>
      </c>
      <c r="AA30" s="7" t="e">
        <f t="shared" si="6"/>
        <v>#REF!</v>
      </c>
      <c r="AB30" s="8" t="e">
        <f t="shared" si="7"/>
        <v>#REF!</v>
      </c>
      <c r="AC30" s="9" t="e">
        <f>IF(T30&lt;=0,"Output &lt;= 0, cek manual",IF(OR(Z30&lt;0,Y30&lt;0),"Biaya negatif",IF(AND(AB30&gt;=#REF!,AB30&lt;=#REF!),"OK","Di luar rentang")))</f>
        <v>#REF!</v>
      </c>
    </row>
    <row r="31" ht="156.75" spans="1:29">
      <c r="A31" s="2" t="s">
        <v>30</v>
      </c>
      <c r="B31" s="2" t="s">
        <v>31</v>
      </c>
      <c r="C31" s="3" t="s">
        <v>169</v>
      </c>
      <c r="D31" s="3" t="s">
        <v>170</v>
      </c>
      <c r="E31" s="3" t="s">
        <v>171</v>
      </c>
      <c r="F31" s="4">
        <v>0</v>
      </c>
      <c r="G31" s="4">
        <v>86660000</v>
      </c>
      <c r="H31" s="4">
        <v>1850000</v>
      </c>
      <c r="I31" s="4">
        <v>100000</v>
      </c>
      <c r="J31" s="2" t="s">
        <v>172</v>
      </c>
      <c r="K31" s="4">
        <v>100000000</v>
      </c>
      <c r="L31" s="4">
        <v>0</v>
      </c>
      <c r="M31" s="4">
        <v>11490000</v>
      </c>
      <c r="N31" s="4">
        <v>9600000</v>
      </c>
      <c r="O31" s="4">
        <v>13340000</v>
      </c>
      <c r="P31" s="13">
        <v>0.8666</v>
      </c>
      <c r="Q31" s="5">
        <v>0.861319</v>
      </c>
      <c r="R31" s="2" t="s">
        <v>173</v>
      </c>
      <c r="S31" s="7">
        <f t="shared" si="0"/>
        <v>11490000</v>
      </c>
      <c r="T31" s="7">
        <f t="shared" si="1"/>
        <v>13340000</v>
      </c>
      <c r="U31" s="8">
        <f t="shared" si="2"/>
        <v>0.861319340329835</v>
      </c>
      <c r="V31" s="9" t="e">
        <f>IF(T31&lt;=0,"Output &lt;= 0",IF(U31&gt;#REF!,"Terlalu tinggi",IF(U31&lt;#REF!,"Terlalu rendah","Sesuai")))</f>
        <v>#REF!</v>
      </c>
      <c r="W31" s="7" t="e">
        <f>IF(T31&lt;=0,S31,IF(U31&gt;#REF!,ROUNDDOWN(T31*#REF!,0),IF(U31&lt;#REF!,ROUNDUP(T31*#REF!,0),S31)))</f>
        <v>#REF!</v>
      </c>
      <c r="X31" s="7" t="e">
        <f t="shared" si="3"/>
        <v>#REF!</v>
      </c>
      <c r="Y31" s="7" t="e">
        <f t="shared" si="4"/>
        <v>#REF!</v>
      </c>
      <c r="Z31" s="7" t="e">
        <f t="shared" si="5"/>
        <v>#REF!</v>
      </c>
      <c r="AA31" s="7" t="e">
        <f t="shared" si="6"/>
        <v>#REF!</v>
      </c>
      <c r="AB31" s="8" t="e">
        <f t="shared" si="7"/>
        <v>#REF!</v>
      </c>
      <c r="AC31" s="9" t="e">
        <f>IF(T31&lt;=0,"Output &lt;= 0, cek manual",IF(OR(Z31&lt;0,Y31&lt;0),"Biaya negatif",IF(AND(AB31&gt;=#REF!,AB31&lt;=#REF!),"OK","Di luar rentang")))</f>
        <v>#REF!</v>
      </c>
    </row>
    <row r="32" ht="242.25" spans="1:29">
      <c r="A32" s="2" t="s">
        <v>30</v>
      </c>
      <c r="B32" s="2" t="s">
        <v>31</v>
      </c>
      <c r="C32" s="3" t="s">
        <v>174</v>
      </c>
      <c r="D32" s="3" t="s">
        <v>91</v>
      </c>
      <c r="E32" s="3" t="s">
        <v>175</v>
      </c>
      <c r="F32" s="4">
        <v>500000</v>
      </c>
      <c r="G32" s="4">
        <v>1500000</v>
      </c>
      <c r="H32" s="4">
        <v>100000</v>
      </c>
      <c r="I32" s="4">
        <v>75000</v>
      </c>
      <c r="J32" s="2" t="s">
        <v>176</v>
      </c>
      <c r="K32" s="4">
        <v>2500000</v>
      </c>
      <c r="L32" s="4">
        <v>250000</v>
      </c>
      <c r="M32" s="4">
        <v>400000</v>
      </c>
      <c r="N32" s="4">
        <v>135000000</v>
      </c>
      <c r="O32" s="4">
        <v>1000000</v>
      </c>
      <c r="P32" s="12">
        <v>0.6</v>
      </c>
      <c r="Q32" s="12">
        <v>0.4</v>
      </c>
      <c r="R32" s="2" t="s">
        <v>177</v>
      </c>
      <c r="S32" s="7">
        <f t="shared" si="0"/>
        <v>400000</v>
      </c>
      <c r="T32" s="7">
        <f t="shared" si="1"/>
        <v>1000000</v>
      </c>
      <c r="U32" s="8">
        <f t="shared" si="2"/>
        <v>0.4</v>
      </c>
      <c r="V32" s="9" t="e">
        <f>IF(T32&lt;=0,"Output &lt;= 0",IF(U32&gt;#REF!,"Terlalu tinggi",IF(U32&lt;#REF!,"Terlalu rendah","Sesuai")))</f>
        <v>#REF!</v>
      </c>
      <c r="W32" s="7" t="e">
        <f>IF(T32&lt;=0,S32,IF(U32&gt;#REF!,ROUNDDOWN(T32*#REF!,0),IF(U32&lt;#REF!,ROUNDUP(T32*#REF!,0),S32)))</f>
        <v>#REF!</v>
      </c>
      <c r="X32" s="7" t="e">
        <f t="shared" si="3"/>
        <v>#REF!</v>
      </c>
      <c r="Y32" s="7" t="e">
        <f t="shared" si="4"/>
        <v>#REF!</v>
      </c>
      <c r="Z32" s="7" t="e">
        <f t="shared" si="5"/>
        <v>#REF!</v>
      </c>
      <c r="AA32" s="7" t="e">
        <f t="shared" si="6"/>
        <v>#REF!</v>
      </c>
      <c r="AB32" s="8" t="e">
        <f t="shared" si="7"/>
        <v>#REF!</v>
      </c>
      <c r="AC32" s="9" t="e">
        <f>IF(T32&lt;=0,"Output &lt;= 0, cek manual",IF(OR(Z32&lt;0,Y32&lt;0),"Biaya negatif",IF(AND(AB32&gt;=#REF!,AB32&lt;=#REF!),"OK","Di luar rentang")))</f>
        <v>#REF!</v>
      </c>
    </row>
    <row r="33" ht="57" spans="1:29">
      <c r="A33" s="2" t="s">
        <v>30</v>
      </c>
      <c r="B33" s="2" t="s">
        <v>31</v>
      </c>
      <c r="C33" s="3" t="s">
        <v>178</v>
      </c>
      <c r="D33" s="3" t="s">
        <v>179</v>
      </c>
      <c r="E33" s="3" t="s">
        <v>180</v>
      </c>
      <c r="F33" s="4">
        <v>120000</v>
      </c>
      <c r="G33" s="4">
        <v>12000000</v>
      </c>
      <c r="H33" s="4">
        <v>240000</v>
      </c>
      <c r="I33" s="4">
        <v>0</v>
      </c>
      <c r="J33" s="2" t="s">
        <v>181</v>
      </c>
      <c r="K33" s="4">
        <v>19560000</v>
      </c>
      <c r="L33" s="4">
        <v>0</v>
      </c>
      <c r="M33" s="4">
        <v>7200000</v>
      </c>
      <c r="N33" s="4">
        <v>12000000</v>
      </c>
      <c r="O33" s="4">
        <v>7560000</v>
      </c>
      <c r="P33" s="5">
        <v>0.613497</v>
      </c>
      <c r="Q33" s="5">
        <v>0.952381</v>
      </c>
      <c r="R33" s="2" t="s">
        <v>182</v>
      </c>
      <c r="S33" s="7">
        <f t="shared" si="0"/>
        <v>7200000</v>
      </c>
      <c r="T33" s="7">
        <f t="shared" si="1"/>
        <v>7560000</v>
      </c>
      <c r="U33" s="8">
        <f t="shared" si="2"/>
        <v>0.952380952380952</v>
      </c>
      <c r="V33" s="9" t="e">
        <f>IF(T33&lt;=0,"Output &lt;= 0",IF(U33&gt;#REF!,"Terlalu tinggi",IF(U33&lt;#REF!,"Terlalu rendah","Sesuai")))</f>
        <v>#REF!</v>
      </c>
      <c r="W33" s="7" t="e">
        <f>IF(T33&lt;=0,S33,IF(U33&gt;#REF!,ROUNDDOWN(T33*#REF!,0),IF(U33&lt;#REF!,ROUNDUP(T33*#REF!,0),S33)))</f>
        <v>#REF!</v>
      </c>
      <c r="X33" s="7" t="e">
        <f t="shared" si="3"/>
        <v>#REF!</v>
      </c>
      <c r="Y33" s="7" t="e">
        <f t="shared" si="4"/>
        <v>#REF!</v>
      </c>
      <c r="Z33" s="7" t="e">
        <f t="shared" si="5"/>
        <v>#REF!</v>
      </c>
      <c r="AA33" s="7" t="e">
        <f t="shared" si="6"/>
        <v>#REF!</v>
      </c>
      <c r="AB33" s="8" t="e">
        <f t="shared" si="7"/>
        <v>#REF!</v>
      </c>
      <c r="AC33" s="9" t="e">
        <f>IF(T33&lt;=0,"Output &lt;= 0, cek manual",IF(OR(Z33&lt;0,Y33&lt;0),"Biaya negatif",IF(AND(AB33&gt;=#REF!,AB33&lt;=#REF!),"OK","Di luar rentang")))</f>
        <v>#REF!</v>
      </c>
    </row>
    <row r="34" ht="128.25" spans="1:29">
      <c r="A34" s="2" t="s">
        <v>30</v>
      </c>
      <c r="B34" s="2" t="s">
        <v>31</v>
      </c>
      <c r="C34" s="3" t="s">
        <v>183</v>
      </c>
      <c r="D34" s="3" t="s">
        <v>184</v>
      </c>
      <c r="E34" s="3" t="s">
        <v>185</v>
      </c>
      <c r="F34" s="4">
        <v>500000</v>
      </c>
      <c r="G34" s="4">
        <v>5000000</v>
      </c>
      <c r="H34" s="4">
        <v>500000</v>
      </c>
      <c r="I34" s="4">
        <v>0</v>
      </c>
      <c r="J34" s="2" t="s">
        <v>186</v>
      </c>
      <c r="K34" s="4">
        <v>10000000</v>
      </c>
      <c r="L34" s="4">
        <v>0</v>
      </c>
      <c r="M34" s="4">
        <v>4000000</v>
      </c>
      <c r="N34" s="4">
        <v>11200000</v>
      </c>
      <c r="O34" s="4">
        <v>5000000</v>
      </c>
      <c r="P34" s="12">
        <v>0.5</v>
      </c>
      <c r="Q34" s="12">
        <v>0.8</v>
      </c>
      <c r="R34" s="2" t="s">
        <v>187</v>
      </c>
      <c r="S34" s="7">
        <f t="shared" si="0"/>
        <v>4000000</v>
      </c>
      <c r="T34" s="7">
        <f t="shared" si="1"/>
        <v>5000000</v>
      </c>
      <c r="U34" s="8">
        <f t="shared" si="2"/>
        <v>0.8</v>
      </c>
      <c r="V34" s="9" t="e">
        <f>IF(T34&lt;=0,"Output &lt;= 0",IF(U34&gt;#REF!,"Terlalu tinggi",IF(U34&lt;#REF!,"Terlalu rendah","Sesuai")))</f>
        <v>#REF!</v>
      </c>
      <c r="W34" s="7" t="e">
        <f>IF(T34&lt;=0,S34,IF(U34&gt;#REF!,ROUNDDOWN(T34*#REF!,0),IF(U34&lt;#REF!,ROUNDUP(T34*#REF!,0),S34)))</f>
        <v>#REF!</v>
      </c>
      <c r="X34" s="7" t="e">
        <f t="shared" si="3"/>
        <v>#REF!</v>
      </c>
      <c r="Y34" s="7" t="e">
        <f t="shared" si="4"/>
        <v>#REF!</v>
      </c>
      <c r="Z34" s="7" t="e">
        <f t="shared" si="5"/>
        <v>#REF!</v>
      </c>
      <c r="AA34" s="7" t="e">
        <f t="shared" si="6"/>
        <v>#REF!</v>
      </c>
      <c r="AB34" s="8" t="e">
        <f t="shared" si="7"/>
        <v>#REF!</v>
      </c>
      <c r="AC34" s="9" t="e">
        <f>IF(T34&lt;=0,"Output &lt;= 0, cek manual",IF(OR(Z34&lt;0,Y34&lt;0),"Biaya negatif",IF(AND(AB34&gt;=#REF!,AB34&lt;=#REF!),"OK","Di luar rentang")))</f>
        <v>#REF!</v>
      </c>
    </row>
    <row r="35" ht="85.5" spans="1:29">
      <c r="A35" s="2" t="s">
        <v>30</v>
      </c>
      <c r="B35" s="2" t="s">
        <v>31</v>
      </c>
      <c r="C35" s="3" t="s">
        <v>188</v>
      </c>
      <c r="D35" s="3" t="s">
        <v>189</v>
      </c>
      <c r="E35" s="3" t="s">
        <v>190</v>
      </c>
      <c r="F35" s="4">
        <v>150000</v>
      </c>
      <c r="G35" s="4">
        <v>7500000</v>
      </c>
      <c r="H35" s="4">
        <v>375000</v>
      </c>
      <c r="I35" s="4">
        <v>0</v>
      </c>
      <c r="J35" s="2" t="s">
        <v>191</v>
      </c>
      <c r="K35" s="4">
        <v>11000000</v>
      </c>
      <c r="L35" s="4">
        <v>0</v>
      </c>
      <c r="M35" s="4">
        <v>2975000</v>
      </c>
      <c r="N35" s="4">
        <v>3850000</v>
      </c>
      <c r="O35" s="4">
        <v>3500000</v>
      </c>
      <c r="P35" s="5">
        <v>0.681818</v>
      </c>
      <c r="Q35" s="11">
        <v>0.85</v>
      </c>
      <c r="R35" s="2" t="s">
        <v>192</v>
      </c>
      <c r="S35" s="7">
        <f t="shared" si="0"/>
        <v>2975000</v>
      </c>
      <c r="T35" s="7">
        <f t="shared" si="1"/>
        <v>3500000</v>
      </c>
      <c r="U35" s="8">
        <f t="shared" si="2"/>
        <v>0.85</v>
      </c>
      <c r="V35" s="9" t="e">
        <f>IF(T35&lt;=0,"Output &lt;= 0",IF(U35&gt;#REF!,"Terlalu tinggi",IF(U35&lt;#REF!,"Terlalu rendah","Sesuai")))</f>
        <v>#REF!</v>
      </c>
      <c r="W35" s="7" t="e">
        <f>IF(T35&lt;=0,S35,IF(U35&gt;#REF!,ROUNDDOWN(T35*#REF!,0),IF(U35&lt;#REF!,ROUNDUP(T35*#REF!,0),S35)))</f>
        <v>#REF!</v>
      </c>
      <c r="X35" s="7" t="e">
        <f t="shared" si="3"/>
        <v>#REF!</v>
      </c>
      <c r="Y35" s="7" t="e">
        <f t="shared" si="4"/>
        <v>#REF!</v>
      </c>
      <c r="Z35" s="7" t="e">
        <f t="shared" si="5"/>
        <v>#REF!</v>
      </c>
      <c r="AA35" s="7" t="e">
        <f t="shared" si="6"/>
        <v>#REF!</v>
      </c>
      <c r="AB35" s="8" t="e">
        <f t="shared" si="7"/>
        <v>#REF!</v>
      </c>
      <c r="AC35" s="9" t="e">
        <f>IF(T35&lt;=0,"Output &lt;= 0, cek manual",IF(OR(Z35&lt;0,Y35&lt;0),"Biaya negatif",IF(AND(AB35&gt;=#REF!,AB35&lt;=#REF!),"OK","Di luar rentang")))</f>
        <v>#REF!</v>
      </c>
    </row>
    <row r="36" ht="199.5" spans="1:29">
      <c r="A36" s="2" t="s">
        <v>30</v>
      </c>
      <c r="B36" s="2" t="s">
        <v>31</v>
      </c>
      <c r="C36" s="3" t="s">
        <v>193</v>
      </c>
      <c r="D36" s="3" t="s">
        <v>91</v>
      </c>
      <c r="E36" s="3" t="s">
        <v>194</v>
      </c>
      <c r="F36" s="4">
        <v>3500000</v>
      </c>
      <c r="G36" s="4">
        <v>630000000</v>
      </c>
      <c r="H36" s="4">
        <v>2500000</v>
      </c>
      <c r="I36" s="4">
        <v>3500000</v>
      </c>
      <c r="J36" s="2" t="s">
        <v>195</v>
      </c>
      <c r="K36" s="4">
        <v>705000000</v>
      </c>
      <c r="L36" s="4">
        <v>0</v>
      </c>
      <c r="M36" s="4">
        <v>69000000</v>
      </c>
      <c r="N36" s="4">
        <v>23500000</v>
      </c>
      <c r="O36" s="4">
        <v>75000000</v>
      </c>
      <c r="P36" s="5">
        <v>0.893617</v>
      </c>
      <c r="Q36" s="11">
        <v>0.92</v>
      </c>
      <c r="R36" s="2" t="s">
        <v>196</v>
      </c>
      <c r="S36" s="7">
        <f t="shared" si="0"/>
        <v>69000000</v>
      </c>
      <c r="T36" s="7">
        <f t="shared" si="1"/>
        <v>75000000</v>
      </c>
      <c r="U36" s="8">
        <f t="shared" si="2"/>
        <v>0.92</v>
      </c>
      <c r="V36" s="9" t="e">
        <f>IF(T36&lt;=0,"Output &lt;= 0",IF(U36&gt;#REF!,"Terlalu tinggi",IF(U36&lt;#REF!,"Terlalu rendah","Sesuai")))</f>
        <v>#REF!</v>
      </c>
      <c r="W36" s="7" t="e">
        <f>IF(T36&lt;=0,S36,IF(U36&gt;#REF!,ROUNDDOWN(T36*#REF!,0),IF(U36&lt;#REF!,ROUNDUP(T36*#REF!,0),S36)))</f>
        <v>#REF!</v>
      </c>
      <c r="X36" s="7" t="e">
        <f t="shared" si="3"/>
        <v>#REF!</v>
      </c>
      <c r="Y36" s="7" t="e">
        <f t="shared" si="4"/>
        <v>#REF!</v>
      </c>
      <c r="Z36" s="7" t="e">
        <f t="shared" si="5"/>
        <v>#REF!</v>
      </c>
      <c r="AA36" s="7" t="e">
        <f t="shared" si="6"/>
        <v>#REF!</v>
      </c>
      <c r="AB36" s="8" t="e">
        <f t="shared" si="7"/>
        <v>#REF!</v>
      </c>
      <c r="AC36" s="9" t="e">
        <f>IF(T36&lt;=0,"Output &lt;= 0, cek manual",IF(OR(Z36&lt;0,Y36&lt;0),"Biaya negatif",IF(AND(AB36&gt;=#REF!,AB36&lt;=#REF!),"OK","Di luar rentang")))</f>
        <v>#REF!</v>
      </c>
    </row>
    <row r="37" ht="57" spans="1:29">
      <c r="A37" s="2" t="s">
        <v>30</v>
      </c>
      <c r="B37" s="2" t="s">
        <v>31</v>
      </c>
      <c r="C37" s="3" t="s">
        <v>197</v>
      </c>
      <c r="D37" s="3" t="s">
        <v>91</v>
      </c>
      <c r="E37" s="3" t="s">
        <v>198</v>
      </c>
      <c r="F37" s="4">
        <v>1500000</v>
      </c>
      <c r="G37" s="4">
        <v>300000</v>
      </c>
      <c r="H37" s="4">
        <v>50000</v>
      </c>
      <c r="I37" s="4">
        <v>0</v>
      </c>
      <c r="J37" s="2" t="s">
        <v>199</v>
      </c>
      <c r="K37" s="4">
        <v>3500000</v>
      </c>
      <c r="L37" s="4">
        <v>0</v>
      </c>
      <c r="M37" s="4">
        <v>1650000</v>
      </c>
      <c r="N37" s="4">
        <v>5000000</v>
      </c>
      <c r="O37" s="4">
        <v>3200000</v>
      </c>
      <c r="P37" s="5">
        <v>0.085714</v>
      </c>
      <c r="Q37" s="5">
        <v>0.515625</v>
      </c>
      <c r="R37" s="2" t="s">
        <v>200</v>
      </c>
      <c r="S37" s="7">
        <f t="shared" si="0"/>
        <v>1650000</v>
      </c>
      <c r="T37" s="7">
        <f t="shared" si="1"/>
        <v>3200000</v>
      </c>
      <c r="U37" s="8">
        <f t="shared" si="2"/>
        <v>0.515625</v>
      </c>
      <c r="V37" s="9" t="e">
        <f>IF(T37&lt;=0,"Output &lt;= 0",IF(U37&gt;#REF!,"Terlalu tinggi",IF(U37&lt;#REF!,"Terlalu rendah","Sesuai")))</f>
        <v>#REF!</v>
      </c>
      <c r="W37" s="7" t="e">
        <f>IF(T37&lt;=0,S37,IF(U37&gt;#REF!,ROUNDDOWN(T37*#REF!,0),IF(U37&lt;#REF!,ROUNDUP(T37*#REF!,0),S37)))</f>
        <v>#REF!</v>
      </c>
      <c r="X37" s="7" t="e">
        <f t="shared" si="3"/>
        <v>#REF!</v>
      </c>
      <c r="Y37" s="7" t="e">
        <f t="shared" si="4"/>
        <v>#REF!</v>
      </c>
      <c r="Z37" s="7" t="e">
        <f t="shared" si="5"/>
        <v>#REF!</v>
      </c>
      <c r="AA37" s="7" t="e">
        <f t="shared" si="6"/>
        <v>#REF!</v>
      </c>
      <c r="AB37" s="8" t="e">
        <f t="shared" si="7"/>
        <v>#REF!</v>
      </c>
      <c r="AC37" s="9" t="e">
        <f>IF(T37&lt;=0,"Output &lt;= 0, cek manual",IF(OR(Z37&lt;0,Y37&lt;0),"Biaya negatif",IF(AND(AB37&gt;=#REF!,AB37&lt;=#REF!),"OK","Di luar rentang")))</f>
        <v>#REF!</v>
      </c>
    </row>
    <row r="38" ht="71.25" spans="1:29">
      <c r="A38" s="2" t="s">
        <v>30</v>
      </c>
      <c r="B38" s="2" t="s">
        <v>31</v>
      </c>
      <c r="C38" s="3" t="s">
        <v>201</v>
      </c>
      <c r="D38" s="3" t="s">
        <v>202</v>
      </c>
      <c r="E38" s="3" t="s">
        <v>203</v>
      </c>
      <c r="F38" s="4">
        <v>0</v>
      </c>
      <c r="G38" s="4">
        <v>15000000</v>
      </c>
      <c r="H38" s="4">
        <v>7000000</v>
      </c>
      <c r="I38" s="4">
        <v>0</v>
      </c>
      <c r="J38" s="2" t="s">
        <v>204</v>
      </c>
      <c r="K38" s="4">
        <v>29000000</v>
      </c>
      <c r="L38" s="4">
        <v>0</v>
      </c>
      <c r="M38" s="4">
        <v>7000000</v>
      </c>
      <c r="N38" s="4">
        <v>6500000</v>
      </c>
      <c r="O38" s="4">
        <v>14000000</v>
      </c>
      <c r="P38" s="5">
        <v>0.517241</v>
      </c>
      <c r="Q38" s="12">
        <v>0.5</v>
      </c>
      <c r="R38" s="2" t="s">
        <v>205</v>
      </c>
      <c r="S38" s="7">
        <f t="shared" si="0"/>
        <v>7000000</v>
      </c>
      <c r="T38" s="7">
        <f t="shared" si="1"/>
        <v>14000000</v>
      </c>
      <c r="U38" s="8">
        <f t="shared" si="2"/>
        <v>0.5</v>
      </c>
      <c r="V38" s="9" t="e">
        <f>IF(T38&lt;=0,"Output &lt;= 0",IF(U38&gt;#REF!,"Terlalu tinggi",IF(U38&lt;#REF!,"Terlalu rendah","Sesuai")))</f>
        <v>#REF!</v>
      </c>
      <c r="W38" s="7" t="e">
        <f>IF(T38&lt;=0,S38,IF(U38&gt;#REF!,ROUNDDOWN(T38*#REF!,0),IF(U38&lt;#REF!,ROUNDUP(T38*#REF!,0),S38)))</f>
        <v>#REF!</v>
      </c>
      <c r="X38" s="7" t="e">
        <f t="shared" si="3"/>
        <v>#REF!</v>
      </c>
      <c r="Y38" s="7" t="e">
        <f t="shared" si="4"/>
        <v>#REF!</v>
      </c>
      <c r="Z38" s="7" t="e">
        <f t="shared" si="5"/>
        <v>#REF!</v>
      </c>
      <c r="AA38" s="7" t="e">
        <f t="shared" si="6"/>
        <v>#REF!</v>
      </c>
      <c r="AB38" s="8" t="e">
        <f t="shared" si="7"/>
        <v>#REF!</v>
      </c>
      <c r="AC38" s="9" t="e">
        <f>IF(T38&lt;=0,"Output &lt;= 0, cek manual",IF(OR(Z38&lt;0,Y38&lt;0),"Biaya negatif",IF(AND(AB38&gt;=#REF!,AB38&lt;=#REF!),"OK","Di luar rentang")))</f>
        <v>#REF!</v>
      </c>
    </row>
    <row r="39" ht="99.75" spans="1:29">
      <c r="A39" s="2" t="s">
        <v>30</v>
      </c>
      <c r="B39" s="2" t="s">
        <v>31</v>
      </c>
      <c r="C39" s="3" t="s">
        <v>206</v>
      </c>
      <c r="D39" s="3" t="s">
        <v>207</v>
      </c>
      <c r="E39" s="3" t="s">
        <v>207</v>
      </c>
      <c r="F39" s="4">
        <v>14400000</v>
      </c>
      <c r="G39" s="4">
        <v>0</v>
      </c>
      <c r="H39" s="4">
        <v>0</v>
      </c>
      <c r="I39" s="4">
        <v>0</v>
      </c>
      <c r="J39" s="2" t="s">
        <v>208</v>
      </c>
      <c r="K39" s="4">
        <v>24000000</v>
      </c>
      <c r="L39" s="4">
        <v>0</v>
      </c>
      <c r="M39" s="4">
        <v>9600000</v>
      </c>
      <c r="N39" s="4">
        <v>40000000</v>
      </c>
      <c r="O39" s="4">
        <v>24000000</v>
      </c>
      <c r="P39" s="4">
        <v>0</v>
      </c>
      <c r="Q39" s="12">
        <v>0.4</v>
      </c>
      <c r="R39" s="2" t="s">
        <v>209</v>
      </c>
      <c r="S39" s="7">
        <f t="shared" si="0"/>
        <v>9600000</v>
      </c>
      <c r="T39" s="7">
        <f t="shared" si="1"/>
        <v>24000000</v>
      </c>
      <c r="U39" s="8">
        <f t="shared" si="2"/>
        <v>0.4</v>
      </c>
      <c r="V39" s="9" t="e">
        <f>IF(T39&lt;=0,"Output &lt;= 0",IF(U39&gt;#REF!,"Terlalu tinggi",IF(U39&lt;#REF!,"Terlalu rendah","Sesuai")))</f>
        <v>#REF!</v>
      </c>
      <c r="W39" s="7" t="e">
        <f>IF(T39&lt;=0,S39,IF(U39&gt;#REF!,ROUNDDOWN(T39*#REF!,0),IF(U39&lt;#REF!,ROUNDUP(T39*#REF!,0),S39)))</f>
        <v>#REF!</v>
      </c>
      <c r="X39" s="7" t="e">
        <f t="shared" si="3"/>
        <v>#REF!</v>
      </c>
      <c r="Y39" s="7" t="e">
        <f t="shared" si="4"/>
        <v>#REF!</v>
      </c>
      <c r="Z39" s="7" t="e">
        <f t="shared" si="5"/>
        <v>#REF!</v>
      </c>
      <c r="AA39" s="7" t="e">
        <f t="shared" si="6"/>
        <v>#REF!</v>
      </c>
      <c r="AB39" s="8" t="e">
        <f t="shared" si="7"/>
        <v>#REF!</v>
      </c>
      <c r="AC39" s="9" t="e">
        <f>IF(T39&lt;=0,"Output &lt;= 0, cek manual",IF(OR(Z39&lt;0,Y39&lt;0),"Biaya negatif",IF(AND(AB39&gt;=#REF!,AB39&lt;=#REF!),"OK","Di luar rentang")))</f>
        <v>#REF!</v>
      </c>
    </row>
    <row r="40" ht="85.5" spans="1:29">
      <c r="A40" s="2" t="s">
        <v>30</v>
      </c>
      <c r="B40" s="2" t="s">
        <v>31</v>
      </c>
      <c r="C40" s="3" t="s">
        <v>210</v>
      </c>
      <c r="D40" s="3" t="s">
        <v>211</v>
      </c>
      <c r="E40" s="3" t="s">
        <v>212</v>
      </c>
      <c r="F40" s="4">
        <v>500000</v>
      </c>
      <c r="G40" s="4">
        <v>8500000</v>
      </c>
      <c r="H40" s="4">
        <v>0</v>
      </c>
      <c r="I40" s="4">
        <v>0</v>
      </c>
      <c r="J40" s="2" t="s">
        <v>213</v>
      </c>
      <c r="K40" s="4">
        <v>15000000</v>
      </c>
      <c r="L40" s="4">
        <v>0</v>
      </c>
      <c r="M40" s="4">
        <v>6000000</v>
      </c>
      <c r="N40" s="4">
        <v>0</v>
      </c>
      <c r="O40" s="4">
        <v>6500000</v>
      </c>
      <c r="P40" s="5">
        <v>0.566667</v>
      </c>
      <c r="Q40" s="5">
        <v>0.923077</v>
      </c>
      <c r="R40" s="2" t="s">
        <v>214</v>
      </c>
      <c r="S40" s="7">
        <f t="shared" si="0"/>
        <v>6000000</v>
      </c>
      <c r="T40" s="7">
        <f t="shared" si="1"/>
        <v>6500000</v>
      </c>
      <c r="U40" s="8">
        <f t="shared" si="2"/>
        <v>0.923076923076923</v>
      </c>
      <c r="V40" s="9" t="e">
        <f>IF(T40&lt;=0,"Output &lt;= 0",IF(U40&gt;#REF!,"Terlalu tinggi",IF(U40&lt;#REF!,"Terlalu rendah","Sesuai")))</f>
        <v>#REF!</v>
      </c>
      <c r="W40" s="7" t="e">
        <f>IF(T40&lt;=0,S40,IF(U40&gt;#REF!,ROUNDDOWN(T40*#REF!,0),IF(U40&lt;#REF!,ROUNDUP(T40*#REF!,0),S40)))</f>
        <v>#REF!</v>
      </c>
      <c r="X40" s="7" t="e">
        <f t="shared" si="3"/>
        <v>#REF!</v>
      </c>
      <c r="Y40" s="7" t="e">
        <f t="shared" si="4"/>
        <v>#REF!</v>
      </c>
      <c r="Z40" s="7" t="e">
        <f t="shared" si="5"/>
        <v>#REF!</v>
      </c>
      <c r="AA40" s="7" t="e">
        <f t="shared" si="6"/>
        <v>#REF!</v>
      </c>
      <c r="AB40" s="8" t="e">
        <f t="shared" si="7"/>
        <v>#REF!</v>
      </c>
      <c r="AC40" s="9" t="e">
        <f>IF(T40&lt;=0,"Output &lt;= 0, cek manual",IF(OR(Z40&lt;0,Y40&lt;0),"Biaya negatif",IF(AND(AB40&gt;=#REF!,AB40&lt;=#REF!),"OK","Di luar rentang")))</f>
        <v>#REF!</v>
      </c>
    </row>
    <row r="41" ht="42.75" spans="1:29">
      <c r="A41" s="2" t="s">
        <v>30</v>
      </c>
      <c r="B41" s="2" t="s">
        <v>31</v>
      </c>
      <c r="C41" s="3" t="s">
        <v>215</v>
      </c>
      <c r="D41" s="3" t="s">
        <v>91</v>
      </c>
      <c r="E41" s="3" t="s">
        <v>39</v>
      </c>
      <c r="F41" s="4">
        <v>0</v>
      </c>
      <c r="G41" s="4">
        <v>8500000</v>
      </c>
      <c r="H41" s="4">
        <v>250000</v>
      </c>
      <c r="I41" s="4">
        <v>50000</v>
      </c>
      <c r="J41" s="2" t="s">
        <v>216</v>
      </c>
      <c r="K41" s="4">
        <v>13500000</v>
      </c>
      <c r="L41" s="4">
        <v>0</v>
      </c>
      <c r="M41" s="4">
        <v>4750000</v>
      </c>
      <c r="N41" s="4">
        <v>18500000</v>
      </c>
      <c r="O41" s="4">
        <v>5000000</v>
      </c>
      <c r="P41" s="6">
        <v>0.62963</v>
      </c>
      <c r="Q41" s="11">
        <v>0.95</v>
      </c>
      <c r="R41" s="2" t="s">
        <v>217</v>
      </c>
      <c r="S41" s="7">
        <f t="shared" si="0"/>
        <v>4750000</v>
      </c>
      <c r="T41" s="7">
        <f t="shared" si="1"/>
        <v>5000000</v>
      </c>
      <c r="U41" s="8">
        <f t="shared" si="2"/>
        <v>0.95</v>
      </c>
      <c r="V41" s="9" t="e">
        <f>IF(T41&lt;=0,"Output &lt;= 0",IF(U41&gt;#REF!,"Terlalu tinggi",IF(U41&lt;#REF!,"Terlalu rendah","Sesuai")))</f>
        <v>#REF!</v>
      </c>
      <c r="W41" s="7" t="e">
        <f>IF(T41&lt;=0,S41,IF(U41&gt;#REF!,ROUNDDOWN(T41*#REF!,0),IF(U41&lt;#REF!,ROUNDUP(T41*#REF!,0),S41)))</f>
        <v>#REF!</v>
      </c>
      <c r="X41" s="7" t="e">
        <f t="shared" si="3"/>
        <v>#REF!</v>
      </c>
      <c r="Y41" s="7" t="e">
        <f t="shared" si="4"/>
        <v>#REF!</v>
      </c>
      <c r="Z41" s="7" t="e">
        <f t="shared" si="5"/>
        <v>#REF!</v>
      </c>
      <c r="AA41" s="7" t="e">
        <f t="shared" si="6"/>
        <v>#REF!</v>
      </c>
      <c r="AB41" s="8" t="e">
        <f t="shared" si="7"/>
        <v>#REF!</v>
      </c>
      <c r="AC41" s="9" t="e">
        <f>IF(T41&lt;=0,"Output &lt;= 0, cek manual",IF(OR(Z41&lt;0,Y41&lt;0),"Biaya negatif",IF(AND(AB41&gt;=#REF!,AB41&lt;=#REF!),"OK","Di luar rentang")))</f>
        <v>#REF!</v>
      </c>
    </row>
    <row r="42" ht="71.25" spans="1:29">
      <c r="A42" s="2" t="s">
        <v>30</v>
      </c>
      <c r="B42" s="2" t="s">
        <v>31</v>
      </c>
      <c r="C42" s="3" t="s">
        <v>218</v>
      </c>
      <c r="D42" s="3" t="s">
        <v>219</v>
      </c>
      <c r="E42" s="3" t="s">
        <v>220</v>
      </c>
      <c r="F42" s="4">
        <v>0</v>
      </c>
      <c r="G42" s="4">
        <v>25790000</v>
      </c>
      <c r="H42" s="4">
        <v>2500000</v>
      </c>
      <c r="I42" s="4">
        <v>0</v>
      </c>
      <c r="J42" s="2" t="s">
        <v>221</v>
      </c>
      <c r="K42" s="4">
        <v>31980000</v>
      </c>
      <c r="L42" s="4">
        <v>0</v>
      </c>
      <c r="M42" s="4">
        <v>3690000</v>
      </c>
      <c r="N42" s="4">
        <v>2000000</v>
      </c>
      <c r="O42" s="4">
        <v>6190000</v>
      </c>
      <c r="P42" s="5">
        <v>0.806442</v>
      </c>
      <c r="Q42" s="5">
        <v>0.596123</v>
      </c>
      <c r="R42" s="2" t="s">
        <v>222</v>
      </c>
      <c r="S42" s="7">
        <f t="shared" si="0"/>
        <v>3690000</v>
      </c>
      <c r="T42" s="7">
        <f t="shared" si="1"/>
        <v>6190000</v>
      </c>
      <c r="U42" s="8">
        <f t="shared" si="2"/>
        <v>0.596122778675283</v>
      </c>
      <c r="V42" s="9" t="e">
        <f>IF(T42&lt;=0,"Output &lt;= 0",IF(U42&gt;#REF!,"Terlalu tinggi",IF(U42&lt;#REF!,"Terlalu rendah","Sesuai")))</f>
        <v>#REF!</v>
      </c>
      <c r="W42" s="7" t="e">
        <f>IF(T42&lt;=0,S42,IF(U42&gt;#REF!,ROUNDDOWN(T42*#REF!,0),IF(U42&lt;#REF!,ROUNDUP(T42*#REF!,0),S42)))</f>
        <v>#REF!</v>
      </c>
      <c r="X42" s="7" t="e">
        <f t="shared" si="3"/>
        <v>#REF!</v>
      </c>
      <c r="Y42" s="7" t="e">
        <f t="shared" si="4"/>
        <v>#REF!</v>
      </c>
      <c r="Z42" s="7" t="e">
        <f t="shared" si="5"/>
        <v>#REF!</v>
      </c>
      <c r="AA42" s="7" t="e">
        <f t="shared" si="6"/>
        <v>#REF!</v>
      </c>
      <c r="AB42" s="8" t="e">
        <f t="shared" si="7"/>
        <v>#REF!</v>
      </c>
      <c r="AC42" s="9" t="e">
        <f>IF(T42&lt;=0,"Output &lt;= 0, cek manual",IF(OR(Z42&lt;0,Y42&lt;0),"Biaya negatif",IF(AND(AB42&gt;=#REF!,AB42&lt;=#REF!),"OK","Di luar rentang")))</f>
        <v>#REF!</v>
      </c>
    </row>
    <row r="43" ht="99.75" spans="1:29">
      <c r="A43" s="2" t="s">
        <v>30</v>
      </c>
      <c r="B43" s="2" t="s">
        <v>31</v>
      </c>
      <c r="C43" s="3" t="s">
        <v>223</v>
      </c>
      <c r="D43" s="3" t="s">
        <v>224</v>
      </c>
      <c r="E43" s="3" t="s">
        <v>225</v>
      </c>
      <c r="F43" s="4">
        <v>0</v>
      </c>
      <c r="G43" s="4">
        <v>10000000</v>
      </c>
      <c r="H43" s="4">
        <v>1000000</v>
      </c>
      <c r="I43" s="4">
        <v>0</v>
      </c>
      <c r="J43" s="2" t="s">
        <v>208</v>
      </c>
      <c r="K43" s="4">
        <v>15000000</v>
      </c>
      <c r="L43" s="4">
        <v>0</v>
      </c>
      <c r="M43" s="4">
        <v>4000000</v>
      </c>
      <c r="N43" s="4">
        <v>3500000</v>
      </c>
      <c r="O43" s="4">
        <v>5000000</v>
      </c>
      <c r="P43" s="5">
        <v>0.666667</v>
      </c>
      <c r="Q43" s="12">
        <v>0.8</v>
      </c>
      <c r="R43" s="2" t="s">
        <v>226</v>
      </c>
      <c r="S43" s="7">
        <f t="shared" si="0"/>
        <v>4000000</v>
      </c>
      <c r="T43" s="7">
        <f t="shared" si="1"/>
        <v>5000000</v>
      </c>
      <c r="U43" s="8">
        <f t="shared" si="2"/>
        <v>0.8</v>
      </c>
      <c r="V43" s="9" t="e">
        <f>IF(T43&lt;=0,"Output &lt;= 0",IF(U43&gt;#REF!,"Terlalu tinggi",IF(U43&lt;#REF!,"Terlalu rendah","Sesuai")))</f>
        <v>#REF!</v>
      </c>
      <c r="W43" s="7" t="e">
        <f>IF(T43&lt;=0,S43,IF(U43&gt;#REF!,ROUNDDOWN(T43*#REF!,0),IF(U43&lt;#REF!,ROUNDUP(T43*#REF!,0),S43)))</f>
        <v>#REF!</v>
      </c>
      <c r="X43" s="7" t="e">
        <f t="shared" si="3"/>
        <v>#REF!</v>
      </c>
      <c r="Y43" s="7" t="e">
        <f t="shared" si="4"/>
        <v>#REF!</v>
      </c>
      <c r="Z43" s="7" t="e">
        <f t="shared" si="5"/>
        <v>#REF!</v>
      </c>
      <c r="AA43" s="7" t="e">
        <f t="shared" si="6"/>
        <v>#REF!</v>
      </c>
      <c r="AB43" s="8" t="e">
        <f t="shared" si="7"/>
        <v>#REF!</v>
      </c>
      <c r="AC43" s="9" t="e">
        <f>IF(T43&lt;=0,"Output &lt;= 0, cek manual",IF(OR(Z43&lt;0,Y43&lt;0),"Biaya negatif",IF(AND(AB43&gt;=#REF!,AB43&lt;=#REF!),"OK","Di luar rentang")))</f>
        <v>#REF!</v>
      </c>
    </row>
    <row r="44" ht="85.5" spans="1:29">
      <c r="A44" s="2" t="s">
        <v>30</v>
      </c>
      <c r="B44" s="2" t="s">
        <v>31</v>
      </c>
      <c r="C44" s="3" t="s">
        <v>227</v>
      </c>
      <c r="D44" s="3" t="s">
        <v>228</v>
      </c>
      <c r="E44" s="3" t="s">
        <v>229</v>
      </c>
      <c r="F44" s="4">
        <v>0</v>
      </c>
      <c r="G44" s="4">
        <v>60000000</v>
      </c>
      <c r="H44" s="4">
        <v>5000000</v>
      </c>
      <c r="I44" s="4">
        <v>0</v>
      </c>
      <c r="J44" s="2" t="s">
        <v>230</v>
      </c>
      <c r="K44" s="4">
        <v>113000000</v>
      </c>
      <c r="L44" s="4">
        <v>0</v>
      </c>
      <c r="M44" s="4">
        <v>48000000</v>
      </c>
      <c r="N44" s="4">
        <v>15000000</v>
      </c>
      <c r="O44" s="4">
        <v>53000000</v>
      </c>
      <c r="P44" s="5">
        <v>0.530973</v>
      </c>
      <c r="Q44" s="6">
        <v>0.90566</v>
      </c>
      <c r="R44" s="2" t="s">
        <v>231</v>
      </c>
      <c r="S44" s="7">
        <f t="shared" si="0"/>
        <v>48000000</v>
      </c>
      <c r="T44" s="7">
        <f t="shared" si="1"/>
        <v>53000000</v>
      </c>
      <c r="U44" s="8">
        <f t="shared" si="2"/>
        <v>0.905660377358491</v>
      </c>
      <c r="V44" s="9" t="e">
        <f>IF(T44&lt;=0,"Output &lt;= 0",IF(U44&gt;#REF!,"Terlalu tinggi",IF(U44&lt;#REF!,"Terlalu rendah","Sesuai")))</f>
        <v>#REF!</v>
      </c>
      <c r="W44" s="7" t="e">
        <f>IF(T44&lt;=0,S44,IF(U44&gt;#REF!,ROUNDDOWN(T44*#REF!,0),IF(U44&lt;#REF!,ROUNDUP(T44*#REF!,0),S44)))</f>
        <v>#REF!</v>
      </c>
      <c r="X44" s="7" t="e">
        <f t="shared" si="3"/>
        <v>#REF!</v>
      </c>
      <c r="Y44" s="7" t="e">
        <f t="shared" si="4"/>
        <v>#REF!</v>
      </c>
      <c r="Z44" s="7" t="e">
        <f t="shared" si="5"/>
        <v>#REF!</v>
      </c>
      <c r="AA44" s="7" t="e">
        <f t="shared" si="6"/>
        <v>#REF!</v>
      </c>
      <c r="AB44" s="8" t="e">
        <f t="shared" si="7"/>
        <v>#REF!</v>
      </c>
      <c r="AC44" s="9" t="e">
        <f>IF(T44&lt;=0,"Output &lt;= 0, cek manual",IF(OR(Z44&lt;0,Y44&lt;0),"Biaya negatif",IF(AND(AB44&gt;=#REF!,AB44&lt;=#REF!),"OK","Di luar rentang")))</f>
        <v>#REF!</v>
      </c>
    </row>
    <row r="45" ht="71.25" spans="1:29">
      <c r="A45" s="2" t="s">
        <v>30</v>
      </c>
      <c r="B45" s="2" t="s">
        <v>31</v>
      </c>
      <c r="C45" s="3" t="s">
        <v>232</v>
      </c>
      <c r="D45" s="3" t="s">
        <v>38</v>
      </c>
      <c r="E45" s="3" t="s">
        <v>39</v>
      </c>
      <c r="F45" s="4">
        <v>300000</v>
      </c>
      <c r="G45" s="4">
        <v>60000000</v>
      </c>
      <c r="H45" s="4">
        <v>1500000</v>
      </c>
      <c r="I45" s="4">
        <v>0</v>
      </c>
      <c r="J45" s="2" t="s">
        <v>233</v>
      </c>
      <c r="K45" s="4">
        <v>75000000</v>
      </c>
      <c r="L45" s="4">
        <v>0</v>
      </c>
      <c r="M45" s="4">
        <v>13200000</v>
      </c>
      <c r="N45" s="4">
        <v>48500000</v>
      </c>
      <c r="O45" s="4">
        <v>15000000</v>
      </c>
      <c r="P45" s="12">
        <v>0.8</v>
      </c>
      <c r="Q45" s="11">
        <v>0.88</v>
      </c>
      <c r="R45" s="2" t="s">
        <v>234</v>
      </c>
      <c r="S45" s="7">
        <f t="shared" si="0"/>
        <v>13200000</v>
      </c>
      <c r="T45" s="7">
        <f t="shared" si="1"/>
        <v>15000000</v>
      </c>
      <c r="U45" s="8">
        <f t="shared" si="2"/>
        <v>0.88</v>
      </c>
      <c r="V45" s="9" t="e">
        <f>IF(T45&lt;=0,"Output &lt;= 0",IF(U45&gt;#REF!,"Terlalu tinggi",IF(U45&lt;#REF!,"Terlalu rendah","Sesuai")))</f>
        <v>#REF!</v>
      </c>
      <c r="W45" s="7" t="e">
        <f>IF(T45&lt;=0,S45,IF(U45&gt;#REF!,ROUNDDOWN(T45*#REF!,0),IF(U45&lt;#REF!,ROUNDUP(T45*#REF!,0),S45)))</f>
        <v>#REF!</v>
      </c>
      <c r="X45" s="7" t="e">
        <f t="shared" si="3"/>
        <v>#REF!</v>
      </c>
      <c r="Y45" s="7" t="e">
        <f t="shared" si="4"/>
        <v>#REF!</v>
      </c>
      <c r="Z45" s="7" t="e">
        <f t="shared" si="5"/>
        <v>#REF!</v>
      </c>
      <c r="AA45" s="7" t="e">
        <f t="shared" si="6"/>
        <v>#REF!</v>
      </c>
      <c r="AB45" s="8" t="e">
        <f t="shared" si="7"/>
        <v>#REF!</v>
      </c>
      <c r="AC45" s="9" t="e">
        <f>IF(T45&lt;=0,"Output &lt;= 0, cek manual",IF(OR(Z45&lt;0,Y45&lt;0),"Biaya negatif",IF(AND(AB45&gt;=#REF!,AB45&lt;=#REF!),"OK","Di luar rentang")))</f>
        <v>#REF!</v>
      </c>
    </row>
    <row r="46" ht="71.25" spans="1:29">
      <c r="A46" s="2" t="s">
        <v>30</v>
      </c>
      <c r="B46" s="2" t="s">
        <v>235</v>
      </c>
      <c r="C46" s="3" t="s">
        <v>149</v>
      </c>
      <c r="D46" s="3" t="s">
        <v>236</v>
      </c>
      <c r="E46" s="3" t="s">
        <v>237</v>
      </c>
      <c r="F46" s="4">
        <v>300000</v>
      </c>
      <c r="G46" s="4">
        <v>15000000</v>
      </c>
      <c r="H46" s="4">
        <v>200000</v>
      </c>
      <c r="I46" s="4">
        <v>0</v>
      </c>
      <c r="J46" s="2" t="s">
        <v>238</v>
      </c>
      <c r="K46" s="4">
        <v>25000000</v>
      </c>
      <c r="L46" s="4">
        <v>0</v>
      </c>
      <c r="M46" s="4">
        <v>9500000</v>
      </c>
      <c r="N46" s="4">
        <v>1100000</v>
      </c>
      <c r="O46" s="4">
        <v>10000000</v>
      </c>
      <c r="P46" s="12">
        <v>0.6</v>
      </c>
      <c r="Q46" s="11">
        <v>0.95</v>
      </c>
      <c r="R46" s="2" t="s">
        <v>239</v>
      </c>
      <c r="S46" s="7">
        <f t="shared" si="0"/>
        <v>9500000</v>
      </c>
      <c r="T46" s="7">
        <f t="shared" si="1"/>
        <v>10000000</v>
      </c>
      <c r="U46" s="8">
        <f t="shared" si="2"/>
        <v>0.95</v>
      </c>
      <c r="V46" s="9" t="e">
        <f>IF(T46&lt;=0,"Output &lt;= 0",IF(U46&gt;#REF!,"Terlalu tinggi",IF(U46&lt;#REF!,"Terlalu rendah","Sesuai")))</f>
        <v>#REF!</v>
      </c>
      <c r="W46" s="7" t="e">
        <f>IF(T46&lt;=0,S46,IF(U46&gt;#REF!,ROUNDDOWN(T46*#REF!,0),IF(U46&lt;#REF!,ROUNDUP(T46*#REF!,0),S46)))</f>
        <v>#REF!</v>
      </c>
      <c r="X46" s="7" t="e">
        <f t="shared" si="3"/>
        <v>#REF!</v>
      </c>
      <c r="Y46" s="7" t="e">
        <f t="shared" si="4"/>
        <v>#REF!</v>
      </c>
      <c r="Z46" s="7" t="e">
        <f t="shared" si="5"/>
        <v>#REF!</v>
      </c>
      <c r="AA46" s="7" t="e">
        <f t="shared" si="6"/>
        <v>#REF!</v>
      </c>
      <c r="AB46" s="8" t="e">
        <f t="shared" si="7"/>
        <v>#REF!</v>
      </c>
      <c r="AC46" s="9" t="e">
        <f>IF(T46&lt;=0,"Output &lt;= 0, cek manual",IF(OR(Z46&lt;0,Y46&lt;0),"Biaya negatif",IF(AND(AB46&gt;=#REF!,AB46&lt;=#REF!),"OK","Di luar rentang")))</f>
        <v>#REF!</v>
      </c>
    </row>
    <row r="47" ht="42.75" spans="1:29">
      <c r="A47" s="2" t="s">
        <v>30</v>
      </c>
      <c r="B47" s="2" t="s">
        <v>235</v>
      </c>
      <c r="C47" s="3" t="s">
        <v>240</v>
      </c>
      <c r="D47" s="3" t="s">
        <v>241</v>
      </c>
      <c r="E47" s="3" t="s">
        <v>242</v>
      </c>
      <c r="F47" s="4">
        <v>275000</v>
      </c>
      <c r="G47" s="4">
        <v>3000000</v>
      </c>
      <c r="H47" s="4">
        <v>250000</v>
      </c>
      <c r="I47" s="4">
        <v>100000</v>
      </c>
      <c r="J47" s="2" t="s">
        <v>243</v>
      </c>
      <c r="K47" s="4">
        <v>10750000</v>
      </c>
      <c r="L47" s="4">
        <v>0</v>
      </c>
      <c r="M47" s="4">
        <v>7225000</v>
      </c>
      <c r="N47" s="4">
        <v>0</v>
      </c>
      <c r="O47" s="4">
        <v>7750000</v>
      </c>
      <c r="P47" s="6">
        <v>0.27907</v>
      </c>
      <c r="Q47" s="5">
        <v>0.932258</v>
      </c>
      <c r="R47" s="2" t="s">
        <v>244</v>
      </c>
      <c r="S47" s="7">
        <f t="shared" si="0"/>
        <v>7225000</v>
      </c>
      <c r="T47" s="7">
        <f t="shared" si="1"/>
        <v>7750000</v>
      </c>
      <c r="U47" s="8">
        <f t="shared" si="2"/>
        <v>0.932258064516129</v>
      </c>
      <c r="V47" s="9" t="e">
        <f>IF(T47&lt;=0,"Output &lt;= 0",IF(U47&gt;#REF!,"Terlalu tinggi",IF(U47&lt;#REF!,"Terlalu rendah","Sesuai")))</f>
        <v>#REF!</v>
      </c>
      <c r="W47" s="7" t="e">
        <f>IF(T47&lt;=0,S47,IF(U47&gt;#REF!,ROUNDDOWN(T47*#REF!,0),IF(U47&lt;#REF!,ROUNDUP(T47*#REF!,0),S47)))</f>
        <v>#REF!</v>
      </c>
      <c r="X47" s="7" t="e">
        <f t="shared" si="3"/>
        <v>#REF!</v>
      </c>
      <c r="Y47" s="7" t="e">
        <f t="shared" si="4"/>
        <v>#REF!</v>
      </c>
      <c r="Z47" s="7" t="e">
        <f t="shared" si="5"/>
        <v>#REF!</v>
      </c>
      <c r="AA47" s="7" t="e">
        <f t="shared" si="6"/>
        <v>#REF!</v>
      </c>
      <c r="AB47" s="8" t="e">
        <f t="shared" si="7"/>
        <v>#REF!</v>
      </c>
      <c r="AC47" s="9" t="e">
        <f>IF(T47&lt;=0,"Output &lt;= 0, cek manual",IF(OR(Z47&lt;0,Y47&lt;0),"Biaya negatif",IF(AND(AB47&gt;=#REF!,AB47&lt;=#REF!),"OK","Di luar rentang")))</f>
        <v>#REF!</v>
      </c>
    </row>
    <row r="48" ht="99.75" spans="1:29">
      <c r="A48" s="2" t="s">
        <v>30</v>
      </c>
      <c r="B48" s="2" t="s">
        <v>245</v>
      </c>
      <c r="C48" s="3" t="s">
        <v>246</v>
      </c>
      <c r="D48" s="3" t="s">
        <v>247</v>
      </c>
      <c r="E48" s="3" t="s">
        <v>248</v>
      </c>
      <c r="F48" s="4">
        <v>100000</v>
      </c>
      <c r="G48" s="4">
        <v>14400000</v>
      </c>
      <c r="H48" s="4">
        <v>2000000</v>
      </c>
      <c r="I48" s="4">
        <v>0</v>
      </c>
      <c r="J48" s="2" t="s">
        <v>249</v>
      </c>
      <c r="K48" s="4">
        <v>28000000</v>
      </c>
      <c r="L48" s="4">
        <v>0</v>
      </c>
      <c r="M48" s="4">
        <v>11500000</v>
      </c>
      <c r="N48" s="4">
        <v>400000</v>
      </c>
      <c r="O48" s="4">
        <v>13600000</v>
      </c>
      <c r="P48" s="5">
        <v>0.514286</v>
      </c>
      <c r="Q48" s="5">
        <v>0.845588</v>
      </c>
      <c r="R48" s="2" t="s">
        <v>250</v>
      </c>
      <c r="S48" s="7">
        <f t="shared" si="0"/>
        <v>11500000</v>
      </c>
      <c r="T48" s="7">
        <f t="shared" si="1"/>
        <v>13600000</v>
      </c>
      <c r="U48" s="8">
        <f t="shared" si="2"/>
        <v>0.845588235294118</v>
      </c>
      <c r="V48" s="9" t="e">
        <f>IF(T48&lt;=0,"Output &lt;= 0",IF(U48&gt;#REF!,"Terlalu tinggi",IF(U48&lt;#REF!,"Terlalu rendah","Sesuai")))</f>
        <v>#REF!</v>
      </c>
      <c r="W48" s="7" t="e">
        <f>IF(T48&lt;=0,S48,IF(U48&gt;#REF!,ROUNDDOWN(T48*#REF!,0),IF(U48&lt;#REF!,ROUNDUP(T48*#REF!,0),S48)))</f>
        <v>#REF!</v>
      </c>
      <c r="X48" s="7" t="e">
        <f t="shared" si="3"/>
        <v>#REF!</v>
      </c>
      <c r="Y48" s="7" t="e">
        <f t="shared" si="4"/>
        <v>#REF!</v>
      </c>
      <c r="Z48" s="7" t="e">
        <f t="shared" si="5"/>
        <v>#REF!</v>
      </c>
      <c r="AA48" s="7" t="e">
        <f t="shared" si="6"/>
        <v>#REF!</v>
      </c>
      <c r="AB48" s="8" t="e">
        <f t="shared" si="7"/>
        <v>#REF!</v>
      </c>
      <c r="AC48" s="9" t="e">
        <f>IF(T48&lt;=0,"Output &lt;= 0, cek manual",IF(OR(Z48&lt;0,Y48&lt;0),"Biaya negatif",IF(AND(AB48&gt;=#REF!,AB48&lt;=#REF!),"OK","Di luar rentang")))</f>
        <v>#REF!</v>
      </c>
    </row>
    <row r="49" ht="99.75" spans="1:29">
      <c r="A49" s="2" t="s">
        <v>30</v>
      </c>
      <c r="B49" s="2" t="s">
        <v>245</v>
      </c>
      <c r="C49" s="3" t="s">
        <v>251</v>
      </c>
      <c r="D49" s="3" t="s">
        <v>252</v>
      </c>
      <c r="E49" s="3" t="s">
        <v>253</v>
      </c>
      <c r="F49" s="4">
        <v>0</v>
      </c>
      <c r="G49" s="4">
        <v>5000000</v>
      </c>
      <c r="H49" s="4">
        <v>1000000</v>
      </c>
      <c r="I49" s="4">
        <v>0</v>
      </c>
      <c r="J49" s="2" t="s">
        <v>186</v>
      </c>
      <c r="K49" s="4">
        <v>10200000</v>
      </c>
      <c r="L49" s="4">
        <v>0</v>
      </c>
      <c r="M49" s="4">
        <v>4200000</v>
      </c>
      <c r="N49" s="4">
        <v>200000</v>
      </c>
      <c r="O49" s="4">
        <v>5200000</v>
      </c>
      <c r="P49" s="5">
        <v>0.490196</v>
      </c>
      <c r="Q49" s="5">
        <v>0.807692</v>
      </c>
      <c r="R49" s="2" t="s">
        <v>254</v>
      </c>
      <c r="S49" s="7">
        <f t="shared" si="0"/>
        <v>4200000</v>
      </c>
      <c r="T49" s="7">
        <f t="shared" si="1"/>
        <v>5200000</v>
      </c>
      <c r="U49" s="8">
        <f t="shared" si="2"/>
        <v>0.807692307692308</v>
      </c>
      <c r="V49" s="9" t="e">
        <f>IF(T49&lt;=0,"Output &lt;= 0",IF(U49&gt;#REF!,"Terlalu tinggi",IF(U49&lt;#REF!,"Terlalu rendah","Sesuai")))</f>
        <v>#REF!</v>
      </c>
      <c r="W49" s="7" t="e">
        <f>IF(T49&lt;=0,S49,IF(U49&gt;#REF!,ROUNDDOWN(T49*#REF!,0),IF(U49&lt;#REF!,ROUNDUP(T49*#REF!,0),S49)))</f>
        <v>#REF!</v>
      </c>
      <c r="X49" s="7" t="e">
        <f t="shared" si="3"/>
        <v>#REF!</v>
      </c>
      <c r="Y49" s="7" t="e">
        <f t="shared" si="4"/>
        <v>#REF!</v>
      </c>
      <c r="Z49" s="7" t="e">
        <f t="shared" si="5"/>
        <v>#REF!</v>
      </c>
      <c r="AA49" s="7" t="e">
        <f t="shared" si="6"/>
        <v>#REF!</v>
      </c>
      <c r="AB49" s="8" t="e">
        <f t="shared" si="7"/>
        <v>#REF!</v>
      </c>
      <c r="AC49" s="9" t="e">
        <f>IF(T49&lt;=0,"Output &lt;= 0, cek manual",IF(OR(Z49&lt;0,Y49&lt;0),"Biaya negatif",IF(AND(AB49&gt;=#REF!,AB49&lt;=#REF!),"OK","Di luar rentang")))</f>
        <v>#REF!</v>
      </c>
    </row>
    <row r="50" ht="114" spans="1:29">
      <c r="A50" s="2" t="s">
        <v>30</v>
      </c>
      <c r="B50" s="2" t="s">
        <v>245</v>
      </c>
      <c r="C50" s="3" t="s">
        <v>255</v>
      </c>
      <c r="D50" s="3" t="s">
        <v>252</v>
      </c>
      <c r="E50" s="3" t="s">
        <v>253</v>
      </c>
      <c r="F50" s="4">
        <v>0</v>
      </c>
      <c r="G50" s="4">
        <v>1200000</v>
      </c>
      <c r="H50" s="4">
        <v>120000</v>
      </c>
      <c r="I50" s="4">
        <v>0</v>
      </c>
      <c r="J50" s="2" t="s">
        <v>256</v>
      </c>
      <c r="K50" s="4">
        <v>2760000</v>
      </c>
      <c r="L50" s="4">
        <v>0</v>
      </c>
      <c r="M50" s="4">
        <v>1440000</v>
      </c>
      <c r="N50" s="4">
        <v>0</v>
      </c>
      <c r="O50" s="4">
        <v>1560000</v>
      </c>
      <c r="P50" s="5">
        <v>0.434783</v>
      </c>
      <c r="Q50" s="5">
        <v>0.923077</v>
      </c>
      <c r="R50" s="2" t="s">
        <v>257</v>
      </c>
      <c r="S50" s="7">
        <f t="shared" si="0"/>
        <v>1440000</v>
      </c>
      <c r="T50" s="7">
        <f t="shared" si="1"/>
        <v>1560000</v>
      </c>
      <c r="U50" s="8">
        <f t="shared" si="2"/>
        <v>0.923076923076923</v>
      </c>
      <c r="V50" s="9" t="e">
        <f>IF(T50&lt;=0,"Output &lt;= 0",IF(U50&gt;#REF!,"Terlalu tinggi",IF(U50&lt;#REF!,"Terlalu rendah","Sesuai")))</f>
        <v>#REF!</v>
      </c>
      <c r="W50" s="7" t="e">
        <f>IF(T50&lt;=0,S50,IF(U50&gt;#REF!,ROUNDDOWN(T50*#REF!,0),IF(U50&lt;#REF!,ROUNDUP(T50*#REF!,0),S50)))</f>
        <v>#REF!</v>
      </c>
      <c r="X50" s="7" t="e">
        <f t="shared" si="3"/>
        <v>#REF!</v>
      </c>
      <c r="Y50" s="7" t="e">
        <f t="shared" si="4"/>
        <v>#REF!</v>
      </c>
      <c r="Z50" s="7" t="e">
        <f t="shared" si="5"/>
        <v>#REF!</v>
      </c>
      <c r="AA50" s="7" t="e">
        <f t="shared" si="6"/>
        <v>#REF!</v>
      </c>
      <c r="AB50" s="8" t="e">
        <f t="shared" si="7"/>
        <v>#REF!</v>
      </c>
      <c r="AC50" s="9" t="e">
        <f>IF(T50&lt;=0,"Output &lt;= 0, cek manual",IF(OR(Z50&lt;0,Y50&lt;0),"Biaya negatif",IF(AND(AB50&gt;=#REF!,AB50&lt;=#REF!),"OK","Di luar rentang")))</f>
        <v>#REF!</v>
      </c>
    </row>
    <row r="51" ht="71.25" spans="1:29">
      <c r="A51" s="2" t="s">
        <v>30</v>
      </c>
      <c r="B51" s="2" t="s">
        <v>245</v>
      </c>
      <c r="C51" s="3" t="s">
        <v>258</v>
      </c>
      <c r="D51" s="3" t="s">
        <v>259</v>
      </c>
      <c r="E51" s="3" t="s">
        <v>260</v>
      </c>
      <c r="F51" s="4">
        <v>0</v>
      </c>
      <c r="G51" s="4">
        <v>0</v>
      </c>
      <c r="H51" s="4">
        <v>100000</v>
      </c>
      <c r="I51" s="4">
        <v>0</v>
      </c>
      <c r="J51" s="2" t="s">
        <v>261</v>
      </c>
      <c r="K51" s="4">
        <v>7200000</v>
      </c>
      <c r="L51" s="4">
        <v>0</v>
      </c>
      <c r="M51" s="4">
        <v>7100000</v>
      </c>
      <c r="N51" s="4">
        <v>0</v>
      </c>
      <c r="O51" s="4">
        <v>7200000</v>
      </c>
      <c r="P51" s="4">
        <v>0</v>
      </c>
      <c r="Q51" s="5">
        <v>0.986111</v>
      </c>
      <c r="R51" s="2" t="s">
        <v>262</v>
      </c>
      <c r="S51" s="7">
        <f t="shared" si="0"/>
        <v>7100000</v>
      </c>
      <c r="T51" s="7">
        <f t="shared" si="1"/>
        <v>7200000</v>
      </c>
      <c r="U51" s="8">
        <f t="shared" si="2"/>
        <v>0.986111111111111</v>
      </c>
      <c r="V51" s="9" t="e">
        <f>IF(T51&lt;=0,"Output &lt;= 0",IF(U51&gt;#REF!,"Terlalu tinggi",IF(U51&lt;#REF!,"Terlalu rendah","Sesuai")))</f>
        <v>#REF!</v>
      </c>
      <c r="W51" s="7" t="e">
        <f>IF(T51&lt;=0,S51,IF(U51&gt;#REF!,ROUNDDOWN(T51*#REF!,0),IF(U51&lt;#REF!,ROUNDUP(T51*#REF!,0),S51)))</f>
        <v>#REF!</v>
      </c>
      <c r="X51" s="7" t="e">
        <f t="shared" si="3"/>
        <v>#REF!</v>
      </c>
      <c r="Y51" s="7" t="e">
        <f t="shared" si="4"/>
        <v>#REF!</v>
      </c>
      <c r="Z51" s="7" t="e">
        <f t="shared" si="5"/>
        <v>#REF!</v>
      </c>
      <c r="AA51" s="7" t="e">
        <f t="shared" si="6"/>
        <v>#REF!</v>
      </c>
      <c r="AB51" s="8" t="e">
        <f t="shared" si="7"/>
        <v>#REF!</v>
      </c>
      <c r="AC51" s="9" t="e">
        <f>IF(T51&lt;=0,"Output &lt;= 0, cek manual",IF(OR(Z51&lt;0,Y51&lt;0),"Biaya negatif",IF(AND(AB51&gt;=#REF!,AB51&lt;=#REF!),"OK","Di luar rentang")))</f>
        <v>#REF!</v>
      </c>
    </row>
    <row r="52" ht="71.25" spans="1:29">
      <c r="A52" s="2" t="s">
        <v>30</v>
      </c>
      <c r="B52" s="2" t="s">
        <v>245</v>
      </c>
      <c r="C52" s="3" t="s">
        <v>263</v>
      </c>
      <c r="D52" s="3" t="s">
        <v>264</v>
      </c>
      <c r="E52" s="3" t="s">
        <v>265</v>
      </c>
      <c r="F52" s="4">
        <v>0</v>
      </c>
      <c r="G52" s="4">
        <v>0</v>
      </c>
      <c r="H52" s="4">
        <v>50000</v>
      </c>
      <c r="I52" s="4">
        <v>50000</v>
      </c>
      <c r="J52" s="2" t="s">
        <v>266</v>
      </c>
      <c r="K52" s="4">
        <v>1000000</v>
      </c>
      <c r="L52" s="4">
        <v>0</v>
      </c>
      <c r="M52" s="4">
        <v>950000</v>
      </c>
      <c r="N52" s="4">
        <v>10000000</v>
      </c>
      <c r="O52" s="4">
        <v>1000000</v>
      </c>
      <c r="P52" s="4">
        <v>0</v>
      </c>
      <c r="Q52" s="11">
        <v>0.95</v>
      </c>
      <c r="R52" s="2" t="s">
        <v>267</v>
      </c>
      <c r="S52" s="7">
        <f t="shared" si="0"/>
        <v>950000</v>
      </c>
      <c r="T52" s="7">
        <f t="shared" si="1"/>
        <v>1000000</v>
      </c>
      <c r="U52" s="8">
        <f t="shared" si="2"/>
        <v>0.95</v>
      </c>
      <c r="V52" s="9" t="e">
        <f>IF(T52&lt;=0,"Output &lt;= 0",IF(U52&gt;#REF!,"Terlalu tinggi",IF(U52&lt;#REF!,"Terlalu rendah","Sesuai")))</f>
        <v>#REF!</v>
      </c>
      <c r="W52" s="7" t="e">
        <f>IF(T52&lt;=0,S52,IF(U52&gt;#REF!,ROUNDDOWN(T52*#REF!,0),IF(U52&lt;#REF!,ROUNDUP(T52*#REF!,0),S52)))</f>
        <v>#REF!</v>
      </c>
      <c r="X52" s="7" t="e">
        <f t="shared" si="3"/>
        <v>#REF!</v>
      </c>
      <c r="Y52" s="7" t="e">
        <f t="shared" si="4"/>
        <v>#REF!</v>
      </c>
      <c r="Z52" s="7" t="e">
        <f t="shared" si="5"/>
        <v>#REF!</v>
      </c>
      <c r="AA52" s="7" t="e">
        <f t="shared" si="6"/>
        <v>#REF!</v>
      </c>
      <c r="AB52" s="8" t="e">
        <f t="shared" si="7"/>
        <v>#REF!</v>
      </c>
      <c r="AC52" s="9" t="e">
        <f>IF(T52&lt;=0,"Output &lt;= 0, cek manual",IF(OR(Z52&lt;0,Y52&lt;0),"Biaya negatif",IF(AND(AB52&gt;=#REF!,AB52&lt;=#REF!),"OK","Di luar rentang")))</f>
        <v>#REF!</v>
      </c>
    </row>
    <row r="53" ht="114" spans="1:29">
      <c r="A53" s="2" t="s">
        <v>30</v>
      </c>
      <c r="B53" s="2" t="s">
        <v>245</v>
      </c>
      <c r="C53" s="3" t="s">
        <v>268</v>
      </c>
      <c r="D53" s="3" t="s">
        <v>269</v>
      </c>
      <c r="E53" s="3" t="s">
        <v>270</v>
      </c>
      <c r="F53" s="4">
        <v>2000000</v>
      </c>
      <c r="G53" s="4">
        <v>5000000</v>
      </c>
      <c r="H53" s="4">
        <v>1000000</v>
      </c>
      <c r="I53" s="4">
        <v>0</v>
      </c>
      <c r="J53" s="2" t="s">
        <v>261</v>
      </c>
      <c r="K53" s="4">
        <v>10000000</v>
      </c>
      <c r="L53" s="4">
        <v>0</v>
      </c>
      <c r="M53" s="4">
        <v>2000000</v>
      </c>
      <c r="N53" s="4">
        <v>200000</v>
      </c>
      <c r="O53" s="4">
        <v>5000000</v>
      </c>
      <c r="P53" s="12">
        <v>0.5</v>
      </c>
      <c r="Q53" s="12">
        <v>0.4</v>
      </c>
      <c r="R53" s="2" t="s">
        <v>271</v>
      </c>
      <c r="S53" s="7">
        <f t="shared" si="0"/>
        <v>2000000</v>
      </c>
      <c r="T53" s="7">
        <f t="shared" si="1"/>
        <v>5000000</v>
      </c>
      <c r="U53" s="8">
        <f t="shared" si="2"/>
        <v>0.4</v>
      </c>
      <c r="V53" s="9" t="e">
        <f>IF(T53&lt;=0,"Output &lt;= 0",IF(U53&gt;#REF!,"Terlalu tinggi",IF(U53&lt;#REF!,"Terlalu rendah","Sesuai")))</f>
        <v>#REF!</v>
      </c>
      <c r="W53" s="7" t="e">
        <f>IF(T53&lt;=0,S53,IF(U53&gt;#REF!,ROUNDDOWN(T53*#REF!,0),IF(U53&lt;#REF!,ROUNDUP(T53*#REF!,0),S53)))</f>
        <v>#REF!</v>
      </c>
      <c r="X53" s="7" t="e">
        <f t="shared" si="3"/>
        <v>#REF!</v>
      </c>
      <c r="Y53" s="7" t="e">
        <f t="shared" si="4"/>
        <v>#REF!</v>
      </c>
      <c r="Z53" s="7" t="e">
        <f t="shared" si="5"/>
        <v>#REF!</v>
      </c>
      <c r="AA53" s="7" t="e">
        <f t="shared" si="6"/>
        <v>#REF!</v>
      </c>
      <c r="AB53" s="8" t="e">
        <f t="shared" si="7"/>
        <v>#REF!</v>
      </c>
      <c r="AC53" s="9" t="e">
        <f>IF(T53&lt;=0,"Output &lt;= 0, cek manual",IF(OR(Z53&lt;0,Y53&lt;0),"Biaya negatif",IF(AND(AB53&gt;=#REF!,AB53&lt;=#REF!),"OK","Di luar rentang")))</f>
        <v>#REF!</v>
      </c>
    </row>
    <row r="54" ht="71.25" spans="1:29">
      <c r="A54" s="2" t="s">
        <v>30</v>
      </c>
      <c r="B54" s="2" t="s">
        <v>272</v>
      </c>
      <c r="C54" s="3" t="s">
        <v>273</v>
      </c>
      <c r="D54" s="3" t="s">
        <v>274</v>
      </c>
      <c r="E54" s="3" t="s">
        <v>275</v>
      </c>
      <c r="F54" s="4">
        <v>0</v>
      </c>
      <c r="G54" s="4">
        <v>7200000</v>
      </c>
      <c r="H54" s="4">
        <v>500000</v>
      </c>
      <c r="I54" s="4">
        <v>300000</v>
      </c>
      <c r="J54" s="2" t="s">
        <v>276</v>
      </c>
      <c r="K54" s="4">
        <v>15000000</v>
      </c>
      <c r="L54" s="4">
        <v>0</v>
      </c>
      <c r="M54" s="4">
        <v>7300000</v>
      </c>
      <c r="N54" s="4">
        <v>1300000</v>
      </c>
      <c r="O54" s="4">
        <v>7800000</v>
      </c>
      <c r="P54" s="11">
        <v>0.48</v>
      </c>
      <c r="Q54" s="5">
        <v>0.935897</v>
      </c>
      <c r="R54" s="2" t="s">
        <v>277</v>
      </c>
      <c r="S54" s="7">
        <f t="shared" si="0"/>
        <v>7300000</v>
      </c>
      <c r="T54" s="7">
        <f t="shared" si="1"/>
        <v>7800000</v>
      </c>
      <c r="U54" s="8">
        <f t="shared" si="2"/>
        <v>0.935897435897436</v>
      </c>
      <c r="V54" s="9" t="e">
        <f>IF(T54&lt;=0,"Output &lt;= 0",IF(U54&gt;#REF!,"Terlalu tinggi",IF(U54&lt;#REF!,"Terlalu rendah","Sesuai")))</f>
        <v>#REF!</v>
      </c>
      <c r="W54" s="7" t="e">
        <f>IF(T54&lt;=0,S54,IF(U54&gt;#REF!,ROUNDDOWN(T54*#REF!,0),IF(U54&lt;#REF!,ROUNDUP(T54*#REF!,0),S54)))</f>
        <v>#REF!</v>
      </c>
      <c r="X54" s="7" t="e">
        <f t="shared" si="3"/>
        <v>#REF!</v>
      </c>
      <c r="Y54" s="7" t="e">
        <f t="shared" si="4"/>
        <v>#REF!</v>
      </c>
      <c r="Z54" s="7" t="e">
        <f t="shared" si="5"/>
        <v>#REF!</v>
      </c>
      <c r="AA54" s="7" t="e">
        <f t="shared" si="6"/>
        <v>#REF!</v>
      </c>
      <c r="AB54" s="8" t="e">
        <f t="shared" si="7"/>
        <v>#REF!</v>
      </c>
      <c r="AC54" s="9" t="e">
        <f>IF(T54&lt;=0,"Output &lt;= 0, cek manual",IF(OR(Z54&lt;0,Y54&lt;0),"Biaya negatif",IF(AND(AB54&gt;=#REF!,AB54&lt;=#REF!),"OK","Di luar rentang")))</f>
        <v>#REF!</v>
      </c>
    </row>
    <row r="55" ht="57" spans="1:29">
      <c r="A55" s="2" t="s">
        <v>30</v>
      </c>
      <c r="B55" s="2" t="s">
        <v>272</v>
      </c>
      <c r="C55" s="3" t="s">
        <v>278</v>
      </c>
      <c r="D55" s="3" t="s">
        <v>279</v>
      </c>
      <c r="E55" s="3" t="s">
        <v>280</v>
      </c>
      <c r="F55" s="4">
        <v>0</v>
      </c>
      <c r="G55" s="4">
        <v>1000000</v>
      </c>
      <c r="H55" s="4">
        <v>2000000</v>
      </c>
      <c r="I55" s="4">
        <v>0</v>
      </c>
      <c r="J55" s="2" t="s">
        <v>281</v>
      </c>
      <c r="K55" s="4">
        <v>5000000</v>
      </c>
      <c r="L55" s="4">
        <v>0</v>
      </c>
      <c r="M55" s="4">
        <v>2000000</v>
      </c>
      <c r="N55" s="4">
        <v>500000</v>
      </c>
      <c r="O55" s="4">
        <v>4000000</v>
      </c>
      <c r="P55" s="12">
        <v>0.2</v>
      </c>
      <c r="Q55" s="12">
        <v>0.5</v>
      </c>
      <c r="R55" s="2" t="s">
        <v>282</v>
      </c>
      <c r="S55" s="7">
        <f t="shared" si="0"/>
        <v>2000000</v>
      </c>
      <c r="T55" s="7">
        <f t="shared" si="1"/>
        <v>4000000</v>
      </c>
      <c r="U55" s="8">
        <f t="shared" si="2"/>
        <v>0.5</v>
      </c>
      <c r="V55" s="9" t="e">
        <f>IF(T55&lt;=0,"Output &lt;= 0",IF(U55&gt;#REF!,"Terlalu tinggi",IF(U55&lt;#REF!,"Terlalu rendah","Sesuai")))</f>
        <v>#REF!</v>
      </c>
      <c r="W55" s="7" t="e">
        <f>IF(T55&lt;=0,S55,IF(U55&gt;#REF!,ROUNDDOWN(T55*#REF!,0),IF(U55&lt;#REF!,ROUNDUP(T55*#REF!,0),S55)))</f>
        <v>#REF!</v>
      </c>
      <c r="X55" s="7" t="e">
        <f t="shared" si="3"/>
        <v>#REF!</v>
      </c>
      <c r="Y55" s="7" t="e">
        <f t="shared" si="4"/>
        <v>#REF!</v>
      </c>
      <c r="Z55" s="7" t="e">
        <f t="shared" si="5"/>
        <v>#REF!</v>
      </c>
      <c r="AA55" s="7" t="e">
        <f t="shared" si="6"/>
        <v>#REF!</v>
      </c>
      <c r="AB55" s="8" t="e">
        <f t="shared" si="7"/>
        <v>#REF!</v>
      </c>
      <c r="AC55" s="9" t="e">
        <f>IF(T55&lt;=0,"Output &lt;= 0, cek manual",IF(OR(Z55&lt;0,Y55&lt;0),"Biaya negatif",IF(AND(AB55&gt;=#REF!,AB55&lt;=#REF!),"OK","Di luar rentang")))</f>
        <v>#REF!</v>
      </c>
    </row>
    <row r="56" ht="128.25" spans="1:29">
      <c r="A56" s="2" t="s">
        <v>30</v>
      </c>
      <c r="B56" s="2" t="s">
        <v>272</v>
      </c>
      <c r="C56" s="3" t="s">
        <v>283</v>
      </c>
      <c r="D56" s="3" t="s">
        <v>284</v>
      </c>
      <c r="E56" s="3" t="s">
        <v>285</v>
      </c>
      <c r="F56" s="4">
        <v>5600000</v>
      </c>
      <c r="G56" s="4">
        <v>0</v>
      </c>
      <c r="H56" s="4">
        <v>350000</v>
      </c>
      <c r="I56" s="4">
        <v>0</v>
      </c>
      <c r="J56" s="2" t="s">
        <v>286</v>
      </c>
      <c r="K56" s="4">
        <v>12250000</v>
      </c>
      <c r="L56" s="4">
        <v>0</v>
      </c>
      <c r="M56" s="4">
        <v>6300000</v>
      </c>
      <c r="N56" s="4">
        <v>0</v>
      </c>
      <c r="O56" s="4">
        <v>12250000</v>
      </c>
      <c r="P56" s="4">
        <v>0</v>
      </c>
      <c r="Q56" s="5">
        <v>0.514286</v>
      </c>
      <c r="R56" s="2" t="s">
        <v>287</v>
      </c>
      <c r="S56" s="7">
        <f t="shared" si="0"/>
        <v>6300000</v>
      </c>
      <c r="T56" s="7">
        <f t="shared" si="1"/>
        <v>12250000</v>
      </c>
      <c r="U56" s="8">
        <f t="shared" si="2"/>
        <v>0.514285714285714</v>
      </c>
      <c r="V56" s="9" t="e">
        <f>IF(T56&lt;=0,"Output &lt;= 0",IF(U56&gt;#REF!,"Terlalu tinggi",IF(U56&lt;#REF!,"Terlalu rendah","Sesuai")))</f>
        <v>#REF!</v>
      </c>
      <c r="W56" s="7" t="e">
        <f>IF(T56&lt;=0,S56,IF(U56&gt;#REF!,ROUNDDOWN(T56*#REF!,0),IF(U56&lt;#REF!,ROUNDUP(T56*#REF!,0),S56)))</f>
        <v>#REF!</v>
      </c>
      <c r="X56" s="7" t="e">
        <f t="shared" si="3"/>
        <v>#REF!</v>
      </c>
      <c r="Y56" s="7" t="e">
        <f t="shared" si="4"/>
        <v>#REF!</v>
      </c>
      <c r="Z56" s="7" t="e">
        <f t="shared" si="5"/>
        <v>#REF!</v>
      </c>
      <c r="AA56" s="7" t="e">
        <f t="shared" si="6"/>
        <v>#REF!</v>
      </c>
      <c r="AB56" s="8" t="e">
        <f t="shared" si="7"/>
        <v>#REF!</v>
      </c>
      <c r="AC56" s="9" t="e">
        <f>IF(T56&lt;=0,"Output &lt;= 0, cek manual",IF(OR(Z56&lt;0,Y56&lt;0),"Biaya negatif",IF(AND(AB56&gt;=#REF!,AB56&lt;=#REF!),"OK","Di luar rentang")))</f>
        <v>#REF!</v>
      </c>
    </row>
    <row r="57" ht="85.5" spans="1:29">
      <c r="A57" s="2" t="s">
        <v>30</v>
      </c>
      <c r="B57" s="2" t="s">
        <v>272</v>
      </c>
      <c r="C57" s="3" t="s">
        <v>288</v>
      </c>
      <c r="D57" s="3" t="s">
        <v>289</v>
      </c>
      <c r="E57" s="3" t="s">
        <v>290</v>
      </c>
      <c r="F57" s="4">
        <v>0</v>
      </c>
      <c r="G57" s="4">
        <v>40000000</v>
      </c>
      <c r="H57" s="4">
        <v>155000</v>
      </c>
      <c r="I57" s="4">
        <v>0</v>
      </c>
      <c r="J57" s="2" t="s">
        <v>291</v>
      </c>
      <c r="K57" s="4">
        <v>70000000</v>
      </c>
      <c r="L57" s="4">
        <v>0</v>
      </c>
      <c r="M57" s="4">
        <v>29845000</v>
      </c>
      <c r="N57" s="4">
        <v>20000000</v>
      </c>
      <c r="O57" s="4">
        <v>30000000</v>
      </c>
      <c r="P57" s="5">
        <v>0.571429</v>
      </c>
      <c r="Q57" s="5">
        <v>0.994833</v>
      </c>
      <c r="R57" s="2" t="s">
        <v>292</v>
      </c>
      <c r="S57" s="7">
        <f t="shared" si="0"/>
        <v>29845000</v>
      </c>
      <c r="T57" s="7">
        <f t="shared" si="1"/>
        <v>30000000</v>
      </c>
      <c r="U57" s="8">
        <f t="shared" si="2"/>
        <v>0.994833333333333</v>
      </c>
      <c r="V57" s="9" t="e">
        <f>IF(T57&lt;=0,"Output &lt;= 0",IF(U57&gt;#REF!,"Terlalu tinggi",IF(U57&lt;#REF!,"Terlalu rendah","Sesuai")))</f>
        <v>#REF!</v>
      </c>
      <c r="W57" s="7" t="e">
        <f>IF(T57&lt;=0,S57,IF(U57&gt;#REF!,ROUNDDOWN(T57*#REF!,0),IF(U57&lt;#REF!,ROUNDUP(T57*#REF!,0),S57)))</f>
        <v>#REF!</v>
      </c>
      <c r="X57" s="7" t="e">
        <f t="shared" si="3"/>
        <v>#REF!</v>
      </c>
      <c r="Y57" s="7" t="e">
        <f t="shared" si="4"/>
        <v>#REF!</v>
      </c>
      <c r="Z57" s="7" t="e">
        <f t="shared" si="5"/>
        <v>#REF!</v>
      </c>
      <c r="AA57" s="7" t="e">
        <f t="shared" si="6"/>
        <v>#REF!</v>
      </c>
      <c r="AB57" s="8" t="e">
        <f t="shared" si="7"/>
        <v>#REF!</v>
      </c>
      <c r="AC57" s="9" t="e">
        <f>IF(T57&lt;=0,"Output &lt;= 0, cek manual",IF(OR(Z57&lt;0,Y57&lt;0),"Biaya negatif",IF(AND(AB57&gt;=#REF!,AB57&lt;=#REF!),"OK","Di luar rentang")))</f>
        <v>#REF!</v>
      </c>
    </row>
    <row r="58" ht="42.75" spans="1:29">
      <c r="A58" s="2" t="s">
        <v>30</v>
      </c>
      <c r="B58" s="2" t="s">
        <v>293</v>
      </c>
      <c r="C58" s="3" t="s">
        <v>294</v>
      </c>
      <c r="D58" s="3" t="s">
        <v>295</v>
      </c>
      <c r="E58" s="3" t="s">
        <v>296</v>
      </c>
      <c r="F58" s="4">
        <v>300000</v>
      </c>
      <c r="G58" s="4">
        <v>8000000</v>
      </c>
      <c r="H58" s="4">
        <v>300000</v>
      </c>
      <c r="I58" s="4">
        <v>500000</v>
      </c>
      <c r="J58" s="2" t="s">
        <v>297</v>
      </c>
      <c r="K58" s="4">
        <v>18000000</v>
      </c>
      <c r="L58" s="4">
        <v>0</v>
      </c>
      <c r="M58" s="4">
        <v>9400000</v>
      </c>
      <c r="N58" s="4">
        <v>7500000</v>
      </c>
      <c r="O58" s="4">
        <v>10000000</v>
      </c>
      <c r="P58" s="5">
        <v>0.444444</v>
      </c>
      <c r="Q58" s="11">
        <v>0.94</v>
      </c>
      <c r="R58" s="2" t="s">
        <v>298</v>
      </c>
      <c r="S58" s="7">
        <f t="shared" si="0"/>
        <v>9400000</v>
      </c>
      <c r="T58" s="7">
        <f t="shared" si="1"/>
        <v>10000000</v>
      </c>
      <c r="U58" s="8">
        <f t="shared" si="2"/>
        <v>0.94</v>
      </c>
      <c r="V58" s="9" t="e">
        <f>IF(T58&lt;=0,"Output &lt;= 0",IF(U58&gt;#REF!,"Terlalu tinggi",IF(U58&lt;#REF!,"Terlalu rendah","Sesuai")))</f>
        <v>#REF!</v>
      </c>
      <c r="W58" s="7" t="e">
        <f>IF(T58&lt;=0,S58,IF(U58&gt;#REF!,ROUNDDOWN(T58*#REF!,0),IF(U58&lt;#REF!,ROUNDUP(T58*#REF!,0),S58)))</f>
        <v>#REF!</v>
      </c>
      <c r="X58" s="7" t="e">
        <f t="shared" si="3"/>
        <v>#REF!</v>
      </c>
      <c r="Y58" s="7" t="e">
        <f t="shared" si="4"/>
        <v>#REF!</v>
      </c>
      <c r="Z58" s="7" t="e">
        <f t="shared" si="5"/>
        <v>#REF!</v>
      </c>
      <c r="AA58" s="7" t="e">
        <f t="shared" si="6"/>
        <v>#REF!</v>
      </c>
      <c r="AB58" s="8" t="e">
        <f t="shared" si="7"/>
        <v>#REF!</v>
      </c>
      <c r="AC58" s="9" t="e">
        <f>IF(T58&lt;=0,"Output &lt;= 0, cek manual",IF(OR(Z58&lt;0,Y58&lt;0),"Biaya negatif",IF(AND(AB58&gt;=#REF!,AB58&lt;=#REF!),"OK","Di luar rentang")))</f>
        <v>#REF!</v>
      </c>
    </row>
    <row r="59" ht="85.5" spans="1:29">
      <c r="A59" s="2" t="s">
        <v>30</v>
      </c>
      <c r="B59" s="2" t="s">
        <v>299</v>
      </c>
      <c r="C59" s="3" t="s">
        <v>300</v>
      </c>
      <c r="D59" s="3" t="s">
        <v>301</v>
      </c>
      <c r="E59" s="3" t="s">
        <v>302</v>
      </c>
      <c r="F59" s="4">
        <v>400000</v>
      </c>
      <c r="G59" s="4">
        <v>0</v>
      </c>
      <c r="H59" s="4">
        <v>0</v>
      </c>
      <c r="I59" s="4">
        <v>0</v>
      </c>
      <c r="J59" s="2" t="s">
        <v>303</v>
      </c>
      <c r="K59" s="4">
        <v>2000000</v>
      </c>
      <c r="L59" s="4">
        <v>0</v>
      </c>
      <c r="M59" s="4">
        <v>1600000</v>
      </c>
      <c r="N59" s="4">
        <v>3000000</v>
      </c>
      <c r="O59" s="4">
        <v>2000000</v>
      </c>
      <c r="P59" s="4">
        <v>0</v>
      </c>
      <c r="Q59" s="12">
        <v>0.8</v>
      </c>
      <c r="R59" s="2" t="s">
        <v>304</v>
      </c>
      <c r="S59" s="7">
        <f t="shared" si="0"/>
        <v>1600000</v>
      </c>
      <c r="T59" s="7">
        <f t="shared" si="1"/>
        <v>2000000</v>
      </c>
      <c r="U59" s="8">
        <f t="shared" si="2"/>
        <v>0.8</v>
      </c>
      <c r="V59" s="9" t="e">
        <f>IF(T59&lt;=0,"Output &lt;= 0",IF(U59&gt;#REF!,"Terlalu tinggi",IF(U59&lt;#REF!,"Terlalu rendah","Sesuai")))</f>
        <v>#REF!</v>
      </c>
      <c r="W59" s="7" t="e">
        <f>IF(T59&lt;=0,S59,IF(U59&gt;#REF!,ROUNDDOWN(T59*#REF!,0),IF(U59&lt;#REF!,ROUNDUP(T59*#REF!,0),S59)))</f>
        <v>#REF!</v>
      </c>
      <c r="X59" s="7" t="e">
        <f t="shared" si="3"/>
        <v>#REF!</v>
      </c>
      <c r="Y59" s="7" t="e">
        <f t="shared" si="4"/>
        <v>#REF!</v>
      </c>
      <c r="Z59" s="7" t="e">
        <f t="shared" si="5"/>
        <v>#REF!</v>
      </c>
      <c r="AA59" s="7" t="e">
        <f t="shared" si="6"/>
        <v>#REF!</v>
      </c>
      <c r="AB59" s="8" t="e">
        <f t="shared" si="7"/>
        <v>#REF!</v>
      </c>
      <c r="AC59" s="9" t="e">
        <f>IF(T59&lt;=0,"Output &lt;= 0, cek manual",IF(OR(Z59&lt;0,Y59&lt;0),"Biaya negatif",IF(AND(AB59&gt;=#REF!,AB59&lt;=#REF!),"OK","Di luar rentang")))</f>
        <v>#REF!</v>
      </c>
    </row>
    <row r="60" ht="71.25" spans="1:29">
      <c r="A60" s="2" t="s">
        <v>30</v>
      </c>
      <c r="B60" s="2" t="s">
        <v>305</v>
      </c>
      <c r="C60" s="3" t="s">
        <v>306</v>
      </c>
      <c r="D60" s="3" t="s">
        <v>307</v>
      </c>
      <c r="E60" s="3" t="s">
        <v>308</v>
      </c>
      <c r="F60" s="4">
        <v>0</v>
      </c>
      <c r="G60" s="4">
        <v>10000000</v>
      </c>
      <c r="H60" s="4">
        <v>0</v>
      </c>
      <c r="I60" s="4">
        <v>0</v>
      </c>
      <c r="J60" s="2" t="s">
        <v>309</v>
      </c>
      <c r="K60" s="4">
        <v>15000000</v>
      </c>
      <c r="L60" s="4">
        <v>0</v>
      </c>
      <c r="M60" s="4">
        <v>5000000</v>
      </c>
      <c r="N60" s="4">
        <v>3000000</v>
      </c>
      <c r="O60" s="4">
        <v>5000000</v>
      </c>
      <c r="P60" s="5">
        <v>0.666667</v>
      </c>
      <c r="Q60" s="4">
        <v>1</v>
      </c>
      <c r="R60" s="2" t="s">
        <v>310</v>
      </c>
      <c r="S60" s="7">
        <f t="shared" si="0"/>
        <v>5000000</v>
      </c>
      <c r="T60" s="7">
        <f t="shared" si="1"/>
        <v>5000000</v>
      </c>
      <c r="U60" s="8">
        <f t="shared" si="2"/>
        <v>1</v>
      </c>
      <c r="V60" s="9" t="e">
        <f>IF(T60&lt;=0,"Output &lt;= 0",IF(U60&gt;#REF!,"Terlalu tinggi",IF(U60&lt;#REF!,"Terlalu rendah","Sesuai")))</f>
        <v>#REF!</v>
      </c>
      <c r="W60" s="7" t="e">
        <f>IF(T60&lt;=0,S60,IF(U60&gt;#REF!,ROUNDDOWN(T60*#REF!,0),IF(U60&lt;#REF!,ROUNDUP(T60*#REF!,0),S60)))</f>
        <v>#REF!</v>
      </c>
      <c r="X60" s="7" t="e">
        <f t="shared" si="3"/>
        <v>#REF!</v>
      </c>
      <c r="Y60" s="7" t="e">
        <f t="shared" si="4"/>
        <v>#REF!</v>
      </c>
      <c r="Z60" s="7" t="e">
        <f t="shared" si="5"/>
        <v>#REF!</v>
      </c>
      <c r="AA60" s="7" t="e">
        <f t="shared" si="6"/>
        <v>#REF!</v>
      </c>
      <c r="AB60" s="8" t="e">
        <f t="shared" si="7"/>
        <v>#REF!</v>
      </c>
      <c r="AC60" s="9" t="e">
        <f>IF(T60&lt;=0,"Output &lt;= 0, cek manual",IF(OR(Z60&lt;0,Y60&lt;0),"Biaya negatif",IF(AND(AB60&gt;=#REF!,AB60&lt;=#REF!),"OK","Di luar rentang")))</f>
        <v>#REF!</v>
      </c>
    </row>
    <row r="61" ht="57" spans="1:29">
      <c r="A61" s="2" t="s">
        <v>30</v>
      </c>
      <c r="B61" s="2" t="s">
        <v>305</v>
      </c>
      <c r="C61" s="3" t="s">
        <v>311</v>
      </c>
      <c r="D61" s="3" t="s">
        <v>307</v>
      </c>
      <c r="E61" s="3" t="s">
        <v>308</v>
      </c>
      <c r="F61" s="4">
        <v>0</v>
      </c>
      <c r="G61" s="4">
        <v>2630000</v>
      </c>
      <c r="H61" s="4">
        <v>0</v>
      </c>
      <c r="I61" s="4">
        <v>0</v>
      </c>
      <c r="J61" s="2" t="s">
        <v>312</v>
      </c>
      <c r="K61" s="4">
        <v>18000000</v>
      </c>
      <c r="L61" s="4">
        <v>0</v>
      </c>
      <c r="M61" s="4">
        <v>15370000</v>
      </c>
      <c r="N61" s="4">
        <v>3000000</v>
      </c>
      <c r="O61" s="4">
        <v>15370000</v>
      </c>
      <c r="P61" s="5">
        <v>0.146111</v>
      </c>
      <c r="Q61" s="4">
        <v>1</v>
      </c>
      <c r="R61" s="2" t="s">
        <v>313</v>
      </c>
      <c r="S61" s="7">
        <f t="shared" si="0"/>
        <v>15370000</v>
      </c>
      <c r="T61" s="7">
        <f t="shared" si="1"/>
        <v>15370000</v>
      </c>
      <c r="U61" s="8">
        <f t="shared" si="2"/>
        <v>1</v>
      </c>
      <c r="V61" s="9" t="e">
        <f>IF(T61&lt;=0,"Output &lt;= 0",IF(U61&gt;#REF!,"Terlalu tinggi",IF(U61&lt;#REF!,"Terlalu rendah","Sesuai")))</f>
        <v>#REF!</v>
      </c>
      <c r="W61" s="7" t="e">
        <f>IF(T61&lt;=0,S61,IF(U61&gt;#REF!,ROUNDDOWN(T61*#REF!,0),IF(U61&lt;#REF!,ROUNDUP(T61*#REF!,0),S61)))</f>
        <v>#REF!</v>
      </c>
      <c r="X61" s="7" t="e">
        <f t="shared" si="3"/>
        <v>#REF!</v>
      </c>
      <c r="Y61" s="7" t="e">
        <f t="shared" si="4"/>
        <v>#REF!</v>
      </c>
      <c r="Z61" s="7" t="e">
        <f t="shared" si="5"/>
        <v>#REF!</v>
      </c>
      <c r="AA61" s="7" t="e">
        <f t="shared" si="6"/>
        <v>#REF!</v>
      </c>
      <c r="AB61" s="8" t="e">
        <f t="shared" si="7"/>
        <v>#REF!</v>
      </c>
      <c r="AC61" s="9" t="e">
        <f>IF(T61&lt;=0,"Output &lt;= 0, cek manual",IF(OR(Z61&lt;0,Y61&lt;0),"Biaya negatif",IF(AND(AB61&gt;=#REF!,AB61&lt;=#REF!),"OK","Di luar rentang")))</f>
        <v>#REF!</v>
      </c>
    </row>
    <row r="62" ht="85.5" spans="1:29">
      <c r="A62" s="2" t="s">
        <v>30</v>
      </c>
      <c r="B62" s="2" t="s">
        <v>305</v>
      </c>
      <c r="C62" s="3" t="s">
        <v>314</v>
      </c>
      <c r="D62" s="3" t="s">
        <v>307</v>
      </c>
      <c r="E62" s="3" t="s">
        <v>315</v>
      </c>
      <c r="F62" s="4">
        <v>0</v>
      </c>
      <c r="G62" s="4">
        <v>1500000</v>
      </c>
      <c r="H62" s="4">
        <v>0</v>
      </c>
      <c r="I62" s="4">
        <v>0</v>
      </c>
      <c r="J62" s="2" t="s">
        <v>40</v>
      </c>
      <c r="K62" s="4">
        <v>5000000</v>
      </c>
      <c r="L62" s="4">
        <v>0</v>
      </c>
      <c r="M62" s="4">
        <v>3500000</v>
      </c>
      <c r="N62" s="4">
        <v>2250000</v>
      </c>
      <c r="O62" s="4">
        <v>3500000</v>
      </c>
      <c r="P62" s="12">
        <v>0.3</v>
      </c>
      <c r="Q62" s="4">
        <v>1</v>
      </c>
      <c r="R62" s="2" t="s">
        <v>316</v>
      </c>
      <c r="S62" s="7">
        <f t="shared" si="0"/>
        <v>3500000</v>
      </c>
      <c r="T62" s="7">
        <f t="shared" si="1"/>
        <v>3500000</v>
      </c>
      <c r="U62" s="8">
        <f t="shared" si="2"/>
        <v>1</v>
      </c>
      <c r="V62" s="9" t="e">
        <f>IF(T62&lt;=0,"Output &lt;= 0",IF(U62&gt;#REF!,"Terlalu tinggi",IF(U62&lt;#REF!,"Terlalu rendah","Sesuai")))</f>
        <v>#REF!</v>
      </c>
      <c r="W62" s="7" t="e">
        <f>IF(T62&lt;=0,S62,IF(U62&gt;#REF!,ROUNDDOWN(T62*#REF!,0),IF(U62&lt;#REF!,ROUNDUP(T62*#REF!,0),S62)))</f>
        <v>#REF!</v>
      </c>
      <c r="X62" s="7" t="e">
        <f t="shared" si="3"/>
        <v>#REF!</v>
      </c>
      <c r="Y62" s="7" t="e">
        <f t="shared" si="4"/>
        <v>#REF!</v>
      </c>
      <c r="Z62" s="7" t="e">
        <f t="shared" si="5"/>
        <v>#REF!</v>
      </c>
      <c r="AA62" s="7" t="e">
        <f t="shared" si="6"/>
        <v>#REF!</v>
      </c>
      <c r="AB62" s="8" t="e">
        <f t="shared" si="7"/>
        <v>#REF!</v>
      </c>
      <c r="AC62" s="9" t="e">
        <f>IF(T62&lt;=0,"Output &lt;= 0, cek manual",IF(OR(Z62&lt;0,Y62&lt;0),"Biaya negatif",IF(AND(AB62&gt;=#REF!,AB62&lt;=#REF!),"OK","Di luar rentang")))</f>
        <v>#REF!</v>
      </c>
    </row>
    <row r="63" ht="85.5" spans="1:29">
      <c r="A63" s="2" t="s">
        <v>30</v>
      </c>
      <c r="B63" s="2" t="s">
        <v>305</v>
      </c>
      <c r="C63" s="3" t="s">
        <v>317</v>
      </c>
      <c r="D63" s="3" t="s">
        <v>307</v>
      </c>
      <c r="E63" s="3" t="s">
        <v>315</v>
      </c>
      <c r="F63" s="4">
        <v>0</v>
      </c>
      <c r="G63" s="4">
        <v>2000000</v>
      </c>
      <c r="H63" s="4">
        <v>0</v>
      </c>
      <c r="I63" s="4">
        <v>0</v>
      </c>
      <c r="J63" s="2" t="s">
        <v>318</v>
      </c>
      <c r="K63" s="4">
        <v>5000000</v>
      </c>
      <c r="L63" s="4">
        <v>0</v>
      </c>
      <c r="M63" s="4">
        <v>3000000</v>
      </c>
      <c r="N63" s="4">
        <v>2250000</v>
      </c>
      <c r="O63" s="4">
        <v>3000000</v>
      </c>
      <c r="P63" s="12">
        <v>0.4</v>
      </c>
      <c r="Q63" s="4">
        <v>1</v>
      </c>
      <c r="R63" s="2" t="s">
        <v>319</v>
      </c>
      <c r="S63" s="7">
        <f t="shared" si="0"/>
        <v>3000000</v>
      </c>
      <c r="T63" s="7">
        <f t="shared" si="1"/>
        <v>3000000</v>
      </c>
      <c r="U63" s="8">
        <f t="shared" si="2"/>
        <v>1</v>
      </c>
      <c r="V63" s="9" t="e">
        <f>IF(T63&lt;=0,"Output &lt;= 0",IF(U63&gt;#REF!,"Terlalu tinggi",IF(U63&lt;#REF!,"Terlalu rendah","Sesuai")))</f>
        <v>#REF!</v>
      </c>
      <c r="W63" s="7" t="e">
        <f>IF(T63&lt;=0,S63,IF(U63&gt;#REF!,ROUNDDOWN(T63*#REF!,0),IF(U63&lt;#REF!,ROUNDUP(T63*#REF!,0),S63)))</f>
        <v>#REF!</v>
      </c>
      <c r="X63" s="7" t="e">
        <f t="shared" si="3"/>
        <v>#REF!</v>
      </c>
      <c r="Y63" s="7" t="e">
        <f t="shared" si="4"/>
        <v>#REF!</v>
      </c>
      <c r="Z63" s="7" t="e">
        <f t="shared" si="5"/>
        <v>#REF!</v>
      </c>
      <c r="AA63" s="7" t="e">
        <f t="shared" si="6"/>
        <v>#REF!</v>
      </c>
      <c r="AB63" s="8" t="e">
        <f t="shared" si="7"/>
        <v>#REF!</v>
      </c>
      <c r="AC63" s="9" t="e">
        <f>IF(T63&lt;=0,"Output &lt;= 0, cek manual",IF(OR(Z63&lt;0,Y63&lt;0),"Biaya negatif",IF(AND(AB63&gt;=#REF!,AB63&lt;=#REF!),"OK","Di luar rentang")))</f>
        <v>#REF!</v>
      </c>
    </row>
    <row r="64" ht="114" spans="1:29">
      <c r="A64" s="2" t="s">
        <v>30</v>
      </c>
      <c r="B64" s="2" t="s">
        <v>320</v>
      </c>
      <c r="C64" s="3" t="s">
        <v>321</v>
      </c>
      <c r="D64" s="3" t="s">
        <v>322</v>
      </c>
      <c r="E64" s="3" t="s">
        <v>323</v>
      </c>
      <c r="F64" s="4">
        <v>500000</v>
      </c>
      <c r="G64" s="4">
        <v>10000000</v>
      </c>
      <c r="H64" s="4">
        <v>500000</v>
      </c>
      <c r="I64" s="4">
        <v>0</v>
      </c>
      <c r="J64" s="2" t="s">
        <v>167</v>
      </c>
      <c r="K64" s="4">
        <v>20000000</v>
      </c>
      <c r="L64" s="4">
        <v>0</v>
      </c>
      <c r="M64" s="4">
        <v>9000000</v>
      </c>
      <c r="N64" s="4">
        <v>2500000</v>
      </c>
      <c r="O64" s="4">
        <v>10000000</v>
      </c>
      <c r="P64" s="12">
        <v>0.5</v>
      </c>
      <c r="Q64" s="12">
        <v>0.9</v>
      </c>
      <c r="R64" s="2" t="s">
        <v>324</v>
      </c>
      <c r="S64" s="7">
        <f t="shared" si="0"/>
        <v>9000000</v>
      </c>
      <c r="T64" s="7">
        <f t="shared" si="1"/>
        <v>10000000</v>
      </c>
      <c r="U64" s="8">
        <f t="shared" si="2"/>
        <v>0.9</v>
      </c>
      <c r="V64" s="9" t="e">
        <f>IF(T64&lt;=0,"Output &lt;= 0",IF(U64&gt;#REF!,"Terlalu tinggi",IF(U64&lt;#REF!,"Terlalu rendah","Sesuai")))</f>
        <v>#REF!</v>
      </c>
      <c r="W64" s="7" t="e">
        <f>IF(T64&lt;=0,S64,IF(U64&gt;#REF!,ROUNDDOWN(T64*#REF!,0),IF(U64&lt;#REF!,ROUNDUP(T64*#REF!,0),S64)))</f>
        <v>#REF!</v>
      </c>
      <c r="X64" s="7" t="e">
        <f t="shared" si="3"/>
        <v>#REF!</v>
      </c>
      <c r="Y64" s="7" t="e">
        <f t="shared" si="4"/>
        <v>#REF!</v>
      </c>
      <c r="Z64" s="7" t="e">
        <f t="shared" si="5"/>
        <v>#REF!</v>
      </c>
      <c r="AA64" s="7" t="e">
        <f t="shared" si="6"/>
        <v>#REF!</v>
      </c>
      <c r="AB64" s="8" t="e">
        <f t="shared" si="7"/>
        <v>#REF!</v>
      </c>
      <c r="AC64" s="9" t="e">
        <f>IF(T64&lt;=0,"Output &lt;= 0, cek manual",IF(OR(Z64&lt;0,Y64&lt;0),"Biaya negatif",IF(AND(AB64&gt;=#REF!,AB64&lt;=#REF!),"OK","Di luar rentang")))</f>
        <v>#REF!</v>
      </c>
    </row>
    <row r="65" ht="71.25" spans="1:29">
      <c r="A65" s="2" t="s">
        <v>30</v>
      </c>
      <c r="B65" s="2" t="s">
        <v>320</v>
      </c>
      <c r="C65" s="3" t="s">
        <v>325</v>
      </c>
      <c r="D65" s="3" t="s">
        <v>326</v>
      </c>
      <c r="E65" s="3" t="s">
        <v>327</v>
      </c>
      <c r="F65" s="4">
        <v>600000</v>
      </c>
      <c r="G65" s="4">
        <v>0</v>
      </c>
      <c r="H65" s="4">
        <v>6000000</v>
      </c>
      <c r="I65" s="4">
        <v>0</v>
      </c>
      <c r="J65" s="2" t="s">
        <v>328</v>
      </c>
      <c r="K65" s="4">
        <v>36000000</v>
      </c>
      <c r="L65" s="4">
        <v>0</v>
      </c>
      <c r="M65" s="4">
        <v>29400000</v>
      </c>
      <c r="N65" s="4">
        <v>70000000</v>
      </c>
      <c r="O65" s="4">
        <v>36000000</v>
      </c>
      <c r="P65" s="4">
        <v>0</v>
      </c>
      <c r="Q65" s="5">
        <v>0.816667</v>
      </c>
      <c r="R65" s="2" t="s">
        <v>329</v>
      </c>
      <c r="S65" s="7">
        <f t="shared" si="0"/>
        <v>29400000</v>
      </c>
      <c r="T65" s="7">
        <f t="shared" si="1"/>
        <v>36000000</v>
      </c>
      <c r="U65" s="8">
        <f t="shared" si="2"/>
        <v>0.816666666666667</v>
      </c>
      <c r="V65" s="9" t="e">
        <f>IF(T65&lt;=0,"Output &lt;= 0",IF(U65&gt;#REF!,"Terlalu tinggi",IF(U65&lt;#REF!,"Terlalu rendah","Sesuai")))</f>
        <v>#REF!</v>
      </c>
      <c r="W65" s="7" t="e">
        <f>IF(T65&lt;=0,S65,IF(U65&gt;#REF!,ROUNDDOWN(T65*#REF!,0),IF(U65&lt;#REF!,ROUNDUP(T65*#REF!,0),S65)))</f>
        <v>#REF!</v>
      </c>
      <c r="X65" s="7" t="e">
        <f t="shared" si="3"/>
        <v>#REF!</v>
      </c>
      <c r="Y65" s="7" t="e">
        <f t="shared" si="4"/>
        <v>#REF!</v>
      </c>
      <c r="Z65" s="7" t="e">
        <f t="shared" si="5"/>
        <v>#REF!</v>
      </c>
      <c r="AA65" s="7" t="e">
        <f t="shared" si="6"/>
        <v>#REF!</v>
      </c>
      <c r="AB65" s="8" t="e">
        <f t="shared" si="7"/>
        <v>#REF!</v>
      </c>
      <c r="AC65" s="9" t="e">
        <f>IF(T65&lt;=0,"Output &lt;= 0, cek manual",IF(OR(Z65&lt;0,Y65&lt;0),"Biaya negatif",IF(AND(AB65&gt;=#REF!,AB65&lt;=#REF!),"OK","Di luar rentang")))</f>
        <v>#REF!</v>
      </c>
    </row>
    <row r="66" ht="57" spans="1:29">
      <c r="A66" s="2" t="s">
        <v>30</v>
      </c>
      <c r="B66" s="2" t="s">
        <v>330</v>
      </c>
      <c r="C66" s="3" t="s">
        <v>331</v>
      </c>
      <c r="D66" s="3" t="s">
        <v>332</v>
      </c>
      <c r="E66" s="3" t="s">
        <v>333</v>
      </c>
      <c r="F66" s="4">
        <v>25000</v>
      </c>
      <c r="G66" s="4">
        <v>2000000</v>
      </c>
      <c r="H66" s="4">
        <v>100000</v>
      </c>
      <c r="I66" s="4">
        <v>0</v>
      </c>
      <c r="J66" s="2" t="s">
        <v>334</v>
      </c>
      <c r="K66" s="4">
        <v>5000000</v>
      </c>
      <c r="L66" s="4">
        <v>0</v>
      </c>
      <c r="M66" s="4">
        <v>2875000</v>
      </c>
      <c r="N66" s="4">
        <v>15000000</v>
      </c>
      <c r="O66" s="4">
        <v>3000000</v>
      </c>
      <c r="P66" s="12">
        <v>0.4</v>
      </c>
      <c r="Q66" s="5">
        <v>0.958333</v>
      </c>
      <c r="R66" s="2" t="s">
        <v>335</v>
      </c>
      <c r="S66" s="7">
        <f t="shared" ref="S66:S129" si="8">K66-F66-G66-H66</f>
        <v>2875000</v>
      </c>
      <c r="T66" s="7">
        <f t="shared" ref="T66:T129" si="9">K66-G66</f>
        <v>3000000</v>
      </c>
      <c r="U66" s="8">
        <f t="shared" ref="U66:U129" si="10">IF(T66&lt;=0,"",S66/T66)</f>
        <v>0.958333333333333</v>
      </c>
      <c r="V66" s="9" t="e">
        <f>IF(T66&lt;=0,"Output &lt;= 0",IF(U66&gt;#REF!,"Terlalu tinggi",IF(U66&lt;#REF!,"Terlalu rendah","Sesuai")))</f>
        <v>#REF!</v>
      </c>
      <c r="W66" s="7" t="e">
        <f>IF(T66&lt;=0,S66,IF(U66&gt;#REF!,ROUNDDOWN(T66*#REF!,0),IF(U66&lt;#REF!,ROUNDUP(T66*#REF!,0),S66)))</f>
        <v>#REF!</v>
      </c>
      <c r="X66" s="7" t="e">
        <f t="shared" ref="X66:X129" si="11">W66-S66</f>
        <v>#REF!</v>
      </c>
      <c r="Y66" s="7" t="e">
        <f t="shared" ref="Y66:Y129" si="12">IF(F66+H66&gt;0,ROUND((T66-W66)*H66/(F66+H66),0),T66-W66)</f>
        <v>#REF!</v>
      </c>
      <c r="Z66" s="7" t="e">
        <f t="shared" ref="Z66:Z129" si="13">(T66-W66)-Y66</f>
        <v>#REF!</v>
      </c>
      <c r="AA66" s="7" t="e">
        <f t="shared" ref="AA66:AA129" si="14">K66-Z66-G66-Y66</f>
        <v>#REF!</v>
      </c>
      <c r="AB66" s="8" t="e">
        <f t="shared" ref="AB66:AB129" si="15">IF(T66&lt;=0,"",AA66/T66)</f>
        <v>#REF!</v>
      </c>
      <c r="AC66" s="9" t="e">
        <f>IF(T66&lt;=0,"Output &lt;= 0, cek manual",IF(OR(Z66&lt;0,Y66&lt;0),"Biaya negatif",IF(AND(AB66&gt;=#REF!,AB66&lt;=#REF!),"OK","Di luar rentang")))</f>
        <v>#REF!</v>
      </c>
    </row>
    <row r="67" ht="85.5" spans="1:29">
      <c r="A67" s="2" t="s">
        <v>30</v>
      </c>
      <c r="B67" s="2" t="s">
        <v>336</v>
      </c>
      <c r="C67" s="3" t="s">
        <v>337</v>
      </c>
      <c r="D67" s="3" t="s">
        <v>338</v>
      </c>
      <c r="E67" s="3" t="s">
        <v>339</v>
      </c>
      <c r="F67" s="4">
        <v>0</v>
      </c>
      <c r="G67" s="4">
        <v>3600000</v>
      </c>
      <c r="H67" s="4">
        <v>1250000</v>
      </c>
      <c r="I67" s="4">
        <v>0</v>
      </c>
      <c r="J67" s="2" t="s">
        <v>93</v>
      </c>
      <c r="K67" s="4">
        <v>18000000</v>
      </c>
      <c r="L67" s="4">
        <v>0</v>
      </c>
      <c r="M67" s="4">
        <v>13150000</v>
      </c>
      <c r="N67" s="4">
        <v>2700000</v>
      </c>
      <c r="O67" s="4">
        <v>14400000</v>
      </c>
      <c r="P67" s="12">
        <v>0.2</v>
      </c>
      <c r="Q67" s="5">
        <v>0.913194</v>
      </c>
      <c r="R67" s="2" t="s">
        <v>340</v>
      </c>
      <c r="S67" s="7">
        <f t="shared" si="8"/>
        <v>13150000</v>
      </c>
      <c r="T67" s="7">
        <f t="shared" si="9"/>
        <v>14400000</v>
      </c>
      <c r="U67" s="8">
        <f t="shared" si="10"/>
        <v>0.913194444444444</v>
      </c>
      <c r="V67" s="9" t="e">
        <f>IF(T67&lt;=0,"Output &lt;= 0",IF(U67&gt;#REF!,"Terlalu tinggi",IF(U67&lt;#REF!,"Terlalu rendah","Sesuai")))</f>
        <v>#REF!</v>
      </c>
      <c r="W67" s="7" t="e">
        <f>IF(T67&lt;=0,S67,IF(U67&gt;#REF!,ROUNDDOWN(T67*#REF!,0),IF(U67&lt;#REF!,ROUNDUP(T67*#REF!,0),S67)))</f>
        <v>#REF!</v>
      </c>
      <c r="X67" s="7" t="e">
        <f t="shared" si="11"/>
        <v>#REF!</v>
      </c>
      <c r="Y67" s="7" t="e">
        <f t="shared" si="12"/>
        <v>#REF!</v>
      </c>
      <c r="Z67" s="7" t="e">
        <f t="shared" si="13"/>
        <v>#REF!</v>
      </c>
      <c r="AA67" s="7" t="e">
        <f t="shared" si="14"/>
        <v>#REF!</v>
      </c>
      <c r="AB67" s="8" t="e">
        <f t="shared" si="15"/>
        <v>#REF!</v>
      </c>
      <c r="AC67" s="9" t="e">
        <f>IF(T67&lt;=0,"Output &lt;= 0, cek manual",IF(OR(Z67&lt;0,Y67&lt;0),"Biaya negatif",IF(AND(AB67&gt;=#REF!,AB67&lt;=#REF!),"OK","Di luar rentang")))</f>
        <v>#REF!</v>
      </c>
    </row>
    <row r="68" ht="57" spans="1:29">
      <c r="A68" s="2" t="s">
        <v>30</v>
      </c>
      <c r="B68" s="2" t="s">
        <v>336</v>
      </c>
      <c r="C68" s="3" t="s">
        <v>341</v>
      </c>
      <c r="D68" s="3" t="s">
        <v>342</v>
      </c>
      <c r="E68" s="3" t="s">
        <v>343</v>
      </c>
      <c r="F68" s="4">
        <v>420000</v>
      </c>
      <c r="G68" s="4">
        <v>50000</v>
      </c>
      <c r="H68" s="4">
        <v>55000</v>
      </c>
      <c r="I68" s="4">
        <v>0</v>
      </c>
      <c r="J68" s="2" t="s">
        <v>344</v>
      </c>
      <c r="K68" s="4">
        <v>1000000</v>
      </c>
      <c r="L68" s="4">
        <v>0</v>
      </c>
      <c r="M68" s="4">
        <v>475000</v>
      </c>
      <c r="N68" s="4">
        <v>300000</v>
      </c>
      <c r="O68" s="4">
        <v>950000</v>
      </c>
      <c r="P68" s="11">
        <v>0.05</v>
      </c>
      <c r="Q68" s="12">
        <v>0.5</v>
      </c>
      <c r="R68" s="2" t="s">
        <v>345</v>
      </c>
      <c r="S68" s="7">
        <f t="shared" si="8"/>
        <v>475000</v>
      </c>
      <c r="T68" s="7">
        <f t="shared" si="9"/>
        <v>950000</v>
      </c>
      <c r="U68" s="8">
        <f t="shared" si="10"/>
        <v>0.5</v>
      </c>
      <c r="V68" s="9" t="e">
        <f>IF(T68&lt;=0,"Output &lt;= 0",IF(U68&gt;#REF!,"Terlalu tinggi",IF(U68&lt;#REF!,"Terlalu rendah","Sesuai")))</f>
        <v>#REF!</v>
      </c>
      <c r="W68" s="7" t="e">
        <f>IF(T68&lt;=0,S68,IF(U68&gt;#REF!,ROUNDDOWN(T68*#REF!,0),IF(U68&lt;#REF!,ROUNDUP(T68*#REF!,0),S68)))</f>
        <v>#REF!</v>
      </c>
      <c r="X68" s="7" t="e">
        <f t="shared" si="11"/>
        <v>#REF!</v>
      </c>
      <c r="Y68" s="7" t="e">
        <f t="shared" si="12"/>
        <v>#REF!</v>
      </c>
      <c r="Z68" s="7" t="e">
        <f t="shared" si="13"/>
        <v>#REF!</v>
      </c>
      <c r="AA68" s="7" t="e">
        <f t="shared" si="14"/>
        <v>#REF!</v>
      </c>
      <c r="AB68" s="8" t="e">
        <f t="shared" si="15"/>
        <v>#REF!</v>
      </c>
      <c r="AC68" s="9" t="e">
        <f>IF(T68&lt;=0,"Output &lt;= 0, cek manual",IF(OR(Z68&lt;0,Y68&lt;0),"Biaya negatif",IF(AND(AB68&gt;=#REF!,AB68&lt;=#REF!),"OK","Di luar rentang")))</f>
        <v>#REF!</v>
      </c>
    </row>
    <row r="69" ht="71.25" spans="1:29">
      <c r="A69" s="2" t="s">
        <v>30</v>
      </c>
      <c r="B69" s="2" t="s">
        <v>336</v>
      </c>
      <c r="C69" s="3" t="s">
        <v>346</v>
      </c>
      <c r="D69" s="3" t="s">
        <v>347</v>
      </c>
      <c r="E69" s="3" t="s">
        <v>348</v>
      </c>
      <c r="F69" s="4">
        <v>1500000</v>
      </c>
      <c r="G69" s="4">
        <v>5000000</v>
      </c>
      <c r="H69" s="4">
        <v>500000</v>
      </c>
      <c r="I69" s="4">
        <v>0</v>
      </c>
      <c r="J69" s="2" t="s">
        <v>157</v>
      </c>
      <c r="K69" s="4">
        <v>9000000</v>
      </c>
      <c r="L69" s="4">
        <v>0</v>
      </c>
      <c r="M69" s="4">
        <v>2000000</v>
      </c>
      <c r="N69" s="4">
        <v>550000</v>
      </c>
      <c r="O69" s="4">
        <v>4000000</v>
      </c>
      <c r="P69" s="5">
        <v>0.555556</v>
      </c>
      <c r="Q69" s="12">
        <v>0.5</v>
      </c>
      <c r="R69" s="2" t="s">
        <v>349</v>
      </c>
      <c r="S69" s="7">
        <f t="shared" si="8"/>
        <v>2000000</v>
      </c>
      <c r="T69" s="7">
        <f t="shared" si="9"/>
        <v>4000000</v>
      </c>
      <c r="U69" s="8">
        <f t="shared" si="10"/>
        <v>0.5</v>
      </c>
      <c r="V69" s="9" t="e">
        <f>IF(T69&lt;=0,"Output &lt;= 0",IF(U69&gt;#REF!,"Terlalu tinggi",IF(U69&lt;#REF!,"Terlalu rendah","Sesuai")))</f>
        <v>#REF!</v>
      </c>
      <c r="W69" s="7" t="e">
        <f>IF(T69&lt;=0,S69,IF(U69&gt;#REF!,ROUNDDOWN(T69*#REF!,0),IF(U69&lt;#REF!,ROUNDUP(T69*#REF!,0),S69)))</f>
        <v>#REF!</v>
      </c>
      <c r="X69" s="7" t="e">
        <f t="shared" si="11"/>
        <v>#REF!</v>
      </c>
      <c r="Y69" s="7" t="e">
        <f t="shared" si="12"/>
        <v>#REF!</v>
      </c>
      <c r="Z69" s="7" t="e">
        <f t="shared" si="13"/>
        <v>#REF!</v>
      </c>
      <c r="AA69" s="7" t="e">
        <f t="shared" si="14"/>
        <v>#REF!</v>
      </c>
      <c r="AB69" s="8" t="e">
        <f t="shared" si="15"/>
        <v>#REF!</v>
      </c>
      <c r="AC69" s="9" t="e">
        <f>IF(T69&lt;=0,"Output &lt;= 0, cek manual",IF(OR(Z69&lt;0,Y69&lt;0),"Biaya negatif",IF(AND(AB69&gt;=#REF!,AB69&lt;=#REF!),"OK","Di luar rentang")))</f>
        <v>#REF!</v>
      </c>
    </row>
    <row r="70" ht="42.75" spans="1:29">
      <c r="A70" s="2" t="s">
        <v>30</v>
      </c>
      <c r="B70" s="2" t="s">
        <v>336</v>
      </c>
      <c r="C70" s="3" t="s">
        <v>350</v>
      </c>
      <c r="D70" s="3" t="s">
        <v>351</v>
      </c>
      <c r="E70" s="3" t="s">
        <v>352</v>
      </c>
      <c r="F70" s="4">
        <v>6000000</v>
      </c>
      <c r="G70" s="4">
        <v>0</v>
      </c>
      <c r="H70" s="4">
        <v>500000</v>
      </c>
      <c r="I70" s="4">
        <v>0</v>
      </c>
      <c r="J70" s="2" t="s">
        <v>353</v>
      </c>
      <c r="K70" s="4">
        <v>15000000</v>
      </c>
      <c r="L70" s="4">
        <v>0</v>
      </c>
      <c r="M70" s="4">
        <v>8500000</v>
      </c>
      <c r="N70" s="4">
        <v>1650000</v>
      </c>
      <c r="O70" s="4">
        <v>15000000</v>
      </c>
      <c r="P70" s="4">
        <v>0</v>
      </c>
      <c r="Q70" s="5">
        <v>0.566667</v>
      </c>
      <c r="R70" s="2" t="s">
        <v>354</v>
      </c>
      <c r="S70" s="7">
        <f t="shared" si="8"/>
        <v>8500000</v>
      </c>
      <c r="T70" s="7">
        <f t="shared" si="9"/>
        <v>15000000</v>
      </c>
      <c r="U70" s="8">
        <f t="shared" si="10"/>
        <v>0.566666666666667</v>
      </c>
      <c r="V70" s="9" t="e">
        <f>IF(T70&lt;=0,"Output &lt;= 0",IF(U70&gt;#REF!,"Terlalu tinggi",IF(U70&lt;#REF!,"Terlalu rendah","Sesuai")))</f>
        <v>#REF!</v>
      </c>
      <c r="W70" s="7" t="e">
        <f>IF(T70&lt;=0,S70,IF(U70&gt;#REF!,ROUNDDOWN(T70*#REF!,0),IF(U70&lt;#REF!,ROUNDUP(T70*#REF!,0),S70)))</f>
        <v>#REF!</v>
      </c>
      <c r="X70" s="7" t="e">
        <f t="shared" si="11"/>
        <v>#REF!</v>
      </c>
      <c r="Y70" s="7" t="e">
        <f t="shared" si="12"/>
        <v>#REF!</v>
      </c>
      <c r="Z70" s="7" t="e">
        <f t="shared" si="13"/>
        <v>#REF!</v>
      </c>
      <c r="AA70" s="7" t="e">
        <f t="shared" si="14"/>
        <v>#REF!</v>
      </c>
      <c r="AB70" s="8" t="e">
        <f t="shared" si="15"/>
        <v>#REF!</v>
      </c>
      <c r="AC70" s="9" t="e">
        <f>IF(T70&lt;=0,"Output &lt;= 0, cek manual",IF(OR(Z70&lt;0,Y70&lt;0),"Biaya negatif",IF(AND(AB70&gt;=#REF!,AB70&lt;=#REF!),"OK","Di luar rentang")))</f>
        <v>#REF!</v>
      </c>
    </row>
    <row r="71" ht="142.5" spans="1:29">
      <c r="A71" s="2" t="s">
        <v>30</v>
      </c>
      <c r="B71" s="2" t="s">
        <v>336</v>
      </c>
      <c r="C71" s="3" t="s">
        <v>355</v>
      </c>
      <c r="D71" s="3" t="s">
        <v>356</v>
      </c>
      <c r="E71" s="3" t="s">
        <v>357</v>
      </c>
      <c r="F71" s="4">
        <v>100000</v>
      </c>
      <c r="G71" s="4">
        <v>18828000</v>
      </c>
      <c r="H71" s="4">
        <v>0</v>
      </c>
      <c r="I71" s="4">
        <v>0</v>
      </c>
      <c r="J71" s="2" t="s">
        <v>281</v>
      </c>
      <c r="K71" s="4">
        <v>16320000</v>
      </c>
      <c r="L71" s="4">
        <v>0</v>
      </c>
      <c r="M71" s="4">
        <v>-2608000</v>
      </c>
      <c r="N71" s="4">
        <v>35500000</v>
      </c>
      <c r="O71" s="4">
        <v>-2508000</v>
      </c>
      <c r="P71" s="5">
        <v>1.153676</v>
      </c>
      <c r="Q71" s="5">
        <v>1.039872</v>
      </c>
      <c r="R71" s="2" t="s">
        <v>358</v>
      </c>
      <c r="S71" s="7">
        <f t="shared" si="8"/>
        <v>-2608000</v>
      </c>
      <c r="T71" s="7">
        <f t="shared" si="9"/>
        <v>-2508000</v>
      </c>
      <c r="U71" s="8" t="str">
        <f t="shared" si="10"/>
        <v/>
      </c>
      <c r="V71" s="9" t="str">
        <f>IF(T71&lt;=0,"Output &lt;= 0",IF(U71&gt;#REF!,"Terlalu tinggi",IF(U71&lt;#REF!,"Terlalu rendah","Sesuai")))</f>
        <v>Output &lt;= 0</v>
      </c>
      <c r="W71" s="7">
        <f>IF(T71&lt;=0,S71,IF(U71&gt;#REF!,ROUNDDOWN(T71*#REF!,0),IF(U71&lt;#REF!,ROUNDUP(T71*#REF!,0),S71)))</f>
        <v>-2608000</v>
      </c>
      <c r="X71" s="7">
        <f t="shared" si="11"/>
        <v>0</v>
      </c>
      <c r="Y71" s="7">
        <f t="shared" si="12"/>
        <v>0</v>
      </c>
      <c r="Z71" s="7">
        <f t="shared" si="13"/>
        <v>100000</v>
      </c>
      <c r="AA71" s="7">
        <f t="shared" si="14"/>
        <v>-2608000</v>
      </c>
      <c r="AB71" s="8" t="str">
        <f t="shared" si="15"/>
        <v/>
      </c>
      <c r="AC71" s="9" t="str">
        <f>IF(T71&lt;=0,"Output &lt;= 0, cek manual",IF(OR(Z71&lt;0,Y71&lt;0),"Biaya negatif",IF(AND(AB71&gt;=#REF!,AB71&lt;=#REF!),"OK","Di luar rentang")))</f>
        <v>Output &lt;= 0, cek manual</v>
      </c>
    </row>
    <row r="72" ht="156.75" spans="1:29">
      <c r="A72" s="2" t="s">
        <v>30</v>
      </c>
      <c r="B72" s="2" t="s">
        <v>336</v>
      </c>
      <c r="C72" s="3" t="s">
        <v>359</v>
      </c>
      <c r="D72" s="3" t="s">
        <v>360</v>
      </c>
      <c r="E72" s="3" t="s">
        <v>361</v>
      </c>
      <c r="F72" s="4">
        <v>300000</v>
      </c>
      <c r="G72" s="4">
        <v>2000000</v>
      </c>
      <c r="H72" s="4">
        <v>0</v>
      </c>
      <c r="I72" s="4">
        <v>0</v>
      </c>
      <c r="J72" s="2" t="s">
        <v>59</v>
      </c>
      <c r="K72" s="4">
        <v>4000000</v>
      </c>
      <c r="L72" s="4">
        <v>0</v>
      </c>
      <c r="M72" s="4">
        <v>1700000</v>
      </c>
      <c r="N72" s="4">
        <v>200000</v>
      </c>
      <c r="O72" s="4">
        <v>2000000</v>
      </c>
      <c r="P72" s="12">
        <v>0.5</v>
      </c>
      <c r="Q72" s="11">
        <v>0.85</v>
      </c>
      <c r="R72" s="2" t="s">
        <v>362</v>
      </c>
      <c r="S72" s="7">
        <f t="shared" si="8"/>
        <v>1700000</v>
      </c>
      <c r="T72" s="7">
        <f t="shared" si="9"/>
        <v>2000000</v>
      </c>
      <c r="U72" s="8">
        <f t="shared" si="10"/>
        <v>0.85</v>
      </c>
      <c r="V72" s="9" t="e">
        <f>IF(T72&lt;=0,"Output &lt;= 0",IF(U72&gt;#REF!,"Terlalu tinggi",IF(U72&lt;#REF!,"Terlalu rendah","Sesuai")))</f>
        <v>#REF!</v>
      </c>
      <c r="W72" s="7" t="e">
        <f>IF(T72&lt;=0,S72,IF(U72&gt;#REF!,ROUNDDOWN(T72*#REF!,0),IF(U72&lt;#REF!,ROUNDUP(T72*#REF!,0),S72)))</f>
        <v>#REF!</v>
      </c>
      <c r="X72" s="7" t="e">
        <f t="shared" si="11"/>
        <v>#REF!</v>
      </c>
      <c r="Y72" s="7" t="e">
        <f t="shared" si="12"/>
        <v>#REF!</v>
      </c>
      <c r="Z72" s="7" t="e">
        <f t="shared" si="13"/>
        <v>#REF!</v>
      </c>
      <c r="AA72" s="7" t="e">
        <f t="shared" si="14"/>
        <v>#REF!</v>
      </c>
      <c r="AB72" s="8" t="e">
        <f t="shared" si="15"/>
        <v>#REF!</v>
      </c>
      <c r="AC72" s="9" t="e">
        <f>IF(T72&lt;=0,"Output &lt;= 0, cek manual",IF(OR(Z72&lt;0,Y72&lt;0),"Biaya negatif",IF(AND(AB72&gt;=#REF!,AB72&lt;=#REF!),"OK","Di luar rentang")))</f>
        <v>#REF!</v>
      </c>
    </row>
    <row r="73" ht="85.5" spans="1:29">
      <c r="A73" s="2" t="s">
        <v>30</v>
      </c>
      <c r="B73" s="2" t="s">
        <v>363</v>
      </c>
      <c r="C73" s="3" t="s">
        <v>364</v>
      </c>
      <c r="D73" s="3" t="s">
        <v>365</v>
      </c>
      <c r="E73" s="3" t="s">
        <v>366</v>
      </c>
      <c r="F73" s="4">
        <v>100000</v>
      </c>
      <c r="G73" s="4">
        <v>2750000</v>
      </c>
      <c r="H73" s="4">
        <v>150000</v>
      </c>
      <c r="I73" s="4">
        <v>0</v>
      </c>
      <c r="J73" s="2" t="s">
        <v>281</v>
      </c>
      <c r="K73" s="4">
        <v>6450000</v>
      </c>
      <c r="L73" s="4">
        <v>0</v>
      </c>
      <c r="M73" s="4">
        <v>3450000</v>
      </c>
      <c r="N73" s="4">
        <v>25150000</v>
      </c>
      <c r="O73" s="4">
        <v>3700000</v>
      </c>
      <c r="P73" s="5">
        <v>0.426357</v>
      </c>
      <c r="Q73" s="5">
        <v>0.932432</v>
      </c>
      <c r="R73" s="2" t="s">
        <v>367</v>
      </c>
      <c r="S73" s="7">
        <f t="shared" si="8"/>
        <v>3450000</v>
      </c>
      <c r="T73" s="7">
        <f t="shared" si="9"/>
        <v>3700000</v>
      </c>
      <c r="U73" s="8">
        <f t="shared" si="10"/>
        <v>0.932432432432432</v>
      </c>
      <c r="V73" s="9" t="e">
        <f>IF(T73&lt;=0,"Output &lt;= 0",IF(U73&gt;#REF!,"Terlalu tinggi",IF(U73&lt;#REF!,"Terlalu rendah","Sesuai")))</f>
        <v>#REF!</v>
      </c>
      <c r="W73" s="7" t="e">
        <f>IF(T73&lt;=0,S73,IF(U73&gt;#REF!,ROUNDDOWN(T73*#REF!,0),IF(U73&lt;#REF!,ROUNDUP(T73*#REF!,0),S73)))</f>
        <v>#REF!</v>
      </c>
      <c r="X73" s="7" t="e">
        <f t="shared" si="11"/>
        <v>#REF!</v>
      </c>
      <c r="Y73" s="7" t="e">
        <f t="shared" si="12"/>
        <v>#REF!</v>
      </c>
      <c r="Z73" s="7" t="e">
        <f t="shared" si="13"/>
        <v>#REF!</v>
      </c>
      <c r="AA73" s="7" t="e">
        <f t="shared" si="14"/>
        <v>#REF!</v>
      </c>
      <c r="AB73" s="8" t="e">
        <f t="shared" si="15"/>
        <v>#REF!</v>
      </c>
      <c r="AC73" s="9" t="e">
        <f>IF(T73&lt;=0,"Output &lt;= 0, cek manual",IF(OR(Z73&lt;0,Y73&lt;0),"Biaya negatif",IF(AND(AB73&gt;=#REF!,AB73&lt;=#REF!),"OK","Di luar rentang")))</f>
        <v>#REF!</v>
      </c>
    </row>
    <row r="74" ht="42.75" spans="1:29">
      <c r="A74" s="2" t="s">
        <v>30</v>
      </c>
      <c r="B74" s="2" t="s">
        <v>363</v>
      </c>
      <c r="C74" s="3" t="s">
        <v>368</v>
      </c>
      <c r="D74" s="3" t="s">
        <v>38</v>
      </c>
      <c r="E74" s="3" t="s">
        <v>369</v>
      </c>
      <c r="F74" s="4">
        <v>0</v>
      </c>
      <c r="G74" s="4">
        <v>500000</v>
      </c>
      <c r="H74" s="4">
        <v>250000</v>
      </c>
      <c r="I74" s="4">
        <v>0</v>
      </c>
      <c r="J74" s="2" t="s">
        <v>370</v>
      </c>
      <c r="K74" s="4">
        <v>6720000</v>
      </c>
      <c r="L74" s="4">
        <v>0</v>
      </c>
      <c r="M74" s="4">
        <v>5970000</v>
      </c>
      <c r="N74" s="4">
        <v>7250000</v>
      </c>
      <c r="O74" s="4">
        <v>6220000</v>
      </c>
      <c r="P74" s="5">
        <v>0.074405</v>
      </c>
      <c r="Q74" s="5">
        <v>0.959807</v>
      </c>
      <c r="R74" s="2" t="s">
        <v>371</v>
      </c>
      <c r="S74" s="7">
        <f t="shared" si="8"/>
        <v>5970000</v>
      </c>
      <c r="T74" s="7">
        <f t="shared" si="9"/>
        <v>6220000</v>
      </c>
      <c r="U74" s="8">
        <f t="shared" si="10"/>
        <v>0.959807073954984</v>
      </c>
      <c r="V74" s="9" t="e">
        <f>IF(T74&lt;=0,"Output &lt;= 0",IF(U74&gt;#REF!,"Terlalu tinggi",IF(U74&lt;#REF!,"Terlalu rendah","Sesuai")))</f>
        <v>#REF!</v>
      </c>
      <c r="W74" s="7" t="e">
        <f>IF(T74&lt;=0,S74,IF(U74&gt;#REF!,ROUNDDOWN(T74*#REF!,0),IF(U74&lt;#REF!,ROUNDUP(T74*#REF!,0),S74)))</f>
        <v>#REF!</v>
      </c>
      <c r="X74" s="7" t="e">
        <f t="shared" si="11"/>
        <v>#REF!</v>
      </c>
      <c r="Y74" s="7" t="e">
        <f t="shared" si="12"/>
        <v>#REF!</v>
      </c>
      <c r="Z74" s="7" t="e">
        <f t="shared" si="13"/>
        <v>#REF!</v>
      </c>
      <c r="AA74" s="7" t="e">
        <f t="shared" si="14"/>
        <v>#REF!</v>
      </c>
      <c r="AB74" s="8" t="e">
        <f t="shared" si="15"/>
        <v>#REF!</v>
      </c>
      <c r="AC74" s="9" t="e">
        <f>IF(T74&lt;=0,"Output &lt;= 0, cek manual",IF(OR(Z74&lt;0,Y74&lt;0),"Biaya negatif",IF(AND(AB74&gt;=#REF!,AB74&lt;=#REF!),"OK","Di luar rentang")))</f>
        <v>#REF!</v>
      </c>
    </row>
    <row r="75" ht="128.25" spans="1:29">
      <c r="A75" s="2" t="s">
        <v>30</v>
      </c>
      <c r="B75" s="2" t="s">
        <v>372</v>
      </c>
      <c r="C75" s="3" t="s">
        <v>373</v>
      </c>
      <c r="D75" s="3" t="s">
        <v>301</v>
      </c>
      <c r="E75" s="3" t="s">
        <v>302</v>
      </c>
      <c r="F75" s="4">
        <v>0</v>
      </c>
      <c r="G75" s="4">
        <v>48000000</v>
      </c>
      <c r="H75" s="4">
        <v>0</v>
      </c>
      <c r="I75" s="4">
        <v>0</v>
      </c>
      <c r="J75" s="2" t="s">
        <v>374</v>
      </c>
      <c r="K75" s="4">
        <v>48480000</v>
      </c>
      <c r="L75" s="4">
        <v>0</v>
      </c>
      <c r="M75" s="4">
        <v>480000</v>
      </c>
      <c r="N75" s="4">
        <v>5780000</v>
      </c>
      <c r="O75" s="4">
        <v>480000</v>
      </c>
      <c r="P75" s="5">
        <v>0.990099</v>
      </c>
      <c r="Q75" s="4">
        <v>1</v>
      </c>
      <c r="R75" s="2" t="s">
        <v>375</v>
      </c>
      <c r="S75" s="7">
        <f t="shared" si="8"/>
        <v>480000</v>
      </c>
      <c r="T75" s="7">
        <f t="shared" si="9"/>
        <v>480000</v>
      </c>
      <c r="U75" s="8">
        <f t="shared" si="10"/>
        <v>1</v>
      </c>
      <c r="V75" s="9" t="e">
        <f>IF(T75&lt;=0,"Output &lt;= 0",IF(U75&gt;#REF!,"Terlalu tinggi",IF(U75&lt;#REF!,"Terlalu rendah","Sesuai")))</f>
        <v>#REF!</v>
      </c>
      <c r="W75" s="7" t="e">
        <f>IF(T75&lt;=0,S75,IF(U75&gt;#REF!,ROUNDDOWN(T75*#REF!,0),IF(U75&lt;#REF!,ROUNDUP(T75*#REF!,0),S75)))</f>
        <v>#REF!</v>
      </c>
      <c r="X75" s="7" t="e">
        <f t="shared" si="11"/>
        <v>#REF!</v>
      </c>
      <c r="Y75" s="7" t="e">
        <f t="shared" si="12"/>
        <v>#REF!</v>
      </c>
      <c r="Z75" s="7" t="e">
        <f t="shared" si="13"/>
        <v>#REF!</v>
      </c>
      <c r="AA75" s="7" t="e">
        <f t="shared" si="14"/>
        <v>#REF!</v>
      </c>
      <c r="AB75" s="8" t="e">
        <f t="shared" si="15"/>
        <v>#REF!</v>
      </c>
      <c r="AC75" s="9" t="e">
        <f>IF(T75&lt;=0,"Output &lt;= 0, cek manual",IF(OR(Z75&lt;0,Y75&lt;0),"Biaya negatif",IF(AND(AB75&gt;=#REF!,AB75&lt;=#REF!),"OK","Di luar rentang")))</f>
        <v>#REF!</v>
      </c>
    </row>
    <row r="76" ht="99.75" spans="1:29">
      <c r="A76" s="2" t="s">
        <v>30</v>
      </c>
      <c r="B76" s="2" t="s">
        <v>372</v>
      </c>
      <c r="C76" s="3" t="s">
        <v>376</v>
      </c>
      <c r="D76" s="3" t="s">
        <v>377</v>
      </c>
      <c r="E76" s="3" t="s">
        <v>378</v>
      </c>
      <c r="F76" s="4">
        <v>0</v>
      </c>
      <c r="G76" s="4">
        <v>1170000</v>
      </c>
      <c r="H76" s="4">
        <v>0</v>
      </c>
      <c r="I76" s="4">
        <v>0</v>
      </c>
      <c r="J76" s="2" t="s">
        <v>370</v>
      </c>
      <c r="K76" s="4">
        <v>1470000</v>
      </c>
      <c r="L76" s="4">
        <v>0</v>
      </c>
      <c r="M76" s="4">
        <v>300000</v>
      </c>
      <c r="N76" s="4">
        <v>200000</v>
      </c>
      <c r="O76" s="4">
        <v>300000</v>
      </c>
      <c r="P76" s="5">
        <v>0.795918</v>
      </c>
      <c r="Q76" s="4">
        <v>1</v>
      </c>
      <c r="R76" s="2" t="s">
        <v>379</v>
      </c>
      <c r="S76" s="7">
        <f t="shared" si="8"/>
        <v>300000</v>
      </c>
      <c r="T76" s="7">
        <f t="shared" si="9"/>
        <v>300000</v>
      </c>
      <c r="U76" s="8">
        <f t="shared" si="10"/>
        <v>1</v>
      </c>
      <c r="V76" s="9" t="e">
        <f>IF(T76&lt;=0,"Output &lt;= 0",IF(U76&gt;#REF!,"Terlalu tinggi",IF(U76&lt;#REF!,"Terlalu rendah","Sesuai")))</f>
        <v>#REF!</v>
      </c>
      <c r="W76" s="7" t="e">
        <f>IF(T76&lt;=0,S76,IF(U76&gt;#REF!,ROUNDDOWN(T76*#REF!,0),IF(U76&lt;#REF!,ROUNDUP(T76*#REF!,0),S76)))</f>
        <v>#REF!</v>
      </c>
      <c r="X76" s="7" t="e">
        <f t="shared" si="11"/>
        <v>#REF!</v>
      </c>
      <c r="Y76" s="7" t="e">
        <f t="shared" si="12"/>
        <v>#REF!</v>
      </c>
      <c r="Z76" s="7" t="e">
        <f t="shared" si="13"/>
        <v>#REF!</v>
      </c>
      <c r="AA76" s="7" t="e">
        <f t="shared" si="14"/>
        <v>#REF!</v>
      </c>
      <c r="AB76" s="8" t="e">
        <f t="shared" si="15"/>
        <v>#REF!</v>
      </c>
      <c r="AC76" s="9" t="e">
        <f>IF(T76&lt;=0,"Output &lt;= 0, cek manual",IF(OR(Z76&lt;0,Y76&lt;0),"Biaya negatif",IF(AND(AB76&gt;=#REF!,AB76&lt;=#REF!),"OK","Di luar rentang")))</f>
        <v>#REF!</v>
      </c>
    </row>
    <row r="77" ht="57" spans="1:29">
      <c r="A77" s="2" t="s">
        <v>30</v>
      </c>
      <c r="B77" s="2" t="s">
        <v>372</v>
      </c>
      <c r="C77" s="3" t="s">
        <v>380</v>
      </c>
      <c r="D77" s="3" t="s">
        <v>381</v>
      </c>
      <c r="E77" s="3" t="s">
        <v>382</v>
      </c>
      <c r="F77" s="4">
        <v>55000000</v>
      </c>
      <c r="G77" s="4">
        <v>7200000</v>
      </c>
      <c r="H77" s="4">
        <v>0</v>
      </c>
      <c r="I77" s="4">
        <v>2</v>
      </c>
      <c r="J77" s="2" t="s">
        <v>383</v>
      </c>
      <c r="K77" s="4">
        <v>84000000</v>
      </c>
      <c r="L77" s="4">
        <v>0</v>
      </c>
      <c r="M77" s="4">
        <v>21800000</v>
      </c>
      <c r="N77" s="4">
        <v>17000000</v>
      </c>
      <c r="O77" s="4">
        <v>76800000</v>
      </c>
      <c r="P77" s="5">
        <v>0.085714</v>
      </c>
      <c r="Q77" s="5">
        <v>0.283854</v>
      </c>
      <c r="R77" s="2" t="s">
        <v>384</v>
      </c>
      <c r="S77" s="7">
        <f t="shared" si="8"/>
        <v>21800000</v>
      </c>
      <c r="T77" s="7">
        <f t="shared" si="9"/>
        <v>76800000</v>
      </c>
      <c r="U77" s="8">
        <f t="shared" si="10"/>
        <v>0.283854166666667</v>
      </c>
      <c r="V77" s="9" t="e">
        <f>IF(T77&lt;=0,"Output &lt;= 0",IF(U77&gt;#REF!,"Terlalu tinggi",IF(U77&lt;#REF!,"Terlalu rendah","Sesuai")))</f>
        <v>#REF!</v>
      </c>
      <c r="W77" s="7" t="e">
        <f>IF(T77&lt;=0,S77,IF(U77&gt;#REF!,ROUNDDOWN(T77*#REF!,0),IF(U77&lt;#REF!,ROUNDUP(T77*#REF!,0),S77)))</f>
        <v>#REF!</v>
      </c>
      <c r="X77" s="7" t="e">
        <f t="shared" si="11"/>
        <v>#REF!</v>
      </c>
      <c r="Y77" s="7" t="e">
        <f t="shared" si="12"/>
        <v>#REF!</v>
      </c>
      <c r="Z77" s="7" t="e">
        <f t="shared" si="13"/>
        <v>#REF!</v>
      </c>
      <c r="AA77" s="7" t="e">
        <f t="shared" si="14"/>
        <v>#REF!</v>
      </c>
      <c r="AB77" s="8" t="e">
        <f t="shared" si="15"/>
        <v>#REF!</v>
      </c>
      <c r="AC77" s="9" t="e">
        <f>IF(T77&lt;=0,"Output &lt;= 0, cek manual",IF(OR(Z77&lt;0,Y77&lt;0),"Biaya negatif",IF(AND(AB77&gt;=#REF!,AB77&lt;=#REF!),"OK","Di luar rentang")))</f>
        <v>#REF!</v>
      </c>
    </row>
    <row r="78" ht="71.25" spans="1:29">
      <c r="A78" s="2" t="s">
        <v>30</v>
      </c>
      <c r="B78" s="2" t="s">
        <v>372</v>
      </c>
      <c r="C78" s="3" t="s">
        <v>385</v>
      </c>
      <c r="D78" s="3"/>
      <c r="E78" s="3"/>
      <c r="F78" s="4">
        <v>30000000</v>
      </c>
      <c r="G78" s="4">
        <v>9380927103</v>
      </c>
      <c r="H78" s="4">
        <v>46600000</v>
      </c>
      <c r="I78" s="4">
        <v>19686136</v>
      </c>
      <c r="J78" s="2"/>
      <c r="K78" s="4">
        <v>9954268400</v>
      </c>
      <c r="L78" s="4">
        <v>0</v>
      </c>
      <c r="M78" s="4">
        <v>496741297</v>
      </c>
      <c r="N78" s="4">
        <v>569000000</v>
      </c>
      <c r="O78" s="4">
        <v>573341297</v>
      </c>
      <c r="P78" s="5">
        <v>0.942402</v>
      </c>
      <c r="Q78" s="5">
        <v>0.866397</v>
      </c>
      <c r="R78" s="2" t="s">
        <v>386</v>
      </c>
      <c r="S78" s="7">
        <f t="shared" si="8"/>
        <v>496741297</v>
      </c>
      <c r="T78" s="7">
        <f t="shared" si="9"/>
        <v>573341297</v>
      </c>
      <c r="U78" s="8">
        <f t="shared" si="10"/>
        <v>0.866397204595573</v>
      </c>
      <c r="V78" s="9" t="e">
        <f>IF(T78&lt;=0,"Output &lt;= 0",IF(U78&gt;#REF!,"Terlalu tinggi",IF(U78&lt;#REF!,"Terlalu rendah","Sesuai")))</f>
        <v>#REF!</v>
      </c>
      <c r="W78" s="7" t="e">
        <f>IF(T78&lt;=0,S78,IF(U78&gt;#REF!,ROUNDDOWN(T78*#REF!,0),IF(U78&lt;#REF!,ROUNDUP(T78*#REF!,0),S78)))</f>
        <v>#REF!</v>
      </c>
      <c r="X78" s="7" t="e">
        <f t="shared" si="11"/>
        <v>#REF!</v>
      </c>
      <c r="Y78" s="7" t="e">
        <f t="shared" si="12"/>
        <v>#REF!</v>
      </c>
      <c r="Z78" s="7" t="e">
        <f t="shared" si="13"/>
        <v>#REF!</v>
      </c>
      <c r="AA78" s="7" t="e">
        <f t="shared" si="14"/>
        <v>#REF!</v>
      </c>
      <c r="AB78" s="8" t="e">
        <f t="shared" si="15"/>
        <v>#REF!</v>
      </c>
      <c r="AC78" s="9" t="e">
        <f>IF(T78&lt;=0,"Output &lt;= 0, cek manual",IF(OR(Z78&lt;0,Y78&lt;0),"Biaya negatif",IF(AND(AB78&gt;=#REF!,AB78&lt;=#REF!),"OK","Di luar rentang")))</f>
        <v>#REF!</v>
      </c>
    </row>
    <row r="79" ht="57" spans="1:29">
      <c r="A79" s="2" t="s">
        <v>30</v>
      </c>
      <c r="B79" s="2" t="s">
        <v>372</v>
      </c>
      <c r="C79" s="3" t="s">
        <v>387</v>
      </c>
      <c r="D79" s="3" t="s">
        <v>388</v>
      </c>
      <c r="E79" s="3" t="s">
        <v>388</v>
      </c>
      <c r="F79" s="4">
        <v>0</v>
      </c>
      <c r="G79" s="4">
        <v>700000</v>
      </c>
      <c r="H79" s="4">
        <v>0</v>
      </c>
      <c r="I79" s="4">
        <v>0</v>
      </c>
      <c r="J79" s="2" t="s">
        <v>389</v>
      </c>
      <c r="K79" s="4">
        <v>1000000</v>
      </c>
      <c r="L79" s="4">
        <v>0</v>
      </c>
      <c r="M79" s="4">
        <v>300000</v>
      </c>
      <c r="N79" s="4">
        <v>10000000</v>
      </c>
      <c r="O79" s="4">
        <v>300000</v>
      </c>
      <c r="P79" s="12">
        <v>0.7</v>
      </c>
      <c r="Q79" s="4">
        <v>1</v>
      </c>
      <c r="R79" s="2" t="s">
        <v>390</v>
      </c>
      <c r="S79" s="7">
        <f t="shared" si="8"/>
        <v>300000</v>
      </c>
      <c r="T79" s="7">
        <f t="shared" si="9"/>
        <v>300000</v>
      </c>
      <c r="U79" s="8">
        <f t="shared" si="10"/>
        <v>1</v>
      </c>
      <c r="V79" s="9" t="e">
        <f>IF(T79&lt;=0,"Output &lt;= 0",IF(U79&gt;#REF!,"Terlalu tinggi",IF(U79&lt;#REF!,"Terlalu rendah","Sesuai")))</f>
        <v>#REF!</v>
      </c>
      <c r="W79" s="7" t="e">
        <f>IF(T79&lt;=0,S79,IF(U79&gt;#REF!,ROUNDDOWN(T79*#REF!,0),IF(U79&lt;#REF!,ROUNDUP(T79*#REF!,0),S79)))</f>
        <v>#REF!</v>
      </c>
      <c r="X79" s="7" t="e">
        <f t="shared" si="11"/>
        <v>#REF!</v>
      </c>
      <c r="Y79" s="7" t="e">
        <f t="shared" si="12"/>
        <v>#REF!</v>
      </c>
      <c r="Z79" s="7" t="e">
        <f t="shared" si="13"/>
        <v>#REF!</v>
      </c>
      <c r="AA79" s="7" t="e">
        <f t="shared" si="14"/>
        <v>#REF!</v>
      </c>
      <c r="AB79" s="8" t="e">
        <f t="shared" si="15"/>
        <v>#REF!</v>
      </c>
      <c r="AC79" s="9" t="e">
        <f>IF(T79&lt;=0,"Output &lt;= 0, cek manual",IF(OR(Z79&lt;0,Y79&lt;0),"Biaya negatif",IF(AND(AB79&gt;=#REF!,AB79&lt;=#REF!),"OK","Di luar rentang")))</f>
        <v>#REF!</v>
      </c>
    </row>
    <row r="80" ht="85.5" spans="1:29">
      <c r="A80" s="2" t="s">
        <v>30</v>
      </c>
      <c r="B80" s="2" t="s">
        <v>391</v>
      </c>
      <c r="C80" s="3" t="s">
        <v>392</v>
      </c>
      <c r="D80" s="3" t="s">
        <v>393</v>
      </c>
      <c r="E80" s="3" t="s">
        <v>394</v>
      </c>
      <c r="F80" s="4">
        <v>2000000</v>
      </c>
      <c r="G80" s="4">
        <v>6720000</v>
      </c>
      <c r="H80" s="4">
        <v>1000000</v>
      </c>
      <c r="I80" s="4">
        <v>0</v>
      </c>
      <c r="J80" s="2" t="s">
        <v>395</v>
      </c>
      <c r="K80" s="4">
        <v>12720000</v>
      </c>
      <c r="L80" s="4">
        <v>0</v>
      </c>
      <c r="M80" s="4">
        <v>3000000</v>
      </c>
      <c r="N80" s="4">
        <v>300000</v>
      </c>
      <c r="O80" s="4">
        <v>6000000</v>
      </c>
      <c r="P80" s="5">
        <v>0.528302</v>
      </c>
      <c r="Q80" s="12">
        <v>0.5</v>
      </c>
      <c r="R80" s="2" t="s">
        <v>396</v>
      </c>
      <c r="S80" s="7">
        <f t="shared" si="8"/>
        <v>3000000</v>
      </c>
      <c r="T80" s="7">
        <f t="shared" si="9"/>
        <v>6000000</v>
      </c>
      <c r="U80" s="8">
        <f t="shared" si="10"/>
        <v>0.5</v>
      </c>
      <c r="V80" s="9" t="e">
        <f>IF(T80&lt;=0,"Output &lt;= 0",IF(U80&gt;#REF!,"Terlalu tinggi",IF(U80&lt;#REF!,"Terlalu rendah","Sesuai")))</f>
        <v>#REF!</v>
      </c>
      <c r="W80" s="7" t="e">
        <f>IF(T80&lt;=0,S80,IF(U80&gt;#REF!,ROUNDDOWN(T80*#REF!,0),IF(U80&lt;#REF!,ROUNDUP(T80*#REF!,0),S80)))</f>
        <v>#REF!</v>
      </c>
      <c r="X80" s="7" t="e">
        <f t="shared" si="11"/>
        <v>#REF!</v>
      </c>
      <c r="Y80" s="7" t="e">
        <f t="shared" si="12"/>
        <v>#REF!</v>
      </c>
      <c r="Z80" s="7" t="e">
        <f t="shared" si="13"/>
        <v>#REF!</v>
      </c>
      <c r="AA80" s="7" t="e">
        <f t="shared" si="14"/>
        <v>#REF!</v>
      </c>
      <c r="AB80" s="8" t="e">
        <f t="shared" si="15"/>
        <v>#REF!</v>
      </c>
      <c r="AC80" s="9" t="e">
        <f>IF(T80&lt;=0,"Output &lt;= 0, cek manual",IF(OR(Z80&lt;0,Y80&lt;0),"Biaya negatif",IF(AND(AB80&gt;=#REF!,AB80&lt;=#REF!),"OK","Di luar rentang")))</f>
        <v>#REF!</v>
      </c>
    </row>
    <row r="81" ht="85.5" spans="1:29">
      <c r="A81" s="2" t="s">
        <v>30</v>
      </c>
      <c r="B81" s="2" t="s">
        <v>391</v>
      </c>
      <c r="C81" s="3" t="s">
        <v>397</v>
      </c>
      <c r="D81" s="3" t="s">
        <v>398</v>
      </c>
      <c r="E81" s="3" t="s">
        <v>399</v>
      </c>
      <c r="F81" s="4">
        <v>0</v>
      </c>
      <c r="G81" s="4">
        <v>4830000</v>
      </c>
      <c r="H81" s="4">
        <v>20000</v>
      </c>
      <c r="I81" s="4">
        <v>0</v>
      </c>
      <c r="J81" s="2" t="s">
        <v>400</v>
      </c>
      <c r="K81" s="4">
        <v>6596000</v>
      </c>
      <c r="L81" s="4">
        <v>0</v>
      </c>
      <c r="M81" s="4">
        <v>1746000</v>
      </c>
      <c r="N81" s="4">
        <v>25000000</v>
      </c>
      <c r="O81" s="4">
        <v>1766000</v>
      </c>
      <c r="P81" s="5">
        <v>0.732262</v>
      </c>
      <c r="Q81" s="5">
        <v>0.988675</v>
      </c>
      <c r="R81" s="2" t="s">
        <v>401</v>
      </c>
      <c r="S81" s="7">
        <f t="shared" si="8"/>
        <v>1746000</v>
      </c>
      <c r="T81" s="7">
        <f t="shared" si="9"/>
        <v>1766000</v>
      </c>
      <c r="U81" s="8">
        <f t="shared" si="10"/>
        <v>0.988674971687429</v>
      </c>
      <c r="V81" s="9" t="e">
        <f>IF(T81&lt;=0,"Output &lt;= 0",IF(U81&gt;#REF!,"Terlalu tinggi",IF(U81&lt;#REF!,"Terlalu rendah","Sesuai")))</f>
        <v>#REF!</v>
      </c>
      <c r="W81" s="7" t="e">
        <f>IF(T81&lt;=0,S81,IF(U81&gt;#REF!,ROUNDDOWN(T81*#REF!,0),IF(U81&lt;#REF!,ROUNDUP(T81*#REF!,0),S81)))</f>
        <v>#REF!</v>
      </c>
      <c r="X81" s="7" t="e">
        <f t="shared" si="11"/>
        <v>#REF!</v>
      </c>
      <c r="Y81" s="7" t="e">
        <f t="shared" si="12"/>
        <v>#REF!</v>
      </c>
      <c r="Z81" s="7" t="e">
        <f t="shared" si="13"/>
        <v>#REF!</v>
      </c>
      <c r="AA81" s="7" t="e">
        <f t="shared" si="14"/>
        <v>#REF!</v>
      </c>
      <c r="AB81" s="8" t="e">
        <f t="shared" si="15"/>
        <v>#REF!</v>
      </c>
      <c r="AC81" s="9" t="e">
        <f>IF(T81&lt;=0,"Output &lt;= 0, cek manual",IF(OR(Z81&lt;0,Y81&lt;0),"Biaya negatif",IF(AND(AB81&gt;=#REF!,AB81&lt;=#REF!),"OK","Di luar rentang")))</f>
        <v>#REF!</v>
      </c>
    </row>
    <row r="82" ht="114" spans="1:29">
      <c r="A82" s="2" t="s">
        <v>30</v>
      </c>
      <c r="B82" s="2" t="s">
        <v>391</v>
      </c>
      <c r="C82" s="3" t="s">
        <v>402</v>
      </c>
      <c r="D82" s="3" t="s">
        <v>403</v>
      </c>
      <c r="E82" s="3" t="s">
        <v>404</v>
      </c>
      <c r="F82" s="4">
        <v>0</v>
      </c>
      <c r="G82" s="4">
        <v>21900000</v>
      </c>
      <c r="H82" s="4">
        <v>600000</v>
      </c>
      <c r="I82" s="4">
        <v>0</v>
      </c>
      <c r="J82" s="2" t="s">
        <v>405</v>
      </c>
      <c r="K82" s="4">
        <v>35400000</v>
      </c>
      <c r="L82" s="4">
        <v>0</v>
      </c>
      <c r="M82" s="4">
        <v>12900000</v>
      </c>
      <c r="N82" s="4">
        <v>0</v>
      </c>
      <c r="O82" s="4">
        <v>13500000</v>
      </c>
      <c r="P82" s="5">
        <v>0.618644</v>
      </c>
      <c r="Q82" s="5">
        <v>0.955556</v>
      </c>
      <c r="R82" s="2" t="s">
        <v>406</v>
      </c>
      <c r="S82" s="7">
        <f t="shared" si="8"/>
        <v>12900000</v>
      </c>
      <c r="T82" s="7">
        <f t="shared" si="9"/>
        <v>13500000</v>
      </c>
      <c r="U82" s="8">
        <f t="shared" si="10"/>
        <v>0.955555555555556</v>
      </c>
      <c r="V82" s="9" t="e">
        <f>IF(T82&lt;=0,"Output &lt;= 0",IF(U82&gt;#REF!,"Terlalu tinggi",IF(U82&lt;#REF!,"Terlalu rendah","Sesuai")))</f>
        <v>#REF!</v>
      </c>
      <c r="W82" s="7" t="e">
        <f>IF(T82&lt;=0,S82,IF(U82&gt;#REF!,ROUNDDOWN(T82*#REF!,0),IF(U82&lt;#REF!,ROUNDUP(T82*#REF!,0),S82)))</f>
        <v>#REF!</v>
      </c>
      <c r="X82" s="7" t="e">
        <f t="shared" si="11"/>
        <v>#REF!</v>
      </c>
      <c r="Y82" s="7" t="e">
        <f t="shared" si="12"/>
        <v>#REF!</v>
      </c>
      <c r="Z82" s="7" t="e">
        <f t="shared" si="13"/>
        <v>#REF!</v>
      </c>
      <c r="AA82" s="7" t="e">
        <f t="shared" si="14"/>
        <v>#REF!</v>
      </c>
      <c r="AB82" s="8" t="e">
        <f t="shared" si="15"/>
        <v>#REF!</v>
      </c>
      <c r="AC82" s="9" t="e">
        <f>IF(T82&lt;=0,"Output &lt;= 0, cek manual",IF(OR(Z82&lt;0,Y82&lt;0),"Biaya negatif",IF(AND(AB82&gt;=#REF!,AB82&lt;=#REF!),"OK","Di luar rentang")))</f>
        <v>#REF!</v>
      </c>
    </row>
    <row r="83" ht="71.25" spans="1:29">
      <c r="A83" s="2" t="s">
        <v>30</v>
      </c>
      <c r="B83" s="2" t="s">
        <v>391</v>
      </c>
      <c r="C83" s="3" t="s">
        <v>407</v>
      </c>
      <c r="D83" s="3" t="s">
        <v>377</v>
      </c>
      <c r="E83" s="3" t="s">
        <v>408</v>
      </c>
      <c r="F83" s="4">
        <v>2000000</v>
      </c>
      <c r="G83" s="4">
        <v>2500000</v>
      </c>
      <c r="H83" s="4">
        <v>500000</v>
      </c>
      <c r="I83" s="4">
        <v>0</v>
      </c>
      <c r="J83" s="2" t="s">
        <v>266</v>
      </c>
      <c r="K83" s="4">
        <v>5000000</v>
      </c>
      <c r="L83" s="4">
        <v>0</v>
      </c>
      <c r="M83" s="4">
        <v>0</v>
      </c>
      <c r="N83" s="4">
        <v>10200000</v>
      </c>
      <c r="O83" s="4">
        <v>2500000</v>
      </c>
      <c r="P83" s="12">
        <v>0.5</v>
      </c>
      <c r="Q83" s="4">
        <v>0</v>
      </c>
      <c r="R83" s="2" t="s">
        <v>409</v>
      </c>
      <c r="S83" s="7">
        <f t="shared" si="8"/>
        <v>0</v>
      </c>
      <c r="T83" s="7">
        <f t="shared" si="9"/>
        <v>2500000</v>
      </c>
      <c r="U83" s="8">
        <f t="shared" si="10"/>
        <v>0</v>
      </c>
      <c r="V83" s="9" t="e">
        <f>IF(T83&lt;=0,"Output &lt;= 0",IF(U83&gt;#REF!,"Terlalu tinggi",IF(U83&lt;#REF!,"Terlalu rendah","Sesuai")))</f>
        <v>#REF!</v>
      </c>
      <c r="W83" s="7" t="e">
        <f>IF(T83&lt;=0,S83,IF(U83&gt;#REF!,ROUNDDOWN(T83*#REF!,0),IF(U83&lt;#REF!,ROUNDUP(T83*#REF!,0),S83)))</f>
        <v>#REF!</v>
      </c>
      <c r="X83" s="7" t="e">
        <f t="shared" si="11"/>
        <v>#REF!</v>
      </c>
      <c r="Y83" s="7" t="e">
        <f t="shared" si="12"/>
        <v>#REF!</v>
      </c>
      <c r="Z83" s="7" t="e">
        <f t="shared" si="13"/>
        <v>#REF!</v>
      </c>
      <c r="AA83" s="7" t="e">
        <f t="shared" si="14"/>
        <v>#REF!</v>
      </c>
      <c r="AB83" s="8" t="e">
        <f t="shared" si="15"/>
        <v>#REF!</v>
      </c>
      <c r="AC83" s="9" t="e">
        <f>IF(T83&lt;=0,"Output &lt;= 0, cek manual",IF(OR(Z83&lt;0,Y83&lt;0),"Biaya negatif",IF(AND(AB83&gt;=#REF!,AB83&lt;=#REF!),"OK","Di luar rentang")))</f>
        <v>#REF!</v>
      </c>
    </row>
    <row r="84" ht="114" spans="1:29">
      <c r="A84" s="2" t="s">
        <v>30</v>
      </c>
      <c r="B84" s="2" t="s">
        <v>391</v>
      </c>
      <c r="C84" s="3" t="s">
        <v>410</v>
      </c>
      <c r="D84" s="3" t="s">
        <v>411</v>
      </c>
      <c r="E84" s="3" t="s">
        <v>412</v>
      </c>
      <c r="F84" s="4">
        <v>0</v>
      </c>
      <c r="G84" s="4">
        <v>141120000</v>
      </c>
      <c r="H84" s="4">
        <v>5760000</v>
      </c>
      <c r="I84" s="4">
        <v>0</v>
      </c>
      <c r="J84" s="2" t="s">
        <v>413</v>
      </c>
      <c r="K84" s="4">
        <v>151200000</v>
      </c>
      <c r="L84" s="4">
        <v>0</v>
      </c>
      <c r="M84" s="4">
        <v>4320000</v>
      </c>
      <c r="N84" s="4">
        <v>0</v>
      </c>
      <c r="O84" s="4">
        <v>10080000</v>
      </c>
      <c r="P84" s="5">
        <v>0.933333</v>
      </c>
      <c r="Q84" s="5">
        <v>0.428571</v>
      </c>
      <c r="R84" s="2" t="s">
        <v>414</v>
      </c>
      <c r="S84" s="7">
        <f t="shared" si="8"/>
        <v>4320000</v>
      </c>
      <c r="T84" s="7">
        <f t="shared" si="9"/>
        <v>10080000</v>
      </c>
      <c r="U84" s="8">
        <f t="shared" si="10"/>
        <v>0.428571428571429</v>
      </c>
      <c r="V84" s="9" t="e">
        <f>IF(T84&lt;=0,"Output &lt;= 0",IF(U84&gt;#REF!,"Terlalu tinggi",IF(U84&lt;#REF!,"Terlalu rendah","Sesuai")))</f>
        <v>#REF!</v>
      </c>
      <c r="W84" s="7" t="e">
        <f>IF(T84&lt;=0,S84,IF(U84&gt;#REF!,ROUNDDOWN(T84*#REF!,0),IF(U84&lt;#REF!,ROUNDUP(T84*#REF!,0),S84)))</f>
        <v>#REF!</v>
      </c>
      <c r="X84" s="7" t="e">
        <f t="shared" si="11"/>
        <v>#REF!</v>
      </c>
      <c r="Y84" s="7" t="e">
        <f t="shared" si="12"/>
        <v>#REF!</v>
      </c>
      <c r="Z84" s="7" t="e">
        <f t="shared" si="13"/>
        <v>#REF!</v>
      </c>
      <c r="AA84" s="7" t="e">
        <f t="shared" si="14"/>
        <v>#REF!</v>
      </c>
      <c r="AB84" s="8" t="e">
        <f t="shared" si="15"/>
        <v>#REF!</v>
      </c>
      <c r="AC84" s="9" t="e">
        <f>IF(T84&lt;=0,"Output &lt;= 0, cek manual",IF(OR(Z84&lt;0,Y84&lt;0),"Biaya negatif",IF(AND(AB84&gt;=#REF!,AB84&lt;=#REF!),"OK","Di luar rentang")))</f>
        <v>#REF!</v>
      </c>
    </row>
    <row r="85" ht="85.5" spans="1:29">
      <c r="A85" s="2" t="s">
        <v>30</v>
      </c>
      <c r="B85" s="2" t="s">
        <v>391</v>
      </c>
      <c r="C85" s="3" t="s">
        <v>415</v>
      </c>
      <c r="D85" s="3" t="s">
        <v>416</v>
      </c>
      <c r="E85" s="3" t="s">
        <v>417</v>
      </c>
      <c r="F85" s="4">
        <v>200000</v>
      </c>
      <c r="G85" s="4">
        <v>45000000</v>
      </c>
      <c r="H85" s="4">
        <v>2000000</v>
      </c>
      <c r="I85" s="4">
        <v>0</v>
      </c>
      <c r="J85" s="2" t="s">
        <v>418</v>
      </c>
      <c r="K85" s="4">
        <v>56000000</v>
      </c>
      <c r="L85" s="4">
        <v>0</v>
      </c>
      <c r="M85" s="4">
        <v>8800000</v>
      </c>
      <c r="N85" s="4">
        <v>85000000</v>
      </c>
      <c r="O85" s="4">
        <v>11000000</v>
      </c>
      <c r="P85" s="5">
        <v>0.803571</v>
      </c>
      <c r="Q85" s="12">
        <v>0.8</v>
      </c>
      <c r="R85" s="2" t="s">
        <v>419</v>
      </c>
      <c r="S85" s="7">
        <f t="shared" si="8"/>
        <v>8800000</v>
      </c>
      <c r="T85" s="7">
        <f t="shared" si="9"/>
        <v>11000000</v>
      </c>
      <c r="U85" s="8">
        <f t="shared" si="10"/>
        <v>0.8</v>
      </c>
      <c r="V85" s="9" t="e">
        <f>IF(T85&lt;=0,"Output &lt;= 0",IF(U85&gt;#REF!,"Terlalu tinggi",IF(U85&lt;#REF!,"Terlalu rendah","Sesuai")))</f>
        <v>#REF!</v>
      </c>
      <c r="W85" s="7" t="e">
        <f>IF(T85&lt;=0,S85,IF(U85&gt;#REF!,ROUNDDOWN(T85*#REF!,0),IF(U85&lt;#REF!,ROUNDUP(T85*#REF!,0),S85)))</f>
        <v>#REF!</v>
      </c>
      <c r="X85" s="7" t="e">
        <f t="shared" si="11"/>
        <v>#REF!</v>
      </c>
      <c r="Y85" s="7" t="e">
        <f t="shared" si="12"/>
        <v>#REF!</v>
      </c>
      <c r="Z85" s="7" t="e">
        <f t="shared" si="13"/>
        <v>#REF!</v>
      </c>
      <c r="AA85" s="7" t="e">
        <f t="shared" si="14"/>
        <v>#REF!</v>
      </c>
      <c r="AB85" s="8" t="e">
        <f t="shared" si="15"/>
        <v>#REF!</v>
      </c>
      <c r="AC85" s="9" t="e">
        <f>IF(T85&lt;=0,"Output &lt;= 0, cek manual",IF(OR(Z85&lt;0,Y85&lt;0),"Biaya negatif",IF(AND(AB85&gt;=#REF!,AB85&lt;=#REF!),"OK","Di luar rentang")))</f>
        <v>#REF!</v>
      </c>
    </row>
    <row r="86" ht="85.5" spans="1:29">
      <c r="A86" s="2" t="s">
        <v>30</v>
      </c>
      <c r="B86" s="2" t="s">
        <v>391</v>
      </c>
      <c r="C86" s="3" t="s">
        <v>420</v>
      </c>
      <c r="D86" s="3" t="s">
        <v>421</v>
      </c>
      <c r="E86" s="3" t="s">
        <v>422</v>
      </c>
      <c r="F86" s="4">
        <v>0</v>
      </c>
      <c r="G86" s="4">
        <v>2300000</v>
      </c>
      <c r="H86" s="4">
        <v>500000</v>
      </c>
      <c r="I86" s="4">
        <v>0</v>
      </c>
      <c r="J86" s="2" t="s">
        <v>423</v>
      </c>
      <c r="K86" s="4">
        <v>3400000</v>
      </c>
      <c r="L86" s="4">
        <v>0</v>
      </c>
      <c r="M86" s="4">
        <v>600000</v>
      </c>
      <c r="N86" s="4">
        <v>0</v>
      </c>
      <c r="O86" s="4">
        <v>1100000</v>
      </c>
      <c r="P86" s="5">
        <v>0.676471</v>
      </c>
      <c r="Q86" s="5">
        <v>0.545455</v>
      </c>
      <c r="R86" s="2" t="s">
        <v>424</v>
      </c>
      <c r="S86" s="7">
        <f t="shared" si="8"/>
        <v>600000</v>
      </c>
      <c r="T86" s="7">
        <f t="shared" si="9"/>
        <v>1100000</v>
      </c>
      <c r="U86" s="8">
        <f t="shared" si="10"/>
        <v>0.545454545454545</v>
      </c>
      <c r="V86" s="9" t="e">
        <f>IF(T86&lt;=0,"Output &lt;= 0",IF(U86&gt;#REF!,"Terlalu tinggi",IF(U86&lt;#REF!,"Terlalu rendah","Sesuai")))</f>
        <v>#REF!</v>
      </c>
      <c r="W86" s="7" t="e">
        <f>IF(T86&lt;=0,S86,IF(U86&gt;#REF!,ROUNDDOWN(T86*#REF!,0),IF(U86&lt;#REF!,ROUNDUP(T86*#REF!,0),S86)))</f>
        <v>#REF!</v>
      </c>
      <c r="X86" s="7" t="e">
        <f t="shared" si="11"/>
        <v>#REF!</v>
      </c>
      <c r="Y86" s="7" t="e">
        <f t="shared" si="12"/>
        <v>#REF!</v>
      </c>
      <c r="Z86" s="7" t="e">
        <f t="shared" si="13"/>
        <v>#REF!</v>
      </c>
      <c r="AA86" s="7" t="e">
        <f t="shared" si="14"/>
        <v>#REF!</v>
      </c>
      <c r="AB86" s="8" t="e">
        <f t="shared" si="15"/>
        <v>#REF!</v>
      </c>
      <c r="AC86" s="9" t="e">
        <f>IF(T86&lt;=0,"Output &lt;= 0, cek manual",IF(OR(Z86&lt;0,Y86&lt;0),"Biaya negatif",IF(AND(AB86&gt;=#REF!,AB86&lt;=#REF!),"OK","Di luar rentang")))</f>
        <v>#REF!</v>
      </c>
    </row>
    <row r="87" ht="57" spans="1:29">
      <c r="A87" s="2" t="s">
        <v>30</v>
      </c>
      <c r="B87" s="2" t="s">
        <v>391</v>
      </c>
      <c r="C87" s="3" t="s">
        <v>425</v>
      </c>
      <c r="D87" s="3" t="s">
        <v>224</v>
      </c>
      <c r="E87" s="3" t="s">
        <v>426</v>
      </c>
      <c r="F87" s="4">
        <v>0</v>
      </c>
      <c r="G87" s="4">
        <v>11000000</v>
      </c>
      <c r="H87" s="4">
        <v>0</v>
      </c>
      <c r="I87" s="4">
        <v>0</v>
      </c>
      <c r="J87" s="2" t="s">
        <v>186</v>
      </c>
      <c r="K87" s="4">
        <v>12000000</v>
      </c>
      <c r="L87" s="4">
        <v>0</v>
      </c>
      <c r="M87" s="4">
        <v>1000000</v>
      </c>
      <c r="N87" s="4">
        <v>300000</v>
      </c>
      <c r="O87" s="4">
        <v>1000000</v>
      </c>
      <c r="P87" s="5">
        <v>0.916667</v>
      </c>
      <c r="Q87" s="4">
        <v>1</v>
      </c>
      <c r="R87" s="2" t="s">
        <v>427</v>
      </c>
      <c r="S87" s="7">
        <f t="shared" si="8"/>
        <v>1000000</v>
      </c>
      <c r="T87" s="7">
        <f t="shared" si="9"/>
        <v>1000000</v>
      </c>
      <c r="U87" s="8">
        <f t="shared" si="10"/>
        <v>1</v>
      </c>
      <c r="V87" s="9" t="e">
        <f>IF(T87&lt;=0,"Output &lt;= 0",IF(U87&gt;#REF!,"Terlalu tinggi",IF(U87&lt;#REF!,"Terlalu rendah","Sesuai")))</f>
        <v>#REF!</v>
      </c>
      <c r="W87" s="7" t="e">
        <f>IF(T87&lt;=0,S87,IF(U87&gt;#REF!,ROUNDDOWN(T87*#REF!,0),IF(U87&lt;#REF!,ROUNDUP(T87*#REF!,0),S87)))</f>
        <v>#REF!</v>
      </c>
      <c r="X87" s="7" t="e">
        <f t="shared" si="11"/>
        <v>#REF!</v>
      </c>
      <c r="Y87" s="7" t="e">
        <f t="shared" si="12"/>
        <v>#REF!</v>
      </c>
      <c r="Z87" s="7" t="e">
        <f t="shared" si="13"/>
        <v>#REF!</v>
      </c>
      <c r="AA87" s="7" t="e">
        <f t="shared" si="14"/>
        <v>#REF!</v>
      </c>
      <c r="AB87" s="8" t="e">
        <f t="shared" si="15"/>
        <v>#REF!</v>
      </c>
      <c r="AC87" s="9" t="e">
        <f>IF(T87&lt;=0,"Output &lt;= 0, cek manual",IF(OR(Z87&lt;0,Y87&lt;0),"Biaya negatif",IF(AND(AB87&gt;=#REF!,AB87&lt;=#REF!),"OK","Di luar rentang")))</f>
        <v>#REF!</v>
      </c>
    </row>
    <row r="88" ht="99.75" spans="1:29">
      <c r="A88" s="2" t="s">
        <v>30</v>
      </c>
      <c r="B88" s="2" t="s">
        <v>428</v>
      </c>
      <c r="C88" s="3" t="s">
        <v>429</v>
      </c>
      <c r="D88" s="3" t="s">
        <v>430</v>
      </c>
      <c r="E88" s="3" t="s">
        <v>430</v>
      </c>
      <c r="F88" s="4">
        <v>10000000</v>
      </c>
      <c r="G88" s="4">
        <v>0</v>
      </c>
      <c r="H88" s="4">
        <v>200000</v>
      </c>
      <c r="I88" s="4">
        <v>0</v>
      </c>
      <c r="J88" s="2" t="s">
        <v>431</v>
      </c>
      <c r="K88" s="4">
        <v>50000000</v>
      </c>
      <c r="L88" s="4">
        <v>0</v>
      </c>
      <c r="M88" s="4">
        <v>39800000</v>
      </c>
      <c r="N88" s="4">
        <v>0</v>
      </c>
      <c r="O88" s="4">
        <v>50000000</v>
      </c>
      <c r="P88" s="4">
        <v>0</v>
      </c>
      <c r="Q88" s="10">
        <v>0.796</v>
      </c>
      <c r="R88" s="2" t="s">
        <v>432</v>
      </c>
      <c r="S88" s="7">
        <f t="shared" si="8"/>
        <v>39800000</v>
      </c>
      <c r="T88" s="7">
        <f t="shared" si="9"/>
        <v>50000000</v>
      </c>
      <c r="U88" s="8">
        <f t="shared" si="10"/>
        <v>0.796</v>
      </c>
      <c r="V88" s="9" t="e">
        <f>IF(T88&lt;=0,"Output &lt;= 0",IF(U88&gt;#REF!,"Terlalu tinggi",IF(U88&lt;#REF!,"Terlalu rendah","Sesuai")))</f>
        <v>#REF!</v>
      </c>
      <c r="W88" s="7" t="e">
        <f>IF(T88&lt;=0,S88,IF(U88&gt;#REF!,ROUNDDOWN(T88*#REF!,0),IF(U88&lt;#REF!,ROUNDUP(T88*#REF!,0),S88)))</f>
        <v>#REF!</v>
      </c>
      <c r="X88" s="7" t="e">
        <f t="shared" si="11"/>
        <v>#REF!</v>
      </c>
      <c r="Y88" s="7" t="e">
        <f t="shared" si="12"/>
        <v>#REF!</v>
      </c>
      <c r="Z88" s="7" t="e">
        <f t="shared" si="13"/>
        <v>#REF!</v>
      </c>
      <c r="AA88" s="7" t="e">
        <f t="shared" si="14"/>
        <v>#REF!</v>
      </c>
      <c r="AB88" s="8" t="e">
        <f t="shared" si="15"/>
        <v>#REF!</v>
      </c>
      <c r="AC88" s="9" t="e">
        <f>IF(T88&lt;=0,"Output &lt;= 0, cek manual",IF(OR(Z88&lt;0,Y88&lt;0),"Biaya negatif",IF(AND(AB88&gt;=#REF!,AB88&lt;=#REF!),"OK","Di luar rentang")))</f>
        <v>#REF!</v>
      </c>
    </row>
    <row r="89" ht="71.25" spans="1:29">
      <c r="A89" s="2" t="s">
        <v>30</v>
      </c>
      <c r="B89" s="2" t="s">
        <v>433</v>
      </c>
      <c r="C89" s="3" t="s">
        <v>434</v>
      </c>
      <c r="D89" s="3" t="s">
        <v>435</v>
      </c>
      <c r="E89" s="3" t="s">
        <v>436</v>
      </c>
      <c r="F89" s="4">
        <v>200000</v>
      </c>
      <c r="G89" s="4">
        <v>10000000</v>
      </c>
      <c r="H89" s="4">
        <v>1200000</v>
      </c>
      <c r="I89" s="4">
        <v>0</v>
      </c>
      <c r="J89" s="2" t="s">
        <v>437</v>
      </c>
      <c r="K89" s="4">
        <v>24000000</v>
      </c>
      <c r="L89" s="4">
        <v>0</v>
      </c>
      <c r="M89" s="4">
        <v>12600000</v>
      </c>
      <c r="N89" s="4">
        <v>0</v>
      </c>
      <c r="O89" s="4">
        <v>14000000</v>
      </c>
      <c r="P89" s="5">
        <v>0.416667</v>
      </c>
      <c r="Q89" s="12">
        <v>0.9</v>
      </c>
      <c r="R89" s="2" t="s">
        <v>438</v>
      </c>
      <c r="S89" s="7">
        <f t="shared" si="8"/>
        <v>12600000</v>
      </c>
      <c r="T89" s="7">
        <f t="shared" si="9"/>
        <v>14000000</v>
      </c>
      <c r="U89" s="8">
        <f t="shared" si="10"/>
        <v>0.9</v>
      </c>
      <c r="V89" s="9" t="e">
        <f>IF(T89&lt;=0,"Output &lt;= 0",IF(U89&gt;#REF!,"Terlalu tinggi",IF(U89&lt;#REF!,"Terlalu rendah","Sesuai")))</f>
        <v>#REF!</v>
      </c>
      <c r="W89" s="7" t="e">
        <f>IF(T89&lt;=0,S89,IF(U89&gt;#REF!,ROUNDDOWN(T89*#REF!,0),IF(U89&lt;#REF!,ROUNDUP(T89*#REF!,0),S89)))</f>
        <v>#REF!</v>
      </c>
      <c r="X89" s="7" t="e">
        <f t="shared" si="11"/>
        <v>#REF!</v>
      </c>
      <c r="Y89" s="7" t="e">
        <f t="shared" si="12"/>
        <v>#REF!</v>
      </c>
      <c r="Z89" s="7" t="e">
        <f t="shared" si="13"/>
        <v>#REF!</v>
      </c>
      <c r="AA89" s="7" t="e">
        <f t="shared" si="14"/>
        <v>#REF!</v>
      </c>
      <c r="AB89" s="8" t="e">
        <f t="shared" si="15"/>
        <v>#REF!</v>
      </c>
      <c r="AC89" s="9" t="e">
        <f>IF(T89&lt;=0,"Output &lt;= 0, cek manual",IF(OR(Z89&lt;0,Y89&lt;0),"Biaya negatif",IF(AND(AB89&gt;=#REF!,AB89&lt;=#REF!),"OK","Di luar rentang")))</f>
        <v>#REF!</v>
      </c>
    </row>
    <row r="90" ht="99.75" spans="1:29">
      <c r="A90" s="2" t="s">
        <v>30</v>
      </c>
      <c r="B90" s="2" t="s">
        <v>433</v>
      </c>
      <c r="C90" s="3" t="s">
        <v>439</v>
      </c>
      <c r="D90" s="3" t="s">
        <v>440</v>
      </c>
      <c r="E90" s="3" t="s">
        <v>441</v>
      </c>
      <c r="F90" s="4">
        <v>0</v>
      </c>
      <c r="G90" s="4">
        <v>48000000</v>
      </c>
      <c r="H90" s="4">
        <v>3000000</v>
      </c>
      <c r="I90" s="4">
        <v>0</v>
      </c>
      <c r="J90" s="2" t="s">
        <v>442</v>
      </c>
      <c r="K90" s="4">
        <v>54000000</v>
      </c>
      <c r="L90" s="4">
        <v>0</v>
      </c>
      <c r="M90" s="4">
        <v>3000000</v>
      </c>
      <c r="N90" s="4">
        <v>3000000</v>
      </c>
      <c r="O90" s="4">
        <v>6000000</v>
      </c>
      <c r="P90" s="5">
        <v>0.888889</v>
      </c>
      <c r="Q90" s="12">
        <v>0.5</v>
      </c>
      <c r="R90" s="2" t="s">
        <v>443</v>
      </c>
      <c r="S90" s="7">
        <f t="shared" si="8"/>
        <v>3000000</v>
      </c>
      <c r="T90" s="7">
        <f t="shared" si="9"/>
        <v>6000000</v>
      </c>
      <c r="U90" s="8">
        <f t="shared" si="10"/>
        <v>0.5</v>
      </c>
      <c r="V90" s="9" t="e">
        <f>IF(T90&lt;=0,"Output &lt;= 0",IF(U90&gt;#REF!,"Terlalu tinggi",IF(U90&lt;#REF!,"Terlalu rendah","Sesuai")))</f>
        <v>#REF!</v>
      </c>
      <c r="W90" s="7" t="e">
        <f>IF(T90&lt;=0,S90,IF(U90&gt;#REF!,ROUNDDOWN(T90*#REF!,0),IF(U90&lt;#REF!,ROUNDUP(T90*#REF!,0),S90)))</f>
        <v>#REF!</v>
      </c>
      <c r="X90" s="7" t="e">
        <f t="shared" si="11"/>
        <v>#REF!</v>
      </c>
      <c r="Y90" s="7" t="e">
        <f t="shared" si="12"/>
        <v>#REF!</v>
      </c>
      <c r="Z90" s="7" t="e">
        <f t="shared" si="13"/>
        <v>#REF!</v>
      </c>
      <c r="AA90" s="7" t="e">
        <f t="shared" si="14"/>
        <v>#REF!</v>
      </c>
      <c r="AB90" s="8" t="e">
        <f t="shared" si="15"/>
        <v>#REF!</v>
      </c>
      <c r="AC90" s="9" t="e">
        <f>IF(T90&lt;=0,"Output &lt;= 0, cek manual",IF(OR(Z90&lt;0,Y90&lt;0),"Biaya negatif",IF(AND(AB90&gt;=#REF!,AB90&lt;=#REF!),"OK","Di luar rentang")))</f>
        <v>#REF!</v>
      </c>
    </row>
    <row r="91" ht="99.75" spans="1:29">
      <c r="A91" s="2" t="s">
        <v>30</v>
      </c>
      <c r="B91" s="2" t="s">
        <v>444</v>
      </c>
      <c r="C91" s="3" t="s">
        <v>445</v>
      </c>
      <c r="D91" s="3" t="s">
        <v>446</v>
      </c>
      <c r="E91" s="3" t="s">
        <v>447</v>
      </c>
      <c r="F91" s="4">
        <v>8000000</v>
      </c>
      <c r="G91" s="4">
        <v>900000000</v>
      </c>
      <c r="H91" s="4">
        <v>2000000</v>
      </c>
      <c r="I91" s="4">
        <v>0</v>
      </c>
      <c r="J91" s="2" t="s">
        <v>448</v>
      </c>
      <c r="K91" s="4">
        <v>970000000</v>
      </c>
      <c r="L91" s="4">
        <v>0</v>
      </c>
      <c r="M91" s="4">
        <v>60000000</v>
      </c>
      <c r="N91" s="4">
        <v>51800000</v>
      </c>
      <c r="O91" s="4">
        <v>70000000</v>
      </c>
      <c r="P91" s="5">
        <v>0.927835</v>
      </c>
      <c r="Q91" s="5">
        <v>0.857143</v>
      </c>
      <c r="R91" s="2" t="s">
        <v>449</v>
      </c>
      <c r="S91" s="7">
        <f t="shared" si="8"/>
        <v>60000000</v>
      </c>
      <c r="T91" s="7">
        <f t="shared" si="9"/>
        <v>70000000</v>
      </c>
      <c r="U91" s="8">
        <f t="shared" si="10"/>
        <v>0.857142857142857</v>
      </c>
      <c r="V91" s="9" t="e">
        <f>IF(T91&lt;=0,"Output &lt;= 0",IF(U91&gt;#REF!,"Terlalu tinggi",IF(U91&lt;#REF!,"Terlalu rendah","Sesuai")))</f>
        <v>#REF!</v>
      </c>
      <c r="W91" s="7" t="e">
        <f>IF(T91&lt;=0,S91,IF(U91&gt;#REF!,ROUNDDOWN(T91*#REF!,0),IF(U91&lt;#REF!,ROUNDUP(T91*#REF!,0),S91)))</f>
        <v>#REF!</v>
      </c>
      <c r="X91" s="7" t="e">
        <f t="shared" si="11"/>
        <v>#REF!</v>
      </c>
      <c r="Y91" s="7" t="e">
        <f t="shared" si="12"/>
        <v>#REF!</v>
      </c>
      <c r="Z91" s="7" t="e">
        <f t="shared" si="13"/>
        <v>#REF!</v>
      </c>
      <c r="AA91" s="7" t="e">
        <f t="shared" si="14"/>
        <v>#REF!</v>
      </c>
      <c r="AB91" s="8" t="e">
        <f t="shared" si="15"/>
        <v>#REF!</v>
      </c>
      <c r="AC91" s="9" t="e">
        <f>IF(T91&lt;=0,"Output &lt;= 0, cek manual",IF(OR(Z91&lt;0,Y91&lt;0),"Biaya negatif",IF(AND(AB91&gt;=#REF!,AB91&lt;=#REF!),"OK","Di luar rentang")))</f>
        <v>#REF!</v>
      </c>
    </row>
    <row r="92" ht="171" spans="1:29">
      <c r="A92" s="2" t="s">
        <v>30</v>
      </c>
      <c r="B92" s="2" t="s">
        <v>444</v>
      </c>
      <c r="C92" s="3" t="s">
        <v>450</v>
      </c>
      <c r="D92" s="3" t="s">
        <v>451</v>
      </c>
      <c r="E92" s="3" t="s">
        <v>452</v>
      </c>
      <c r="F92" s="4">
        <v>29000000</v>
      </c>
      <c r="G92" s="4">
        <v>20000000</v>
      </c>
      <c r="H92" s="4">
        <v>860000</v>
      </c>
      <c r="I92" s="4">
        <v>0</v>
      </c>
      <c r="J92" s="2" t="s">
        <v>453</v>
      </c>
      <c r="K92" s="4">
        <v>80000000</v>
      </c>
      <c r="L92" s="4">
        <v>0</v>
      </c>
      <c r="M92" s="4">
        <v>30140000</v>
      </c>
      <c r="N92" s="4">
        <v>25250000</v>
      </c>
      <c r="O92" s="4">
        <v>60000000</v>
      </c>
      <c r="P92" s="11">
        <v>0.25</v>
      </c>
      <c r="Q92" s="5">
        <v>0.502333</v>
      </c>
      <c r="R92" s="2" t="s">
        <v>454</v>
      </c>
      <c r="S92" s="7">
        <f t="shared" si="8"/>
        <v>30140000</v>
      </c>
      <c r="T92" s="7">
        <f t="shared" si="9"/>
        <v>60000000</v>
      </c>
      <c r="U92" s="8">
        <f t="shared" si="10"/>
        <v>0.502333333333333</v>
      </c>
      <c r="V92" s="9" t="e">
        <f>IF(T92&lt;=0,"Output &lt;= 0",IF(U92&gt;#REF!,"Terlalu tinggi",IF(U92&lt;#REF!,"Terlalu rendah","Sesuai")))</f>
        <v>#REF!</v>
      </c>
      <c r="W92" s="7" t="e">
        <f>IF(T92&lt;=0,S92,IF(U92&gt;#REF!,ROUNDDOWN(T92*#REF!,0),IF(U92&lt;#REF!,ROUNDUP(T92*#REF!,0),S92)))</f>
        <v>#REF!</v>
      </c>
      <c r="X92" s="7" t="e">
        <f t="shared" si="11"/>
        <v>#REF!</v>
      </c>
      <c r="Y92" s="7" t="e">
        <f t="shared" si="12"/>
        <v>#REF!</v>
      </c>
      <c r="Z92" s="7" t="e">
        <f t="shared" si="13"/>
        <v>#REF!</v>
      </c>
      <c r="AA92" s="7" t="e">
        <f t="shared" si="14"/>
        <v>#REF!</v>
      </c>
      <c r="AB92" s="8" t="e">
        <f t="shared" si="15"/>
        <v>#REF!</v>
      </c>
      <c r="AC92" s="9" t="e">
        <f>IF(T92&lt;=0,"Output &lt;= 0, cek manual",IF(OR(Z92&lt;0,Y92&lt;0),"Biaya negatif",IF(AND(AB92&gt;=#REF!,AB92&lt;=#REF!),"OK","Di luar rentang")))</f>
        <v>#REF!</v>
      </c>
    </row>
    <row r="93" ht="85.5" spans="1:29">
      <c r="A93" s="2" t="s">
        <v>30</v>
      </c>
      <c r="B93" s="2" t="s">
        <v>455</v>
      </c>
      <c r="C93" s="3" t="s">
        <v>456</v>
      </c>
      <c r="D93" s="3" t="s">
        <v>457</v>
      </c>
      <c r="E93" s="3" t="s">
        <v>458</v>
      </c>
      <c r="F93" s="4">
        <v>0</v>
      </c>
      <c r="G93" s="4">
        <v>10000000</v>
      </c>
      <c r="H93" s="4">
        <v>1000000</v>
      </c>
      <c r="I93" s="4">
        <v>0</v>
      </c>
      <c r="J93" s="2" t="s">
        <v>167</v>
      </c>
      <c r="K93" s="4">
        <v>20600000</v>
      </c>
      <c r="L93" s="4">
        <v>0</v>
      </c>
      <c r="M93" s="4">
        <v>9600000</v>
      </c>
      <c r="N93" s="4">
        <v>500000</v>
      </c>
      <c r="O93" s="4">
        <v>10600000</v>
      </c>
      <c r="P93" s="5">
        <v>0.485437</v>
      </c>
      <c r="Q93" s="6">
        <v>0.90566</v>
      </c>
      <c r="R93" s="2" t="s">
        <v>459</v>
      </c>
      <c r="S93" s="7">
        <f t="shared" si="8"/>
        <v>9600000</v>
      </c>
      <c r="T93" s="7">
        <f t="shared" si="9"/>
        <v>10600000</v>
      </c>
      <c r="U93" s="8">
        <f t="shared" si="10"/>
        <v>0.905660377358491</v>
      </c>
      <c r="V93" s="9" t="e">
        <f>IF(T93&lt;=0,"Output &lt;= 0",IF(U93&gt;#REF!,"Terlalu tinggi",IF(U93&lt;#REF!,"Terlalu rendah","Sesuai")))</f>
        <v>#REF!</v>
      </c>
      <c r="W93" s="7" t="e">
        <f>IF(T93&lt;=0,S93,IF(U93&gt;#REF!,ROUNDDOWN(T93*#REF!,0),IF(U93&lt;#REF!,ROUNDUP(T93*#REF!,0),S93)))</f>
        <v>#REF!</v>
      </c>
      <c r="X93" s="7" t="e">
        <f t="shared" si="11"/>
        <v>#REF!</v>
      </c>
      <c r="Y93" s="7" t="e">
        <f t="shared" si="12"/>
        <v>#REF!</v>
      </c>
      <c r="Z93" s="7" t="e">
        <f t="shared" si="13"/>
        <v>#REF!</v>
      </c>
      <c r="AA93" s="7" t="e">
        <f t="shared" si="14"/>
        <v>#REF!</v>
      </c>
      <c r="AB93" s="8" t="e">
        <f t="shared" si="15"/>
        <v>#REF!</v>
      </c>
      <c r="AC93" s="9" t="e">
        <f>IF(T93&lt;=0,"Output &lt;= 0, cek manual",IF(OR(Z93&lt;0,Y93&lt;0),"Biaya negatif",IF(AND(AB93&gt;=#REF!,AB93&lt;=#REF!),"OK","Di luar rentang")))</f>
        <v>#REF!</v>
      </c>
    </row>
    <row r="94" ht="156.75" spans="1:29">
      <c r="A94" s="2" t="s">
        <v>30</v>
      </c>
      <c r="B94" s="2" t="s">
        <v>460</v>
      </c>
      <c r="C94" s="3" t="s">
        <v>461</v>
      </c>
      <c r="D94" s="3" t="s">
        <v>462</v>
      </c>
      <c r="E94" s="3" t="s">
        <v>463</v>
      </c>
      <c r="F94" s="4">
        <v>0</v>
      </c>
      <c r="G94" s="4">
        <v>12450000</v>
      </c>
      <c r="H94" s="4">
        <v>850000</v>
      </c>
      <c r="I94" s="4">
        <v>240000</v>
      </c>
      <c r="J94" s="2" t="s">
        <v>464</v>
      </c>
      <c r="K94" s="4">
        <v>25800000</v>
      </c>
      <c r="L94" s="4">
        <v>0</v>
      </c>
      <c r="M94" s="4">
        <v>12500000</v>
      </c>
      <c r="N94" s="4">
        <v>50240000</v>
      </c>
      <c r="O94" s="4">
        <v>13350000</v>
      </c>
      <c r="P94" s="5">
        <v>0.482558</v>
      </c>
      <c r="Q94" s="6">
        <v>0.93633</v>
      </c>
      <c r="R94" s="2" t="s">
        <v>465</v>
      </c>
      <c r="S94" s="7">
        <f t="shared" si="8"/>
        <v>12500000</v>
      </c>
      <c r="T94" s="7">
        <f t="shared" si="9"/>
        <v>13350000</v>
      </c>
      <c r="U94" s="8">
        <f t="shared" si="10"/>
        <v>0.936329588014981</v>
      </c>
      <c r="V94" s="9" t="e">
        <f>IF(T94&lt;=0,"Output &lt;= 0",IF(U94&gt;#REF!,"Terlalu tinggi",IF(U94&lt;#REF!,"Terlalu rendah","Sesuai")))</f>
        <v>#REF!</v>
      </c>
      <c r="W94" s="7" t="e">
        <f>IF(T94&lt;=0,S94,IF(U94&gt;#REF!,ROUNDDOWN(T94*#REF!,0),IF(U94&lt;#REF!,ROUNDUP(T94*#REF!,0),S94)))</f>
        <v>#REF!</v>
      </c>
      <c r="X94" s="7" t="e">
        <f t="shared" si="11"/>
        <v>#REF!</v>
      </c>
      <c r="Y94" s="7" t="e">
        <f t="shared" si="12"/>
        <v>#REF!</v>
      </c>
      <c r="Z94" s="7" t="e">
        <f t="shared" si="13"/>
        <v>#REF!</v>
      </c>
      <c r="AA94" s="7" t="e">
        <f t="shared" si="14"/>
        <v>#REF!</v>
      </c>
      <c r="AB94" s="8" t="e">
        <f t="shared" si="15"/>
        <v>#REF!</v>
      </c>
      <c r="AC94" s="9" t="e">
        <f>IF(T94&lt;=0,"Output &lt;= 0, cek manual",IF(OR(Z94&lt;0,Y94&lt;0),"Biaya negatif",IF(AND(AB94&gt;=#REF!,AB94&lt;=#REF!),"OK","Di luar rentang")))</f>
        <v>#REF!</v>
      </c>
    </row>
    <row r="95" ht="99.75" spans="1:29">
      <c r="A95" s="2" t="s">
        <v>30</v>
      </c>
      <c r="B95" s="2" t="s">
        <v>466</v>
      </c>
      <c r="C95" s="3" t="s">
        <v>467</v>
      </c>
      <c r="D95" s="3" t="s">
        <v>468</v>
      </c>
      <c r="E95" s="3" t="s">
        <v>469</v>
      </c>
      <c r="F95" s="4">
        <v>600000</v>
      </c>
      <c r="G95" s="4">
        <v>180000000</v>
      </c>
      <c r="H95" s="4">
        <v>6000000</v>
      </c>
      <c r="I95" s="4">
        <v>360000</v>
      </c>
      <c r="J95" s="2" t="s">
        <v>470</v>
      </c>
      <c r="K95" s="4">
        <v>216000000</v>
      </c>
      <c r="L95" s="4">
        <v>0</v>
      </c>
      <c r="M95" s="4">
        <v>29400000</v>
      </c>
      <c r="N95" s="4">
        <v>15000000</v>
      </c>
      <c r="O95" s="4">
        <v>36000000</v>
      </c>
      <c r="P95" s="5">
        <v>0.833333</v>
      </c>
      <c r="Q95" s="5">
        <v>0.816667</v>
      </c>
      <c r="R95" s="2" t="s">
        <v>471</v>
      </c>
      <c r="S95" s="7">
        <f t="shared" si="8"/>
        <v>29400000</v>
      </c>
      <c r="T95" s="7">
        <f t="shared" si="9"/>
        <v>36000000</v>
      </c>
      <c r="U95" s="8">
        <f t="shared" si="10"/>
        <v>0.816666666666667</v>
      </c>
      <c r="V95" s="9" t="e">
        <f>IF(T95&lt;=0,"Output &lt;= 0",IF(U95&gt;#REF!,"Terlalu tinggi",IF(U95&lt;#REF!,"Terlalu rendah","Sesuai")))</f>
        <v>#REF!</v>
      </c>
      <c r="W95" s="7" t="e">
        <f>IF(T95&lt;=0,S95,IF(U95&gt;#REF!,ROUNDDOWN(T95*#REF!,0),IF(U95&lt;#REF!,ROUNDUP(T95*#REF!,0),S95)))</f>
        <v>#REF!</v>
      </c>
      <c r="X95" s="7" t="e">
        <f t="shared" si="11"/>
        <v>#REF!</v>
      </c>
      <c r="Y95" s="7" t="e">
        <f t="shared" si="12"/>
        <v>#REF!</v>
      </c>
      <c r="Z95" s="7" t="e">
        <f t="shared" si="13"/>
        <v>#REF!</v>
      </c>
      <c r="AA95" s="7" t="e">
        <f t="shared" si="14"/>
        <v>#REF!</v>
      </c>
      <c r="AB95" s="8" t="e">
        <f t="shared" si="15"/>
        <v>#REF!</v>
      </c>
      <c r="AC95" s="9" t="e">
        <f>IF(T95&lt;=0,"Output &lt;= 0, cek manual",IF(OR(Z95&lt;0,Y95&lt;0),"Biaya negatif",IF(AND(AB95&gt;=#REF!,AB95&lt;=#REF!),"OK","Di luar rentang")))</f>
        <v>#REF!</v>
      </c>
    </row>
    <row r="96" ht="57" spans="1:29">
      <c r="A96" s="2" t="s">
        <v>30</v>
      </c>
      <c r="B96" s="2" t="s">
        <v>466</v>
      </c>
      <c r="C96" s="3" t="s">
        <v>472</v>
      </c>
      <c r="D96" s="3" t="s">
        <v>473</v>
      </c>
      <c r="E96" s="3" t="s">
        <v>473</v>
      </c>
      <c r="F96" s="4">
        <v>200000</v>
      </c>
      <c r="G96" s="4">
        <v>40000000</v>
      </c>
      <c r="H96" s="4">
        <v>2200000</v>
      </c>
      <c r="I96" s="4">
        <v>700000</v>
      </c>
      <c r="J96" s="2" t="s">
        <v>474</v>
      </c>
      <c r="K96" s="4">
        <v>93600000</v>
      </c>
      <c r="L96" s="4">
        <v>0</v>
      </c>
      <c r="M96" s="4">
        <v>51200000</v>
      </c>
      <c r="N96" s="4">
        <v>50000000</v>
      </c>
      <c r="O96" s="4">
        <v>53600000</v>
      </c>
      <c r="P96" s="6">
        <v>0.42735</v>
      </c>
      <c r="Q96" s="5">
        <v>0.955224</v>
      </c>
      <c r="R96" s="2" t="s">
        <v>475</v>
      </c>
      <c r="S96" s="7">
        <f t="shared" si="8"/>
        <v>51200000</v>
      </c>
      <c r="T96" s="7">
        <f t="shared" si="9"/>
        <v>53600000</v>
      </c>
      <c r="U96" s="8">
        <f t="shared" si="10"/>
        <v>0.955223880597015</v>
      </c>
      <c r="V96" s="9" t="e">
        <f>IF(T96&lt;=0,"Output &lt;= 0",IF(U96&gt;#REF!,"Terlalu tinggi",IF(U96&lt;#REF!,"Terlalu rendah","Sesuai")))</f>
        <v>#REF!</v>
      </c>
      <c r="W96" s="7" t="e">
        <f>IF(T96&lt;=0,S96,IF(U96&gt;#REF!,ROUNDDOWN(T96*#REF!,0),IF(U96&lt;#REF!,ROUNDUP(T96*#REF!,0),S96)))</f>
        <v>#REF!</v>
      </c>
      <c r="X96" s="7" t="e">
        <f t="shared" si="11"/>
        <v>#REF!</v>
      </c>
      <c r="Y96" s="7" t="e">
        <f t="shared" si="12"/>
        <v>#REF!</v>
      </c>
      <c r="Z96" s="7" t="e">
        <f t="shared" si="13"/>
        <v>#REF!</v>
      </c>
      <c r="AA96" s="7" t="e">
        <f t="shared" si="14"/>
        <v>#REF!</v>
      </c>
      <c r="AB96" s="8" t="e">
        <f t="shared" si="15"/>
        <v>#REF!</v>
      </c>
      <c r="AC96" s="9" t="e">
        <f>IF(T96&lt;=0,"Output &lt;= 0, cek manual",IF(OR(Z96&lt;0,Y96&lt;0),"Biaya negatif",IF(AND(AB96&gt;=#REF!,AB96&lt;=#REF!),"OK","Di luar rentang")))</f>
        <v>#REF!</v>
      </c>
    </row>
    <row r="97" ht="99.75" spans="1:29">
      <c r="A97" s="2" t="s">
        <v>30</v>
      </c>
      <c r="B97" s="2" t="s">
        <v>466</v>
      </c>
      <c r="C97" s="3" t="s">
        <v>476</v>
      </c>
      <c r="D97" s="3" t="s">
        <v>477</v>
      </c>
      <c r="E97" s="3" t="s">
        <v>478</v>
      </c>
      <c r="F97" s="4">
        <v>90000</v>
      </c>
      <c r="G97" s="4">
        <v>40000000</v>
      </c>
      <c r="H97" s="4">
        <v>600000</v>
      </c>
      <c r="I97" s="4">
        <v>1080000</v>
      </c>
      <c r="J97" s="2" t="s">
        <v>479</v>
      </c>
      <c r="K97" s="4">
        <v>62400000</v>
      </c>
      <c r="L97" s="4">
        <v>0</v>
      </c>
      <c r="M97" s="4">
        <v>21710000</v>
      </c>
      <c r="N97" s="4">
        <v>30000000</v>
      </c>
      <c r="O97" s="4">
        <v>22400000</v>
      </c>
      <c r="P97" s="5">
        <v>0.641026</v>
      </c>
      <c r="Q97" s="5">
        <v>0.969196</v>
      </c>
      <c r="R97" s="2" t="s">
        <v>480</v>
      </c>
      <c r="S97" s="7">
        <f t="shared" si="8"/>
        <v>21710000</v>
      </c>
      <c r="T97" s="7">
        <f t="shared" si="9"/>
        <v>22400000</v>
      </c>
      <c r="U97" s="8">
        <f t="shared" si="10"/>
        <v>0.969196428571429</v>
      </c>
      <c r="V97" s="9" t="e">
        <f>IF(T97&lt;=0,"Output &lt;= 0",IF(U97&gt;#REF!,"Terlalu tinggi",IF(U97&lt;#REF!,"Terlalu rendah","Sesuai")))</f>
        <v>#REF!</v>
      </c>
      <c r="W97" s="7" t="e">
        <f>IF(T97&lt;=0,S97,IF(U97&gt;#REF!,ROUNDDOWN(T97*#REF!,0),IF(U97&lt;#REF!,ROUNDUP(T97*#REF!,0),S97)))</f>
        <v>#REF!</v>
      </c>
      <c r="X97" s="7" t="e">
        <f t="shared" si="11"/>
        <v>#REF!</v>
      </c>
      <c r="Y97" s="7" t="e">
        <f t="shared" si="12"/>
        <v>#REF!</v>
      </c>
      <c r="Z97" s="7" t="e">
        <f t="shared" si="13"/>
        <v>#REF!</v>
      </c>
      <c r="AA97" s="7" t="e">
        <f t="shared" si="14"/>
        <v>#REF!</v>
      </c>
      <c r="AB97" s="8" t="e">
        <f t="shared" si="15"/>
        <v>#REF!</v>
      </c>
      <c r="AC97" s="9" t="e">
        <f>IF(T97&lt;=0,"Output &lt;= 0, cek manual",IF(OR(Z97&lt;0,Y97&lt;0),"Biaya negatif",IF(AND(AB97&gt;=#REF!,AB97&lt;=#REF!),"OK","Di luar rentang")))</f>
        <v>#REF!</v>
      </c>
    </row>
    <row r="98" ht="85.5" spans="1:29">
      <c r="A98" s="2" t="s">
        <v>30</v>
      </c>
      <c r="B98" s="2" t="s">
        <v>466</v>
      </c>
      <c r="C98" s="3" t="s">
        <v>481</v>
      </c>
      <c r="D98" s="3" t="s">
        <v>482</v>
      </c>
      <c r="E98" s="3" t="s">
        <v>482</v>
      </c>
      <c r="F98" s="4">
        <v>160000</v>
      </c>
      <c r="G98" s="4">
        <v>60000000</v>
      </c>
      <c r="H98" s="4">
        <v>300000</v>
      </c>
      <c r="I98" s="4">
        <v>1704000</v>
      </c>
      <c r="J98" s="2" t="s">
        <v>483</v>
      </c>
      <c r="K98" s="4">
        <v>86164000</v>
      </c>
      <c r="L98" s="4">
        <v>0</v>
      </c>
      <c r="M98" s="4">
        <v>25704000</v>
      </c>
      <c r="N98" s="4">
        <v>50000000</v>
      </c>
      <c r="O98" s="4">
        <v>26164000</v>
      </c>
      <c r="P98" s="5">
        <v>0.696347</v>
      </c>
      <c r="Q98" s="5">
        <v>0.982419</v>
      </c>
      <c r="R98" s="2" t="s">
        <v>484</v>
      </c>
      <c r="S98" s="7">
        <f t="shared" si="8"/>
        <v>25704000</v>
      </c>
      <c r="T98" s="7">
        <f t="shared" si="9"/>
        <v>26164000</v>
      </c>
      <c r="U98" s="8">
        <f t="shared" si="10"/>
        <v>0.982418590429598</v>
      </c>
      <c r="V98" s="9" t="e">
        <f>IF(T98&lt;=0,"Output &lt;= 0",IF(U98&gt;#REF!,"Terlalu tinggi",IF(U98&lt;#REF!,"Terlalu rendah","Sesuai")))</f>
        <v>#REF!</v>
      </c>
      <c r="W98" s="7" t="e">
        <f>IF(T98&lt;=0,S98,IF(U98&gt;#REF!,ROUNDDOWN(T98*#REF!,0),IF(U98&lt;#REF!,ROUNDUP(T98*#REF!,0),S98)))</f>
        <v>#REF!</v>
      </c>
      <c r="X98" s="7" t="e">
        <f t="shared" si="11"/>
        <v>#REF!</v>
      </c>
      <c r="Y98" s="7" t="e">
        <f t="shared" si="12"/>
        <v>#REF!</v>
      </c>
      <c r="Z98" s="7" t="e">
        <f t="shared" si="13"/>
        <v>#REF!</v>
      </c>
      <c r="AA98" s="7" t="e">
        <f t="shared" si="14"/>
        <v>#REF!</v>
      </c>
      <c r="AB98" s="8" t="e">
        <f t="shared" si="15"/>
        <v>#REF!</v>
      </c>
      <c r="AC98" s="9" t="e">
        <f>IF(T98&lt;=0,"Output &lt;= 0, cek manual",IF(OR(Z98&lt;0,Y98&lt;0),"Biaya negatif",IF(AND(AB98&gt;=#REF!,AB98&lt;=#REF!),"OK","Di luar rentang")))</f>
        <v>#REF!</v>
      </c>
    </row>
    <row r="99" ht="85.5" spans="1:29">
      <c r="A99" s="2" t="s">
        <v>30</v>
      </c>
      <c r="B99" s="2" t="s">
        <v>466</v>
      </c>
      <c r="C99" s="3" t="s">
        <v>485</v>
      </c>
      <c r="D99" s="3" t="s">
        <v>486</v>
      </c>
      <c r="E99" s="3" t="s">
        <v>487</v>
      </c>
      <c r="F99" s="4">
        <v>150000</v>
      </c>
      <c r="G99" s="4">
        <v>3000000</v>
      </c>
      <c r="H99" s="4">
        <v>250000</v>
      </c>
      <c r="I99" s="4">
        <v>0</v>
      </c>
      <c r="J99" s="2" t="s">
        <v>488</v>
      </c>
      <c r="K99" s="4">
        <v>12000000</v>
      </c>
      <c r="L99" s="4">
        <v>0</v>
      </c>
      <c r="M99" s="4">
        <v>8600000</v>
      </c>
      <c r="N99" s="4">
        <v>1100000</v>
      </c>
      <c r="O99" s="4">
        <v>9000000</v>
      </c>
      <c r="P99" s="11">
        <v>0.25</v>
      </c>
      <c r="Q99" s="5">
        <v>0.955556</v>
      </c>
      <c r="R99" s="2" t="s">
        <v>489</v>
      </c>
      <c r="S99" s="7">
        <f t="shared" si="8"/>
        <v>8600000</v>
      </c>
      <c r="T99" s="7">
        <f t="shared" si="9"/>
        <v>9000000</v>
      </c>
      <c r="U99" s="8">
        <f t="shared" si="10"/>
        <v>0.955555555555556</v>
      </c>
      <c r="V99" s="9" t="e">
        <f>IF(T99&lt;=0,"Output &lt;= 0",IF(U99&gt;#REF!,"Terlalu tinggi",IF(U99&lt;#REF!,"Terlalu rendah","Sesuai")))</f>
        <v>#REF!</v>
      </c>
      <c r="W99" s="7" t="e">
        <f>IF(T99&lt;=0,S99,IF(U99&gt;#REF!,ROUNDDOWN(T99*#REF!,0),IF(U99&lt;#REF!,ROUNDUP(T99*#REF!,0),S99)))</f>
        <v>#REF!</v>
      </c>
      <c r="X99" s="7" t="e">
        <f t="shared" si="11"/>
        <v>#REF!</v>
      </c>
      <c r="Y99" s="7" t="e">
        <f t="shared" si="12"/>
        <v>#REF!</v>
      </c>
      <c r="Z99" s="7" t="e">
        <f t="shared" si="13"/>
        <v>#REF!</v>
      </c>
      <c r="AA99" s="7" t="e">
        <f t="shared" si="14"/>
        <v>#REF!</v>
      </c>
      <c r="AB99" s="8" t="e">
        <f t="shared" si="15"/>
        <v>#REF!</v>
      </c>
      <c r="AC99" s="9" t="e">
        <f>IF(T99&lt;=0,"Output &lt;= 0, cek manual",IF(OR(Z99&lt;0,Y99&lt;0),"Biaya negatif",IF(AND(AB99&gt;=#REF!,AB99&lt;=#REF!),"OK","Di luar rentang")))</f>
        <v>#REF!</v>
      </c>
    </row>
    <row r="100" ht="71.25" spans="1:29">
      <c r="A100" s="2" t="s">
        <v>30</v>
      </c>
      <c r="B100" s="2" t="s">
        <v>466</v>
      </c>
      <c r="C100" s="3" t="s">
        <v>490</v>
      </c>
      <c r="D100" s="3" t="s">
        <v>473</v>
      </c>
      <c r="E100" s="3" t="s">
        <v>473</v>
      </c>
      <c r="F100" s="4">
        <v>240000</v>
      </c>
      <c r="G100" s="4">
        <v>12000000</v>
      </c>
      <c r="H100" s="4">
        <v>2400000</v>
      </c>
      <c r="I100" s="4">
        <v>4400000</v>
      </c>
      <c r="J100" s="2" t="s">
        <v>491</v>
      </c>
      <c r="K100" s="4">
        <v>30000000</v>
      </c>
      <c r="L100" s="4">
        <v>0</v>
      </c>
      <c r="M100" s="4">
        <v>15360000</v>
      </c>
      <c r="N100" s="4">
        <v>50000000</v>
      </c>
      <c r="O100" s="4">
        <v>18000000</v>
      </c>
      <c r="P100" s="12">
        <v>0.4</v>
      </c>
      <c r="Q100" s="5">
        <v>0.853333</v>
      </c>
      <c r="R100" s="2" t="s">
        <v>492</v>
      </c>
      <c r="S100" s="7">
        <f t="shared" si="8"/>
        <v>15360000</v>
      </c>
      <c r="T100" s="7">
        <f t="shared" si="9"/>
        <v>18000000</v>
      </c>
      <c r="U100" s="8">
        <f t="shared" si="10"/>
        <v>0.853333333333333</v>
      </c>
      <c r="V100" s="9" t="e">
        <f>IF(T100&lt;=0,"Output &lt;= 0",IF(U100&gt;#REF!,"Terlalu tinggi",IF(U100&lt;#REF!,"Terlalu rendah","Sesuai")))</f>
        <v>#REF!</v>
      </c>
      <c r="W100" s="7" t="e">
        <f>IF(T100&lt;=0,S100,IF(U100&gt;#REF!,ROUNDDOWN(T100*#REF!,0),IF(U100&lt;#REF!,ROUNDUP(T100*#REF!,0),S100)))</f>
        <v>#REF!</v>
      </c>
      <c r="X100" s="7" t="e">
        <f t="shared" si="11"/>
        <v>#REF!</v>
      </c>
      <c r="Y100" s="7" t="e">
        <f t="shared" si="12"/>
        <v>#REF!</v>
      </c>
      <c r="Z100" s="7" t="e">
        <f t="shared" si="13"/>
        <v>#REF!</v>
      </c>
      <c r="AA100" s="7" t="e">
        <f t="shared" si="14"/>
        <v>#REF!</v>
      </c>
      <c r="AB100" s="8" t="e">
        <f t="shared" si="15"/>
        <v>#REF!</v>
      </c>
      <c r="AC100" s="9" t="e">
        <f>IF(T100&lt;=0,"Output &lt;= 0, cek manual",IF(OR(Z100&lt;0,Y100&lt;0),"Biaya negatif",IF(AND(AB100&gt;=#REF!,AB100&lt;=#REF!),"OK","Di luar rentang")))</f>
        <v>#REF!</v>
      </c>
    </row>
    <row r="101" ht="71.25" spans="1:29">
      <c r="A101" s="2" t="s">
        <v>30</v>
      </c>
      <c r="B101" s="2" t="s">
        <v>493</v>
      </c>
      <c r="C101" s="3" t="s">
        <v>494</v>
      </c>
      <c r="D101" s="3" t="s">
        <v>495</v>
      </c>
      <c r="E101" s="3" t="s">
        <v>495</v>
      </c>
      <c r="F101" s="4">
        <v>728000</v>
      </c>
      <c r="G101" s="4">
        <v>20000000</v>
      </c>
      <c r="H101" s="4">
        <v>733000</v>
      </c>
      <c r="I101" s="4">
        <v>1200000</v>
      </c>
      <c r="J101" s="2" t="s">
        <v>496</v>
      </c>
      <c r="K101" s="4">
        <v>41600000</v>
      </c>
      <c r="L101" s="4">
        <v>0</v>
      </c>
      <c r="M101" s="4">
        <v>20139000</v>
      </c>
      <c r="N101" s="4">
        <v>30000000</v>
      </c>
      <c r="O101" s="4">
        <v>21600000</v>
      </c>
      <c r="P101" s="5">
        <v>0.480769</v>
      </c>
      <c r="Q101" s="5">
        <v>0.932361</v>
      </c>
      <c r="R101" s="2" t="s">
        <v>497</v>
      </c>
      <c r="S101" s="7">
        <f t="shared" si="8"/>
        <v>20139000</v>
      </c>
      <c r="T101" s="7">
        <f t="shared" si="9"/>
        <v>21600000</v>
      </c>
      <c r="U101" s="8">
        <f t="shared" si="10"/>
        <v>0.932361111111111</v>
      </c>
      <c r="V101" s="9" t="e">
        <f>IF(T101&lt;=0,"Output &lt;= 0",IF(U101&gt;#REF!,"Terlalu tinggi",IF(U101&lt;#REF!,"Terlalu rendah","Sesuai")))</f>
        <v>#REF!</v>
      </c>
      <c r="W101" s="7" t="e">
        <f>IF(T101&lt;=0,S101,IF(U101&gt;#REF!,ROUNDDOWN(T101*#REF!,0),IF(U101&lt;#REF!,ROUNDUP(T101*#REF!,0),S101)))</f>
        <v>#REF!</v>
      </c>
      <c r="X101" s="7" t="e">
        <f t="shared" si="11"/>
        <v>#REF!</v>
      </c>
      <c r="Y101" s="7" t="e">
        <f t="shared" si="12"/>
        <v>#REF!</v>
      </c>
      <c r="Z101" s="7" t="e">
        <f t="shared" si="13"/>
        <v>#REF!</v>
      </c>
      <c r="AA101" s="7" t="e">
        <f t="shared" si="14"/>
        <v>#REF!</v>
      </c>
      <c r="AB101" s="8" t="e">
        <f t="shared" si="15"/>
        <v>#REF!</v>
      </c>
      <c r="AC101" s="9" t="e">
        <f>IF(T101&lt;=0,"Output &lt;= 0, cek manual",IF(OR(Z101&lt;0,Y101&lt;0),"Biaya negatif",IF(AND(AB101&gt;=#REF!,AB101&lt;=#REF!),"OK","Di luar rentang")))</f>
        <v>#REF!</v>
      </c>
    </row>
    <row r="102" ht="85.5" spans="1:29">
      <c r="A102" s="2" t="s">
        <v>30</v>
      </c>
      <c r="B102" s="2" t="s">
        <v>493</v>
      </c>
      <c r="C102" s="3" t="s">
        <v>498</v>
      </c>
      <c r="D102" s="3" t="s">
        <v>499</v>
      </c>
      <c r="E102" s="3" t="s">
        <v>500</v>
      </c>
      <c r="F102" s="4">
        <v>100000</v>
      </c>
      <c r="G102" s="4">
        <v>50000000</v>
      </c>
      <c r="H102" s="4">
        <v>416000</v>
      </c>
      <c r="I102" s="4">
        <v>0</v>
      </c>
      <c r="J102" s="2" t="s">
        <v>501</v>
      </c>
      <c r="K102" s="4">
        <v>76800000</v>
      </c>
      <c r="L102" s="4">
        <v>0</v>
      </c>
      <c r="M102" s="4">
        <v>26284000</v>
      </c>
      <c r="N102" s="4">
        <v>400000</v>
      </c>
      <c r="O102" s="4">
        <v>26800000</v>
      </c>
      <c r="P102" s="5">
        <v>0.651042</v>
      </c>
      <c r="Q102" s="5">
        <v>0.980746</v>
      </c>
      <c r="R102" s="2" t="s">
        <v>502</v>
      </c>
      <c r="S102" s="7">
        <f t="shared" si="8"/>
        <v>26284000</v>
      </c>
      <c r="T102" s="7">
        <f t="shared" si="9"/>
        <v>26800000</v>
      </c>
      <c r="U102" s="8">
        <f t="shared" si="10"/>
        <v>0.980746268656716</v>
      </c>
      <c r="V102" s="9" t="e">
        <f>IF(T102&lt;=0,"Output &lt;= 0",IF(U102&gt;#REF!,"Terlalu tinggi",IF(U102&lt;#REF!,"Terlalu rendah","Sesuai")))</f>
        <v>#REF!</v>
      </c>
      <c r="W102" s="7" t="e">
        <f>IF(T102&lt;=0,S102,IF(U102&gt;#REF!,ROUNDDOWN(T102*#REF!,0),IF(U102&lt;#REF!,ROUNDUP(T102*#REF!,0),S102)))</f>
        <v>#REF!</v>
      </c>
      <c r="X102" s="7" t="e">
        <f t="shared" si="11"/>
        <v>#REF!</v>
      </c>
      <c r="Y102" s="7" t="e">
        <f t="shared" si="12"/>
        <v>#REF!</v>
      </c>
      <c r="Z102" s="7" t="e">
        <f t="shared" si="13"/>
        <v>#REF!</v>
      </c>
      <c r="AA102" s="7" t="e">
        <f t="shared" si="14"/>
        <v>#REF!</v>
      </c>
      <c r="AB102" s="8" t="e">
        <f t="shared" si="15"/>
        <v>#REF!</v>
      </c>
      <c r="AC102" s="9" t="e">
        <f>IF(T102&lt;=0,"Output &lt;= 0, cek manual",IF(OR(Z102&lt;0,Y102&lt;0),"Biaya negatif",IF(AND(AB102&gt;=#REF!,AB102&lt;=#REF!),"OK","Di luar rentang")))</f>
        <v>#REF!</v>
      </c>
    </row>
    <row r="103" ht="71.25" spans="1:29">
      <c r="A103" s="2" t="s">
        <v>30</v>
      </c>
      <c r="B103" s="2" t="s">
        <v>503</v>
      </c>
      <c r="C103" s="3" t="s">
        <v>504</v>
      </c>
      <c r="D103" s="3" t="s">
        <v>505</v>
      </c>
      <c r="E103" s="3" t="s">
        <v>506</v>
      </c>
      <c r="F103" s="4">
        <v>0</v>
      </c>
      <c r="G103" s="4">
        <v>1050000</v>
      </c>
      <c r="H103" s="4">
        <v>200000</v>
      </c>
      <c r="I103" s="4">
        <v>0</v>
      </c>
      <c r="J103" s="2" t="s">
        <v>507</v>
      </c>
      <c r="K103" s="4">
        <v>1500000</v>
      </c>
      <c r="L103" s="4">
        <v>0</v>
      </c>
      <c r="M103" s="4">
        <v>250000</v>
      </c>
      <c r="N103" s="4">
        <v>2000000</v>
      </c>
      <c r="O103" s="4">
        <v>450000</v>
      </c>
      <c r="P103" s="12">
        <v>0.7</v>
      </c>
      <c r="Q103" s="5">
        <v>0.555556</v>
      </c>
      <c r="R103" s="2" t="s">
        <v>508</v>
      </c>
      <c r="S103" s="7">
        <f t="shared" si="8"/>
        <v>250000</v>
      </c>
      <c r="T103" s="7">
        <f t="shared" si="9"/>
        <v>450000</v>
      </c>
      <c r="U103" s="8">
        <f t="shared" si="10"/>
        <v>0.555555555555556</v>
      </c>
      <c r="V103" s="9" t="e">
        <f>IF(T103&lt;=0,"Output &lt;= 0",IF(U103&gt;#REF!,"Terlalu tinggi",IF(U103&lt;#REF!,"Terlalu rendah","Sesuai")))</f>
        <v>#REF!</v>
      </c>
      <c r="W103" s="7" t="e">
        <f>IF(T103&lt;=0,S103,IF(U103&gt;#REF!,ROUNDDOWN(T103*#REF!,0),IF(U103&lt;#REF!,ROUNDUP(T103*#REF!,0),S103)))</f>
        <v>#REF!</v>
      </c>
      <c r="X103" s="7" t="e">
        <f t="shared" si="11"/>
        <v>#REF!</v>
      </c>
      <c r="Y103" s="7" t="e">
        <f t="shared" si="12"/>
        <v>#REF!</v>
      </c>
      <c r="Z103" s="7" t="e">
        <f t="shared" si="13"/>
        <v>#REF!</v>
      </c>
      <c r="AA103" s="7" t="e">
        <f t="shared" si="14"/>
        <v>#REF!</v>
      </c>
      <c r="AB103" s="8" t="e">
        <f t="shared" si="15"/>
        <v>#REF!</v>
      </c>
      <c r="AC103" s="9" t="e">
        <f>IF(T103&lt;=0,"Output &lt;= 0, cek manual",IF(OR(Z103&lt;0,Y103&lt;0),"Biaya negatif",IF(AND(AB103&gt;=#REF!,AB103&lt;=#REF!),"OK","Di luar rentang")))</f>
        <v>#REF!</v>
      </c>
    </row>
    <row r="104" ht="99.75" spans="1:29">
      <c r="A104" s="2" t="s">
        <v>30</v>
      </c>
      <c r="B104" s="2" t="s">
        <v>503</v>
      </c>
      <c r="C104" s="3" t="s">
        <v>509</v>
      </c>
      <c r="D104" s="3" t="s">
        <v>510</v>
      </c>
      <c r="E104" s="3" t="s">
        <v>511</v>
      </c>
      <c r="F104" s="4">
        <v>0</v>
      </c>
      <c r="G104" s="4">
        <v>15000000</v>
      </c>
      <c r="H104" s="4">
        <v>5000000</v>
      </c>
      <c r="I104" s="4">
        <v>0</v>
      </c>
      <c r="J104" s="2" t="s">
        <v>512</v>
      </c>
      <c r="K104" s="4">
        <v>24000000</v>
      </c>
      <c r="L104" s="4">
        <v>0</v>
      </c>
      <c r="M104" s="4">
        <v>4000000</v>
      </c>
      <c r="N104" s="4">
        <v>7500000</v>
      </c>
      <c r="O104" s="4">
        <v>9000000</v>
      </c>
      <c r="P104" s="10">
        <v>0.625</v>
      </c>
      <c r="Q104" s="5">
        <v>0.444444</v>
      </c>
      <c r="R104" s="2" t="s">
        <v>513</v>
      </c>
      <c r="S104" s="7">
        <f t="shared" si="8"/>
        <v>4000000</v>
      </c>
      <c r="T104" s="7">
        <f t="shared" si="9"/>
        <v>9000000</v>
      </c>
      <c r="U104" s="8">
        <f t="shared" si="10"/>
        <v>0.444444444444444</v>
      </c>
      <c r="V104" s="9" t="e">
        <f>IF(T104&lt;=0,"Output &lt;= 0",IF(U104&gt;#REF!,"Terlalu tinggi",IF(U104&lt;#REF!,"Terlalu rendah","Sesuai")))</f>
        <v>#REF!</v>
      </c>
      <c r="W104" s="7" t="e">
        <f>IF(T104&lt;=0,S104,IF(U104&gt;#REF!,ROUNDDOWN(T104*#REF!,0),IF(U104&lt;#REF!,ROUNDUP(T104*#REF!,0),S104)))</f>
        <v>#REF!</v>
      </c>
      <c r="X104" s="7" t="e">
        <f t="shared" si="11"/>
        <v>#REF!</v>
      </c>
      <c r="Y104" s="7" t="e">
        <f t="shared" si="12"/>
        <v>#REF!</v>
      </c>
      <c r="Z104" s="7" t="e">
        <f t="shared" si="13"/>
        <v>#REF!</v>
      </c>
      <c r="AA104" s="7" t="e">
        <f t="shared" si="14"/>
        <v>#REF!</v>
      </c>
      <c r="AB104" s="8" t="e">
        <f t="shared" si="15"/>
        <v>#REF!</v>
      </c>
      <c r="AC104" s="9" t="e">
        <f>IF(T104&lt;=0,"Output &lt;= 0, cek manual",IF(OR(Z104&lt;0,Y104&lt;0),"Biaya negatif",IF(AND(AB104&gt;=#REF!,AB104&lt;=#REF!),"OK","Di luar rentang")))</f>
        <v>#REF!</v>
      </c>
    </row>
    <row r="105" ht="99.75" spans="1:29">
      <c r="A105" s="2" t="s">
        <v>30</v>
      </c>
      <c r="B105" s="2" t="s">
        <v>503</v>
      </c>
      <c r="C105" s="3" t="s">
        <v>514</v>
      </c>
      <c r="D105" s="3" t="s">
        <v>515</v>
      </c>
      <c r="E105" s="3" t="s">
        <v>515</v>
      </c>
      <c r="F105" s="4">
        <v>360000</v>
      </c>
      <c r="G105" s="4">
        <v>90000000</v>
      </c>
      <c r="H105" s="4">
        <v>600000</v>
      </c>
      <c r="I105" s="4">
        <v>1638000</v>
      </c>
      <c r="J105" s="2" t="s">
        <v>516</v>
      </c>
      <c r="K105" s="4">
        <v>109200000</v>
      </c>
      <c r="L105" s="4">
        <v>0</v>
      </c>
      <c r="M105" s="4">
        <v>18240000</v>
      </c>
      <c r="N105" s="4">
        <v>50000000</v>
      </c>
      <c r="O105" s="4">
        <v>19200000</v>
      </c>
      <c r="P105" s="5">
        <v>0.824176</v>
      </c>
      <c r="Q105" s="11">
        <v>0.95</v>
      </c>
      <c r="R105" s="2" t="s">
        <v>517</v>
      </c>
      <c r="S105" s="7">
        <f t="shared" si="8"/>
        <v>18240000</v>
      </c>
      <c r="T105" s="7">
        <f t="shared" si="9"/>
        <v>19200000</v>
      </c>
      <c r="U105" s="8">
        <f t="shared" si="10"/>
        <v>0.95</v>
      </c>
      <c r="V105" s="9" t="e">
        <f>IF(T105&lt;=0,"Output &lt;= 0",IF(U105&gt;#REF!,"Terlalu tinggi",IF(U105&lt;#REF!,"Terlalu rendah","Sesuai")))</f>
        <v>#REF!</v>
      </c>
      <c r="W105" s="7" t="e">
        <f>IF(T105&lt;=0,S105,IF(U105&gt;#REF!,ROUNDDOWN(T105*#REF!,0),IF(U105&lt;#REF!,ROUNDUP(T105*#REF!,0),S105)))</f>
        <v>#REF!</v>
      </c>
      <c r="X105" s="7" t="e">
        <f t="shared" si="11"/>
        <v>#REF!</v>
      </c>
      <c r="Y105" s="7" t="e">
        <f t="shared" si="12"/>
        <v>#REF!</v>
      </c>
      <c r="Z105" s="7" t="e">
        <f t="shared" si="13"/>
        <v>#REF!</v>
      </c>
      <c r="AA105" s="7" t="e">
        <f t="shared" si="14"/>
        <v>#REF!</v>
      </c>
      <c r="AB105" s="8" t="e">
        <f t="shared" si="15"/>
        <v>#REF!</v>
      </c>
      <c r="AC105" s="9" t="e">
        <f>IF(T105&lt;=0,"Output &lt;= 0, cek manual",IF(OR(Z105&lt;0,Y105&lt;0),"Biaya negatif",IF(AND(AB105&gt;=#REF!,AB105&lt;=#REF!),"OK","Di luar rentang")))</f>
        <v>#REF!</v>
      </c>
    </row>
    <row r="106" ht="85.5" spans="1:29">
      <c r="A106" s="2" t="s">
        <v>30</v>
      </c>
      <c r="B106" s="2" t="s">
        <v>518</v>
      </c>
      <c r="C106" s="3" t="s">
        <v>519</v>
      </c>
      <c r="D106" s="3" t="s">
        <v>520</v>
      </c>
      <c r="E106" s="3" t="s">
        <v>520</v>
      </c>
      <c r="F106" s="4">
        <v>30000</v>
      </c>
      <c r="G106" s="4">
        <v>40000000</v>
      </c>
      <c r="H106" s="4">
        <v>300000</v>
      </c>
      <c r="I106" s="4">
        <v>624000</v>
      </c>
      <c r="J106" s="2" t="s">
        <v>521</v>
      </c>
      <c r="K106" s="4">
        <v>60000000</v>
      </c>
      <c r="L106" s="4">
        <v>0</v>
      </c>
      <c r="M106" s="4">
        <v>19670000</v>
      </c>
      <c r="N106" s="4">
        <v>200000000</v>
      </c>
      <c r="O106" s="4">
        <v>20000000</v>
      </c>
      <c r="P106" s="5">
        <v>0.666667</v>
      </c>
      <c r="Q106" s="13">
        <v>0.9835</v>
      </c>
      <c r="R106" s="2" t="s">
        <v>522</v>
      </c>
      <c r="S106" s="7">
        <f t="shared" si="8"/>
        <v>19670000</v>
      </c>
      <c r="T106" s="7">
        <f t="shared" si="9"/>
        <v>20000000</v>
      </c>
      <c r="U106" s="8">
        <f t="shared" si="10"/>
        <v>0.9835</v>
      </c>
      <c r="V106" s="9" t="e">
        <f>IF(T106&lt;=0,"Output &lt;= 0",IF(U106&gt;#REF!,"Terlalu tinggi",IF(U106&lt;#REF!,"Terlalu rendah","Sesuai")))</f>
        <v>#REF!</v>
      </c>
      <c r="W106" s="7" t="e">
        <f>IF(T106&lt;=0,S106,IF(U106&gt;#REF!,ROUNDDOWN(T106*#REF!,0),IF(U106&lt;#REF!,ROUNDUP(T106*#REF!,0),S106)))</f>
        <v>#REF!</v>
      </c>
      <c r="X106" s="7" t="e">
        <f t="shared" si="11"/>
        <v>#REF!</v>
      </c>
      <c r="Y106" s="7" t="e">
        <f t="shared" si="12"/>
        <v>#REF!</v>
      </c>
      <c r="Z106" s="7" t="e">
        <f t="shared" si="13"/>
        <v>#REF!</v>
      </c>
      <c r="AA106" s="7" t="e">
        <f t="shared" si="14"/>
        <v>#REF!</v>
      </c>
      <c r="AB106" s="8" t="e">
        <f t="shared" si="15"/>
        <v>#REF!</v>
      </c>
      <c r="AC106" s="9" t="e">
        <f>IF(T106&lt;=0,"Output &lt;= 0, cek manual",IF(OR(Z106&lt;0,Y106&lt;0),"Biaya negatif",IF(AND(AB106&gt;=#REF!,AB106&lt;=#REF!),"OK","Di luar rentang")))</f>
        <v>#REF!</v>
      </c>
    </row>
    <row r="107" ht="85.5" spans="1:29">
      <c r="A107" s="2" t="s">
        <v>30</v>
      </c>
      <c r="B107" s="2" t="s">
        <v>518</v>
      </c>
      <c r="C107" s="3" t="s">
        <v>523</v>
      </c>
      <c r="D107" s="3" t="s">
        <v>524</v>
      </c>
      <c r="E107" s="3" t="s">
        <v>525</v>
      </c>
      <c r="F107" s="4">
        <v>0</v>
      </c>
      <c r="G107" s="4">
        <v>60000000</v>
      </c>
      <c r="H107" s="4">
        <v>9000000</v>
      </c>
      <c r="I107" s="4">
        <v>0</v>
      </c>
      <c r="J107" s="2" t="s">
        <v>526</v>
      </c>
      <c r="K107" s="4">
        <v>120000000</v>
      </c>
      <c r="L107" s="4">
        <v>6000000</v>
      </c>
      <c r="M107" s="4">
        <v>51000000</v>
      </c>
      <c r="N107" s="4">
        <v>0</v>
      </c>
      <c r="O107" s="4">
        <v>60000000</v>
      </c>
      <c r="P107" s="12">
        <v>0.5</v>
      </c>
      <c r="Q107" s="11">
        <v>0.85</v>
      </c>
      <c r="R107" s="2" t="s">
        <v>527</v>
      </c>
      <c r="S107" s="7">
        <f t="shared" si="8"/>
        <v>51000000</v>
      </c>
      <c r="T107" s="7">
        <f t="shared" si="9"/>
        <v>60000000</v>
      </c>
      <c r="U107" s="8">
        <f t="shared" si="10"/>
        <v>0.85</v>
      </c>
      <c r="V107" s="9" t="e">
        <f>IF(T107&lt;=0,"Output &lt;= 0",IF(U107&gt;#REF!,"Terlalu tinggi",IF(U107&lt;#REF!,"Terlalu rendah","Sesuai")))</f>
        <v>#REF!</v>
      </c>
      <c r="W107" s="7" t="e">
        <f>IF(T107&lt;=0,S107,IF(U107&gt;#REF!,ROUNDDOWN(T107*#REF!,0),IF(U107&lt;#REF!,ROUNDUP(T107*#REF!,0),S107)))</f>
        <v>#REF!</v>
      </c>
      <c r="X107" s="7" t="e">
        <f t="shared" si="11"/>
        <v>#REF!</v>
      </c>
      <c r="Y107" s="7" t="e">
        <f t="shared" si="12"/>
        <v>#REF!</v>
      </c>
      <c r="Z107" s="7" t="e">
        <f t="shared" si="13"/>
        <v>#REF!</v>
      </c>
      <c r="AA107" s="7" t="e">
        <f t="shared" si="14"/>
        <v>#REF!</v>
      </c>
      <c r="AB107" s="8" t="e">
        <f t="shared" si="15"/>
        <v>#REF!</v>
      </c>
      <c r="AC107" s="9" t="e">
        <f>IF(T107&lt;=0,"Output &lt;= 0, cek manual",IF(OR(Z107&lt;0,Y107&lt;0),"Biaya negatif",IF(AND(AB107&gt;=#REF!,AB107&lt;=#REF!),"OK","Di luar rentang")))</f>
        <v>#REF!</v>
      </c>
    </row>
    <row r="108" ht="114" spans="1:29">
      <c r="A108" s="2" t="s">
        <v>30</v>
      </c>
      <c r="B108" s="2" t="s">
        <v>528</v>
      </c>
      <c r="C108" s="3" t="s">
        <v>529</v>
      </c>
      <c r="D108" s="3" t="s">
        <v>530</v>
      </c>
      <c r="E108" s="3" t="s">
        <v>531</v>
      </c>
      <c r="F108" s="4">
        <v>300000</v>
      </c>
      <c r="G108" s="4">
        <v>60000000</v>
      </c>
      <c r="H108" s="4">
        <v>600000</v>
      </c>
      <c r="I108" s="4">
        <v>0</v>
      </c>
      <c r="J108" s="2" t="s">
        <v>532</v>
      </c>
      <c r="K108" s="4">
        <v>156000000</v>
      </c>
      <c r="L108" s="4">
        <v>0</v>
      </c>
      <c r="M108" s="4">
        <v>95100000</v>
      </c>
      <c r="N108" s="4">
        <v>4000000</v>
      </c>
      <c r="O108" s="4">
        <v>96000000</v>
      </c>
      <c r="P108" s="5">
        <v>0.384615</v>
      </c>
      <c r="Q108" s="5">
        <v>0.990625</v>
      </c>
      <c r="R108" s="2" t="s">
        <v>533</v>
      </c>
      <c r="S108" s="7">
        <f t="shared" si="8"/>
        <v>95100000</v>
      </c>
      <c r="T108" s="7">
        <f t="shared" si="9"/>
        <v>96000000</v>
      </c>
      <c r="U108" s="8">
        <f t="shared" si="10"/>
        <v>0.990625</v>
      </c>
      <c r="V108" s="9" t="e">
        <f>IF(T108&lt;=0,"Output &lt;= 0",IF(U108&gt;#REF!,"Terlalu tinggi",IF(U108&lt;#REF!,"Terlalu rendah","Sesuai")))</f>
        <v>#REF!</v>
      </c>
      <c r="W108" s="7" t="e">
        <f>IF(T108&lt;=0,S108,IF(U108&gt;#REF!,ROUNDDOWN(T108*#REF!,0),IF(U108&lt;#REF!,ROUNDUP(T108*#REF!,0),S108)))</f>
        <v>#REF!</v>
      </c>
      <c r="X108" s="7" t="e">
        <f t="shared" si="11"/>
        <v>#REF!</v>
      </c>
      <c r="Y108" s="7" t="e">
        <f t="shared" si="12"/>
        <v>#REF!</v>
      </c>
      <c r="Z108" s="7" t="e">
        <f t="shared" si="13"/>
        <v>#REF!</v>
      </c>
      <c r="AA108" s="7" t="e">
        <f t="shared" si="14"/>
        <v>#REF!</v>
      </c>
      <c r="AB108" s="8" t="e">
        <f t="shared" si="15"/>
        <v>#REF!</v>
      </c>
      <c r="AC108" s="9" t="e">
        <f>IF(T108&lt;=0,"Output &lt;= 0, cek manual",IF(OR(Z108&lt;0,Y108&lt;0),"Biaya negatif",IF(AND(AB108&gt;=#REF!,AB108&lt;=#REF!),"OK","Di luar rentang")))</f>
        <v>#REF!</v>
      </c>
    </row>
    <row r="109" ht="42.75" spans="1:29">
      <c r="A109" s="2" t="s">
        <v>30</v>
      </c>
      <c r="B109" s="2" t="s">
        <v>534</v>
      </c>
      <c r="C109" s="3" t="s">
        <v>535</v>
      </c>
      <c r="D109" s="3" t="s">
        <v>536</v>
      </c>
      <c r="E109" s="3" t="s">
        <v>537</v>
      </c>
      <c r="F109" s="4">
        <v>0</v>
      </c>
      <c r="G109" s="4">
        <v>477000</v>
      </c>
      <c r="H109" s="4">
        <v>0</v>
      </c>
      <c r="I109" s="4">
        <v>0</v>
      </c>
      <c r="J109" s="2" t="s">
        <v>538</v>
      </c>
      <c r="K109" s="4">
        <v>9540000</v>
      </c>
      <c r="L109" s="4">
        <v>0</v>
      </c>
      <c r="M109" s="4">
        <v>9063000</v>
      </c>
      <c r="N109" s="4">
        <v>160150</v>
      </c>
      <c r="O109" s="4">
        <v>9063000</v>
      </c>
      <c r="P109" s="11">
        <v>0.05</v>
      </c>
      <c r="Q109" s="4">
        <v>1</v>
      </c>
      <c r="R109" s="2" t="s">
        <v>539</v>
      </c>
      <c r="S109" s="7">
        <f t="shared" si="8"/>
        <v>9063000</v>
      </c>
      <c r="T109" s="7">
        <f t="shared" si="9"/>
        <v>9063000</v>
      </c>
      <c r="U109" s="8">
        <f t="shared" si="10"/>
        <v>1</v>
      </c>
      <c r="V109" s="9" t="e">
        <f>IF(T109&lt;=0,"Output &lt;= 0",IF(U109&gt;#REF!,"Terlalu tinggi",IF(U109&lt;#REF!,"Terlalu rendah","Sesuai")))</f>
        <v>#REF!</v>
      </c>
      <c r="W109" s="7" t="e">
        <f>IF(T109&lt;=0,S109,IF(U109&gt;#REF!,ROUNDDOWN(T109*#REF!,0),IF(U109&lt;#REF!,ROUNDUP(T109*#REF!,0),S109)))</f>
        <v>#REF!</v>
      </c>
      <c r="X109" s="7" t="e">
        <f t="shared" si="11"/>
        <v>#REF!</v>
      </c>
      <c r="Y109" s="7" t="e">
        <f t="shared" si="12"/>
        <v>#REF!</v>
      </c>
      <c r="Z109" s="7" t="e">
        <f t="shared" si="13"/>
        <v>#REF!</v>
      </c>
      <c r="AA109" s="7" t="e">
        <f t="shared" si="14"/>
        <v>#REF!</v>
      </c>
      <c r="AB109" s="8" t="e">
        <f t="shared" si="15"/>
        <v>#REF!</v>
      </c>
      <c r="AC109" s="9" t="e">
        <f>IF(T109&lt;=0,"Output &lt;= 0, cek manual",IF(OR(Z109&lt;0,Y109&lt;0),"Biaya negatif",IF(AND(AB109&gt;=#REF!,AB109&lt;=#REF!),"OK","Di luar rentang")))</f>
        <v>#REF!</v>
      </c>
    </row>
    <row r="110" ht="71.25" spans="1:29">
      <c r="A110" s="2" t="s">
        <v>30</v>
      </c>
      <c r="B110" s="2" t="s">
        <v>534</v>
      </c>
      <c r="C110" s="3" t="s">
        <v>540</v>
      </c>
      <c r="D110" s="3" t="s">
        <v>541</v>
      </c>
      <c r="E110" s="3" t="s">
        <v>542</v>
      </c>
      <c r="F110" s="4">
        <v>1500000</v>
      </c>
      <c r="G110" s="4">
        <v>3500000</v>
      </c>
      <c r="H110" s="4">
        <v>250000</v>
      </c>
      <c r="I110" s="4">
        <v>0</v>
      </c>
      <c r="J110" s="2" t="s">
        <v>543</v>
      </c>
      <c r="K110" s="4">
        <v>25700000</v>
      </c>
      <c r="L110" s="4">
        <v>0</v>
      </c>
      <c r="M110" s="4">
        <v>20450000</v>
      </c>
      <c r="N110" s="4">
        <v>3100000</v>
      </c>
      <c r="O110" s="4">
        <v>22200000</v>
      </c>
      <c r="P110" s="5">
        <v>0.136187</v>
      </c>
      <c r="Q110" s="5">
        <v>0.921171</v>
      </c>
      <c r="R110" s="2" t="s">
        <v>544</v>
      </c>
      <c r="S110" s="7">
        <f t="shared" si="8"/>
        <v>20450000</v>
      </c>
      <c r="T110" s="7">
        <f t="shared" si="9"/>
        <v>22200000</v>
      </c>
      <c r="U110" s="8">
        <f t="shared" si="10"/>
        <v>0.921171171171171</v>
      </c>
      <c r="V110" s="9" t="e">
        <f>IF(T110&lt;=0,"Output &lt;= 0",IF(U110&gt;#REF!,"Terlalu tinggi",IF(U110&lt;#REF!,"Terlalu rendah","Sesuai")))</f>
        <v>#REF!</v>
      </c>
      <c r="W110" s="7" t="e">
        <f>IF(T110&lt;=0,S110,IF(U110&gt;#REF!,ROUNDDOWN(T110*#REF!,0),IF(U110&lt;#REF!,ROUNDUP(T110*#REF!,0),S110)))</f>
        <v>#REF!</v>
      </c>
      <c r="X110" s="7" t="e">
        <f t="shared" si="11"/>
        <v>#REF!</v>
      </c>
      <c r="Y110" s="7" t="e">
        <f t="shared" si="12"/>
        <v>#REF!</v>
      </c>
      <c r="Z110" s="7" t="e">
        <f t="shared" si="13"/>
        <v>#REF!</v>
      </c>
      <c r="AA110" s="7" t="e">
        <f t="shared" si="14"/>
        <v>#REF!</v>
      </c>
      <c r="AB110" s="8" t="e">
        <f t="shared" si="15"/>
        <v>#REF!</v>
      </c>
      <c r="AC110" s="9" t="e">
        <f>IF(T110&lt;=0,"Output &lt;= 0, cek manual",IF(OR(Z110&lt;0,Y110&lt;0),"Biaya negatif",IF(AND(AB110&gt;=#REF!,AB110&lt;=#REF!),"OK","Di luar rentang")))</f>
        <v>#REF!</v>
      </c>
    </row>
    <row r="111" ht="199.5" spans="1:29">
      <c r="A111" s="2" t="s">
        <v>30</v>
      </c>
      <c r="B111" s="2" t="s">
        <v>534</v>
      </c>
      <c r="C111" s="3" t="s">
        <v>545</v>
      </c>
      <c r="D111" s="3" t="s">
        <v>546</v>
      </c>
      <c r="E111" s="3" t="s">
        <v>547</v>
      </c>
      <c r="F111" s="4">
        <v>0</v>
      </c>
      <c r="G111" s="4">
        <v>15000000</v>
      </c>
      <c r="H111" s="4">
        <v>0</v>
      </c>
      <c r="I111" s="4">
        <v>0</v>
      </c>
      <c r="J111" s="2" t="s">
        <v>548</v>
      </c>
      <c r="K111" s="4">
        <v>17400000</v>
      </c>
      <c r="L111" s="4">
        <v>0</v>
      </c>
      <c r="M111" s="4">
        <v>2400000</v>
      </c>
      <c r="N111" s="4">
        <v>0</v>
      </c>
      <c r="O111" s="4">
        <v>2400000</v>
      </c>
      <c r="P111" s="5">
        <v>0.862069</v>
      </c>
      <c r="Q111" s="4">
        <v>1</v>
      </c>
      <c r="R111" s="2" t="s">
        <v>549</v>
      </c>
      <c r="S111" s="7">
        <f t="shared" si="8"/>
        <v>2400000</v>
      </c>
      <c r="T111" s="7">
        <f t="shared" si="9"/>
        <v>2400000</v>
      </c>
      <c r="U111" s="8">
        <f t="shared" si="10"/>
        <v>1</v>
      </c>
      <c r="V111" s="9" t="e">
        <f>IF(T111&lt;=0,"Output &lt;= 0",IF(U111&gt;#REF!,"Terlalu tinggi",IF(U111&lt;#REF!,"Terlalu rendah","Sesuai")))</f>
        <v>#REF!</v>
      </c>
      <c r="W111" s="7" t="e">
        <f>IF(T111&lt;=0,S111,IF(U111&gt;#REF!,ROUNDDOWN(T111*#REF!,0),IF(U111&lt;#REF!,ROUNDUP(T111*#REF!,0),S111)))</f>
        <v>#REF!</v>
      </c>
      <c r="X111" s="7" t="e">
        <f t="shared" si="11"/>
        <v>#REF!</v>
      </c>
      <c r="Y111" s="7" t="e">
        <f t="shared" si="12"/>
        <v>#REF!</v>
      </c>
      <c r="Z111" s="7" t="e">
        <f t="shared" si="13"/>
        <v>#REF!</v>
      </c>
      <c r="AA111" s="7" t="e">
        <f t="shared" si="14"/>
        <v>#REF!</v>
      </c>
      <c r="AB111" s="8" t="e">
        <f t="shared" si="15"/>
        <v>#REF!</v>
      </c>
      <c r="AC111" s="9" t="e">
        <f>IF(T111&lt;=0,"Output &lt;= 0, cek manual",IF(OR(Z111&lt;0,Y111&lt;0),"Biaya negatif",IF(AND(AB111&gt;=#REF!,AB111&lt;=#REF!),"OK","Di luar rentang")))</f>
        <v>#REF!</v>
      </c>
    </row>
    <row r="112" ht="71.25" spans="1:29">
      <c r="A112" s="2" t="s">
        <v>30</v>
      </c>
      <c r="B112" s="2" t="s">
        <v>534</v>
      </c>
      <c r="C112" s="3" t="s">
        <v>550</v>
      </c>
      <c r="D112" s="3" t="s">
        <v>551</v>
      </c>
      <c r="E112" s="3" t="s">
        <v>552</v>
      </c>
      <c r="F112" s="4">
        <v>0</v>
      </c>
      <c r="G112" s="4">
        <v>37440000</v>
      </c>
      <c r="H112" s="4">
        <v>300000</v>
      </c>
      <c r="I112" s="4">
        <v>0</v>
      </c>
      <c r="J112" s="2" t="s">
        <v>553</v>
      </c>
      <c r="K112" s="4">
        <v>40800000</v>
      </c>
      <c r="L112" s="4">
        <v>0</v>
      </c>
      <c r="M112" s="4">
        <v>3060000</v>
      </c>
      <c r="N112" s="4">
        <v>2350000</v>
      </c>
      <c r="O112" s="4">
        <v>3360000</v>
      </c>
      <c r="P112" s="5">
        <v>0.917647</v>
      </c>
      <c r="Q112" s="5">
        <v>0.910714</v>
      </c>
      <c r="R112" s="2" t="s">
        <v>554</v>
      </c>
      <c r="S112" s="7">
        <f t="shared" si="8"/>
        <v>3060000</v>
      </c>
      <c r="T112" s="7">
        <f t="shared" si="9"/>
        <v>3360000</v>
      </c>
      <c r="U112" s="8">
        <f t="shared" si="10"/>
        <v>0.910714285714286</v>
      </c>
      <c r="V112" s="9" t="e">
        <f>IF(T112&lt;=0,"Output &lt;= 0",IF(U112&gt;#REF!,"Terlalu tinggi",IF(U112&lt;#REF!,"Terlalu rendah","Sesuai")))</f>
        <v>#REF!</v>
      </c>
      <c r="W112" s="7" t="e">
        <f>IF(T112&lt;=0,S112,IF(U112&gt;#REF!,ROUNDDOWN(T112*#REF!,0),IF(U112&lt;#REF!,ROUNDUP(T112*#REF!,0),S112)))</f>
        <v>#REF!</v>
      </c>
      <c r="X112" s="7" t="e">
        <f t="shared" si="11"/>
        <v>#REF!</v>
      </c>
      <c r="Y112" s="7" t="e">
        <f t="shared" si="12"/>
        <v>#REF!</v>
      </c>
      <c r="Z112" s="7" t="e">
        <f t="shared" si="13"/>
        <v>#REF!</v>
      </c>
      <c r="AA112" s="7" t="e">
        <f t="shared" si="14"/>
        <v>#REF!</v>
      </c>
      <c r="AB112" s="8" t="e">
        <f t="shared" si="15"/>
        <v>#REF!</v>
      </c>
      <c r="AC112" s="9" t="e">
        <f>IF(T112&lt;=0,"Output &lt;= 0, cek manual",IF(OR(Z112&lt;0,Y112&lt;0),"Biaya negatif",IF(AND(AB112&gt;=#REF!,AB112&lt;=#REF!),"OK","Di luar rentang")))</f>
        <v>#REF!</v>
      </c>
    </row>
    <row r="113" ht="85.5" spans="1:29">
      <c r="A113" s="2" t="s">
        <v>30</v>
      </c>
      <c r="B113" s="2" t="s">
        <v>534</v>
      </c>
      <c r="C113" s="3" t="s">
        <v>555</v>
      </c>
      <c r="D113" s="3" t="s">
        <v>381</v>
      </c>
      <c r="E113" s="3" t="s">
        <v>556</v>
      </c>
      <c r="F113" s="4">
        <v>0</v>
      </c>
      <c r="G113" s="4">
        <v>66240000</v>
      </c>
      <c r="H113" s="4">
        <v>0</v>
      </c>
      <c r="I113" s="4">
        <v>0</v>
      </c>
      <c r="J113" s="2" t="s">
        <v>557</v>
      </c>
      <c r="K113" s="4">
        <v>72000000</v>
      </c>
      <c r="L113" s="4">
        <v>0</v>
      </c>
      <c r="M113" s="4">
        <v>5760000</v>
      </c>
      <c r="N113" s="4">
        <v>350500000</v>
      </c>
      <c r="O113" s="4">
        <v>5760000</v>
      </c>
      <c r="P113" s="11">
        <v>0.92</v>
      </c>
      <c r="Q113" s="4">
        <v>1</v>
      </c>
      <c r="R113" s="2" t="s">
        <v>558</v>
      </c>
      <c r="S113" s="7">
        <f t="shared" si="8"/>
        <v>5760000</v>
      </c>
      <c r="T113" s="7">
        <f t="shared" si="9"/>
        <v>5760000</v>
      </c>
      <c r="U113" s="8">
        <f t="shared" si="10"/>
        <v>1</v>
      </c>
      <c r="V113" s="9" t="e">
        <f>IF(T113&lt;=0,"Output &lt;= 0",IF(U113&gt;#REF!,"Terlalu tinggi",IF(U113&lt;#REF!,"Terlalu rendah","Sesuai")))</f>
        <v>#REF!</v>
      </c>
      <c r="W113" s="7" t="e">
        <f>IF(T113&lt;=0,S113,IF(U113&gt;#REF!,ROUNDDOWN(T113*#REF!,0),IF(U113&lt;#REF!,ROUNDUP(T113*#REF!,0),S113)))</f>
        <v>#REF!</v>
      </c>
      <c r="X113" s="7" t="e">
        <f t="shared" si="11"/>
        <v>#REF!</v>
      </c>
      <c r="Y113" s="7" t="e">
        <f t="shared" si="12"/>
        <v>#REF!</v>
      </c>
      <c r="Z113" s="7" t="e">
        <f t="shared" si="13"/>
        <v>#REF!</v>
      </c>
      <c r="AA113" s="7" t="e">
        <f t="shared" si="14"/>
        <v>#REF!</v>
      </c>
      <c r="AB113" s="8" t="e">
        <f t="shared" si="15"/>
        <v>#REF!</v>
      </c>
      <c r="AC113" s="9" t="e">
        <f>IF(T113&lt;=0,"Output &lt;= 0, cek manual",IF(OR(Z113&lt;0,Y113&lt;0),"Biaya negatif",IF(AND(AB113&gt;=#REF!,AB113&lt;=#REF!),"OK","Di luar rentang")))</f>
        <v>#REF!</v>
      </c>
    </row>
    <row r="114" ht="99.75" spans="1:29">
      <c r="A114" s="2" t="s">
        <v>30</v>
      </c>
      <c r="B114" s="2" t="s">
        <v>534</v>
      </c>
      <c r="C114" s="3" t="s">
        <v>559</v>
      </c>
      <c r="D114" s="3" t="s">
        <v>560</v>
      </c>
      <c r="E114" s="3" t="s">
        <v>542</v>
      </c>
      <c r="F114" s="4">
        <v>0</v>
      </c>
      <c r="G114" s="4">
        <v>24960000</v>
      </c>
      <c r="H114" s="4">
        <v>300000</v>
      </c>
      <c r="I114" s="4">
        <v>50000</v>
      </c>
      <c r="J114" s="2" t="s">
        <v>561</v>
      </c>
      <c r="K114" s="4">
        <v>29760000</v>
      </c>
      <c r="L114" s="4">
        <v>0</v>
      </c>
      <c r="M114" s="4">
        <v>4500000</v>
      </c>
      <c r="N114" s="4">
        <v>6000000</v>
      </c>
      <c r="O114" s="4">
        <v>4800000</v>
      </c>
      <c r="P114" s="6">
        <v>0.83871</v>
      </c>
      <c r="Q114" s="13">
        <v>0.9375</v>
      </c>
      <c r="R114" s="2" t="s">
        <v>562</v>
      </c>
      <c r="S114" s="7">
        <f t="shared" si="8"/>
        <v>4500000</v>
      </c>
      <c r="T114" s="7">
        <f t="shared" si="9"/>
        <v>4800000</v>
      </c>
      <c r="U114" s="8">
        <f t="shared" si="10"/>
        <v>0.9375</v>
      </c>
      <c r="V114" s="9" t="e">
        <f>IF(T114&lt;=0,"Output &lt;= 0",IF(U114&gt;#REF!,"Terlalu tinggi",IF(U114&lt;#REF!,"Terlalu rendah","Sesuai")))</f>
        <v>#REF!</v>
      </c>
      <c r="W114" s="7" t="e">
        <f>IF(T114&lt;=0,S114,IF(U114&gt;#REF!,ROUNDDOWN(T114*#REF!,0),IF(U114&lt;#REF!,ROUNDUP(T114*#REF!,0),S114)))</f>
        <v>#REF!</v>
      </c>
      <c r="X114" s="7" t="e">
        <f t="shared" si="11"/>
        <v>#REF!</v>
      </c>
      <c r="Y114" s="7" t="e">
        <f t="shared" si="12"/>
        <v>#REF!</v>
      </c>
      <c r="Z114" s="7" t="e">
        <f t="shared" si="13"/>
        <v>#REF!</v>
      </c>
      <c r="AA114" s="7" t="e">
        <f t="shared" si="14"/>
        <v>#REF!</v>
      </c>
      <c r="AB114" s="8" t="e">
        <f t="shared" si="15"/>
        <v>#REF!</v>
      </c>
      <c r="AC114" s="9" t="e">
        <f>IF(T114&lt;=0,"Output &lt;= 0, cek manual",IF(OR(Z114&lt;0,Y114&lt;0),"Biaya negatif",IF(AND(AB114&gt;=#REF!,AB114&lt;=#REF!),"OK","Di luar rentang")))</f>
        <v>#REF!</v>
      </c>
    </row>
    <row r="115" ht="114" spans="1:29">
      <c r="A115" s="2" t="s">
        <v>30</v>
      </c>
      <c r="B115" s="2" t="s">
        <v>534</v>
      </c>
      <c r="C115" s="3" t="s">
        <v>563</v>
      </c>
      <c r="D115" s="3" t="s">
        <v>468</v>
      </c>
      <c r="E115" s="3" t="s">
        <v>469</v>
      </c>
      <c r="F115" s="4">
        <v>0</v>
      </c>
      <c r="G115" s="4">
        <v>48960000</v>
      </c>
      <c r="H115" s="4">
        <v>600000</v>
      </c>
      <c r="I115" s="4">
        <v>0</v>
      </c>
      <c r="J115" s="2" t="s">
        <v>470</v>
      </c>
      <c r="K115" s="4">
        <v>57600000</v>
      </c>
      <c r="L115" s="4">
        <v>0</v>
      </c>
      <c r="M115" s="4">
        <v>8040000</v>
      </c>
      <c r="N115" s="4">
        <v>6500000</v>
      </c>
      <c r="O115" s="4">
        <v>8640000</v>
      </c>
      <c r="P115" s="11">
        <v>0.85</v>
      </c>
      <c r="Q115" s="5">
        <v>0.930556</v>
      </c>
      <c r="R115" s="2" t="s">
        <v>471</v>
      </c>
      <c r="S115" s="7">
        <f t="shared" si="8"/>
        <v>8040000</v>
      </c>
      <c r="T115" s="7">
        <f t="shared" si="9"/>
        <v>8640000</v>
      </c>
      <c r="U115" s="8">
        <f t="shared" si="10"/>
        <v>0.930555555555556</v>
      </c>
      <c r="V115" s="9" t="e">
        <f>IF(T115&lt;=0,"Output &lt;= 0",IF(U115&gt;#REF!,"Terlalu tinggi",IF(U115&lt;#REF!,"Terlalu rendah","Sesuai")))</f>
        <v>#REF!</v>
      </c>
      <c r="W115" s="7" t="e">
        <f>IF(T115&lt;=0,S115,IF(U115&gt;#REF!,ROUNDDOWN(T115*#REF!,0),IF(U115&lt;#REF!,ROUNDUP(T115*#REF!,0),S115)))</f>
        <v>#REF!</v>
      </c>
      <c r="X115" s="7" t="e">
        <f t="shared" si="11"/>
        <v>#REF!</v>
      </c>
      <c r="Y115" s="7" t="e">
        <f t="shared" si="12"/>
        <v>#REF!</v>
      </c>
      <c r="Z115" s="7" t="e">
        <f t="shared" si="13"/>
        <v>#REF!</v>
      </c>
      <c r="AA115" s="7" t="e">
        <f t="shared" si="14"/>
        <v>#REF!</v>
      </c>
      <c r="AB115" s="8" t="e">
        <f t="shared" si="15"/>
        <v>#REF!</v>
      </c>
      <c r="AC115" s="9" t="e">
        <f>IF(T115&lt;=0,"Output &lt;= 0, cek manual",IF(OR(Z115&lt;0,Y115&lt;0),"Biaya negatif",IF(AND(AB115&gt;=#REF!,AB115&lt;=#REF!),"OK","Di luar rentang")))</f>
        <v>#REF!</v>
      </c>
    </row>
    <row r="116" ht="114" spans="1:29">
      <c r="A116" s="2" t="s">
        <v>30</v>
      </c>
      <c r="B116" s="2" t="s">
        <v>534</v>
      </c>
      <c r="C116" s="3" t="s">
        <v>564</v>
      </c>
      <c r="D116" s="3" t="s">
        <v>565</v>
      </c>
      <c r="E116" s="3" t="s">
        <v>566</v>
      </c>
      <c r="F116" s="4">
        <v>0</v>
      </c>
      <c r="G116" s="4">
        <v>36000000</v>
      </c>
      <c r="H116" s="4">
        <v>0</v>
      </c>
      <c r="I116" s="4">
        <v>59500</v>
      </c>
      <c r="J116" s="2" t="s">
        <v>567</v>
      </c>
      <c r="K116" s="4">
        <v>51300000</v>
      </c>
      <c r="L116" s="4">
        <v>0</v>
      </c>
      <c r="M116" s="4">
        <v>15300000</v>
      </c>
      <c r="N116" s="4">
        <v>900000</v>
      </c>
      <c r="O116" s="4">
        <v>15300000</v>
      </c>
      <c r="P116" s="5">
        <v>0.701754</v>
      </c>
      <c r="Q116" s="4">
        <v>1</v>
      </c>
      <c r="R116" s="2" t="s">
        <v>568</v>
      </c>
      <c r="S116" s="7">
        <f t="shared" si="8"/>
        <v>15300000</v>
      </c>
      <c r="T116" s="7">
        <f t="shared" si="9"/>
        <v>15300000</v>
      </c>
      <c r="U116" s="8">
        <f t="shared" si="10"/>
        <v>1</v>
      </c>
      <c r="V116" s="9" t="e">
        <f>IF(T116&lt;=0,"Output &lt;= 0",IF(U116&gt;#REF!,"Terlalu tinggi",IF(U116&lt;#REF!,"Terlalu rendah","Sesuai")))</f>
        <v>#REF!</v>
      </c>
      <c r="W116" s="7" t="e">
        <f>IF(T116&lt;=0,S116,IF(U116&gt;#REF!,ROUNDDOWN(T116*#REF!,0),IF(U116&lt;#REF!,ROUNDUP(T116*#REF!,0),S116)))</f>
        <v>#REF!</v>
      </c>
      <c r="X116" s="7" t="e">
        <f t="shared" si="11"/>
        <v>#REF!</v>
      </c>
      <c r="Y116" s="7" t="e">
        <f t="shared" si="12"/>
        <v>#REF!</v>
      </c>
      <c r="Z116" s="7" t="e">
        <f t="shared" si="13"/>
        <v>#REF!</v>
      </c>
      <c r="AA116" s="7" t="e">
        <f t="shared" si="14"/>
        <v>#REF!</v>
      </c>
      <c r="AB116" s="8" t="e">
        <f t="shared" si="15"/>
        <v>#REF!</v>
      </c>
      <c r="AC116" s="9" t="e">
        <f>IF(T116&lt;=0,"Output &lt;= 0, cek manual",IF(OR(Z116&lt;0,Y116&lt;0),"Biaya negatif",IF(AND(AB116&gt;=#REF!,AB116&lt;=#REF!),"OK","Di luar rentang")))</f>
        <v>#REF!</v>
      </c>
    </row>
    <row r="117" ht="71.25" spans="1:29">
      <c r="A117" s="2" t="s">
        <v>30</v>
      </c>
      <c r="B117" s="2" t="s">
        <v>534</v>
      </c>
      <c r="C117" s="3" t="s">
        <v>569</v>
      </c>
      <c r="D117" s="3" t="s">
        <v>570</v>
      </c>
      <c r="E117" s="3" t="s">
        <v>571</v>
      </c>
      <c r="F117" s="4">
        <v>0</v>
      </c>
      <c r="G117" s="4">
        <v>24960000</v>
      </c>
      <c r="H117" s="4">
        <v>0</v>
      </c>
      <c r="I117" s="4">
        <v>53000</v>
      </c>
      <c r="J117" s="2" t="s">
        <v>572</v>
      </c>
      <c r="K117" s="4">
        <v>29760000</v>
      </c>
      <c r="L117" s="4">
        <v>0</v>
      </c>
      <c r="M117" s="4">
        <v>4800000</v>
      </c>
      <c r="N117" s="4">
        <v>21200000</v>
      </c>
      <c r="O117" s="4">
        <v>4800000</v>
      </c>
      <c r="P117" s="6">
        <v>0.83871</v>
      </c>
      <c r="Q117" s="4">
        <v>1</v>
      </c>
      <c r="R117" s="2" t="s">
        <v>573</v>
      </c>
      <c r="S117" s="7">
        <f t="shared" si="8"/>
        <v>4800000</v>
      </c>
      <c r="T117" s="7">
        <f t="shared" si="9"/>
        <v>4800000</v>
      </c>
      <c r="U117" s="8">
        <f t="shared" si="10"/>
        <v>1</v>
      </c>
      <c r="V117" s="9" t="e">
        <f>IF(T117&lt;=0,"Output &lt;= 0",IF(U117&gt;#REF!,"Terlalu tinggi",IF(U117&lt;#REF!,"Terlalu rendah","Sesuai")))</f>
        <v>#REF!</v>
      </c>
      <c r="W117" s="7" t="e">
        <f>IF(T117&lt;=0,S117,IF(U117&gt;#REF!,ROUNDDOWN(T117*#REF!,0),IF(U117&lt;#REF!,ROUNDUP(T117*#REF!,0),S117)))</f>
        <v>#REF!</v>
      </c>
      <c r="X117" s="7" t="e">
        <f t="shared" si="11"/>
        <v>#REF!</v>
      </c>
      <c r="Y117" s="7" t="e">
        <f t="shared" si="12"/>
        <v>#REF!</v>
      </c>
      <c r="Z117" s="7" t="e">
        <f t="shared" si="13"/>
        <v>#REF!</v>
      </c>
      <c r="AA117" s="7" t="e">
        <f t="shared" si="14"/>
        <v>#REF!</v>
      </c>
      <c r="AB117" s="8" t="e">
        <f t="shared" si="15"/>
        <v>#REF!</v>
      </c>
      <c r="AC117" s="9" t="e">
        <f>IF(T117&lt;=0,"Output &lt;= 0, cek manual",IF(OR(Z117&lt;0,Y117&lt;0),"Biaya negatif",IF(AND(AB117&gt;=#REF!,AB117&lt;=#REF!),"OK","Di luar rentang")))</f>
        <v>#REF!</v>
      </c>
    </row>
    <row r="118" ht="114" spans="1:29">
      <c r="A118" s="2" t="s">
        <v>30</v>
      </c>
      <c r="B118" s="2" t="s">
        <v>534</v>
      </c>
      <c r="C118" s="3" t="s">
        <v>574</v>
      </c>
      <c r="D118" s="3" t="s">
        <v>560</v>
      </c>
      <c r="E118" s="3" t="s">
        <v>575</v>
      </c>
      <c r="F118" s="4">
        <v>1150000</v>
      </c>
      <c r="G118" s="4">
        <v>24960000</v>
      </c>
      <c r="H118" s="4">
        <v>0</v>
      </c>
      <c r="I118" s="4">
        <v>62000</v>
      </c>
      <c r="J118" s="2" t="s">
        <v>576</v>
      </c>
      <c r="K118" s="4">
        <v>27600000</v>
      </c>
      <c r="L118" s="4">
        <v>0</v>
      </c>
      <c r="M118" s="4">
        <v>1490000</v>
      </c>
      <c r="N118" s="4">
        <v>11000000</v>
      </c>
      <c r="O118" s="4">
        <v>2640000</v>
      </c>
      <c r="P118" s="5">
        <v>0.904348</v>
      </c>
      <c r="Q118" s="5">
        <v>0.564394</v>
      </c>
      <c r="R118" s="2" t="s">
        <v>577</v>
      </c>
      <c r="S118" s="7">
        <f t="shared" si="8"/>
        <v>1490000</v>
      </c>
      <c r="T118" s="7">
        <f t="shared" si="9"/>
        <v>2640000</v>
      </c>
      <c r="U118" s="8">
        <f t="shared" si="10"/>
        <v>0.564393939393939</v>
      </c>
      <c r="V118" s="9" t="e">
        <f>IF(T118&lt;=0,"Output &lt;= 0",IF(U118&gt;#REF!,"Terlalu tinggi",IF(U118&lt;#REF!,"Terlalu rendah","Sesuai")))</f>
        <v>#REF!</v>
      </c>
      <c r="W118" s="7" t="e">
        <f>IF(T118&lt;=0,S118,IF(U118&gt;#REF!,ROUNDDOWN(T118*#REF!,0),IF(U118&lt;#REF!,ROUNDUP(T118*#REF!,0),S118)))</f>
        <v>#REF!</v>
      </c>
      <c r="X118" s="7" t="e">
        <f t="shared" si="11"/>
        <v>#REF!</v>
      </c>
      <c r="Y118" s="7" t="e">
        <f t="shared" si="12"/>
        <v>#REF!</v>
      </c>
      <c r="Z118" s="7" t="e">
        <f t="shared" si="13"/>
        <v>#REF!</v>
      </c>
      <c r="AA118" s="7" t="e">
        <f t="shared" si="14"/>
        <v>#REF!</v>
      </c>
      <c r="AB118" s="8" t="e">
        <f t="shared" si="15"/>
        <v>#REF!</v>
      </c>
      <c r="AC118" s="9" t="e">
        <f>IF(T118&lt;=0,"Output &lt;= 0, cek manual",IF(OR(Z118&lt;0,Y118&lt;0),"Biaya negatif",IF(AND(AB118&gt;=#REF!,AB118&lt;=#REF!),"OK","Di luar rentang")))</f>
        <v>#REF!</v>
      </c>
    </row>
    <row r="119" ht="114" spans="1:29">
      <c r="A119" s="2" t="s">
        <v>30</v>
      </c>
      <c r="B119" s="2" t="s">
        <v>534</v>
      </c>
      <c r="C119" s="3" t="s">
        <v>578</v>
      </c>
      <c r="D119" s="3" t="s">
        <v>541</v>
      </c>
      <c r="E119" s="3" t="s">
        <v>579</v>
      </c>
      <c r="F119" s="4">
        <v>0</v>
      </c>
      <c r="G119" s="4">
        <v>24960000</v>
      </c>
      <c r="H119" s="4">
        <v>0</v>
      </c>
      <c r="I119" s="4">
        <v>0</v>
      </c>
      <c r="J119" s="2" t="s">
        <v>580</v>
      </c>
      <c r="K119" s="4">
        <v>27880000</v>
      </c>
      <c r="L119" s="4">
        <v>0</v>
      </c>
      <c r="M119" s="4">
        <v>2920000</v>
      </c>
      <c r="N119" s="4">
        <v>15500000</v>
      </c>
      <c r="O119" s="4">
        <v>2920000</v>
      </c>
      <c r="P119" s="5">
        <v>0.895265</v>
      </c>
      <c r="Q119" s="4">
        <v>1</v>
      </c>
      <c r="R119" s="2" t="s">
        <v>581</v>
      </c>
      <c r="S119" s="7">
        <f t="shared" si="8"/>
        <v>2920000</v>
      </c>
      <c r="T119" s="7">
        <f t="shared" si="9"/>
        <v>2920000</v>
      </c>
      <c r="U119" s="8">
        <f t="shared" si="10"/>
        <v>1</v>
      </c>
      <c r="V119" s="9" t="e">
        <f>IF(T119&lt;=0,"Output &lt;= 0",IF(U119&gt;#REF!,"Terlalu tinggi",IF(U119&lt;#REF!,"Terlalu rendah","Sesuai")))</f>
        <v>#REF!</v>
      </c>
      <c r="W119" s="7" t="e">
        <f>IF(T119&lt;=0,S119,IF(U119&gt;#REF!,ROUNDDOWN(T119*#REF!,0),IF(U119&lt;#REF!,ROUNDUP(T119*#REF!,0),S119)))</f>
        <v>#REF!</v>
      </c>
      <c r="X119" s="7" t="e">
        <f t="shared" si="11"/>
        <v>#REF!</v>
      </c>
      <c r="Y119" s="7" t="e">
        <f t="shared" si="12"/>
        <v>#REF!</v>
      </c>
      <c r="Z119" s="7" t="e">
        <f t="shared" si="13"/>
        <v>#REF!</v>
      </c>
      <c r="AA119" s="7" t="e">
        <f t="shared" si="14"/>
        <v>#REF!</v>
      </c>
      <c r="AB119" s="8" t="e">
        <f t="shared" si="15"/>
        <v>#REF!</v>
      </c>
      <c r="AC119" s="9" t="e">
        <f>IF(T119&lt;=0,"Output &lt;= 0, cek manual",IF(OR(Z119&lt;0,Y119&lt;0),"Biaya negatif",IF(AND(AB119&gt;=#REF!,AB119&lt;=#REF!),"OK","Di luar rentang")))</f>
        <v>#REF!</v>
      </c>
    </row>
    <row r="120" ht="71.25" spans="1:29">
      <c r="A120" s="2" t="s">
        <v>30</v>
      </c>
      <c r="B120" s="2" t="s">
        <v>534</v>
      </c>
      <c r="C120" s="3" t="s">
        <v>582</v>
      </c>
      <c r="D120" s="3" t="s">
        <v>583</v>
      </c>
      <c r="E120" s="3" t="s">
        <v>584</v>
      </c>
      <c r="F120" s="4">
        <v>0</v>
      </c>
      <c r="G120" s="4">
        <v>3000000</v>
      </c>
      <c r="H120" s="4">
        <v>240000</v>
      </c>
      <c r="I120" s="4">
        <v>0</v>
      </c>
      <c r="J120" s="2" t="s">
        <v>585</v>
      </c>
      <c r="K120" s="4">
        <v>4200000</v>
      </c>
      <c r="L120" s="4">
        <v>0</v>
      </c>
      <c r="M120" s="4">
        <v>960000</v>
      </c>
      <c r="N120" s="4">
        <v>0</v>
      </c>
      <c r="O120" s="4">
        <v>1200000</v>
      </c>
      <c r="P120" s="5">
        <v>0.714286</v>
      </c>
      <c r="Q120" s="12">
        <v>0.8</v>
      </c>
      <c r="R120" s="2" t="s">
        <v>586</v>
      </c>
      <c r="S120" s="7">
        <f t="shared" si="8"/>
        <v>960000</v>
      </c>
      <c r="T120" s="7">
        <f t="shared" si="9"/>
        <v>1200000</v>
      </c>
      <c r="U120" s="8">
        <f t="shared" si="10"/>
        <v>0.8</v>
      </c>
      <c r="V120" s="9" t="e">
        <f>IF(T120&lt;=0,"Output &lt;= 0",IF(U120&gt;#REF!,"Terlalu tinggi",IF(U120&lt;#REF!,"Terlalu rendah","Sesuai")))</f>
        <v>#REF!</v>
      </c>
      <c r="W120" s="7" t="e">
        <f>IF(T120&lt;=0,S120,IF(U120&gt;#REF!,ROUNDDOWN(T120*#REF!,0),IF(U120&lt;#REF!,ROUNDUP(T120*#REF!,0),S120)))</f>
        <v>#REF!</v>
      </c>
      <c r="X120" s="7" t="e">
        <f t="shared" si="11"/>
        <v>#REF!</v>
      </c>
      <c r="Y120" s="7" t="e">
        <f t="shared" si="12"/>
        <v>#REF!</v>
      </c>
      <c r="Z120" s="7" t="e">
        <f t="shared" si="13"/>
        <v>#REF!</v>
      </c>
      <c r="AA120" s="7" t="e">
        <f t="shared" si="14"/>
        <v>#REF!</v>
      </c>
      <c r="AB120" s="8" t="e">
        <f t="shared" si="15"/>
        <v>#REF!</v>
      </c>
      <c r="AC120" s="9" t="e">
        <f>IF(T120&lt;=0,"Output &lt;= 0, cek manual",IF(OR(Z120&lt;0,Y120&lt;0),"Biaya negatif",IF(AND(AB120&gt;=#REF!,AB120&lt;=#REF!),"OK","Di luar rentang")))</f>
        <v>#REF!</v>
      </c>
    </row>
    <row r="121" ht="85.5" spans="1:29">
      <c r="A121" s="2" t="s">
        <v>30</v>
      </c>
      <c r="B121" s="2" t="s">
        <v>534</v>
      </c>
      <c r="C121" s="3" t="s">
        <v>587</v>
      </c>
      <c r="D121" s="3" t="s">
        <v>381</v>
      </c>
      <c r="E121" s="3" t="s">
        <v>588</v>
      </c>
      <c r="F121" s="4">
        <v>50000</v>
      </c>
      <c r="G121" s="4">
        <v>24960000</v>
      </c>
      <c r="H121" s="4">
        <v>100000</v>
      </c>
      <c r="I121" s="4">
        <v>0</v>
      </c>
      <c r="J121" s="2" t="s">
        <v>589</v>
      </c>
      <c r="K121" s="4">
        <v>26400000</v>
      </c>
      <c r="L121" s="4">
        <v>0</v>
      </c>
      <c r="M121" s="4">
        <v>1290000</v>
      </c>
      <c r="N121" s="4">
        <v>1400000</v>
      </c>
      <c r="O121" s="4">
        <v>1440000</v>
      </c>
      <c r="P121" s="5">
        <v>0.945455</v>
      </c>
      <c r="Q121" s="5">
        <v>0.895833</v>
      </c>
      <c r="R121" s="2" t="s">
        <v>590</v>
      </c>
      <c r="S121" s="7">
        <f t="shared" si="8"/>
        <v>1290000</v>
      </c>
      <c r="T121" s="7">
        <f t="shared" si="9"/>
        <v>1440000</v>
      </c>
      <c r="U121" s="8">
        <f t="shared" si="10"/>
        <v>0.895833333333333</v>
      </c>
      <c r="V121" s="9" t="e">
        <f>IF(T121&lt;=0,"Output &lt;= 0",IF(U121&gt;#REF!,"Terlalu tinggi",IF(U121&lt;#REF!,"Terlalu rendah","Sesuai")))</f>
        <v>#REF!</v>
      </c>
      <c r="W121" s="7" t="e">
        <f>IF(T121&lt;=0,S121,IF(U121&gt;#REF!,ROUNDDOWN(T121*#REF!,0),IF(U121&lt;#REF!,ROUNDUP(T121*#REF!,0),S121)))</f>
        <v>#REF!</v>
      </c>
      <c r="X121" s="7" t="e">
        <f t="shared" si="11"/>
        <v>#REF!</v>
      </c>
      <c r="Y121" s="7" t="e">
        <f t="shared" si="12"/>
        <v>#REF!</v>
      </c>
      <c r="Z121" s="7" t="e">
        <f t="shared" si="13"/>
        <v>#REF!</v>
      </c>
      <c r="AA121" s="7" t="e">
        <f t="shared" si="14"/>
        <v>#REF!</v>
      </c>
      <c r="AB121" s="8" t="e">
        <f t="shared" si="15"/>
        <v>#REF!</v>
      </c>
      <c r="AC121" s="9" t="e">
        <f>IF(T121&lt;=0,"Output &lt;= 0, cek manual",IF(OR(Z121&lt;0,Y121&lt;0),"Biaya negatif",IF(AND(AB121&gt;=#REF!,AB121&lt;=#REF!),"OK","Di luar rentang")))</f>
        <v>#REF!</v>
      </c>
    </row>
    <row r="122" ht="99.75" spans="1:29">
      <c r="A122" s="2" t="s">
        <v>30</v>
      </c>
      <c r="B122" s="2" t="s">
        <v>534</v>
      </c>
      <c r="C122" s="3" t="s">
        <v>591</v>
      </c>
      <c r="D122" s="3" t="s">
        <v>592</v>
      </c>
      <c r="E122" s="3" t="s">
        <v>592</v>
      </c>
      <c r="F122" s="4">
        <v>9200000</v>
      </c>
      <c r="G122" s="4">
        <v>0</v>
      </c>
      <c r="H122" s="4">
        <v>400000</v>
      </c>
      <c r="I122" s="4">
        <v>0</v>
      </c>
      <c r="J122" s="2" t="s">
        <v>593</v>
      </c>
      <c r="K122" s="4">
        <v>12000000</v>
      </c>
      <c r="L122" s="4">
        <v>0</v>
      </c>
      <c r="M122" s="4">
        <v>2400000</v>
      </c>
      <c r="N122" s="4">
        <v>0</v>
      </c>
      <c r="O122" s="4">
        <v>12000000</v>
      </c>
      <c r="P122" s="4">
        <v>0</v>
      </c>
      <c r="Q122" s="12">
        <v>0.2</v>
      </c>
      <c r="R122" s="2" t="s">
        <v>594</v>
      </c>
      <c r="S122" s="7">
        <f t="shared" si="8"/>
        <v>2400000</v>
      </c>
      <c r="T122" s="7">
        <f t="shared" si="9"/>
        <v>12000000</v>
      </c>
      <c r="U122" s="8">
        <f t="shared" si="10"/>
        <v>0.2</v>
      </c>
      <c r="V122" s="9" t="e">
        <f>IF(T122&lt;=0,"Output &lt;= 0",IF(U122&gt;#REF!,"Terlalu tinggi",IF(U122&lt;#REF!,"Terlalu rendah","Sesuai")))</f>
        <v>#REF!</v>
      </c>
      <c r="W122" s="7" t="e">
        <f>IF(T122&lt;=0,S122,IF(U122&gt;#REF!,ROUNDDOWN(T122*#REF!,0),IF(U122&lt;#REF!,ROUNDUP(T122*#REF!,0),S122)))</f>
        <v>#REF!</v>
      </c>
      <c r="X122" s="7" t="e">
        <f t="shared" si="11"/>
        <v>#REF!</v>
      </c>
      <c r="Y122" s="7" t="e">
        <f t="shared" si="12"/>
        <v>#REF!</v>
      </c>
      <c r="Z122" s="7" t="e">
        <f t="shared" si="13"/>
        <v>#REF!</v>
      </c>
      <c r="AA122" s="7" t="e">
        <f t="shared" si="14"/>
        <v>#REF!</v>
      </c>
      <c r="AB122" s="8" t="e">
        <f t="shared" si="15"/>
        <v>#REF!</v>
      </c>
      <c r="AC122" s="9" t="e">
        <f>IF(T122&lt;=0,"Output &lt;= 0, cek manual",IF(OR(Z122&lt;0,Y122&lt;0),"Biaya negatif",IF(AND(AB122&gt;=#REF!,AB122&lt;=#REF!),"OK","Di luar rentang")))</f>
        <v>#REF!</v>
      </c>
    </row>
    <row r="123" ht="114" spans="1:29">
      <c r="A123" s="2" t="s">
        <v>30</v>
      </c>
      <c r="B123" s="2" t="s">
        <v>534</v>
      </c>
      <c r="C123" s="3" t="s">
        <v>595</v>
      </c>
      <c r="D123" s="3" t="s">
        <v>381</v>
      </c>
      <c r="E123" s="3" t="s">
        <v>596</v>
      </c>
      <c r="F123" s="4">
        <v>0</v>
      </c>
      <c r="G123" s="4">
        <v>6300000</v>
      </c>
      <c r="H123" s="4">
        <v>0</v>
      </c>
      <c r="I123" s="4">
        <v>0</v>
      </c>
      <c r="J123" s="2" t="s">
        <v>597</v>
      </c>
      <c r="K123" s="4">
        <v>7875000</v>
      </c>
      <c r="L123" s="4">
        <v>0</v>
      </c>
      <c r="M123" s="4">
        <v>1575000</v>
      </c>
      <c r="N123" s="4">
        <v>1100000</v>
      </c>
      <c r="O123" s="4">
        <v>1575000</v>
      </c>
      <c r="P123" s="12">
        <v>0.8</v>
      </c>
      <c r="Q123" s="4">
        <v>1</v>
      </c>
      <c r="R123" s="2" t="s">
        <v>598</v>
      </c>
      <c r="S123" s="7">
        <f t="shared" si="8"/>
        <v>1575000</v>
      </c>
      <c r="T123" s="7">
        <f t="shared" si="9"/>
        <v>1575000</v>
      </c>
      <c r="U123" s="8">
        <f t="shared" si="10"/>
        <v>1</v>
      </c>
      <c r="V123" s="9" t="e">
        <f>IF(T123&lt;=0,"Output &lt;= 0",IF(U123&gt;#REF!,"Terlalu tinggi",IF(U123&lt;#REF!,"Terlalu rendah","Sesuai")))</f>
        <v>#REF!</v>
      </c>
      <c r="W123" s="7" t="e">
        <f>IF(T123&lt;=0,S123,IF(U123&gt;#REF!,ROUNDDOWN(T123*#REF!,0),IF(U123&lt;#REF!,ROUNDUP(T123*#REF!,0),S123)))</f>
        <v>#REF!</v>
      </c>
      <c r="X123" s="7" t="e">
        <f t="shared" si="11"/>
        <v>#REF!</v>
      </c>
      <c r="Y123" s="7" t="e">
        <f t="shared" si="12"/>
        <v>#REF!</v>
      </c>
      <c r="Z123" s="7" t="e">
        <f t="shared" si="13"/>
        <v>#REF!</v>
      </c>
      <c r="AA123" s="7" t="e">
        <f t="shared" si="14"/>
        <v>#REF!</v>
      </c>
      <c r="AB123" s="8" t="e">
        <f t="shared" si="15"/>
        <v>#REF!</v>
      </c>
      <c r="AC123" s="9" t="e">
        <f>IF(T123&lt;=0,"Output &lt;= 0, cek manual",IF(OR(Z123&lt;0,Y123&lt;0),"Biaya negatif",IF(AND(AB123&gt;=#REF!,AB123&lt;=#REF!),"OK","Di luar rentang")))</f>
        <v>#REF!</v>
      </c>
    </row>
    <row r="124" ht="57" spans="1:29">
      <c r="A124" s="2" t="s">
        <v>30</v>
      </c>
      <c r="B124" s="2" t="s">
        <v>599</v>
      </c>
      <c r="C124" s="3" t="s">
        <v>600</v>
      </c>
      <c r="D124" s="3" t="s">
        <v>601</v>
      </c>
      <c r="E124" s="3" t="s">
        <v>602</v>
      </c>
      <c r="F124" s="4">
        <v>0</v>
      </c>
      <c r="G124" s="4">
        <v>0</v>
      </c>
      <c r="H124" s="4">
        <v>5400000</v>
      </c>
      <c r="I124" s="4">
        <v>0</v>
      </c>
      <c r="J124" s="2" t="s">
        <v>603</v>
      </c>
      <c r="K124" s="4">
        <v>6600000</v>
      </c>
      <c r="L124" s="4">
        <v>0</v>
      </c>
      <c r="M124" s="4">
        <v>1200000</v>
      </c>
      <c r="N124" s="4">
        <v>200000000</v>
      </c>
      <c r="O124" s="4">
        <v>6600000</v>
      </c>
      <c r="P124" s="4">
        <v>0</v>
      </c>
      <c r="Q124" s="5">
        <v>0.181818</v>
      </c>
      <c r="R124" s="2" t="s">
        <v>604</v>
      </c>
      <c r="S124" s="7">
        <f t="shared" si="8"/>
        <v>1200000</v>
      </c>
      <c r="T124" s="7">
        <f t="shared" si="9"/>
        <v>6600000</v>
      </c>
      <c r="U124" s="8">
        <f t="shared" si="10"/>
        <v>0.181818181818182</v>
      </c>
      <c r="V124" s="9" t="e">
        <f>IF(T124&lt;=0,"Output &lt;= 0",IF(U124&gt;#REF!,"Terlalu tinggi",IF(U124&lt;#REF!,"Terlalu rendah","Sesuai")))</f>
        <v>#REF!</v>
      </c>
      <c r="W124" s="7" t="e">
        <f>IF(T124&lt;=0,S124,IF(U124&gt;#REF!,ROUNDDOWN(T124*#REF!,0),IF(U124&lt;#REF!,ROUNDUP(T124*#REF!,0),S124)))</f>
        <v>#REF!</v>
      </c>
      <c r="X124" s="7" t="e">
        <f t="shared" si="11"/>
        <v>#REF!</v>
      </c>
      <c r="Y124" s="7" t="e">
        <f t="shared" si="12"/>
        <v>#REF!</v>
      </c>
      <c r="Z124" s="7" t="e">
        <f t="shared" si="13"/>
        <v>#REF!</v>
      </c>
      <c r="AA124" s="7" t="e">
        <f t="shared" si="14"/>
        <v>#REF!</v>
      </c>
      <c r="AB124" s="8" t="e">
        <f t="shared" si="15"/>
        <v>#REF!</v>
      </c>
      <c r="AC124" s="9" t="e">
        <f>IF(T124&lt;=0,"Output &lt;= 0, cek manual",IF(OR(Z124&lt;0,Y124&lt;0),"Biaya negatif",IF(AND(AB124&gt;=#REF!,AB124&lt;=#REF!),"OK","Di luar rentang")))</f>
        <v>#REF!</v>
      </c>
    </row>
    <row r="125" ht="85.5" spans="1:29">
      <c r="A125" s="2" t="s">
        <v>30</v>
      </c>
      <c r="B125" s="2" t="s">
        <v>599</v>
      </c>
      <c r="C125" s="3" t="s">
        <v>605</v>
      </c>
      <c r="D125" s="3" t="s">
        <v>606</v>
      </c>
      <c r="E125" s="3" t="s">
        <v>607</v>
      </c>
      <c r="F125" s="4">
        <v>0</v>
      </c>
      <c r="G125" s="4">
        <v>0</v>
      </c>
      <c r="H125" s="4">
        <v>200000</v>
      </c>
      <c r="I125" s="4">
        <v>0</v>
      </c>
      <c r="J125" s="2" t="s">
        <v>608</v>
      </c>
      <c r="K125" s="4">
        <v>1000000</v>
      </c>
      <c r="L125" s="4">
        <v>0</v>
      </c>
      <c r="M125" s="4">
        <v>800000</v>
      </c>
      <c r="N125" s="4">
        <v>1500000</v>
      </c>
      <c r="O125" s="4">
        <v>1000000</v>
      </c>
      <c r="P125" s="4">
        <v>0</v>
      </c>
      <c r="Q125" s="12">
        <v>0.8</v>
      </c>
      <c r="R125" s="2" t="s">
        <v>609</v>
      </c>
      <c r="S125" s="7">
        <f t="shared" si="8"/>
        <v>800000</v>
      </c>
      <c r="T125" s="7">
        <f t="shared" si="9"/>
        <v>1000000</v>
      </c>
      <c r="U125" s="8">
        <f t="shared" si="10"/>
        <v>0.8</v>
      </c>
      <c r="V125" s="9" t="e">
        <f>IF(T125&lt;=0,"Output &lt;= 0",IF(U125&gt;#REF!,"Terlalu tinggi",IF(U125&lt;#REF!,"Terlalu rendah","Sesuai")))</f>
        <v>#REF!</v>
      </c>
      <c r="W125" s="7" t="e">
        <f>IF(T125&lt;=0,S125,IF(U125&gt;#REF!,ROUNDDOWN(T125*#REF!,0),IF(U125&lt;#REF!,ROUNDUP(T125*#REF!,0),S125)))</f>
        <v>#REF!</v>
      </c>
      <c r="X125" s="7" t="e">
        <f t="shared" si="11"/>
        <v>#REF!</v>
      </c>
      <c r="Y125" s="7" t="e">
        <f t="shared" si="12"/>
        <v>#REF!</v>
      </c>
      <c r="Z125" s="7" t="e">
        <f t="shared" si="13"/>
        <v>#REF!</v>
      </c>
      <c r="AA125" s="7" t="e">
        <f t="shared" si="14"/>
        <v>#REF!</v>
      </c>
      <c r="AB125" s="8" t="e">
        <f t="shared" si="15"/>
        <v>#REF!</v>
      </c>
      <c r="AC125" s="9" t="e">
        <f>IF(T125&lt;=0,"Output &lt;= 0, cek manual",IF(OR(Z125&lt;0,Y125&lt;0),"Biaya negatif",IF(AND(AB125&gt;=#REF!,AB125&lt;=#REF!),"OK","Di luar rentang")))</f>
        <v>#REF!</v>
      </c>
    </row>
    <row r="126" ht="71.25" spans="1:29">
      <c r="A126" s="2" t="s">
        <v>30</v>
      </c>
      <c r="B126" s="2" t="s">
        <v>610</v>
      </c>
      <c r="C126" s="3" t="s">
        <v>611</v>
      </c>
      <c r="D126" s="3" t="s">
        <v>612</v>
      </c>
      <c r="E126" s="3" t="s">
        <v>613</v>
      </c>
      <c r="F126" s="4">
        <v>0</v>
      </c>
      <c r="G126" s="4">
        <v>0</v>
      </c>
      <c r="H126" s="4">
        <v>50000</v>
      </c>
      <c r="I126" s="4">
        <v>50000</v>
      </c>
      <c r="J126" s="2" t="s">
        <v>261</v>
      </c>
      <c r="K126" s="4">
        <v>400000</v>
      </c>
      <c r="L126" s="4">
        <v>0</v>
      </c>
      <c r="M126" s="4">
        <v>350000</v>
      </c>
      <c r="N126" s="4">
        <v>10000000</v>
      </c>
      <c r="O126" s="4">
        <v>400000</v>
      </c>
      <c r="P126" s="4">
        <v>0</v>
      </c>
      <c r="Q126" s="10">
        <v>0.875</v>
      </c>
      <c r="R126" s="2" t="s">
        <v>614</v>
      </c>
      <c r="S126" s="7">
        <f t="shared" si="8"/>
        <v>350000</v>
      </c>
      <c r="T126" s="7">
        <f t="shared" si="9"/>
        <v>400000</v>
      </c>
      <c r="U126" s="8">
        <f t="shared" si="10"/>
        <v>0.875</v>
      </c>
      <c r="V126" s="9" t="e">
        <f>IF(T126&lt;=0,"Output &lt;= 0",IF(U126&gt;#REF!,"Terlalu tinggi",IF(U126&lt;#REF!,"Terlalu rendah","Sesuai")))</f>
        <v>#REF!</v>
      </c>
      <c r="W126" s="7" t="e">
        <f>IF(T126&lt;=0,S126,IF(U126&gt;#REF!,ROUNDDOWN(T126*#REF!,0),IF(U126&lt;#REF!,ROUNDUP(T126*#REF!,0),S126)))</f>
        <v>#REF!</v>
      </c>
      <c r="X126" s="7" t="e">
        <f t="shared" si="11"/>
        <v>#REF!</v>
      </c>
      <c r="Y126" s="7" t="e">
        <f t="shared" si="12"/>
        <v>#REF!</v>
      </c>
      <c r="Z126" s="7" t="e">
        <f t="shared" si="13"/>
        <v>#REF!</v>
      </c>
      <c r="AA126" s="7" t="e">
        <f t="shared" si="14"/>
        <v>#REF!</v>
      </c>
      <c r="AB126" s="8" t="e">
        <f t="shared" si="15"/>
        <v>#REF!</v>
      </c>
      <c r="AC126" s="9" t="e">
        <f>IF(T126&lt;=0,"Output &lt;= 0, cek manual",IF(OR(Z126&lt;0,Y126&lt;0),"Biaya negatif",IF(AND(AB126&gt;=#REF!,AB126&lt;=#REF!),"OK","Di luar rentang")))</f>
        <v>#REF!</v>
      </c>
    </row>
    <row r="127" ht="156.75" spans="1:29">
      <c r="A127" s="2" t="s">
        <v>30</v>
      </c>
      <c r="B127" s="2" t="s">
        <v>615</v>
      </c>
      <c r="C127" s="3" t="s">
        <v>616</v>
      </c>
      <c r="D127" s="3" t="s">
        <v>617</v>
      </c>
      <c r="E127" s="3" t="s">
        <v>618</v>
      </c>
      <c r="F127" s="4">
        <v>100000</v>
      </c>
      <c r="G127" s="4">
        <v>1500000</v>
      </c>
      <c r="H127" s="4">
        <v>50000</v>
      </c>
      <c r="I127" s="4">
        <v>0</v>
      </c>
      <c r="J127" s="2" t="s">
        <v>619</v>
      </c>
      <c r="K127" s="4">
        <v>2400000</v>
      </c>
      <c r="L127" s="4">
        <v>0</v>
      </c>
      <c r="M127" s="4">
        <v>750000</v>
      </c>
      <c r="N127" s="4">
        <v>400000</v>
      </c>
      <c r="O127" s="4">
        <v>900000</v>
      </c>
      <c r="P127" s="10">
        <v>0.625</v>
      </c>
      <c r="Q127" s="5">
        <v>0.833333</v>
      </c>
      <c r="R127" s="2" t="s">
        <v>620</v>
      </c>
      <c r="S127" s="7">
        <f t="shared" si="8"/>
        <v>750000</v>
      </c>
      <c r="T127" s="7">
        <f t="shared" si="9"/>
        <v>900000</v>
      </c>
      <c r="U127" s="8">
        <f t="shared" si="10"/>
        <v>0.833333333333333</v>
      </c>
      <c r="V127" s="9" t="e">
        <f>IF(T127&lt;=0,"Output &lt;= 0",IF(U127&gt;#REF!,"Terlalu tinggi",IF(U127&lt;#REF!,"Terlalu rendah","Sesuai")))</f>
        <v>#REF!</v>
      </c>
      <c r="W127" s="7" t="e">
        <f>IF(T127&lt;=0,S127,IF(U127&gt;#REF!,ROUNDDOWN(T127*#REF!,0),IF(U127&lt;#REF!,ROUNDUP(T127*#REF!,0),S127)))</f>
        <v>#REF!</v>
      </c>
      <c r="X127" s="7" t="e">
        <f t="shared" si="11"/>
        <v>#REF!</v>
      </c>
      <c r="Y127" s="7" t="e">
        <f t="shared" si="12"/>
        <v>#REF!</v>
      </c>
      <c r="Z127" s="7" t="e">
        <f t="shared" si="13"/>
        <v>#REF!</v>
      </c>
      <c r="AA127" s="7" t="e">
        <f t="shared" si="14"/>
        <v>#REF!</v>
      </c>
      <c r="AB127" s="8" t="e">
        <f t="shared" si="15"/>
        <v>#REF!</v>
      </c>
      <c r="AC127" s="9" t="e">
        <f>IF(T127&lt;=0,"Output &lt;= 0, cek manual",IF(OR(Z127&lt;0,Y127&lt;0),"Biaya negatif",IF(AND(AB127&gt;=#REF!,AB127&lt;=#REF!),"OK","Di luar rentang")))</f>
        <v>#REF!</v>
      </c>
    </row>
    <row r="128" ht="71.25" spans="1:29">
      <c r="A128" s="2" t="s">
        <v>30</v>
      </c>
      <c r="B128" s="2" t="s">
        <v>621</v>
      </c>
      <c r="C128" s="3" t="s">
        <v>622</v>
      </c>
      <c r="D128" s="3" t="s">
        <v>279</v>
      </c>
      <c r="E128" s="3" t="s">
        <v>623</v>
      </c>
      <c r="F128" s="4">
        <v>10500000</v>
      </c>
      <c r="G128" s="4">
        <v>0</v>
      </c>
      <c r="H128" s="4">
        <v>500000</v>
      </c>
      <c r="I128" s="4">
        <v>0</v>
      </c>
      <c r="J128" s="2" t="s">
        <v>624</v>
      </c>
      <c r="K128" s="4">
        <v>15000000</v>
      </c>
      <c r="L128" s="4">
        <v>0</v>
      </c>
      <c r="M128" s="4">
        <v>4000000</v>
      </c>
      <c r="N128" s="4">
        <v>12000000</v>
      </c>
      <c r="O128" s="4">
        <v>15000000</v>
      </c>
      <c r="P128" s="4">
        <v>0</v>
      </c>
      <c r="Q128" s="5">
        <v>0.266667</v>
      </c>
      <c r="R128" s="2" t="s">
        <v>625</v>
      </c>
      <c r="S128" s="7">
        <f t="shared" si="8"/>
        <v>4000000</v>
      </c>
      <c r="T128" s="7">
        <f t="shared" si="9"/>
        <v>15000000</v>
      </c>
      <c r="U128" s="8">
        <f t="shared" si="10"/>
        <v>0.266666666666667</v>
      </c>
      <c r="V128" s="9" t="e">
        <f>IF(T128&lt;=0,"Output &lt;= 0",IF(U128&gt;#REF!,"Terlalu tinggi",IF(U128&lt;#REF!,"Terlalu rendah","Sesuai")))</f>
        <v>#REF!</v>
      </c>
      <c r="W128" s="7" t="e">
        <f>IF(T128&lt;=0,S128,IF(U128&gt;#REF!,ROUNDDOWN(T128*#REF!,0),IF(U128&lt;#REF!,ROUNDUP(T128*#REF!,0),S128)))</f>
        <v>#REF!</v>
      </c>
      <c r="X128" s="7" t="e">
        <f t="shared" si="11"/>
        <v>#REF!</v>
      </c>
      <c r="Y128" s="7" t="e">
        <f t="shared" si="12"/>
        <v>#REF!</v>
      </c>
      <c r="Z128" s="7" t="e">
        <f t="shared" si="13"/>
        <v>#REF!</v>
      </c>
      <c r="AA128" s="7" t="e">
        <f t="shared" si="14"/>
        <v>#REF!</v>
      </c>
      <c r="AB128" s="8" t="e">
        <f t="shared" si="15"/>
        <v>#REF!</v>
      </c>
      <c r="AC128" s="9" t="e">
        <f>IF(T128&lt;=0,"Output &lt;= 0, cek manual",IF(OR(Z128&lt;0,Y128&lt;0),"Biaya negatif",IF(AND(AB128&gt;=#REF!,AB128&lt;=#REF!),"OK","Di luar rentang")))</f>
        <v>#REF!</v>
      </c>
    </row>
    <row r="129" ht="85.5" spans="1:29">
      <c r="A129" s="2" t="s">
        <v>30</v>
      </c>
      <c r="B129" s="2" t="s">
        <v>621</v>
      </c>
      <c r="C129" s="3" t="s">
        <v>626</v>
      </c>
      <c r="D129" s="3" t="s">
        <v>627</v>
      </c>
      <c r="E129" s="3" t="s">
        <v>628</v>
      </c>
      <c r="F129" s="4">
        <v>6000000</v>
      </c>
      <c r="G129" s="4">
        <v>6000000</v>
      </c>
      <c r="H129" s="4">
        <v>12000000</v>
      </c>
      <c r="I129" s="4">
        <v>3000000</v>
      </c>
      <c r="J129" s="2" t="s">
        <v>629</v>
      </c>
      <c r="K129" s="4">
        <v>33000000</v>
      </c>
      <c r="L129" s="4">
        <v>0</v>
      </c>
      <c r="M129" s="4">
        <v>9000000</v>
      </c>
      <c r="N129" s="4">
        <v>28000000</v>
      </c>
      <c r="O129" s="4">
        <v>27000000</v>
      </c>
      <c r="P129" s="5">
        <v>0.181818</v>
      </c>
      <c r="Q129" s="5">
        <v>0.333333</v>
      </c>
      <c r="R129" s="2" t="s">
        <v>630</v>
      </c>
      <c r="S129" s="7">
        <f t="shared" si="8"/>
        <v>9000000</v>
      </c>
      <c r="T129" s="7">
        <f t="shared" si="9"/>
        <v>27000000</v>
      </c>
      <c r="U129" s="8">
        <f t="shared" si="10"/>
        <v>0.333333333333333</v>
      </c>
      <c r="V129" s="9" t="e">
        <f>IF(T129&lt;=0,"Output &lt;= 0",IF(U129&gt;#REF!,"Terlalu tinggi",IF(U129&lt;#REF!,"Terlalu rendah","Sesuai")))</f>
        <v>#REF!</v>
      </c>
      <c r="W129" s="7" t="e">
        <f>IF(T129&lt;=0,S129,IF(U129&gt;#REF!,ROUNDDOWN(T129*#REF!,0),IF(U129&lt;#REF!,ROUNDUP(T129*#REF!,0),S129)))</f>
        <v>#REF!</v>
      </c>
      <c r="X129" s="7" t="e">
        <f t="shared" si="11"/>
        <v>#REF!</v>
      </c>
      <c r="Y129" s="7" t="e">
        <f t="shared" si="12"/>
        <v>#REF!</v>
      </c>
      <c r="Z129" s="7" t="e">
        <f t="shared" si="13"/>
        <v>#REF!</v>
      </c>
      <c r="AA129" s="7" t="e">
        <f t="shared" si="14"/>
        <v>#REF!</v>
      </c>
      <c r="AB129" s="8" t="e">
        <f t="shared" si="15"/>
        <v>#REF!</v>
      </c>
      <c r="AC129" s="9" t="e">
        <f>IF(T129&lt;=0,"Output &lt;= 0, cek manual",IF(OR(Z129&lt;0,Y129&lt;0),"Biaya negatif",IF(AND(AB129&gt;=#REF!,AB129&lt;=#REF!),"OK","Di luar rentang")))</f>
        <v>#REF!</v>
      </c>
    </row>
    <row r="130" ht="99.75" spans="1:29">
      <c r="A130" s="2" t="s">
        <v>30</v>
      </c>
      <c r="B130" s="2" t="s">
        <v>621</v>
      </c>
      <c r="C130" s="3" t="s">
        <v>631</v>
      </c>
      <c r="D130" s="3" t="s">
        <v>632</v>
      </c>
      <c r="E130" s="3" t="s">
        <v>633</v>
      </c>
      <c r="F130" s="4">
        <v>5000000</v>
      </c>
      <c r="G130" s="4">
        <v>5308400000</v>
      </c>
      <c r="H130" s="4">
        <v>60000000</v>
      </c>
      <c r="I130" s="4">
        <v>0</v>
      </c>
      <c r="J130" s="2" t="s">
        <v>634</v>
      </c>
      <c r="K130" s="4">
        <v>5912800000</v>
      </c>
      <c r="L130" s="4">
        <v>0</v>
      </c>
      <c r="M130" s="4">
        <v>539400000</v>
      </c>
      <c r="N130" s="4">
        <v>9600000</v>
      </c>
      <c r="O130" s="4">
        <v>604400000</v>
      </c>
      <c r="P130" s="5">
        <v>0.897781</v>
      </c>
      <c r="Q130" s="5">
        <v>0.892455</v>
      </c>
      <c r="R130" s="2" t="s">
        <v>635</v>
      </c>
      <c r="S130" s="7">
        <f t="shared" ref="S130:S193" si="16">K130-F130-G130-H130</f>
        <v>539400000</v>
      </c>
      <c r="T130" s="7">
        <f t="shared" ref="T130:T193" si="17">K130-G130</f>
        <v>604400000</v>
      </c>
      <c r="U130" s="8">
        <f t="shared" ref="U130:U193" si="18">IF(T130&lt;=0,"",S130/T130)</f>
        <v>0.892455327597617</v>
      </c>
      <c r="V130" s="9" t="e">
        <f>IF(T130&lt;=0,"Output &lt;= 0",IF(U130&gt;#REF!,"Terlalu tinggi",IF(U130&lt;#REF!,"Terlalu rendah","Sesuai")))</f>
        <v>#REF!</v>
      </c>
      <c r="W130" s="7" t="e">
        <f>IF(T130&lt;=0,S130,IF(U130&gt;#REF!,ROUNDDOWN(T130*#REF!,0),IF(U130&lt;#REF!,ROUNDUP(T130*#REF!,0),S130)))</f>
        <v>#REF!</v>
      </c>
      <c r="X130" s="7" t="e">
        <f t="shared" ref="X130:X193" si="19">W130-S130</f>
        <v>#REF!</v>
      </c>
      <c r="Y130" s="7" t="e">
        <f t="shared" ref="Y130:Y193" si="20">IF(F130+H130&gt;0,ROUND((T130-W130)*H130/(F130+H130),0),T130-W130)</f>
        <v>#REF!</v>
      </c>
      <c r="Z130" s="7" t="e">
        <f t="shared" ref="Z130:Z193" si="21">(T130-W130)-Y130</f>
        <v>#REF!</v>
      </c>
      <c r="AA130" s="7" t="e">
        <f t="shared" ref="AA130:AA193" si="22">K130-Z130-G130-Y130</f>
        <v>#REF!</v>
      </c>
      <c r="AB130" s="8" t="e">
        <f t="shared" ref="AB130:AB193" si="23">IF(T130&lt;=0,"",AA130/T130)</f>
        <v>#REF!</v>
      </c>
      <c r="AC130" s="9" t="e">
        <f>IF(T130&lt;=0,"Output &lt;= 0, cek manual",IF(OR(Z130&lt;0,Y130&lt;0),"Biaya negatif",IF(AND(AB130&gt;=#REF!,AB130&lt;=#REF!),"OK","Di luar rentang")))</f>
        <v>#REF!</v>
      </c>
    </row>
    <row r="131" ht="128.25" spans="1:29">
      <c r="A131" s="2" t="s">
        <v>30</v>
      </c>
      <c r="B131" s="2" t="s">
        <v>636</v>
      </c>
      <c r="C131" s="3" t="s">
        <v>637</v>
      </c>
      <c r="D131" s="3" t="s">
        <v>638</v>
      </c>
      <c r="E131" s="3" t="s">
        <v>639</v>
      </c>
      <c r="F131" s="4">
        <v>83000000</v>
      </c>
      <c r="G131" s="4">
        <v>5000000</v>
      </c>
      <c r="H131" s="4">
        <v>1800000</v>
      </c>
      <c r="I131" s="4">
        <v>0</v>
      </c>
      <c r="J131" s="2" t="s">
        <v>640</v>
      </c>
      <c r="K131" s="4">
        <v>96000000</v>
      </c>
      <c r="L131" s="4">
        <v>9600000</v>
      </c>
      <c r="M131" s="4">
        <v>6200000</v>
      </c>
      <c r="N131" s="4">
        <v>0</v>
      </c>
      <c r="O131" s="4">
        <v>91000000</v>
      </c>
      <c r="P131" s="5">
        <v>0.052083</v>
      </c>
      <c r="Q131" s="5">
        <v>0.068132</v>
      </c>
      <c r="R131" s="2" t="s">
        <v>641</v>
      </c>
      <c r="S131" s="7">
        <f t="shared" si="16"/>
        <v>6200000</v>
      </c>
      <c r="T131" s="7">
        <f t="shared" si="17"/>
        <v>91000000</v>
      </c>
      <c r="U131" s="8">
        <f t="shared" si="18"/>
        <v>0.0681318681318681</v>
      </c>
      <c r="V131" s="9" t="e">
        <f>IF(T131&lt;=0,"Output &lt;= 0",IF(U131&gt;#REF!,"Terlalu tinggi",IF(U131&lt;#REF!,"Terlalu rendah","Sesuai")))</f>
        <v>#REF!</v>
      </c>
      <c r="W131" s="7" t="e">
        <f>IF(T131&lt;=0,S131,IF(U131&gt;#REF!,ROUNDDOWN(T131*#REF!,0),IF(U131&lt;#REF!,ROUNDUP(T131*#REF!,0),S131)))</f>
        <v>#REF!</v>
      </c>
      <c r="X131" s="7" t="e">
        <f t="shared" si="19"/>
        <v>#REF!</v>
      </c>
      <c r="Y131" s="7" t="e">
        <f t="shared" si="20"/>
        <v>#REF!</v>
      </c>
      <c r="Z131" s="7" t="e">
        <f t="shared" si="21"/>
        <v>#REF!</v>
      </c>
      <c r="AA131" s="7" t="e">
        <f t="shared" si="22"/>
        <v>#REF!</v>
      </c>
      <c r="AB131" s="8" t="e">
        <f t="shared" si="23"/>
        <v>#REF!</v>
      </c>
      <c r="AC131" s="9" t="e">
        <f>IF(T131&lt;=0,"Output &lt;= 0, cek manual",IF(OR(Z131&lt;0,Y131&lt;0),"Biaya negatif",IF(AND(AB131&gt;=#REF!,AB131&lt;=#REF!),"OK","Di luar rentang")))</f>
        <v>#REF!</v>
      </c>
    </row>
    <row r="132" ht="57" spans="1:29">
      <c r="A132" s="2" t="s">
        <v>30</v>
      </c>
      <c r="B132" s="2" t="s">
        <v>642</v>
      </c>
      <c r="C132" s="3" t="s">
        <v>643</v>
      </c>
      <c r="D132" s="3" t="s">
        <v>644</v>
      </c>
      <c r="E132" s="3" t="s">
        <v>644</v>
      </c>
      <c r="F132" s="4">
        <v>7000000</v>
      </c>
      <c r="G132" s="4">
        <v>144000000</v>
      </c>
      <c r="H132" s="4">
        <v>20800000</v>
      </c>
      <c r="I132" s="4">
        <v>400000</v>
      </c>
      <c r="J132" s="2" t="s">
        <v>645</v>
      </c>
      <c r="K132" s="4">
        <v>184200000</v>
      </c>
      <c r="L132" s="4">
        <v>0</v>
      </c>
      <c r="M132" s="4">
        <v>12400000</v>
      </c>
      <c r="N132" s="4">
        <v>70000000</v>
      </c>
      <c r="O132" s="4">
        <v>40200000</v>
      </c>
      <c r="P132" s="5">
        <v>0.781759</v>
      </c>
      <c r="Q132" s="5">
        <v>0.308458</v>
      </c>
      <c r="R132" s="2" t="s">
        <v>646</v>
      </c>
      <c r="S132" s="7">
        <f t="shared" si="16"/>
        <v>12400000</v>
      </c>
      <c r="T132" s="7">
        <f t="shared" si="17"/>
        <v>40200000</v>
      </c>
      <c r="U132" s="8">
        <f t="shared" si="18"/>
        <v>0.308457711442786</v>
      </c>
      <c r="V132" s="9" t="e">
        <f>IF(T132&lt;=0,"Output &lt;= 0",IF(U132&gt;#REF!,"Terlalu tinggi",IF(U132&lt;#REF!,"Terlalu rendah","Sesuai")))</f>
        <v>#REF!</v>
      </c>
      <c r="W132" s="7" t="e">
        <f>IF(T132&lt;=0,S132,IF(U132&gt;#REF!,ROUNDDOWN(T132*#REF!,0),IF(U132&lt;#REF!,ROUNDUP(T132*#REF!,0),S132)))</f>
        <v>#REF!</v>
      </c>
      <c r="X132" s="7" t="e">
        <f t="shared" si="19"/>
        <v>#REF!</v>
      </c>
      <c r="Y132" s="7" t="e">
        <f t="shared" si="20"/>
        <v>#REF!</v>
      </c>
      <c r="Z132" s="7" t="e">
        <f t="shared" si="21"/>
        <v>#REF!</v>
      </c>
      <c r="AA132" s="7" t="e">
        <f t="shared" si="22"/>
        <v>#REF!</v>
      </c>
      <c r="AB132" s="8" t="e">
        <f t="shared" si="23"/>
        <v>#REF!</v>
      </c>
      <c r="AC132" s="9" t="e">
        <f>IF(T132&lt;=0,"Output &lt;= 0, cek manual",IF(OR(Z132&lt;0,Y132&lt;0),"Biaya negatif",IF(AND(AB132&gt;=#REF!,AB132&lt;=#REF!),"OK","Di luar rentang")))</f>
        <v>#REF!</v>
      </c>
    </row>
    <row r="133" ht="71.25" spans="1:29">
      <c r="A133" s="2" t="s">
        <v>30</v>
      </c>
      <c r="B133" s="2" t="s">
        <v>647</v>
      </c>
      <c r="C133" s="3" t="s">
        <v>648</v>
      </c>
      <c r="D133" s="3" t="s">
        <v>179</v>
      </c>
      <c r="E133" s="3" t="s">
        <v>649</v>
      </c>
      <c r="F133" s="4">
        <v>800000</v>
      </c>
      <c r="G133" s="4">
        <v>0</v>
      </c>
      <c r="H133" s="4">
        <v>90800000</v>
      </c>
      <c r="I133" s="4">
        <v>0</v>
      </c>
      <c r="J133" s="2" t="s">
        <v>650</v>
      </c>
      <c r="K133" s="4">
        <v>240000000</v>
      </c>
      <c r="L133" s="4">
        <v>0</v>
      </c>
      <c r="M133" s="4">
        <v>148400000</v>
      </c>
      <c r="N133" s="4">
        <v>55000000</v>
      </c>
      <c r="O133" s="4">
        <v>240000000</v>
      </c>
      <c r="P133" s="4">
        <v>0</v>
      </c>
      <c r="Q133" s="5">
        <v>0.618333</v>
      </c>
      <c r="R133" s="2" t="s">
        <v>651</v>
      </c>
      <c r="S133" s="7">
        <f t="shared" si="16"/>
        <v>148400000</v>
      </c>
      <c r="T133" s="7">
        <f t="shared" si="17"/>
        <v>240000000</v>
      </c>
      <c r="U133" s="8">
        <f t="shared" si="18"/>
        <v>0.618333333333333</v>
      </c>
      <c r="V133" s="9" t="e">
        <f>IF(T133&lt;=0,"Output &lt;= 0",IF(U133&gt;#REF!,"Terlalu tinggi",IF(U133&lt;#REF!,"Terlalu rendah","Sesuai")))</f>
        <v>#REF!</v>
      </c>
      <c r="W133" s="7" t="e">
        <f>IF(T133&lt;=0,S133,IF(U133&gt;#REF!,ROUNDDOWN(T133*#REF!,0),IF(U133&lt;#REF!,ROUNDUP(T133*#REF!,0),S133)))</f>
        <v>#REF!</v>
      </c>
      <c r="X133" s="7" t="e">
        <f t="shared" si="19"/>
        <v>#REF!</v>
      </c>
      <c r="Y133" s="7" t="e">
        <f t="shared" si="20"/>
        <v>#REF!</v>
      </c>
      <c r="Z133" s="7" t="e">
        <f t="shared" si="21"/>
        <v>#REF!</v>
      </c>
      <c r="AA133" s="7" t="e">
        <f t="shared" si="22"/>
        <v>#REF!</v>
      </c>
      <c r="AB133" s="8" t="e">
        <f t="shared" si="23"/>
        <v>#REF!</v>
      </c>
      <c r="AC133" s="9" t="e">
        <f>IF(T133&lt;=0,"Output &lt;= 0, cek manual",IF(OR(Z133&lt;0,Y133&lt;0),"Biaya negatif",IF(AND(AB133&gt;=#REF!,AB133&lt;=#REF!),"OK","Di luar rentang")))</f>
        <v>#REF!</v>
      </c>
    </row>
    <row r="134" ht="85.5" spans="1:29">
      <c r="A134" s="2" t="s">
        <v>30</v>
      </c>
      <c r="B134" s="2" t="s">
        <v>652</v>
      </c>
      <c r="C134" s="3" t="s">
        <v>653</v>
      </c>
      <c r="D134" s="3" t="s">
        <v>654</v>
      </c>
      <c r="E134" s="3" t="s">
        <v>655</v>
      </c>
      <c r="F134" s="4">
        <v>0</v>
      </c>
      <c r="G134" s="4">
        <v>30000000</v>
      </c>
      <c r="H134" s="4">
        <v>2700000</v>
      </c>
      <c r="I134" s="4">
        <v>17100000</v>
      </c>
      <c r="J134" s="2" t="s">
        <v>656</v>
      </c>
      <c r="K134" s="4">
        <v>72000000</v>
      </c>
      <c r="L134" s="4">
        <v>0</v>
      </c>
      <c r="M134" s="4">
        <v>39300000</v>
      </c>
      <c r="N134" s="4">
        <v>0</v>
      </c>
      <c r="O134" s="4">
        <v>42000000</v>
      </c>
      <c r="P134" s="5">
        <v>0.416667</v>
      </c>
      <c r="Q134" s="5">
        <v>0.935714</v>
      </c>
      <c r="R134" s="2" t="s">
        <v>657</v>
      </c>
      <c r="S134" s="7">
        <f t="shared" si="16"/>
        <v>39300000</v>
      </c>
      <c r="T134" s="7">
        <f t="shared" si="17"/>
        <v>42000000</v>
      </c>
      <c r="U134" s="8">
        <f t="shared" si="18"/>
        <v>0.935714285714286</v>
      </c>
      <c r="V134" s="9" t="e">
        <f>IF(T134&lt;=0,"Output &lt;= 0",IF(U134&gt;#REF!,"Terlalu tinggi",IF(U134&lt;#REF!,"Terlalu rendah","Sesuai")))</f>
        <v>#REF!</v>
      </c>
      <c r="W134" s="7" t="e">
        <f>IF(T134&lt;=0,S134,IF(U134&gt;#REF!,ROUNDDOWN(T134*#REF!,0),IF(U134&lt;#REF!,ROUNDUP(T134*#REF!,0),S134)))</f>
        <v>#REF!</v>
      </c>
      <c r="X134" s="7" t="e">
        <f t="shared" si="19"/>
        <v>#REF!</v>
      </c>
      <c r="Y134" s="7" t="e">
        <f t="shared" si="20"/>
        <v>#REF!</v>
      </c>
      <c r="Z134" s="7" t="e">
        <f t="shared" si="21"/>
        <v>#REF!</v>
      </c>
      <c r="AA134" s="7" t="e">
        <f t="shared" si="22"/>
        <v>#REF!</v>
      </c>
      <c r="AB134" s="8" t="e">
        <f t="shared" si="23"/>
        <v>#REF!</v>
      </c>
      <c r="AC134" s="9" t="e">
        <f>IF(T134&lt;=0,"Output &lt;= 0, cek manual",IF(OR(Z134&lt;0,Y134&lt;0),"Biaya negatif",IF(AND(AB134&gt;=#REF!,AB134&lt;=#REF!),"OK","Di luar rentang")))</f>
        <v>#REF!</v>
      </c>
    </row>
    <row r="135" ht="57" spans="1:29">
      <c r="A135" s="2" t="s">
        <v>30</v>
      </c>
      <c r="B135" s="2" t="s">
        <v>658</v>
      </c>
      <c r="C135" s="3" t="s">
        <v>659</v>
      </c>
      <c r="D135" s="3" t="s">
        <v>660</v>
      </c>
      <c r="E135" s="3" t="s">
        <v>661</v>
      </c>
      <c r="F135" s="4">
        <v>0</v>
      </c>
      <c r="G135" s="4">
        <v>0</v>
      </c>
      <c r="H135" s="4">
        <v>250000</v>
      </c>
      <c r="I135" s="4">
        <v>0</v>
      </c>
      <c r="J135" s="2" t="s">
        <v>662</v>
      </c>
      <c r="K135" s="4">
        <v>4800000</v>
      </c>
      <c r="L135" s="4">
        <v>150000</v>
      </c>
      <c r="M135" s="4">
        <v>4550000</v>
      </c>
      <c r="N135" s="4">
        <v>16800000</v>
      </c>
      <c r="O135" s="4">
        <v>4800000</v>
      </c>
      <c r="P135" s="4">
        <v>0</v>
      </c>
      <c r="Q135" s="5">
        <v>0.947917</v>
      </c>
      <c r="R135" s="2" t="s">
        <v>663</v>
      </c>
      <c r="S135" s="7">
        <f t="shared" si="16"/>
        <v>4550000</v>
      </c>
      <c r="T135" s="7">
        <f t="shared" si="17"/>
        <v>4800000</v>
      </c>
      <c r="U135" s="8">
        <f t="shared" si="18"/>
        <v>0.947916666666667</v>
      </c>
      <c r="V135" s="9" t="e">
        <f>IF(T135&lt;=0,"Output &lt;= 0",IF(U135&gt;#REF!,"Terlalu tinggi",IF(U135&lt;#REF!,"Terlalu rendah","Sesuai")))</f>
        <v>#REF!</v>
      </c>
      <c r="W135" s="7" t="e">
        <f>IF(T135&lt;=0,S135,IF(U135&gt;#REF!,ROUNDDOWN(T135*#REF!,0),IF(U135&lt;#REF!,ROUNDUP(T135*#REF!,0),S135)))</f>
        <v>#REF!</v>
      </c>
      <c r="X135" s="7" t="e">
        <f t="shared" si="19"/>
        <v>#REF!</v>
      </c>
      <c r="Y135" s="7" t="e">
        <f t="shared" si="20"/>
        <v>#REF!</v>
      </c>
      <c r="Z135" s="7" t="e">
        <f t="shared" si="21"/>
        <v>#REF!</v>
      </c>
      <c r="AA135" s="7" t="e">
        <f t="shared" si="22"/>
        <v>#REF!</v>
      </c>
      <c r="AB135" s="8" t="e">
        <f t="shared" si="23"/>
        <v>#REF!</v>
      </c>
      <c r="AC135" s="9" t="e">
        <f>IF(T135&lt;=0,"Output &lt;= 0, cek manual",IF(OR(Z135&lt;0,Y135&lt;0),"Biaya negatif",IF(AND(AB135&gt;=#REF!,AB135&lt;=#REF!),"OK","Di luar rentang")))</f>
        <v>#REF!</v>
      </c>
    </row>
    <row r="136" ht="114" spans="1:29">
      <c r="A136" s="2" t="s">
        <v>30</v>
      </c>
      <c r="B136" s="2" t="s">
        <v>664</v>
      </c>
      <c r="C136" s="3" t="s">
        <v>665</v>
      </c>
      <c r="D136" s="3" t="s">
        <v>666</v>
      </c>
      <c r="E136" s="3" t="s">
        <v>667</v>
      </c>
      <c r="F136" s="4">
        <v>0</v>
      </c>
      <c r="G136" s="4">
        <v>60000000</v>
      </c>
      <c r="H136" s="4">
        <v>72000000</v>
      </c>
      <c r="I136" s="4">
        <v>0</v>
      </c>
      <c r="J136" s="2" t="s">
        <v>668</v>
      </c>
      <c r="K136" s="4">
        <v>259200000</v>
      </c>
      <c r="L136" s="4">
        <v>0</v>
      </c>
      <c r="M136" s="4">
        <v>127200000</v>
      </c>
      <c r="N136" s="4">
        <v>200000000</v>
      </c>
      <c r="O136" s="4">
        <v>199200000</v>
      </c>
      <c r="P136" s="5">
        <v>0.231481</v>
      </c>
      <c r="Q136" s="5">
        <v>0.638554</v>
      </c>
      <c r="R136" s="2" t="s">
        <v>669</v>
      </c>
      <c r="S136" s="7">
        <f t="shared" si="16"/>
        <v>127200000</v>
      </c>
      <c r="T136" s="7">
        <f t="shared" si="17"/>
        <v>199200000</v>
      </c>
      <c r="U136" s="8">
        <f t="shared" si="18"/>
        <v>0.63855421686747</v>
      </c>
      <c r="V136" s="9" t="e">
        <f>IF(T136&lt;=0,"Output &lt;= 0",IF(U136&gt;#REF!,"Terlalu tinggi",IF(U136&lt;#REF!,"Terlalu rendah","Sesuai")))</f>
        <v>#REF!</v>
      </c>
      <c r="W136" s="7" t="e">
        <f>IF(T136&lt;=0,S136,IF(U136&gt;#REF!,ROUNDDOWN(T136*#REF!,0),IF(U136&lt;#REF!,ROUNDUP(T136*#REF!,0),S136)))</f>
        <v>#REF!</v>
      </c>
      <c r="X136" s="7" t="e">
        <f t="shared" si="19"/>
        <v>#REF!</v>
      </c>
      <c r="Y136" s="7" t="e">
        <f t="shared" si="20"/>
        <v>#REF!</v>
      </c>
      <c r="Z136" s="7" t="e">
        <f t="shared" si="21"/>
        <v>#REF!</v>
      </c>
      <c r="AA136" s="7" t="e">
        <f t="shared" si="22"/>
        <v>#REF!</v>
      </c>
      <c r="AB136" s="8" t="e">
        <f t="shared" si="23"/>
        <v>#REF!</v>
      </c>
      <c r="AC136" s="9" t="e">
        <f>IF(T136&lt;=0,"Output &lt;= 0, cek manual",IF(OR(Z136&lt;0,Y136&lt;0),"Biaya negatif",IF(AND(AB136&gt;=#REF!,AB136&lt;=#REF!),"OK","Di luar rentang")))</f>
        <v>#REF!</v>
      </c>
    </row>
    <row r="137" ht="99.75" spans="1:29">
      <c r="A137" s="2" t="s">
        <v>30</v>
      </c>
      <c r="B137" s="2" t="s">
        <v>670</v>
      </c>
      <c r="C137" s="3" t="s">
        <v>671</v>
      </c>
      <c r="D137" s="3" t="s">
        <v>91</v>
      </c>
      <c r="E137" s="3" t="s">
        <v>198</v>
      </c>
      <c r="F137" s="4">
        <v>2500000</v>
      </c>
      <c r="G137" s="4">
        <v>1600000</v>
      </c>
      <c r="H137" s="4">
        <v>100000</v>
      </c>
      <c r="I137" s="4">
        <v>0</v>
      </c>
      <c r="J137" s="2" t="s">
        <v>672</v>
      </c>
      <c r="K137" s="4">
        <v>5500000</v>
      </c>
      <c r="L137" s="4">
        <v>0</v>
      </c>
      <c r="M137" s="4">
        <v>1300000</v>
      </c>
      <c r="N137" s="4">
        <v>3200000</v>
      </c>
      <c r="O137" s="4">
        <v>3900000</v>
      </c>
      <c r="P137" s="5">
        <v>0.290909</v>
      </c>
      <c r="Q137" s="5">
        <v>0.333333</v>
      </c>
      <c r="R137" s="2" t="s">
        <v>673</v>
      </c>
      <c r="S137" s="7">
        <f t="shared" si="16"/>
        <v>1300000</v>
      </c>
      <c r="T137" s="7">
        <f t="shared" si="17"/>
        <v>3900000</v>
      </c>
      <c r="U137" s="8">
        <f t="shared" si="18"/>
        <v>0.333333333333333</v>
      </c>
      <c r="V137" s="9" t="e">
        <f>IF(T137&lt;=0,"Output &lt;= 0",IF(U137&gt;#REF!,"Terlalu tinggi",IF(U137&lt;#REF!,"Terlalu rendah","Sesuai")))</f>
        <v>#REF!</v>
      </c>
      <c r="W137" s="7" t="e">
        <f>IF(T137&lt;=0,S137,IF(U137&gt;#REF!,ROUNDDOWN(T137*#REF!,0),IF(U137&lt;#REF!,ROUNDUP(T137*#REF!,0),S137)))</f>
        <v>#REF!</v>
      </c>
      <c r="X137" s="7" t="e">
        <f t="shared" si="19"/>
        <v>#REF!</v>
      </c>
      <c r="Y137" s="7" t="e">
        <f t="shared" si="20"/>
        <v>#REF!</v>
      </c>
      <c r="Z137" s="7" t="e">
        <f t="shared" si="21"/>
        <v>#REF!</v>
      </c>
      <c r="AA137" s="7" t="e">
        <f t="shared" si="22"/>
        <v>#REF!</v>
      </c>
      <c r="AB137" s="8" t="e">
        <f t="shared" si="23"/>
        <v>#REF!</v>
      </c>
      <c r="AC137" s="9" t="e">
        <f>IF(T137&lt;=0,"Output &lt;= 0, cek manual",IF(OR(Z137&lt;0,Y137&lt;0),"Biaya negatif",IF(AND(AB137&gt;=#REF!,AB137&lt;=#REF!),"OK","Di luar rentang")))</f>
        <v>#REF!</v>
      </c>
    </row>
    <row r="138" ht="85.5" spans="1:29">
      <c r="A138" s="2" t="s">
        <v>30</v>
      </c>
      <c r="B138" s="2" t="s">
        <v>670</v>
      </c>
      <c r="C138" s="3" t="s">
        <v>674</v>
      </c>
      <c r="D138" s="3" t="s">
        <v>675</v>
      </c>
      <c r="E138" s="3" t="s">
        <v>676</v>
      </c>
      <c r="F138" s="4">
        <v>100000</v>
      </c>
      <c r="G138" s="4">
        <v>36000000</v>
      </c>
      <c r="H138" s="4">
        <v>200000</v>
      </c>
      <c r="I138" s="4">
        <v>0</v>
      </c>
      <c r="J138" s="2" t="s">
        <v>677</v>
      </c>
      <c r="K138" s="4">
        <v>72000000</v>
      </c>
      <c r="L138" s="4">
        <v>0</v>
      </c>
      <c r="M138" s="4">
        <v>35700000</v>
      </c>
      <c r="N138" s="4">
        <v>6000000</v>
      </c>
      <c r="O138" s="4">
        <v>36000000</v>
      </c>
      <c r="P138" s="12">
        <v>0.5</v>
      </c>
      <c r="Q138" s="5">
        <v>0.991667</v>
      </c>
      <c r="R138" s="2" t="s">
        <v>678</v>
      </c>
      <c r="S138" s="7">
        <f t="shared" si="16"/>
        <v>35700000</v>
      </c>
      <c r="T138" s="7">
        <f t="shared" si="17"/>
        <v>36000000</v>
      </c>
      <c r="U138" s="8">
        <f t="shared" si="18"/>
        <v>0.991666666666667</v>
      </c>
      <c r="V138" s="9" t="e">
        <f>IF(T138&lt;=0,"Output &lt;= 0",IF(U138&gt;#REF!,"Terlalu tinggi",IF(U138&lt;#REF!,"Terlalu rendah","Sesuai")))</f>
        <v>#REF!</v>
      </c>
      <c r="W138" s="7" t="e">
        <f>IF(T138&lt;=0,S138,IF(U138&gt;#REF!,ROUNDDOWN(T138*#REF!,0),IF(U138&lt;#REF!,ROUNDUP(T138*#REF!,0),S138)))</f>
        <v>#REF!</v>
      </c>
      <c r="X138" s="7" t="e">
        <f t="shared" si="19"/>
        <v>#REF!</v>
      </c>
      <c r="Y138" s="7" t="e">
        <f t="shared" si="20"/>
        <v>#REF!</v>
      </c>
      <c r="Z138" s="7" t="e">
        <f t="shared" si="21"/>
        <v>#REF!</v>
      </c>
      <c r="AA138" s="7" t="e">
        <f t="shared" si="22"/>
        <v>#REF!</v>
      </c>
      <c r="AB138" s="8" t="e">
        <f t="shared" si="23"/>
        <v>#REF!</v>
      </c>
      <c r="AC138" s="9" t="e">
        <f>IF(T138&lt;=0,"Output &lt;= 0, cek manual",IF(OR(Z138&lt;0,Y138&lt;0),"Biaya negatif",IF(AND(AB138&gt;=#REF!,AB138&lt;=#REF!),"OK","Di luar rentang")))</f>
        <v>#REF!</v>
      </c>
    </row>
    <row r="139" ht="114" spans="1:29">
      <c r="A139" s="2" t="s">
        <v>30</v>
      </c>
      <c r="B139" s="2" t="s">
        <v>670</v>
      </c>
      <c r="C139" s="3" t="s">
        <v>679</v>
      </c>
      <c r="D139" s="3" t="s">
        <v>680</v>
      </c>
      <c r="E139" s="3" t="s">
        <v>681</v>
      </c>
      <c r="F139" s="4">
        <v>1000000</v>
      </c>
      <c r="G139" s="4">
        <v>500000</v>
      </c>
      <c r="H139" s="4">
        <v>100000</v>
      </c>
      <c r="I139" s="4">
        <v>0</v>
      </c>
      <c r="J139" s="2" t="s">
        <v>682</v>
      </c>
      <c r="K139" s="4">
        <v>6000000</v>
      </c>
      <c r="L139" s="4">
        <v>500000</v>
      </c>
      <c r="M139" s="4">
        <v>4400000</v>
      </c>
      <c r="N139" s="4">
        <v>1800000</v>
      </c>
      <c r="O139" s="4">
        <v>5500000</v>
      </c>
      <c r="P139" s="5">
        <v>0.083333</v>
      </c>
      <c r="Q139" s="12">
        <v>0.8</v>
      </c>
      <c r="R139" s="2" t="s">
        <v>683</v>
      </c>
      <c r="S139" s="7">
        <f t="shared" si="16"/>
        <v>4400000</v>
      </c>
      <c r="T139" s="7">
        <f t="shared" si="17"/>
        <v>5500000</v>
      </c>
      <c r="U139" s="8">
        <f t="shared" si="18"/>
        <v>0.8</v>
      </c>
      <c r="V139" s="9" t="e">
        <f>IF(T139&lt;=0,"Output &lt;= 0",IF(U139&gt;#REF!,"Terlalu tinggi",IF(U139&lt;#REF!,"Terlalu rendah","Sesuai")))</f>
        <v>#REF!</v>
      </c>
      <c r="W139" s="7" t="e">
        <f>IF(T139&lt;=0,S139,IF(U139&gt;#REF!,ROUNDDOWN(T139*#REF!,0),IF(U139&lt;#REF!,ROUNDUP(T139*#REF!,0),S139)))</f>
        <v>#REF!</v>
      </c>
      <c r="X139" s="7" t="e">
        <f t="shared" si="19"/>
        <v>#REF!</v>
      </c>
      <c r="Y139" s="7" t="e">
        <f t="shared" si="20"/>
        <v>#REF!</v>
      </c>
      <c r="Z139" s="7" t="e">
        <f t="shared" si="21"/>
        <v>#REF!</v>
      </c>
      <c r="AA139" s="7" t="e">
        <f t="shared" si="22"/>
        <v>#REF!</v>
      </c>
      <c r="AB139" s="8" t="e">
        <f t="shared" si="23"/>
        <v>#REF!</v>
      </c>
      <c r="AC139" s="9" t="e">
        <f>IF(T139&lt;=0,"Output &lt;= 0, cek manual",IF(OR(Z139&lt;0,Y139&lt;0),"Biaya negatif",IF(AND(AB139&gt;=#REF!,AB139&lt;=#REF!),"OK","Di luar rentang")))</f>
        <v>#REF!</v>
      </c>
    </row>
    <row r="140" ht="185.25" spans="1:29">
      <c r="A140" s="2" t="s">
        <v>30</v>
      </c>
      <c r="B140" s="2" t="s">
        <v>670</v>
      </c>
      <c r="C140" s="3" t="s">
        <v>684</v>
      </c>
      <c r="D140" s="3" t="s">
        <v>685</v>
      </c>
      <c r="E140" s="3" t="s">
        <v>686</v>
      </c>
      <c r="F140" s="4">
        <v>500000</v>
      </c>
      <c r="G140" s="4">
        <v>72000000</v>
      </c>
      <c r="H140" s="4">
        <v>1200000</v>
      </c>
      <c r="I140" s="4">
        <v>0</v>
      </c>
      <c r="J140" s="2" t="s">
        <v>687</v>
      </c>
      <c r="K140" s="4">
        <v>84000000</v>
      </c>
      <c r="L140" s="4">
        <v>0</v>
      </c>
      <c r="M140" s="4">
        <v>10300000</v>
      </c>
      <c r="N140" s="4">
        <v>30000000</v>
      </c>
      <c r="O140" s="4">
        <v>12000000</v>
      </c>
      <c r="P140" s="5">
        <v>0.857143</v>
      </c>
      <c r="Q140" s="5">
        <v>0.858333</v>
      </c>
      <c r="R140" s="2" t="s">
        <v>688</v>
      </c>
      <c r="S140" s="7">
        <f t="shared" si="16"/>
        <v>10300000</v>
      </c>
      <c r="T140" s="7">
        <f t="shared" si="17"/>
        <v>12000000</v>
      </c>
      <c r="U140" s="8">
        <f t="shared" si="18"/>
        <v>0.858333333333333</v>
      </c>
      <c r="V140" s="9" t="e">
        <f>IF(T140&lt;=0,"Output &lt;= 0",IF(U140&gt;#REF!,"Terlalu tinggi",IF(U140&lt;#REF!,"Terlalu rendah","Sesuai")))</f>
        <v>#REF!</v>
      </c>
      <c r="W140" s="7" t="e">
        <f>IF(T140&lt;=0,S140,IF(U140&gt;#REF!,ROUNDDOWN(T140*#REF!,0),IF(U140&lt;#REF!,ROUNDUP(T140*#REF!,0),S140)))</f>
        <v>#REF!</v>
      </c>
      <c r="X140" s="7" t="e">
        <f t="shared" si="19"/>
        <v>#REF!</v>
      </c>
      <c r="Y140" s="7" t="e">
        <f t="shared" si="20"/>
        <v>#REF!</v>
      </c>
      <c r="Z140" s="7" t="e">
        <f t="shared" si="21"/>
        <v>#REF!</v>
      </c>
      <c r="AA140" s="7" t="e">
        <f t="shared" si="22"/>
        <v>#REF!</v>
      </c>
      <c r="AB140" s="8" t="e">
        <f t="shared" si="23"/>
        <v>#REF!</v>
      </c>
      <c r="AC140" s="9" t="e">
        <f>IF(T140&lt;=0,"Output &lt;= 0, cek manual",IF(OR(Z140&lt;0,Y140&lt;0),"Biaya negatif",IF(AND(AB140&gt;=#REF!,AB140&lt;=#REF!),"OK","Di luar rentang")))</f>
        <v>#REF!</v>
      </c>
    </row>
    <row r="141" ht="42.75" spans="1:29">
      <c r="A141" s="2" t="s">
        <v>30</v>
      </c>
      <c r="B141" s="2" t="s">
        <v>31</v>
      </c>
      <c r="C141" s="3" t="s">
        <v>689</v>
      </c>
      <c r="D141" s="3" t="s">
        <v>62</v>
      </c>
      <c r="E141" s="3" t="s">
        <v>63</v>
      </c>
      <c r="F141" s="4">
        <v>0</v>
      </c>
      <c r="G141" s="4">
        <v>420000000</v>
      </c>
      <c r="H141" s="4">
        <v>8000000</v>
      </c>
      <c r="I141" s="4">
        <v>0</v>
      </c>
      <c r="J141" s="2" t="s">
        <v>690</v>
      </c>
      <c r="K141" s="4">
        <v>620000000</v>
      </c>
      <c r="L141" s="4">
        <v>0</v>
      </c>
      <c r="M141" s="4">
        <v>192000000</v>
      </c>
      <c r="N141" s="4">
        <v>15000000</v>
      </c>
      <c r="O141" s="4">
        <v>200000000</v>
      </c>
      <c r="P141" s="5">
        <v>0.677419</v>
      </c>
      <c r="Q141" s="11">
        <v>0.96</v>
      </c>
      <c r="R141" s="2" t="s">
        <v>691</v>
      </c>
      <c r="S141" s="7">
        <f t="shared" si="16"/>
        <v>192000000</v>
      </c>
      <c r="T141" s="7">
        <f t="shared" si="17"/>
        <v>200000000</v>
      </c>
      <c r="U141" s="8">
        <f t="shared" si="18"/>
        <v>0.96</v>
      </c>
      <c r="V141" s="9" t="e">
        <f>IF(T141&lt;=0,"Output &lt;= 0",IF(U141&gt;#REF!,"Terlalu tinggi",IF(U141&lt;#REF!,"Terlalu rendah","Sesuai")))</f>
        <v>#REF!</v>
      </c>
      <c r="W141" s="7" t="e">
        <f>IF(T141&lt;=0,S141,IF(U141&gt;#REF!,ROUNDDOWN(T141*#REF!,0),IF(U141&lt;#REF!,ROUNDUP(T141*#REF!,0),S141)))</f>
        <v>#REF!</v>
      </c>
      <c r="X141" s="7" t="e">
        <f t="shared" si="19"/>
        <v>#REF!</v>
      </c>
      <c r="Y141" s="7" t="e">
        <f t="shared" si="20"/>
        <v>#REF!</v>
      </c>
      <c r="Z141" s="7" t="e">
        <f t="shared" si="21"/>
        <v>#REF!</v>
      </c>
      <c r="AA141" s="7" t="e">
        <f t="shared" si="22"/>
        <v>#REF!</v>
      </c>
      <c r="AB141" s="8" t="e">
        <f t="shared" si="23"/>
        <v>#REF!</v>
      </c>
      <c r="AC141" s="9" t="e">
        <f>IF(T141&lt;=0,"Output &lt;= 0, cek manual",IF(OR(Z141&lt;0,Y141&lt;0),"Biaya negatif",IF(AND(AB141&gt;=#REF!,AB141&lt;=#REF!),"OK","Di luar rentang")))</f>
        <v>#REF!</v>
      </c>
    </row>
    <row r="142" ht="57" spans="1:29">
      <c r="A142" s="2" t="s">
        <v>30</v>
      </c>
      <c r="B142" s="2" t="s">
        <v>31</v>
      </c>
      <c r="C142" s="3" t="s">
        <v>692</v>
      </c>
      <c r="D142" s="3" t="s">
        <v>693</v>
      </c>
      <c r="E142" s="3" t="s">
        <v>694</v>
      </c>
      <c r="F142" s="4">
        <v>5000000</v>
      </c>
      <c r="G142" s="4">
        <v>10000000</v>
      </c>
      <c r="H142" s="4">
        <v>600000</v>
      </c>
      <c r="I142" s="4">
        <v>0</v>
      </c>
      <c r="J142" s="2" t="s">
        <v>695</v>
      </c>
      <c r="K142" s="4">
        <v>20000000</v>
      </c>
      <c r="L142" s="4">
        <v>0</v>
      </c>
      <c r="M142" s="4">
        <v>4400000</v>
      </c>
      <c r="N142" s="4">
        <v>24000000</v>
      </c>
      <c r="O142" s="4">
        <v>10000000</v>
      </c>
      <c r="P142" s="12">
        <v>0.5</v>
      </c>
      <c r="Q142" s="11">
        <v>0.44</v>
      </c>
      <c r="R142" s="2" t="s">
        <v>696</v>
      </c>
      <c r="S142" s="7">
        <f t="shared" si="16"/>
        <v>4400000</v>
      </c>
      <c r="T142" s="7">
        <f t="shared" si="17"/>
        <v>10000000</v>
      </c>
      <c r="U142" s="8">
        <f t="shared" si="18"/>
        <v>0.44</v>
      </c>
      <c r="V142" s="9" t="e">
        <f>IF(T142&lt;=0,"Output &lt;= 0",IF(U142&gt;#REF!,"Terlalu tinggi",IF(U142&lt;#REF!,"Terlalu rendah","Sesuai")))</f>
        <v>#REF!</v>
      </c>
      <c r="W142" s="7" t="e">
        <f>IF(T142&lt;=0,S142,IF(U142&gt;#REF!,ROUNDDOWN(T142*#REF!,0),IF(U142&lt;#REF!,ROUNDUP(T142*#REF!,0),S142)))</f>
        <v>#REF!</v>
      </c>
      <c r="X142" s="7" t="e">
        <f t="shared" si="19"/>
        <v>#REF!</v>
      </c>
      <c r="Y142" s="7" t="e">
        <f t="shared" si="20"/>
        <v>#REF!</v>
      </c>
      <c r="Z142" s="7" t="e">
        <f t="shared" si="21"/>
        <v>#REF!</v>
      </c>
      <c r="AA142" s="7" t="e">
        <f t="shared" si="22"/>
        <v>#REF!</v>
      </c>
      <c r="AB142" s="8" t="e">
        <f t="shared" si="23"/>
        <v>#REF!</v>
      </c>
      <c r="AC142" s="9" t="e">
        <f>IF(T142&lt;=0,"Output &lt;= 0, cek manual",IF(OR(Z142&lt;0,Y142&lt;0),"Biaya negatif",IF(AND(AB142&gt;=#REF!,AB142&lt;=#REF!),"OK","Di luar rentang")))</f>
        <v>#REF!</v>
      </c>
    </row>
    <row r="143" ht="99.75" spans="1:29">
      <c r="A143" s="2" t="s">
        <v>30</v>
      </c>
      <c r="B143" s="2" t="s">
        <v>31</v>
      </c>
      <c r="C143" s="3" t="s">
        <v>697</v>
      </c>
      <c r="D143" s="3" t="s">
        <v>612</v>
      </c>
      <c r="E143" s="3" t="s">
        <v>698</v>
      </c>
      <c r="F143" s="4">
        <v>0</v>
      </c>
      <c r="G143" s="4">
        <v>14400000</v>
      </c>
      <c r="H143" s="4">
        <v>300000</v>
      </c>
      <c r="I143" s="4">
        <v>0</v>
      </c>
      <c r="J143" s="2" t="s">
        <v>662</v>
      </c>
      <c r="K143" s="4">
        <v>21300000</v>
      </c>
      <c r="L143" s="4">
        <v>0</v>
      </c>
      <c r="M143" s="4">
        <v>6600000</v>
      </c>
      <c r="N143" s="4">
        <v>1355000</v>
      </c>
      <c r="O143" s="4">
        <v>6900000</v>
      </c>
      <c r="P143" s="5">
        <v>0.676056</v>
      </c>
      <c r="Q143" s="5">
        <v>0.956522</v>
      </c>
      <c r="R143" s="2" t="s">
        <v>699</v>
      </c>
      <c r="S143" s="7">
        <f t="shared" si="16"/>
        <v>6600000</v>
      </c>
      <c r="T143" s="7">
        <f t="shared" si="17"/>
        <v>6900000</v>
      </c>
      <c r="U143" s="8">
        <f t="shared" si="18"/>
        <v>0.956521739130435</v>
      </c>
      <c r="V143" s="9" t="e">
        <f>IF(T143&lt;=0,"Output &lt;= 0",IF(U143&gt;#REF!,"Terlalu tinggi",IF(U143&lt;#REF!,"Terlalu rendah","Sesuai")))</f>
        <v>#REF!</v>
      </c>
      <c r="W143" s="7" t="e">
        <f>IF(T143&lt;=0,S143,IF(U143&gt;#REF!,ROUNDDOWN(T143*#REF!,0),IF(U143&lt;#REF!,ROUNDUP(T143*#REF!,0),S143)))</f>
        <v>#REF!</v>
      </c>
      <c r="X143" s="7" t="e">
        <f t="shared" si="19"/>
        <v>#REF!</v>
      </c>
      <c r="Y143" s="7" t="e">
        <f t="shared" si="20"/>
        <v>#REF!</v>
      </c>
      <c r="Z143" s="7" t="e">
        <f t="shared" si="21"/>
        <v>#REF!</v>
      </c>
      <c r="AA143" s="7" t="e">
        <f t="shared" si="22"/>
        <v>#REF!</v>
      </c>
      <c r="AB143" s="8" t="e">
        <f t="shared" si="23"/>
        <v>#REF!</v>
      </c>
      <c r="AC143" s="9" t="e">
        <f>IF(T143&lt;=0,"Output &lt;= 0, cek manual",IF(OR(Z143&lt;0,Y143&lt;0),"Biaya negatif",IF(AND(AB143&gt;=#REF!,AB143&lt;=#REF!),"OK","Di luar rentang")))</f>
        <v>#REF!</v>
      </c>
    </row>
    <row r="144" ht="99.75" spans="1:29">
      <c r="A144" s="2" t="s">
        <v>30</v>
      </c>
      <c r="B144" s="2" t="s">
        <v>31</v>
      </c>
      <c r="C144" s="3" t="s">
        <v>700</v>
      </c>
      <c r="D144" s="3" t="s">
        <v>91</v>
      </c>
      <c r="E144" s="3" t="s">
        <v>701</v>
      </c>
      <c r="F144" s="4">
        <v>100000</v>
      </c>
      <c r="G144" s="4">
        <v>240000000</v>
      </c>
      <c r="H144" s="4">
        <v>1500000</v>
      </c>
      <c r="I144" s="4">
        <v>215000</v>
      </c>
      <c r="J144" s="2" t="s">
        <v>702</v>
      </c>
      <c r="K144" s="4">
        <v>540000000</v>
      </c>
      <c r="L144" s="4">
        <v>0</v>
      </c>
      <c r="M144" s="4">
        <v>298400000</v>
      </c>
      <c r="N144" s="4">
        <v>15000000</v>
      </c>
      <c r="O144" s="4">
        <v>300000000</v>
      </c>
      <c r="P144" s="5">
        <v>0.444444</v>
      </c>
      <c r="Q144" s="5">
        <v>0.994667</v>
      </c>
      <c r="R144" s="2" t="s">
        <v>703</v>
      </c>
      <c r="S144" s="7">
        <f t="shared" si="16"/>
        <v>298400000</v>
      </c>
      <c r="T144" s="7">
        <f t="shared" si="17"/>
        <v>300000000</v>
      </c>
      <c r="U144" s="8">
        <f t="shared" si="18"/>
        <v>0.994666666666667</v>
      </c>
      <c r="V144" s="9" t="e">
        <f>IF(T144&lt;=0,"Output &lt;= 0",IF(U144&gt;#REF!,"Terlalu tinggi",IF(U144&lt;#REF!,"Terlalu rendah","Sesuai")))</f>
        <v>#REF!</v>
      </c>
      <c r="W144" s="7" t="e">
        <f>IF(T144&lt;=0,S144,IF(U144&gt;#REF!,ROUNDDOWN(T144*#REF!,0),IF(U144&lt;#REF!,ROUNDUP(T144*#REF!,0),S144)))</f>
        <v>#REF!</v>
      </c>
      <c r="X144" s="7" t="e">
        <f t="shared" si="19"/>
        <v>#REF!</v>
      </c>
      <c r="Y144" s="7" t="e">
        <f t="shared" si="20"/>
        <v>#REF!</v>
      </c>
      <c r="Z144" s="7" t="e">
        <f t="shared" si="21"/>
        <v>#REF!</v>
      </c>
      <c r="AA144" s="7" t="e">
        <f t="shared" si="22"/>
        <v>#REF!</v>
      </c>
      <c r="AB144" s="8" t="e">
        <f t="shared" si="23"/>
        <v>#REF!</v>
      </c>
      <c r="AC144" s="9" t="e">
        <f>IF(T144&lt;=0,"Output &lt;= 0, cek manual",IF(OR(Z144&lt;0,Y144&lt;0),"Biaya negatif",IF(AND(AB144&gt;=#REF!,AB144&lt;=#REF!),"OK","Di luar rentang")))</f>
        <v>#REF!</v>
      </c>
    </row>
    <row r="145" ht="99.75" spans="1:29">
      <c r="A145" s="2" t="s">
        <v>30</v>
      </c>
      <c r="B145" s="2" t="s">
        <v>31</v>
      </c>
      <c r="C145" s="3" t="s">
        <v>704</v>
      </c>
      <c r="D145" s="3" t="s">
        <v>377</v>
      </c>
      <c r="E145" s="3" t="s">
        <v>705</v>
      </c>
      <c r="F145" s="4">
        <v>24000</v>
      </c>
      <c r="G145" s="4">
        <v>5000000</v>
      </c>
      <c r="H145" s="4">
        <v>240000</v>
      </c>
      <c r="I145" s="4">
        <v>0</v>
      </c>
      <c r="J145" s="2" t="s">
        <v>572</v>
      </c>
      <c r="K145" s="4">
        <v>11000000</v>
      </c>
      <c r="L145" s="4">
        <v>0</v>
      </c>
      <c r="M145" s="4">
        <v>5736000</v>
      </c>
      <c r="N145" s="4">
        <v>7000000</v>
      </c>
      <c r="O145" s="4">
        <v>6000000</v>
      </c>
      <c r="P145" s="5">
        <v>0.454545</v>
      </c>
      <c r="Q145" s="10">
        <v>0.956</v>
      </c>
      <c r="R145" s="2" t="s">
        <v>706</v>
      </c>
      <c r="S145" s="7">
        <f t="shared" si="16"/>
        <v>5736000</v>
      </c>
      <c r="T145" s="7">
        <f t="shared" si="17"/>
        <v>6000000</v>
      </c>
      <c r="U145" s="8">
        <f t="shared" si="18"/>
        <v>0.956</v>
      </c>
      <c r="V145" s="9" t="e">
        <f>IF(T145&lt;=0,"Output &lt;= 0",IF(U145&gt;#REF!,"Terlalu tinggi",IF(U145&lt;#REF!,"Terlalu rendah","Sesuai")))</f>
        <v>#REF!</v>
      </c>
      <c r="W145" s="7" t="e">
        <f>IF(T145&lt;=0,S145,IF(U145&gt;#REF!,ROUNDDOWN(T145*#REF!,0),IF(U145&lt;#REF!,ROUNDUP(T145*#REF!,0),S145)))</f>
        <v>#REF!</v>
      </c>
      <c r="X145" s="7" t="e">
        <f t="shared" si="19"/>
        <v>#REF!</v>
      </c>
      <c r="Y145" s="7" t="e">
        <f t="shared" si="20"/>
        <v>#REF!</v>
      </c>
      <c r="Z145" s="7" t="e">
        <f t="shared" si="21"/>
        <v>#REF!</v>
      </c>
      <c r="AA145" s="7" t="e">
        <f t="shared" si="22"/>
        <v>#REF!</v>
      </c>
      <c r="AB145" s="8" t="e">
        <f t="shared" si="23"/>
        <v>#REF!</v>
      </c>
      <c r="AC145" s="9" t="e">
        <f>IF(T145&lt;=0,"Output &lt;= 0, cek manual",IF(OR(Z145&lt;0,Y145&lt;0),"Biaya negatif",IF(AND(AB145&gt;=#REF!,AB145&lt;=#REF!),"OK","Di luar rentang")))</f>
        <v>#REF!</v>
      </c>
    </row>
    <row r="146" ht="85.5" spans="1:29">
      <c r="A146" s="2" t="s">
        <v>30</v>
      </c>
      <c r="B146" s="2" t="s">
        <v>31</v>
      </c>
      <c r="C146" s="3" t="s">
        <v>707</v>
      </c>
      <c r="D146" s="3" t="s">
        <v>708</v>
      </c>
      <c r="E146" s="3" t="s">
        <v>709</v>
      </c>
      <c r="F146" s="4">
        <v>0</v>
      </c>
      <c r="G146" s="4">
        <v>9200000</v>
      </c>
      <c r="H146" s="4">
        <v>400000</v>
      </c>
      <c r="I146" s="4">
        <v>100000</v>
      </c>
      <c r="J146" s="2" t="s">
        <v>710</v>
      </c>
      <c r="K146" s="4">
        <v>20000000</v>
      </c>
      <c r="L146" s="4">
        <v>1000000</v>
      </c>
      <c r="M146" s="4">
        <v>10400000</v>
      </c>
      <c r="N146" s="4">
        <v>4200000</v>
      </c>
      <c r="O146" s="4">
        <v>10800000</v>
      </c>
      <c r="P146" s="11">
        <v>0.46</v>
      </c>
      <c r="Q146" s="5">
        <v>0.962963</v>
      </c>
      <c r="R146" s="2" t="s">
        <v>711</v>
      </c>
      <c r="S146" s="7">
        <f t="shared" si="16"/>
        <v>10400000</v>
      </c>
      <c r="T146" s="7">
        <f t="shared" si="17"/>
        <v>10800000</v>
      </c>
      <c r="U146" s="8">
        <f t="shared" si="18"/>
        <v>0.962962962962963</v>
      </c>
      <c r="V146" s="9" t="e">
        <f>IF(T146&lt;=0,"Output &lt;= 0",IF(U146&gt;#REF!,"Terlalu tinggi",IF(U146&lt;#REF!,"Terlalu rendah","Sesuai")))</f>
        <v>#REF!</v>
      </c>
      <c r="W146" s="7" t="e">
        <f>IF(T146&lt;=0,S146,IF(U146&gt;#REF!,ROUNDDOWN(T146*#REF!,0),IF(U146&lt;#REF!,ROUNDUP(T146*#REF!,0),S146)))</f>
        <v>#REF!</v>
      </c>
      <c r="X146" s="7" t="e">
        <f t="shared" si="19"/>
        <v>#REF!</v>
      </c>
      <c r="Y146" s="7" t="e">
        <f t="shared" si="20"/>
        <v>#REF!</v>
      </c>
      <c r="Z146" s="7" t="e">
        <f t="shared" si="21"/>
        <v>#REF!</v>
      </c>
      <c r="AA146" s="7" t="e">
        <f t="shared" si="22"/>
        <v>#REF!</v>
      </c>
      <c r="AB146" s="8" t="e">
        <f t="shared" si="23"/>
        <v>#REF!</v>
      </c>
      <c r="AC146" s="9" t="e">
        <f>IF(T146&lt;=0,"Output &lt;= 0, cek manual",IF(OR(Z146&lt;0,Y146&lt;0),"Biaya negatif",IF(AND(AB146&gt;=#REF!,AB146&lt;=#REF!),"OK","Di luar rentang")))</f>
        <v>#REF!</v>
      </c>
    </row>
    <row r="147" ht="71.25" spans="1:29">
      <c r="A147" s="2" t="s">
        <v>30</v>
      </c>
      <c r="B147" s="2" t="s">
        <v>31</v>
      </c>
      <c r="C147" s="3" t="s">
        <v>712</v>
      </c>
      <c r="D147" s="3" t="s">
        <v>91</v>
      </c>
      <c r="E147" s="3" t="s">
        <v>198</v>
      </c>
      <c r="F147" s="4">
        <v>1000000</v>
      </c>
      <c r="G147" s="4">
        <v>20000000</v>
      </c>
      <c r="H147" s="4">
        <v>2000000</v>
      </c>
      <c r="I147" s="4">
        <v>0</v>
      </c>
      <c r="J147" s="2" t="s">
        <v>713</v>
      </c>
      <c r="K147" s="4">
        <v>41000000</v>
      </c>
      <c r="L147" s="4">
        <v>0</v>
      </c>
      <c r="M147" s="4">
        <v>18000000</v>
      </c>
      <c r="N147" s="4">
        <v>650000</v>
      </c>
      <c r="O147" s="4">
        <v>21000000</v>
      </c>
      <c r="P147" s="5">
        <v>0.487805</v>
      </c>
      <c r="Q147" s="5">
        <v>0.857143</v>
      </c>
      <c r="R147" s="2" t="s">
        <v>714</v>
      </c>
      <c r="S147" s="7">
        <f t="shared" si="16"/>
        <v>18000000</v>
      </c>
      <c r="T147" s="7">
        <f t="shared" si="17"/>
        <v>21000000</v>
      </c>
      <c r="U147" s="8">
        <f t="shared" si="18"/>
        <v>0.857142857142857</v>
      </c>
      <c r="V147" s="9" t="e">
        <f>IF(T147&lt;=0,"Output &lt;= 0",IF(U147&gt;#REF!,"Terlalu tinggi",IF(U147&lt;#REF!,"Terlalu rendah","Sesuai")))</f>
        <v>#REF!</v>
      </c>
      <c r="W147" s="7" t="e">
        <f>IF(T147&lt;=0,S147,IF(U147&gt;#REF!,ROUNDDOWN(T147*#REF!,0),IF(U147&lt;#REF!,ROUNDUP(T147*#REF!,0),S147)))</f>
        <v>#REF!</v>
      </c>
      <c r="X147" s="7" t="e">
        <f t="shared" si="19"/>
        <v>#REF!</v>
      </c>
      <c r="Y147" s="7" t="e">
        <f t="shared" si="20"/>
        <v>#REF!</v>
      </c>
      <c r="Z147" s="7" t="e">
        <f t="shared" si="21"/>
        <v>#REF!</v>
      </c>
      <c r="AA147" s="7" t="e">
        <f t="shared" si="22"/>
        <v>#REF!</v>
      </c>
      <c r="AB147" s="8" t="e">
        <f t="shared" si="23"/>
        <v>#REF!</v>
      </c>
      <c r="AC147" s="9" t="e">
        <f>IF(T147&lt;=0,"Output &lt;= 0, cek manual",IF(OR(Z147&lt;0,Y147&lt;0),"Biaya negatif",IF(AND(AB147&gt;=#REF!,AB147&lt;=#REF!),"OK","Di luar rentang")))</f>
        <v>#REF!</v>
      </c>
    </row>
    <row r="148" ht="156.75" spans="1:29">
      <c r="A148" s="2" t="s">
        <v>30</v>
      </c>
      <c r="B148" s="2" t="s">
        <v>31</v>
      </c>
      <c r="C148" s="3" t="s">
        <v>715</v>
      </c>
      <c r="D148" s="3" t="s">
        <v>716</v>
      </c>
      <c r="E148" s="3" t="s">
        <v>717</v>
      </c>
      <c r="F148" s="4">
        <v>2000000</v>
      </c>
      <c r="G148" s="4">
        <v>80000000</v>
      </c>
      <c r="H148" s="4">
        <v>2000000</v>
      </c>
      <c r="I148" s="4">
        <v>1000000</v>
      </c>
      <c r="J148" s="2" t="s">
        <v>718</v>
      </c>
      <c r="K148" s="4">
        <v>115000000</v>
      </c>
      <c r="L148" s="4">
        <v>0</v>
      </c>
      <c r="M148" s="4">
        <v>31000000</v>
      </c>
      <c r="N148" s="4">
        <v>35000000</v>
      </c>
      <c r="O148" s="4">
        <v>35000000</v>
      </c>
      <c r="P148" s="5">
        <v>0.695652</v>
      </c>
      <c r="Q148" s="5">
        <v>0.885714</v>
      </c>
      <c r="R148" s="2" t="s">
        <v>719</v>
      </c>
      <c r="S148" s="7">
        <f t="shared" si="16"/>
        <v>31000000</v>
      </c>
      <c r="T148" s="7">
        <f t="shared" si="17"/>
        <v>35000000</v>
      </c>
      <c r="U148" s="8">
        <f t="shared" si="18"/>
        <v>0.885714285714286</v>
      </c>
      <c r="V148" s="9" t="e">
        <f>IF(T148&lt;=0,"Output &lt;= 0",IF(U148&gt;#REF!,"Terlalu tinggi",IF(U148&lt;#REF!,"Terlalu rendah","Sesuai")))</f>
        <v>#REF!</v>
      </c>
      <c r="W148" s="7" t="e">
        <f>IF(T148&lt;=0,S148,IF(U148&gt;#REF!,ROUNDDOWN(T148*#REF!,0),IF(U148&lt;#REF!,ROUNDUP(T148*#REF!,0),S148)))</f>
        <v>#REF!</v>
      </c>
      <c r="X148" s="7" t="e">
        <f t="shared" si="19"/>
        <v>#REF!</v>
      </c>
      <c r="Y148" s="7" t="e">
        <f t="shared" si="20"/>
        <v>#REF!</v>
      </c>
      <c r="Z148" s="7" t="e">
        <f t="shared" si="21"/>
        <v>#REF!</v>
      </c>
      <c r="AA148" s="7" t="e">
        <f t="shared" si="22"/>
        <v>#REF!</v>
      </c>
      <c r="AB148" s="8" t="e">
        <f t="shared" si="23"/>
        <v>#REF!</v>
      </c>
      <c r="AC148" s="9" t="e">
        <f>IF(T148&lt;=0,"Output &lt;= 0, cek manual",IF(OR(Z148&lt;0,Y148&lt;0),"Biaya negatif",IF(AND(AB148&gt;=#REF!,AB148&lt;=#REF!),"OK","Di luar rentang")))</f>
        <v>#REF!</v>
      </c>
    </row>
    <row r="149" ht="142.5" spans="1:29">
      <c r="A149" s="2" t="s">
        <v>30</v>
      </c>
      <c r="B149" s="2" t="s">
        <v>31</v>
      </c>
      <c r="C149" s="3" t="s">
        <v>720</v>
      </c>
      <c r="D149" s="3" t="s">
        <v>721</v>
      </c>
      <c r="E149" s="3" t="s">
        <v>722</v>
      </c>
      <c r="F149" s="4">
        <v>0</v>
      </c>
      <c r="G149" s="4">
        <v>60000000</v>
      </c>
      <c r="H149" s="4">
        <v>250000</v>
      </c>
      <c r="I149" s="4">
        <v>0</v>
      </c>
      <c r="J149" s="2" t="s">
        <v>723</v>
      </c>
      <c r="K149" s="4">
        <v>78000000</v>
      </c>
      <c r="L149" s="4">
        <v>0</v>
      </c>
      <c r="M149" s="4">
        <v>17750000</v>
      </c>
      <c r="N149" s="4">
        <v>0</v>
      </c>
      <c r="O149" s="4">
        <v>18000000</v>
      </c>
      <c r="P149" s="5">
        <v>0.769231</v>
      </c>
      <c r="Q149" s="5">
        <v>0.986111</v>
      </c>
      <c r="R149" s="2" t="s">
        <v>724</v>
      </c>
      <c r="S149" s="7">
        <f t="shared" si="16"/>
        <v>17750000</v>
      </c>
      <c r="T149" s="7">
        <f t="shared" si="17"/>
        <v>18000000</v>
      </c>
      <c r="U149" s="8">
        <f t="shared" si="18"/>
        <v>0.986111111111111</v>
      </c>
      <c r="V149" s="9" t="e">
        <f>IF(T149&lt;=0,"Output &lt;= 0",IF(U149&gt;#REF!,"Terlalu tinggi",IF(U149&lt;#REF!,"Terlalu rendah","Sesuai")))</f>
        <v>#REF!</v>
      </c>
      <c r="W149" s="7" t="e">
        <f>IF(T149&lt;=0,S149,IF(U149&gt;#REF!,ROUNDDOWN(T149*#REF!,0),IF(U149&lt;#REF!,ROUNDUP(T149*#REF!,0),S149)))</f>
        <v>#REF!</v>
      </c>
      <c r="X149" s="7" t="e">
        <f t="shared" si="19"/>
        <v>#REF!</v>
      </c>
      <c r="Y149" s="7" t="e">
        <f t="shared" si="20"/>
        <v>#REF!</v>
      </c>
      <c r="Z149" s="7" t="e">
        <f t="shared" si="21"/>
        <v>#REF!</v>
      </c>
      <c r="AA149" s="7" t="e">
        <f t="shared" si="22"/>
        <v>#REF!</v>
      </c>
      <c r="AB149" s="8" t="e">
        <f t="shared" si="23"/>
        <v>#REF!</v>
      </c>
      <c r="AC149" s="9" t="e">
        <f>IF(T149&lt;=0,"Output &lt;= 0, cek manual",IF(OR(Z149&lt;0,Y149&lt;0),"Biaya negatif",IF(AND(AB149&gt;=#REF!,AB149&lt;=#REF!),"OK","Di luar rentang")))</f>
        <v>#REF!</v>
      </c>
    </row>
    <row r="150" ht="85.5" spans="1:29">
      <c r="A150" s="2" t="s">
        <v>30</v>
      </c>
      <c r="B150" s="2" t="s">
        <v>31</v>
      </c>
      <c r="C150" s="3" t="s">
        <v>725</v>
      </c>
      <c r="D150" s="3" t="s">
        <v>726</v>
      </c>
      <c r="E150" s="3" t="s">
        <v>727</v>
      </c>
      <c r="F150" s="4">
        <v>0</v>
      </c>
      <c r="G150" s="4">
        <v>36000000</v>
      </c>
      <c r="H150" s="4">
        <v>1200000</v>
      </c>
      <c r="I150" s="4">
        <v>0</v>
      </c>
      <c r="J150" s="2" t="s">
        <v>728</v>
      </c>
      <c r="K150" s="4">
        <v>48000000</v>
      </c>
      <c r="L150" s="4">
        <v>0</v>
      </c>
      <c r="M150" s="4">
        <v>10800000</v>
      </c>
      <c r="N150" s="4">
        <v>0</v>
      </c>
      <c r="O150" s="4">
        <v>12000000</v>
      </c>
      <c r="P150" s="11">
        <v>0.75</v>
      </c>
      <c r="Q150" s="12">
        <v>0.9</v>
      </c>
      <c r="R150" s="2" t="s">
        <v>729</v>
      </c>
      <c r="S150" s="7">
        <f t="shared" si="16"/>
        <v>10800000</v>
      </c>
      <c r="T150" s="7">
        <f t="shared" si="17"/>
        <v>12000000</v>
      </c>
      <c r="U150" s="8">
        <f t="shared" si="18"/>
        <v>0.9</v>
      </c>
      <c r="V150" s="9" t="e">
        <f>IF(T150&lt;=0,"Output &lt;= 0",IF(U150&gt;#REF!,"Terlalu tinggi",IF(U150&lt;#REF!,"Terlalu rendah","Sesuai")))</f>
        <v>#REF!</v>
      </c>
      <c r="W150" s="7" t="e">
        <f>IF(T150&lt;=0,S150,IF(U150&gt;#REF!,ROUNDDOWN(T150*#REF!,0),IF(U150&lt;#REF!,ROUNDUP(T150*#REF!,0),S150)))</f>
        <v>#REF!</v>
      </c>
      <c r="X150" s="7" t="e">
        <f t="shared" si="19"/>
        <v>#REF!</v>
      </c>
      <c r="Y150" s="7" t="e">
        <f t="shared" si="20"/>
        <v>#REF!</v>
      </c>
      <c r="Z150" s="7" t="e">
        <f t="shared" si="21"/>
        <v>#REF!</v>
      </c>
      <c r="AA150" s="7" t="e">
        <f t="shared" si="22"/>
        <v>#REF!</v>
      </c>
      <c r="AB150" s="8" t="e">
        <f t="shared" si="23"/>
        <v>#REF!</v>
      </c>
      <c r="AC150" s="9" t="e">
        <f>IF(T150&lt;=0,"Output &lt;= 0, cek manual",IF(OR(Z150&lt;0,Y150&lt;0),"Biaya negatif",IF(AND(AB150&gt;=#REF!,AB150&lt;=#REF!),"OK","Di luar rentang")))</f>
        <v>#REF!</v>
      </c>
    </row>
    <row r="151" ht="99.75" spans="1:29">
      <c r="A151" s="2" t="s">
        <v>30</v>
      </c>
      <c r="B151" s="2" t="s">
        <v>31</v>
      </c>
      <c r="C151" s="3" t="s">
        <v>730</v>
      </c>
      <c r="D151" s="3" t="s">
        <v>91</v>
      </c>
      <c r="E151" s="3" t="s">
        <v>198</v>
      </c>
      <c r="F151" s="4">
        <v>350000</v>
      </c>
      <c r="G151" s="4">
        <v>12000000</v>
      </c>
      <c r="H151" s="4">
        <v>240000</v>
      </c>
      <c r="I151" s="4">
        <v>15000</v>
      </c>
      <c r="J151" s="2" t="s">
        <v>731</v>
      </c>
      <c r="K151" s="4">
        <v>21000000</v>
      </c>
      <c r="L151" s="4">
        <v>0</v>
      </c>
      <c r="M151" s="4">
        <v>8410000</v>
      </c>
      <c r="N151" s="4">
        <v>52500000</v>
      </c>
      <c r="O151" s="4">
        <v>9000000</v>
      </c>
      <c r="P151" s="5">
        <v>0.571429</v>
      </c>
      <c r="Q151" s="5">
        <v>0.934444</v>
      </c>
      <c r="R151" s="2" t="s">
        <v>732</v>
      </c>
      <c r="S151" s="7">
        <f t="shared" si="16"/>
        <v>8410000</v>
      </c>
      <c r="T151" s="7">
        <f t="shared" si="17"/>
        <v>9000000</v>
      </c>
      <c r="U151" s="8">
        <f t="shared" si="18"/>
        <v>0.934444444444444</v>
      </c>
      <c r="V151" s="9" t="e">
        <f>IF(T151&lt;=0,"Output &lt;= 0",IF(U151&gt;#REF!,"Terlalu tinggi",IF(U151&lt;#REF!,"Terlalu rendah","Sesuai")))</f>
        <v>#REF!</v>
      </c>
      <c r="W151" s="7" t="e">
        <f>IF(T151&lt;=0,S151,IF(U151&gt;#REF!,ROUNDDOWN(T151*#REF!,0),IF(U151&lt;#REF!,ROUNDUP(T151*#REF!,0),S151)))</f>
        <v>#REF!</v>
      </c>
      <c r="X151" s="7" t="e">
        <f t="shared" si="19"/>
        <v>#REF!</v>
      </c>
      <c r="Y151" s="7" t="e">
        <f t="shared" si="20"/>
        <v>#REF!</v>
      </c>
      <c r="Z151" s="7" t="e">
        <f t="shared" si="21"/>
        <v>#REF!</v>
      </c>
      <c r="AA151" s="7" t="e">
        <f t="shared" si="22"/>
        <v>#REF!</v>
      </c>
      <c r="AB151" s="8" t="e">
        <f t="shared" si="23"/>
        <v>#REF!</v>
      </c>
      <c r="AC151" s="9" t="e">
        <f>IF(T151&lt;=0,"Output &lt;= 0, cek manual",IF(OR(Z151&lt;0,Y151&lt;0),"Biaya negatif",IF(AND(AB151&gt;=#REF!,AB151&lt;=#REF!),"OK","Di luar rentang")))</f>
        <v>#REF!</v>
      </c>
    </row>
    <row r="152" ht="114" spans="1:29">
      <c r="A152" s="2" t="s">
        <v>30</v>
      </c>
      <c r="B152" s="2" t="s">
        <v>31</v>
      </c>
      <c r="C152" s="3" t="s">
        <v>733</v>
      </c>
      <c r="D152" s="3" t="s">
        <v>91</v>
      </c>
      <c r="E152" s="3" t="s">
        <v>734</v>
      </c>
      <c r="F152" s="4">
        <v>150000</v>
      </c>
      <c r="G152" s="4">
        <v>36000000</v>
      </c>
      <c r="H152" s="4">
        <v>2500000</v>
      </c>
      <c r="I152" s="4">
        <v>10000</v>
      </c>
      <c r="J152" s="2" t="s">
        <v>735</v>
      </c>
      <c r="K152" s="4">
        <v>56000000</v>
      </c>
      <c r="L152" s="4">
        <v>0</v>
      </c>
      <c r="M152" s="4">
        <v>17350000</v>
      </c>
      <c r="N152" s="4">
        <v>4900000</v>
      </c>
      <c r="O152" s="4">
        <v>20000000</v>
      </c>
      <c r="P152" s="5">
        <v>0.642857</v>
      </c>
      <c r="Q152" s="13">
        <v>0.8675</v>
      </c>
      <c r="R152" s="2" t="s">
        <v>736</v>
      </c>
      <c r="S152" s="7">
        <f t="shared" si="16"/>
        <v>17350000</v>
      </c>
      <c r="T152" s="7">
        <f t="shared" si="17"/>
        <v>20000000</v>
      </c>
      <c r="U152" s="8">
        <f t="shared" si="18"/>
        <v>0.8675</v>
      </c>
      <c r="V152" s="9" t="e">
        <f>IF(T152&lt;=0,"Output &lt;= 0",IF(U152&gt;#REF!,"Terlalu tinggi",IF(U152&lt;#REF!,"Terlalu rendah","Sesuai")))</f>
        <v>#REF!</v>
      </c>
      <c r="W152" s="7" t="e">
        <f>IF(T152&lt;=0,S152,IF(U152&gt;#REF!,ROUNDDOWN(T152*#REF!,0),IF(U152&lt;#REF!,ROUNDUP(T152*#REF!,0),S152)))</f>
        <v>#REF!</v>
      </c>
      <c r="X152" s="7" t="e">
        <f t="shared" si="19"/>
        <v>#REF!</v>
      </c>
      <c r="Y152" s="7" t="e">
        <f t="shared" si="20"/>
        <v>#REF!</v>
      </c>
      <c r="Z152" s="7" t="e">
        <f t="shared" si="21"/>
        <v>#REF!</v>
      </c>
      <c r="AA152" s="7" t="e">
        <f t="shared" si="22"/>
        <v>#REF!</v>
      </c>
      <c r="AB152" s="8" t="e">
        <f t="shared" si="23"/>
        <v>#REF!</v>
      </c>
      <c r="AC152" s="9" t="e">
        <f>IF(T152&lt;=0,"Output &lt;= 0, cek manual",IF(OR(Z152&lt;0,Y152&lt;0),"Biaya negatif",IF(AND(AB152&gt;=#REF!,AB152&lt;=#REF!),"OK","Di luar rentang")))</f>
        <v>#REF!</v>
      </c>
    </row>
    <row r="153" ht="142.5" spans="1:29">
      <c r="A153" s="2" t="s">
        <v>30</v>
      </c>
      <c r="B153" s="2" t="s">
        <v>31</v>
      </c>
      <c r="C153" s="3" t="s">
        <v>737</v>
      </c>
      <c r="D153" s="3" t="s">
        <v>738</v>
      </c>
      <c r="E153" s="3" t="s">
        <v>739</v>
      </c>
      <c r="F153" s="4">
        <v>200000</v>
      </c>
      <c r="G153" s="4">
        <v>14200000</v>
      </c>
      <c r="H153" s="4">
        <v>960000</v>
      </c>
      <c r="I153" s="4">
        <v>0</v>
      </c>
      <c r="J153" s="2" t="s">
        <v>740</v>
      </c>
      <c r="K153" s="4">
        <v>30512000</v>
      </c>
      <c r="L153" s="4">
        <v>0</v>
      </c>
      <c r="M153" s="4">
        <v>15152000</v>
      </c>
      <c r="N153" s="4">
        <v>900000</v>
      </c>
      <c r="O153" s="4">
        <v>16312000</v>
      </c>
      <c r="P153" s="5">
        <v>0.465391</v>
      </c>
      <c r="Q153" s="5">
        <v>0.928887</v>
      </c>
      <c r="R153" s="2" t="s">
        <v>741</v>
      </c>
      <c r="S153" s="7">
        <f t="shared" si="16"/>
        <v>15152000</v>
      </c>
      <c r="T153" s="7">
        <f t="shared" si="17"/>
        <v>16312000</v>
      </c>
      <c r="U153" s="8">
        <f t="shared" si="18"/>
        <v>0.928886709171162</v>
      </c>
      <c r="V153" s="9" t="e">
        <f>IF(T153&lt;=0,"Output &lt;= 0",IF(U153&gt;#REF!,"Terlalu tinggi",IF(U153&lt;#REF!,"Terlalu rendah","Sesuai")))</f>
        <v>#REF!</v>
      </c>
      <c r="W153" s="7" t="e">
        <f>IF(T153&lt;=0,S153,IF(U153&gt;#REF!,ROUNDDOWN(T153*#REF!,0),IF(U153&lt;#REF!,ROUNDUP(T153*#REF!,0),S153)))</f>
        <v>#REF!</v>
      </c>
      <c r="X153" s="7" t="e">
        <f t="shared" si="19"/>
        <v>#REF!</v>
      </c>
      <c r="Y153" s="7" t="e">
        <f t="shared" si="20"/>
        <v>#REF!</v>
      </c>
      <c r="Z153" s="7" t="e">
        <f t="shared" si="21"/>
        <v>#REF!</v>
      </c>
      <c r="AA153" s="7" t="e">
        <f t="shared" si="22"/>
        <v>#REF!</v>
      </c>
      <c r="AB153" s="8" t="e">
        <f t="shared" si="23"/>
        <v>#REF!</v>
      </c>
      <c r="AC153" s="9" t="e">
        <f>IF(T153&lt;=0,"Output &lt;= 0, cek manual",IF(OR(Z153&lt;0,Y153&lt;0),"Biaya negatif",IF(AND(AB153&gt;=#REF!,AB153&lt;=#REF!),"OK","Di luar rentang")))</f>
        <v>#REF!</v>
      </c>
    </row>
    <row r="154" ht="57" spans="1:29">
      <c r="A154" s="2" t="s">
        <v>30</v>
      </c>
      <c r="B154" s="2" t="s">
        <v>31</v>
      </c>
      <c r="C154" s="3" t="s">
        <v>742</v>
      </c>
      <c r="D154" s="3" t="s">
        <v>743</v>
      </c>
      <c r="E154" s="3" t="s">
        <v>48</v>
      </c>
      <c r="F154" s="4">
        <v>0</v>
      </c>
      <c r="G154" s="4">
        <v>250000</v>
      </c>
      <c r="H154" s="4">
        <v>500000</v>
      </c>
      <c r="I154" s="4">
        <v>0</v>
      </c>
      <c r="J154" s="2" t="s">
        <v>370</v>
      </c>
      <c r="K154" s="4">
        <v>4000000</v>
      </c>
      <c r="L154" s="4">
        <v>0</v>
      </c>
      <c r="M154" s="4">
        <v>3250000</v>
      </c>
      <c r="N154" s="4">
        <v>2000000</v>
      </c>
      <c r="O154" s="4">
        <v>3750000</v>
      </c>
      <c r="P154" s="13">
        <v>0.0625</v>
      </c>
      <c r="Q154" s="5">
        <v>0.866667</v>
      </c>
      <c r="R154" s="2" t="s">
        <v>744</v>
      </c>
      <c r="S154" s="7">
        <f t="shared" si="16"/>
        <v>3250000</v>
      </c>
      <c r="T154" s="7">
        <f t="shared" si="17"/>
        <v>3750000</v>
      </c>
      <c r="U154" s="8">
        <f t="shared" si="18"/>
        <v>0.866666666666667</v>
      </c>
      <c r="V154" s="9" t="e">
        <f>IF(T154&lt;=0,"Output &lt;= 0",IF(U154&gt;#REF!,"Terlalu tinggi",IF(U154&lt;#REF!,"Terlalu rendah","Sesuai")))</f>
        <v>#REF!</v>
      </c>
      <c r="W154" s="7" t="e">
        <f>IF(T154&lt;=0,S154,IF(U154&gt;#REF!,ROUNDDOWN(T154*#REF!,0),IF(U154&lt;#REF!,ROUNDUP(T154*#REF!,0),S154)))</f>
        <v>#REF!</v>
      </c>
      <c r="X154" s="7" t="e">
        <f t="shared" si="19"/>
        <v>#REF!</v>
      </c>
      <c r="Y154" s="7" t="e">
        <f t="shared" si="20"/>
        <v>#REF!</v>
      </c>
      <c r="Z154" s="7" t="e">
        <f t="shared" si="21"/>
        <v>#REF!</v>
      </c>
      <c r="AA154" s="7" t="e">
        <f t="shared" si="22"/>
        <v>#REF!</v>
      </c>
      <c r="AB154" s="8" t="e">
        <f t="shared" si="23"/>
        <v>#REF!</v>
      </c>
      <c r="AC154" s="9" t="e">
        <f>IF(T154&lt;=0,"Output &lt;= 0, cek manual",IF(OR(Z154&lt;0,Y154&lt;0),"Biaya negatif",IF(AND(AB154&gt;=#REF!,AB154&lt;=#REF!),"OK","Di luar rentang")))</f>
        <v>#REF!</v>
      </c>
    </row>
    <row r="155" ht="99.75" spans="1:29">
      <c r="A155" s="2" t="s">
        <v>30</v>
      </c>
      <c r="B155" s="2" t="s">
        <v>31</v>
      </c>
      <c r="C155" s="3" t="s">
        <v>745</v>
      </c>
      <c r="D155" s="3" t="s">
        <v>746</v>
      </c>
      <c r="E155" s="3" t="s">
        <v>747</v>
      </c>
      <c r="F155" s="4">
        <v>36000</v>
      </c>
      <c r="G155" s="4">
        <v>5000000</v>
      </c>
      <c r="H155" s="4">
        <v>240000</v>
      </c>
      <c r="I155" s="4">
        <v>0</v>
      </c>
      <c r="J155" s="2" t="s">
        <v>748</v>
      </c>
      <c r="K155" s="4">
        <v>11000000</v>
      </c>
      <c r="L155" s="4">
        <v>0</v>
      </c>
      <c r="M155" s="4">
        <v>5724000</v>
      </c>
      <c r="N155" s="4">
        <v>0</v>
      </c>
      <c r="O155" s="4">
        <v>6000000</v>
      </c>
      <c r="P155" s="5">
        <v>0.454545</v>
      </c>
      <c r="Q155" s="10">
        <v>0.954</v>
      </c>
      <c r="R155" s="2" t="s">
        <v>749</v>
      </c>
      <c r="S155" s="7">
        <f t="shared" si="16"/>
        <v>5724000</v>
      </c>
      <c r="T155" s="7">
        <f t="shared" si="17"/>
        <v>6000000</v>
      </c>
      <c r="U155" s="8">
        <f t="shared" si="18"/>
        <v>0.954</v>
      </c>
      <c r="V155" s="9" t="e">
        <f>IF(T155&lt;=0,"Output &lt;= 0",IF(U155&gt;#REF!,"Terlalu tinggi",IF(U155&lt;#REF!,"Terlalu rendah","Sesuai")))</f>
        <v>#REF!</v>
      </c>
      <c r="W155" s="7" t="e">
        <f>IF(T155&lt;=0,S155,IF(U155&gt;#REF!,ROUNDDOWN(T155*#REF!,0),IF(U155&lt;#REF!,ROUNDUP(T155*#REF!,0),S155)))</f>
        <v>#REF!</v>
      </c>
      <c r="X155" s="7" t="e">
        <f t="shared" si="19"/>
        <v>#REF!</v>
      </c>
      <c r="Y155" s="7" t="e">
        <f t="shared" si="20"/>
        <v>#REF!</v>
      </c>
      <c r="Z155" s="7" t="e">
        <f t="shared" si="21"/>
        <v>#REF!</v>
      </c>
      <c r="AA155" s="7" t="e">
        <f t="shared" si="22"/>
        <v>#REF!</v>
      </c>
      <c r="AB155" s="8" t="e">
        <f t="shared" si="23"/>
        <v>#REF!</v>
      </c>
      <c r="AC155" s="9" t="e">
        <f>IF(T155&lt;=0,"Output &lt;= 0, cek manual",IF(OR(Z155&lt;0,Y155&lt;0),"Biaya negatif",IF(AND(AB155&gt;=#REF!,AB155&lt;=#REF!),"OK","Di luar rentang")))</f>
        <v>#REF!</v>
      </c>
    </row>
    <row r="156" ht="71.25" spans="1:29">
      <c r="A156" s="2" t="s">
        <v>30</v>
      </c>
      <c r="B156" s="2" t="s">
        <v>31</v>
      </c>
      <c r="C156" s="3" t="s">
        <v>750</v>
      </c>
      <c r="D156" s="3" t="s">
        <v>38</v>
      </c>
      <c r="E156" s="3" t="s">
        <v>751</v>
      </c>
      <c r="F156" s="4">
        <v>1200000</v>
      </c>
      <c r="G156" s="4">
        <v>72000000</v>
      </c>
      <c r="H156" s="4">
        <v>4800000</v>
      </c>
      <c r="I156" s="4">
        <v>500000</v>
      </c>
      <c r="J156" s="2" t="s">
        <v>752</v>
      </c>
      <c r="K156" s="4">
        <v>115200000</v>
      </c>
      <c r="L156" s="4">
        <v>0</v>
      </c>
      <c r="M156" s="4">
        <v>37200000</v>
      </c>
      <c r="N156" s="4">
        <v>65000000</v>
      </c>
      <c r="O156" s="4">
        <v>43200000</v>
      </c>
      <c r="P156" s="10">
        <v>0.625</v>
      </c>
      <c r="Q156" s="5">
        <v>0.861111</v>
      </c>
      <c r="R156" s="2" t="s">
        <v>753</v>
      </c>
      <c r="S156" s="7">
        <f t="shared" si="16"/>
        <v>37200000</v>
      </c>
      <c r="T156" s="7">
        <f t="shared" si="17"/>
        <v>43200000</v>
      </c>
      <c r="U156" s="8">
        <f t="shared" si="18"/>
        <v>0.861111111111111</v>
      </c>
      <c r="V156" s="9" t="e">
        <f>IF(T156&lt;=0,"Output &lt;= 0",IF(U156&gt;#REF!,"Terlalu tinggi",IF(U156&lt;#REF!,"Terlalu rendah","Sesuai")))</f>
        <v>#REF!</v>
      </c>
      <c r="W156" s="7" t="e">
        <f>IF(T156&lt;=0,S156,IF(U156&gt;#REF!,ROUNDDOWN(T156*#REF!,0),IF(U156&lt;#REF!,ROUNDUP(T156*#REF!,0),S156)))</f>
        <v>#REF!</v>
      </c>
      <c r="X156" s="7" t="e">
        <f t="shared" si="19"/>
        <v>#REF!</v>
      </c>
      <c r="Y156" s="7" t="e">
        <f t="shared" si="20"/>
        <v>#REF!</v>
      </c>
      <c r="Z156" s="7" t="e">
        <f t="shared" si="21"/>
        <v>#REF!</v>
      </c>
      <c r="AA156" s="7" t="e">
        <f t="shared" si="22"/>
        <v>#REF!</v>
      </c>
      <c r="AB156" s="8" t="e">
        <f t="shared" si="23"/>
        <v>#REF!</v>
      </c>
      <c r="AC156" s="9" t="e">
        <f>IF(T156&lt;=0,"Output &lt;= 0, cek manual",IF(OR(Z156&lt;0,Y156&lt;0),"Biaya negatif",IF(AND(AB156&gt;=#REF!,AB156&lt;=#REF!),"OK","Di luar rentang")))</f>
        <v>#REF!</v>
      </c>
    </row>
    <row r="157" ht="128.25" spans="1:29">
      <c r="A157" s="2" t="s">
        <v>30</v>
      </c>
      <c r="B157" s="2" t="s">
        <v>31</v>
      </c>
      <c r="C157" s="3" t="s">
        <v>754</v>
      </c>
      <c r="D157" s="3" t="s">
        <v>755</v>
      </c>
      <c r="E157" s="3" t="s">
        <v>756</v>
      </c>
      <c r="F157" s="4">
        <v>24000000</v>
      </c>
      <c r="G157" s="4">
        <v>150000000</v>
      </c>
      <c r="H157" s="4">
        <v>6000000</v>
      </c>
      <c r="I157" s="4">
        <v>6000000</v>
      </c>
      <c r="J157" s="2" t="s">
        <v>238</v>
      </c>
      <c r="K157" s="4">
        <v>210000000</v>
      </c>
      <c r="L157" s="4">
        <v>0</v>
      </c>
      <c r="M157" s="4">
        <v>30000000</v>
      </c>
      <c r="N157" s="4">
        <v>0</v>
      </c>
      <c r="O157" s="4">
        <v>60000000</v>
      </c>
      <c r="P157" s="5">
        <v>0.714286</v>
      </c>
      <c r="Q157" s="12">
        <v>0.5</v>
      </c>
      <c r="R157" s="2" t="s">
        <v>757</v>
      </c>
      <c r="S157" s="7">
        <f t="shared" si="16"/>
        <v>30000000</v>
      </c>
      <c r="T157" s="7">
        <f t="shared" si="17"/>
        <v>60000000</v>
      </c>
      <c r="U157" s="8">
        <f t="shared" si="18"/>
        <v>0.5</v>
      </c>
      <c r="V157" s="9" t="e">
        <f>IF(T157&lt;=0,"Output &lt;= 0",IF(U157&gt;#REF!,"Terlalu tinggi",IF(U157&lt;#REF!,"Terlalu rendah","Sesuai")))</f>
        <v>#REF!</v>
      </c>
      <c r="W157" s="7" t="e">
        <f>IF(T157&lt;=0,S157,IF(U157&gt;#REF!,ROUNDDOWN(T157*#REF!,0),IF(U157&lt;#REF!,ROUNDUP(T157*#REF!,0),S157)))</f>
        <v>#REF!</v>
      </c>
      <c r="X157" s="7" t="e">
        <f t="shared" si="19"/>
        <v>#REF!</v>
      </c>
      <c r="Y157" s="7" t="e">
        <f t="shared" si="20"/>
        <v>#REF!</v>
      </c>
      <c r="Z157" s="7" t="e">
        <f t="shared" si="21"/>
        <v>#REF!</v>
      </c>
      <c r="AA157" s="7" t="e">
        <f t="shared" si="22"/>
        <v>#REF!</v>
      </c>
      <c r="AB157" s="8" t="e">
        <f t="shared" si="23"/>
        <v>#REF!</v>
      </c>
      <c r="AC157" s="9" t="e">
        <f>IF(T157&lt;=0,"Output &lt;= 0, cek manual",IF(OR(Z157&lt;0,Y157&lt;0),"Biaya negatif",IF(AND(AB157&gt;=#REF!,AB157&lt;=#REF!),"OK","Di luar rentang")))</f>
        <v>#REF!</v>
      </c>
    </row>
    <row r="158" ht="228" spans="1:29">
      <c r="A158" s="2" t="s">
        <v>30</v>
      </c>
      <c r="B158" s="2" t="s">
        <v>31</v>
      </c>
      <c r="C158" s="3" t="s">
        <v>758</v>
      </c>
      <c r="D158" s="3" t="s">
        <v>759</v>
      </c>
      <c r="E158" s="3" t="s">
        <v>760</v>
      </c>
      <c r="F158" s="4">
        <v>0</v>
      </c>
      <c r="G158" s="4">
        <v>8925000</v>
      </c>
      <c r="H158" s="4">
        <v>1200000</v>
      </c>
      <c r="I158" s="4">
        <v>54000</v>
      </c>
      <c r="J158" s="2" t="s">
        <v>761</v>
      </c>
      <c r="K158" s="4">
        <v>14450000</v>
      </c>
      <c r="L158" s="4">
        <v>0</v>
      </c>
      <c r="M158" s="4">
        <v>4325000</v>
      </c>
      <c r="N158" s="4">
        <v>34000000</v>
      </c>
      <c r="O158" s="4">
        <v>5525000</v>
      </c>
      <c r="P158" s="5">
        <v>0.617647</v>
      </c>
      <c r="Q158" s="5">
        <v>0.782805</v>
      </c>
      <c r="R158" s="2" t="s">
        <v>762</v>
      </c>
      <c r="S158" s="7">
        <f t="shared" si="16"/>
        <v>4325000</v>
      </c>
      <c r="T158" s="7">
        <f t="shared" si="17"/>
        <v>5525000</v>
      </c>
      <c r="U158" s="8">
        <f t="shared" si="18"/>
        <v>0.782805429864253</v>
      </c>
      <c r="V158" s="9" t="e">
        <f>IF(T158&lt;=0,"Output &lt;= 0",IF(U158&gt;#REF!,"Terlalu tinggi",IF(U158&lt;#REF!,"Terlalu rendah","Sesuai")))</f>
        <v>#REF!</v>
      </c>
      <c r="W158" s="7" t="e">
        <f>IF(T158&lt;=0,S158,IF(U158&gt;#REF!,ROUNDDOWN(T158*#REF!,0),IF(U158&lt;#REF!,ROUNDUP(T158*#REF!,0),S158)))</f>
        <v>#REF!</v>
      </c>
      <c r="X158" s="7" t="e">
        <f t="shared" si="19"/>
        <v>#REF!</v>
      </c>
      <c r="Y158" s="7" t="e">
        <f t="shared" si="20"/>
        <v>#REF!</v>
      </c>
      <c r="Z158" s="7" t="e">
        <f t="shared" si="21"/>
        <v>#REF!</v>
      </c>
      <c r="AA158" s="7" t="e">
        <f t="shared" si="22"/>
        <v>#REF!</v>
      </c>
      <c r="AB158" s="8" t="e">
        <f t="shared" si="23"/>
        <v>#REF!</v>
      </c>
      <c r="AC158" s="9" t="e">
        <f>IF(T158&lt;=0,"Output &lt;= 0, cek manual",IF(OR(Z158&lt;0,Y158&lt;0),"Biaya negatif",IF(AND(AB158&gt;=#REF!,AB158&lt;=#REF!),"OK","Di luar rentang")))</f>
        <v>#REF!</v>
      </c>
    </row>
    <row r="159" ht="99.75" spans="1:29">
      <c r="A159" s="2" t="s">
        <v>30</v>
      </c>
      <c r="B159" s="2" t="s">
        <v>31</v>
      </c>
      <c r="C159" s="3" t="s">
        <v>763</v>
      </c>
      <c r="D159" s="3" t="s">
        <v>764</v>
      </c>
      <c r="E159" s="3" t="s">
        <v>765</v>
      </c>
      <c r="F159" s="4">
        <v>100000</v>
      </c>
      <c r="G159" s="4">
        <v>300000</v>
      </c>
      <c r="H159" s="4">
        <v>50000</v>
      </c>
      <c r="I159" s="4">
        <v>10000</v>
      </c>
      <c r="J159" s="2" t="s">
        <v>766</v>
      </c>
      <c r="K159" s="4">
        <v>1500000</v>
      </c>
      <c r="L159" s="4">
        <v>0</v>
      </c>
      <c r="M159" s="4">
        <v>1050000</v>
      </c>
      <c r="N159" s="4">
        <v>40000000</v>
      </c>
      <c r="O159" s="4">
        <v>1200000</v>
      </c>
      <c r="P159" s="12">
        <v>0.2</v>
      </c>
      <c r="Q159" s="10">
        <v>0.875</v>
      </c>
      <c r="R159" s="2" t="s">
        <v>767</v>
      </c>
      <c r="S159" s="7">
        <f t="shared" si="16"/>
        <v>1050000</v>
      </c>
      <c r="T159" s="7">
        <f t="shared" si="17"/>
        <v>1200000</v>
      </c>
      <c r="U159" s="8">
        <f t="shared" si="18"/>
        <v>0.875</v>
      </c>
      <c r="V159" s="9" t="e">
        <f>IF(T159&lt;=0,"Output &lt;= 0",IF(U159&gt;#REF!,"Terlalu tinggi",IF(U159&lt;#REF!,"Terlalu rendah","Sesuai")))</f>
        <v>#REF!</v>
      </c>
      <c r="W159" s="7" t="e">
        <f>IF(T159&lt;=0,S159,IF(U159&gt;#REF!,ROUNDDOWN(T159*#REF!,0),IF(U159&lt;#REF!,ROUNDUP(T159*#REF!,0),S159)))</f>
        <v>#REF!</v>
      </c>
      <c r="X159" s="7" t="e">
        <f t="shared" si="19"/>
        <v>#REF!</v>
      </c>
      <c r="Y159" s="7" t="e">
        <f t="shared" si="20"/>
        <v>#REF!</v>
      </c>
      <c r="Z159" s="7" t="e">
        <f t="shared" si="21"/>
        <v>#REF!</v>
      </c>
      <c r="AA159" s="7" t="e">
        <f t="shared" si="22"/>
        <v>#REF!</v>
      </c>
      <c r="AB159" s="8" t="e">
        <f t="shared" si="23"/>
        <v>#REF!</v>
      </c>
      <c r="AC159" s="9" t="e">
        <f>IF(T159&lt;=0,"Output &lt;= 0, cek manual",IF(OR(Z159&lt;0,Y159&lt;0),"Biaya negatif",IF(AND(AB159&gt;=#REF!,AB159&lt;=#REF!),"OK","Di luar rentang")))</f>
        <v>#REF!</v>
      </c>
    </row>
    <row r="160" ht="57" spans="1:29">
      <c r="A160" s="2" t="s">
        <v>30</v>
      </c>
      <c r="B160" s="2" t="s">
        <v>31</v>
      </c>
      <c r="C160" s="3" t="s">
        <v>768</v>
      </c>
      <c r="D160" s="3" t="s">
        <v>91</v>
      </c>
      <c r="E160" s="3" t="s">
        <v>198</v>
      </c>
      <c r="F160" s="4">
        <v>24000000</v>
      </c>
      <c r="G160" s="4">
        <v>9000000</v>
      </c>
      <c r="H160" s="4">
        <v>2400000</v>
      </c>
      <c r="I160" s="4">
        <v>0</v>
      </c>
      <c r="J160" s="2" t="s">
        <v>769</v>
      </c>
      <c r="K160" s="4">
        <v>42000000</v>
      </c>
      <c r="L160" s="4">
        <v>0</v>
      </c>
      <c r="M160" s="4">
        <v>6600000</v>
      </c>
      <c r="N160" s="4">
        <v>0</v>
      </c>
      <c r="O160" s="4">
        <v>33000000</v>
      </c>
      <c r="P160" s="5">
        <v>0.214286</v>
      </c>
      <c r="Q160" s="12">
        <v>0.2</v>
      </c>
      <c r="R160" s="2" t="s">
        <v>770</v>
      </c>
      <c r="S160" s="7">
        <f t="shared" si="16"/>
        <v>6600000</v>
      </c>
      <c r="T160" s="7">
        <f t="shared" si="17"/>
        <v>33000000</v>
      </c>
      <c r="U160" s="8">
        <f t="shared" si="18"/>
        <v>0.2</v>
      </c>
      <c r="V160" s="9" t="e">
        <f>IF(T160&lt;=0,"Output &lt;= 0",IF(U160&gt;#REF!,"Terlalu tinggi",IF(U160&lt;#REF!,"Terlalu rendah","Sesuai")))</f>
        <v>#REF!</v>
      </c>
      <c r="W160" s="7" t="e">
        <f>IF(T160&lt;=0,S160,IF(U160&gt;#REF!,ROUNDDOWN(T160*#REF!,0),IF(U160&lt;#REF!,ROUNDUP(T160*#REF!,0),S160)))</f>
        <v>#REF!</v>
      </c>
      <c r="X160" s="7" t="e">
        <f t="shared" si="19"/>
        <v>#REF!</v>
      </c>
      <c r="Y160" s="7" t="e">
        <f t="shared" si="20"/>
        <v>#REF!</v>
      </c>
      <c r="Z160" s="7" t="e">
        <f t="shared" si="21"/>
        <v>#REF!</v>
      </c>
      <c r="AA160" s="7" t="e">
        <f t="shared" si="22"/>
        <v>#REF!</v>
      </c>
      <c r="AB160" s="8" t="e">
        <f t="shared" si="23"/>
        <v>#REF!</v>
      </c>
      <c r="AC160" s="9" t="e">
        <f>IF(T160&lt;=0,"Output &lt;= 0, cek manual",IF(OR(Z160&lt;0,Y160&lt;0),"Biaya negatif",IF(AND(AB160&gt;=#REF!,AB160&lt;=#REF!),"OK","Di luar rentang")))</f>
        <v>#REF!</v>
      </c>
    </row>
    <row r="161" ht="256.5" spans="1:29">
      <c r="A161" s="2" t="s">
        <v>30</v>
      </c>
      <c r="B161" s="2" t="s">
        <v>31</v>
      </c>
      <c r="C161" s="3" t="s">
        <v>771</v>
      </c>
      <c r="D161" s="3" t="s">
        <v>772</v>
      </c>
      <c r="E161" s="3" t="s">
        <v>773</v>
      </c>
      <c r="F161" s="4">
        <v>500000</v>
      </c>
      <c r="G161" s="4">
        <v>3000000</v>
      </c>
      <c r="H161" s="4">
        <v>50000</v>
      </c>
      <c r="I161" s="4">
        <v>100000</v>
      </c>
      <c r="J161" s="2" t="s">
        <v>774</v>
      </c>
      <c r="K161" s="4">
        <v>7500000</v>
      </c>
      <c r="L161" s="4">
        <v>0</v>
      </c>
      <c r="M161" s="4">
        <v>3950000</v>
      </c>
      <c r="N161" s="4">
        <v>3600000</v>
      </c>
      <c r="O161" s="4">
        <v>4500000</v>
      </c>
      <c r="P161" s="12">
        <v>0.4</v>
      </c>
      <c r="Q161" s="5">
        <v>0.877778</v>
      </c>
      <c r="R161" s="2" t="s">
        <v>775</v>
      </c>
      <c r="S161" s="7">
        <f t="shared" si="16"/>
        <v>3950000</v>
      </c>
      <c r="T161" s="7">
        <f t="shared" si="17"/>
        <v>4500000</v>
      </c>
      <c r="U161" s="8">
        <f t="shared" si="18"/>
        <v>0.877777777777778</v>
      </c>
      <c r="V161" s="9" t="e">
        <f>IF(T161&lt;=0,"Output &lt;= 0",IF(U161&gt;#REF!,"Terlalu tinggi",IF(U161&lt;#REF!,"Terlalu rendah","Sesuai")))</f>
        <v>#REF!</v>
      </c>
      <c r="W161" s="7" t="e">
        <f>IF(T161&lt;=0,S161,IF(U161&gt;#REF!,ROUNDDOWN(T161*#REF!,0),IF(U161&lt;#REF!,ROUNDUP(T161*#REF!,0),S161)))</f>
        <v>#REF!</v>
      </c>
      <c r="X161" s="7" t="e">
        <f t="shared" si="19"/>
        <v>#REF!</v>
      </c>
      <c r="Y161" s="7" t="e">
        <f t="shared" si="20"/>
        <v>#REF!</v>
      </c>
      <c r="Z161" s="7" t="e">
        <f t="shared" si="21"/>
        <v>#REF!</v>
      </c>
      <c r="AA161" s="7" t="e">
        <f t="shared" si="22"/>
        <v>#REF!</v>
      </c>
      <c r="AB161" s="8" t="e">
        <f t="shared" si="23"/>
        <v>#REF!</v>
      </c>
      <c r="AC161" s="9" t="e">
        <f>IF(T161&lt;=0,"Output &lt;= 0, cek manual",IF(OR(Z161&lt;0,Y161&lt;0),"Biaya negatif",IF(AND(AB161&gt;=#REF!,AB161&lt;=#REF!),"OK","Di luar rentang")))</f>
        <v>#REF!</v>
      </c>
    </row>
    <row r="162" ht="99.75" spans="1:29">
      <c r="A162" s="2" t="s">
        <v>30</v>
      </c>
      <c r="B162" s="2" t="s">
        <v>31</v>
      </c>
      <c r="C162" s="3" t="s">
        <v>776</v>
      </c>
      <c r="D162" s="3" t="s">
        <v>228</v>
      </c>
      <c r="E162" s="3" t="s">
        <v>777</v>
      </c>
      <c r="F162" s="4">
        <v>0</v>
      </c>
      <c r="G162" s="4">
        <v>360000000</v>
      </c>
      <c r="H162" s="4">
        <v>5000000</v>
      </c>
      <c r="I162" s="4">
        <v>12000000</v>
      </c>
      <c r="J162" s="2" t="s">
        <v>778</v>
      </c>
      <c r="K162" s="4">
        <v>1080000000</v>
      </c>
      <c r="L162" s="4">
        <v>0</v>
      </c>
      <c r="M162" s="4">
        <v>715000000</v>
      </c>
      <c r="N162" s="4">
        <v>10000000</v>
      </c>
      <c r="O162" s="4">
        <v>720000000</v>
      </c>
      <c r="P162" s="5">
        <v>0.333333</v>
      </c>
      <c r="Q162" s="5">
        <v>0.993056</v>
      </c>
      <c r="R162" s="2" t="s">
        <v>779</v>
      </c>
      <c r="S162" s="7">
        <f t="shared" si="16"/>
        <v>715000000</v>
      </c>
      <c r="T162" s="7">
        <f t="shared" si="17"/>
        <v>720000000</v>
      </c>
      <c r="U162" s="8">
        <f t="shared" si="18"/>
        <v>0.993055555555556</v>
      </c>
      <c r="V162" s="9" t="e">
        <f>IF(T162&lt;=0,"Output &lt;= 0",IF(U162&gt;#REF!,"Terlalu tinggi",IF(U162&lt;#REF!,"Terlalu rendah","Sesuai")))</f>
        <v>#REF!</v>
      </c>
      <c r="W162" s="7" t="e">
        <f>IF(T162&lt;=0,S162,IF(U162&gt;#REF!,ROUNDDOWN(T162*#REF!,0),IF(U162&lt;#REF!,ROUNDUP(T162*#REF!,0),S162)))</f>
        <v>#REF!</v>
      </c>
      <c r="X162" s="7" t="e">
        <f t="shared" si="19"/>
        <v>#REF!</v>
      </c>
      <c r="Y162" s="7" t="e">
        <f t="shared" si="20"/>
        <v>#REF!</v>
      </c>
      <c r="Z162" s="7" t="e">
        <f t="shared" si="21"/>
        <v>#REF!</v>
      </c>
      <c r="AA162" s="7" t="e">
        <f t="shared" si="22"/>
        <v>#REF!</v>
      </c>
      <c r="AB162" s="8" t="e">
        <f t="shared" si="23"/>
        <v>#REF!</v>
      </c>
      <c r="AC162" s="9" t="e">
        <f>IF(T162&lt;=0,"Output &lt;= 0, cek manual",IF(OR(Z162&lt;0,Y162&lt;0),"Biaya negatif",IF(AND(AB162&gt;=#REF!,AB162&lt;=#REF!),"OK","Di luar rentang")))</f>
        <v>#REF!</v>
      </c>
    </row>
    <row r="163" ht="142.5" spans="1:29">
      <c r="A163" s="2" t="s">
        <v>30</v>
      </c>
      <c r="B163" s="2" t="s">
        <v>31</v>
      </c>
      <c r="C163" s="3" t="s">
        <v>780</v>
      </c>
      <c r="D163" s="3" t="s">
        <v>781</v>
      </c>
      <c r="E163" s="3" t="s">
        <v>782</v>
      </c>
      <c r="F163" s="4">
        <v>500000</v>
      </c>
      <c r="G163" s="4">
        <v>144000000</v>
      </c>
      <c r="H163" s="4">
        <v>8000000</v>
      </c>
      <c r="I163" s="4">
        <v>0</v>
      </c>
      <c r="J163" s="2" t="s">
        <v>783</v>
      </c>
      <c r="K163" s="4">
        <v>250000000</v>
      </c>
      <c r="L163" s="4">
        <v>0</v>
      </c>
      <c r="M163" s="4">
        <v>97500000</v>
      </c>
      <c r="N163" s="4">
        <v>4000000</v>
      </c>
      <c r="O163" s="4">
        <v>106000000</v>
      </c>
      <c r="P163" s="10">
        <v>0.576</v>
      </c>
      <c r="Q163" s="5">
        <v>0.919811</v>
      </c>
      <c r="R163" s="2" t="s">
        <v>784</v>
      </c>
      <c r="S163" s="7">
        <f t="shared" si="16"/>
        <v>97500000</v>
      </c>
      <c r="T163" s="7">
        <f t="shared" si="17"/>
        <v>106000000</v>
      </c>
      <c r="U163" s="8">
        <f t="shared" si="18"/>
        <v>0.919811320754717</v>
      </c>
      <c r="V163" s="9" t="e">
        <f>IF(T163&lt;=0,"Output &lt;= 0",IF(U163&gt;#REF!,"Terlalu tinggi",IF(U163&lt;#REF!,"Terlalu rendah","Sesuai")))</f>
        <v>#REF!</v>
      </c>
      <c r="W163" s="7" t="e">
        <f>IF(T163&lt;=0,S163,IF(U163&gt;#REF!,ROUNDDOWN(T163*#REF!,0),IF(U163&lt;#REF!,ROUNDUP(T163*#REF!,0),S163)))</f>
        <v>#REF!</v>
      </c>
      <c r="X163" s="7" t="e">
        <f t="shared" si="19"/>
        <v>#REF!</v>
      </c>
      <c r="Y163" s="7" t="e">
        <f t="shared" si="20"/>
        <v>#REF!</v>
      </c>
      <c r="Z163" s="7" t="e">
        <f t="shared" si="21"/>
        <v>#REF!</v>
      </c>
      <c r="AA163" s="7" t="e">
        <f t="shared" si="22"/>
        <v>#REF!</v>
      </c>
      <c r="AB163" s="8" t="e">
        <f t="shared" si="23"/>
        <v>#REF!</v>
      </c>
      <c r="AC163" s="9" t="e">
        <f>IF(T163&lt;=0,"Output &lt;= 0, cek manual",IF(OR(Z163&lt;0,Y163&lt;0),"Biaya negatif",IF(AND(AB163&gt;=#REF!,AB163&lt;=#REF!),"OK","Di luar rentang")))</f>
        <v>#REF!</v>
      </c>
    </row>
    <row r="164" ht="85.5" spans="1:29">
      <c r="A164" s="2" t="s">
        <v>30</v>
      </c>
      <c r="B164" s="2" t="s">
        <v>31</v>
      </c>
      <c r="C164" s="3" t="s">
        <v>785</v>
      </c>
      <c r="D164" s="3" t="s">
        <v>786</v>
      </c>
      <c r="E164" s="3" t="s">
        <v>785</v>
      </c>
      <c r="F164" s="4">
        <v>0</v>
      </c>
      <c r="G164" s="4">
        <v>50000000</v>
      </c>
      <c r="H164" s="4">
        <v>15000000</v>
      </c>
      <c r="I164" s="4">
        <v>0</v>
      </c>
      <c r="J164" s="2" t="s">
        <v>230</v>
      </c>
      <c r="K164" s="4">
        <v>76000000</v>
      </c>
      <c r="L164" s="4">
        <v>0</v>
      </c>
      <c r="M164" s="4">
        <v>11000000</v>
      </c>
      <c r="N164" s="4">
        <v>14000000</v>
      </c>
      <c r="O164" s="4">
        <v>26000000</v>
      </c>
      <c r="P164" s="5">
        <v>0.657895</v>
      </c>
      <c r="Q164" s="5">
        <v>0.423077</v>
      </c>
      <c r="R164" s="2" t="s">
        <v>787</v>
      </c>
      <c r="S164" s="7">
        <f t="shared" si="16"/>
        <v>11000000</v>
      </c>
      <c r="T164" s="7">
        <f t="shared" si="17"/>
        <v>26000000</v>
      </c>
      <c r="U164" s="8">
        <f t="shared" si="18"/>
        <v>0.423076923076923</v>
      </c>
      <c r="V164" s="9" t="e">
        <f>IF(T164&lt;=0,"Output &lt;= 0",IF(U164&gt;#REF!,"Terlalu tinggi",IF(U164&lt;#REF!,"Terlalu rendah","Sesuai")))</f>
        <v>#REF!</v>
      </c>
      <c r="W164" s="7" t="e">
        <f>IF(T164&lt;=0,S164,IF(U164&gt;#REF!,ROUNDDOWN(T164*#REF!,0),IF(U164&lt;#REF!,ROUNDUP(T164*#REF!,0),S164)))</f>
        <v>#REF!</v>
      </c>
      <c r="X164" s="7" t="e">
        <f t="shared" si="19"/>
        <v>#REF!</v>
      </c>
      <c r="Y164" s="7" t="e">
        <f t="shared" si="20"/>
        <v>#REF!</v>
      </c>
      <c r="Z164" s="7" t="e">
        <f t="shared" si="21"/>
        <v>#REF!</v>
      </c>
      <c r="AA164" s="7" t="e">
        <f t="shared" si="22"/>
        <v>#REF!</v>
      </c>
      <c r="AB164" s="8" t="e">
        <f t="shared" si="23"/>
        <v>#REF!</v>
      </c>
      <c r="AC164" s="9" t="e">
        <f>IF(T164&lt;=0,"Output &lt;= 0, cek manual",IF(OR(Z164&lt;0,Y164&lt;0),"Biaya negatif",IF(AND(AB164&gt;=#REF!,AB164&lt;=#REF!),"OK","Di luar rentang")))</f>
        <v>#REF!</v>
      </c>
    </row>
    <row r="165" ht="185.25" spans="1:29">
      <c r="A165" s="2" t="s">
        <v>30</v>
      </c>
      <c r="B165" s="2" t="s">
        <v>31</v>
      </c>
      <c r="C165" s="3" t="s">
        <v>788</v>
      </c>
      <c r="D165" s="3" t="s">
        <v>789</v>
      </c>
      <c r="E165" s="3" t="s">
        <v>789</v>
      </c>
      <c r="F165" s="4">
        <v>100000</v>
      </c>
      <c r="G165" s="4">
        <v>2400000</v>
      </c>
      <c r="H165" s="4">
        <v>100000</v>
      </c>
      <c r="I165" s="4">
        <v>0</v>
      </c>
      <c r="J165" s="2" t="s">
        <v>790</v>
      </c>
      <c r="K165" s="4">
        <v>6200000</v>
      </c>
      <c r="L165" s="4">
        <v>0</v>
      </c>
      <c r="M165" s="4">
        <v>3600000</v>
      </c>
      <c r="N165" s="4">
        <v>7000000</v>
      </c>
      <c r="O165" s="4">
        <v>3800000</v>
      </c>
      <c r="P165" s="5">
        <v>0.387097</v>
      </c>
      <c r="Q165" s="5">
        <v>0.947368</v>
      </c>
      <c r="R165" s="2" t="s">
        <v>791</v>
      </c>
      <c r="S165" s="7">
        <f t="shared" si="16"/>
        <v>3600000</v>
      </c>
      <c r="T165" s="7">
        <f t="shared" si="17"/>
        <v>3800000</v>
      </c>
      <c r="U165" s="8">
        <f t="shared" si="18"/>
        <v>0.947368421052632</v>
      </c>
      <c r="V165" s="9" t="e">
        <f>IF(T165&lt;=0,"Output &lt;= 0",IF(U165&gt;#REF!,"Terlalu tinggi",IF(U165&lt;#REF!,"Terlalu rendah","Sesuai")))</f>
        <v>#REF!</v>
      </c>
      <c r="W165" s="7" t="e">
        <f>IF(T165&lt;=0,S165,IF(U165&gt;#REF!,ROUNDDOWN(T165*#REF!,0),IF(U165&lt;#REF!,ROUNDUP(T165*#REF!,0),S165)))</f>
        <v>#REF!</v>
      </c>
      <c r="X165" s="7" t="e">
        <f t="shared" si="19"/>
        <v>#REF!</v>
      </c>
      <c r="Y165" s="7" t="e">
        <f t="shared" si="20"/>
        <v>#REF!</v>
      </c>
      <c r="Z165" s="7" t="e">
        <f t="shared" si="21"/>
        <v>#REF!</v>
      </c>
      <c r="AA165" s="7" t="e">
        <f t="shared" si="22"/>
        <v>#REF!</v>
      </c>
      <c r="AB165" s="8" t="e">
        <f t="shared" si="23"/>
        <v>#REF!</v>
      </c>
      <c r="AC165" s="9" t="e">
        <f>IF(T165&lt;=0,"Output &lt;= 0, cek manual",IF(OR(Z165&lt;0,Y165&lt;0),"Biaya negatif",IF(AND(AB165&gt;=#REF!,AB165&lt;=#REF!),"OK","Di luar rentang")))</f>
        <v>#REF!</v>
      </c>
    </row>
    <row r="166" ht="99.75" spans="1:29">
      <c r="A166" s="2" t="s">
        <v>30</v>
      </c>
      <c r="B166" s="2" t="s">
        <v>31</v>
      </c>
      <c r="C166" s="3" t="s">
        <v>792</v>
      </c>
      <c r="D166" s="3" t="s">
        <v>793</v>
      </c>
      <c r="E166" s="3" t="s">
        <v>794</v>
      </c>
      <c r="F166" s="4">
        <v>50000</v>
      </c>
      <c r="G166" s="4">
        <v>1000000</v>
      </c>
      <c r="H166" s="4">
        <v>0</v>
      </c>
      <c r="I166" s="4">
        <v>0</v>
      </c>
      <c r="J166" s="2" t="s">
        <v>795</v>
      </c>
      <c r="K166" s="4">
        <v>2000000</v>
      </c>
      <c r="L166" s="4">
        <v>0</v>
      </c>
      <c r="M166" s="4">
        <v>950000</v>
      </c>
      <c r="N166" s="4">
        <v>25000000</v>
      </c>
      <c r="O166" s="4">
        <v>1000000</v>
      </c>
      <c r="P166" s="12">
        <v>0.5</v>
      </c>
      <c r="Q166" s="11">
        <v>0.95</v>
      </c>
      <c r="R166" s="2" t="s">
        <v>796</v>
      </c>
      <c r="S166" s="7">
        <f t="shared" si="16"/>
        <v>950000</v>
      </c>
      <c r="T166" s="7">
        <f t="shared" si="17"/>
        <v>1000000</v>
      </c>
      <c r="U166" s="8">
        <f t="shared" si="18"/>
        <v>0.95</v>
      </c>
      <c r="V166" s="9" t="e">
        <f>IF(T166&lt;=0,"Output &lt;= 0",IF(U166&gt;#REF!,"Terlalu tinggi",IF(U166&lt;#REF!,"Terlalu rendah","Sesuai")))</f>
        <v>#REF!</v>
      </c>
      <c r="W166" s="7" t="e">
        <f>IF(T166&lt;=0,S166,IF(U166&gt;#REF!,ROUNDDOWN(T166*#REF!,0),IF(U166&lt;#REF!,ROUNDUP(T166*#REF!,0),S166)))</f>
        <v>#REF!</v>
      </c>
      <c r="X166" s="7" t="e">
        <f t="shared" si="19"/>
        <v>#REF!</v>
      </c>
      <c r="Y166" s="7" t="e">
        <f t="shared" si="20"/>
        <v>#REF!</v>
      </c>
      <c r="Z166" s="7" t="e">
        <f t="shared" si="21"/>
        <v>#REF!</v>
      </c>
      <c r="AA166" s="7" t="e">
        <f t="shared" si="22"/>
        <v>#REF!</v>
      </c>
      <c r="AB166" s="8" t="e">
        <f t="shared" si="23"/>
        <v>#REF!</v>
      </c>
      <c r="AC166" s="9" t="e">
        <f>IF(T166&lt;=0,"Output &lt;= 0, cek manual",IF(OR(Z166&lt;0,Y166&lt;0),"Biaya negatif",IF(AND(AB166&gt;=#REF!,AB166&lt;=#REF!),"OK","Di luar rentang")))</f>
        <v>#REF!</v>
      </c>
    </row>
    <row r="167" ht="57" spans="1:29">
      <c r="A167" s="2" t="s">
        <v>30</v>
      </c>
      <c r="B167" s="2" t="s">
        <v>31</v>
      </c>
      <c r="C167" s="3" t="s">
        <v>797</v>
      </c>
      <c r="D167" s="3" t="s">
        <v>798</v>
      </c>
      <c r="E167" s="3" t="s">
        <v>799</v>
      </c>
      <c r="F167" s="4">
        <v>200000</v>
      </c>
      <c r="G167" s="4">
        <v>25000000</v>
      </c>
      <c r="H167" s="4">
        <v>9000000</v>
      </c>
      <c r="I167" s="4">
        <v>0</v>
      </c>
      <c r="J167" s="2" t="s">
        <v>800</v>
      </c>
      <c r="K167" s="4">
        <v>44000000</v>
      </c>
      <c r="L167" s="4">
        <v>0</v>
      </c>
      <c r="M167" s="4">
        <v>9800000</v>
      </c>
      <c r="N167" s="4">
        <v>5500000</v>
      </c>
      <c r="O167" s="4">
        <v>19000000</v>
      </c>
      <c r="P167" s="5">
        <v>0.568182</v>
      </c>
      <c r="Q167" s="5">
        <v>0.515789</v>
      </c>
      <c r="R167" s="2" t="s">
        <v>801</v>
      </c>
      <c r="S167" s="7">
        <f t="shared" si="16"/>
        <v>9800000</v>
      </c>
      <c r="T167" s="7">
        <f t="shared" si="17"/>
        <v>19000000</v>
      </c>
      <c r="U167" s="8">
        <f t="shared" si="18"/>
        <v>0.515789473684211</v>
      </c>
      <c r="V167" s="9" t="e">
        <f>IF(T167&lt;=0,"Output &lt;= 0",IF(U167&gt;#REF!,"Terlalu tinggi",IF(U167&lt;#REF!,"Terlalu rendah","Sesuai")))</f>
        <v>#REF!</v>
      </c>
      <c r="W167" s="7" t="e">
        <f>IF(T167&lt;=0,S167,IF(U167&gt;#REF!,ROUNDDOWN(T167*#REF!,0),IF(U167&lt;#REF!,ROUNDUP(T167*#REF!,0),S167)))</f>
        <v>#REF!</v>
      </c>
      <c r="X167" s="7" t="e">
        <f t="shared" si="19"/>
        <v>#REF!</v>
      </c>
      <c r="Y167" s="7" t="e">
        <f t="shared" si="20"/>
        <v>#REF!</v>
      </c>
      <c r="Z167" s="7" t="e">
        <f t="shared" si="21"/>
        <v>#REF!</v>
      </c>
      <c r="AA167" s="7" t="e">
        <f t="shared" si="22"/>
        <v>#REF!</v>
      </c>
      <c r="AB167" s="8" t="e">
        <f t="shared" si="23"/>
        <v>#REF!</v>
      </c>
      <c r="AC167" s="9" t="e">
        <f>IF(T167&lt;=0,"Output &lt;= 0, cek manual",IF(OR(Z167&lt;0,Y167&lt;0),"Biaya negatif",IF(AND(AB167&gt;=#REF!,AB167&lt;=#REF!),"OK","Di luar rentang")))</f>
        <v>#REF!</v>
      </c>
    </row>
    <row r="168" ht="114" spans="1:29">
      <c r="A168" s="2" t="s">
        <v>30</v>
      </c>
      <c r="B168" s="2" t="s">
        <v>31</v>
      </c>
      <c r="C168" s="3" t="s">
        <v>802</v>
      </c>
      <c r="D168" s="3" t="s">
        <v>803</v>
      </c>
      <c r="E168" s="3" t="s">
        <v>804</v>
      </c>
      <c r="F168" s="4">
        <v>0</v>
      </c>
      <c r="G168" s="4">
        <v>144000000</v>
      </c>
      <c r="H168" s="4">
        <v>0</v>
      </c>
      <c r="I168" s="4">
        <v>0</v>
      </c>
      <c r="J168" s="2" t="s">
        <v>805</v>
      </c>
      <c r="K168" s="4">
        <v>192000000</v>
      </c>
      <c r="L168" s="4">
        <v>0</v>
      </c>
      <c r="M168" s="4">
        <v>48000000</v>
      </c>
      <c r="N168" s="4">
        <v>75000000</v>
      </c>
      <c r="O168" s="4">
        <v>48000000</v>
      </c>
      <c r="P168" s="11">
        <v>0.75</v>
      </c>
      <c r="Q168" s="4">
        <v>1</v>
      </c>
      <c r="R168" s="2" t="s">
        <v>806</v>
      </c>
      <c r="S168" s="7">
        <f t="shared" si="16"/>
        <v>48000000</v>
      </c>
      <c r="T168" s="7">
        <f t="shared" si="17"/>
        <v>48000000</v>
      </c>
      <c r="U168" s="8">
        <f t="shared" si="18"/>
        <v>1</v>
      </c>
      <c r="V168" s="9" t="e">
        <f>IF(T168&lt;=0,"Output &lt;= 0",IF(U168&gt;#REF!,"Terlalu tinggi",IF(U168&lt;#REF!,"Terlalu rendah","Sesuai")))</f>
        <v>#REF!</v>
      </c>
      <c r="W168" s="7" t="e">
        <f>IF(T168&lt;=0,S168,IF(U168&gt;#REF!,ROUNDDOWN(T168*#REF!,0),IF(U168&lt;#REF!,ROUNDUP(T168*#REF!,0),S168)))</f>
        <v>#REF!</v>
      </c>
      <c r="X168" s="7" t="e">
        <f t="shared" si="19"/>
        <v>#REF!</v>
      </c>
      <c r="Y168" s="7" t="e">
        <f t="shared" si="20"/>
        <v>#REF!</v>
      </c>
      <c r="Z168" s="7" t="e">
        <f t="shared" si="21"/>
        <v>#REF!</v>
      </c>
      <c r="AA168" s="7" t="e">
        <f t="shared" si="22"/>
        <v>#REF!</v>
      </c>
      <c r="AB168" s="8" t="e">
        <f t="shared" si="23"/>
        <v>#REF!</v>
      </c>
      <c r="AC168" s="9" t="e">
        <f>IF(T168&lt;=0,"Output &lt;= 0, cek manual",IF(OR(Z168&lt;0,Y168&lt;0),"Biaya negatif",IF(AND(AB168&gt;=#REF!,AB168&lt;=#REF!),"OK","Di luar rentang")))</f>
        <v>#REF!</v>
      </c>
    </row>
    <row r="169" ht="99.75" spans="1:29">
      <c r="A169" s="2" t="s">
        <v>30</v>
      </c>
      <c r="B169" s="2" t="s">
        <v>31</v>
      </c>
      <c r="C169" s="3" t="s">
        <v>807</v>
      </c>
      <c r="D169" s="3" t="s">
        <v>808</v>
      </c>
      <c r="E169" s="3" t="s">
        <v>809</v>
      </c>
      <c r="F169" s="4">
        <v>0</v>
      </c>
      <c r="G169" s="4">
        <v>5000000</v>
      </c>
      <c r="H169" s="4">
        <v>150000</v>
      </c>
      <c r="I169" s="4">
        <v>0</v>
      </c>
      <c r="J169" s="2" t="s">
        <v>208</v>
      </c>
      <c r="K169" s="4">
        <v>6000000</v>
      </c>
      <c r="L169" s="4">
        <v>0</v>
      </c>
      <c r="M169" s="4">
        <v>850000</v>
      </c>
      <c r="N169" s="4">
        <v>332000000</v>
      </c>
      <c r="O169" s="4">
        <v>1000000</v>
      </c>
      <c r="P169" s="5">
        <v>0.833333</v>
      </c>
      <c r="Q169" s="11">
        <v>0.85</v>
      </c>
      <c r="R169" s="2" t="s">
        <v>810</v>
      </c>
      <c r="S169" s="7">
        <f t="shared" si="16"/>
        <v>850000</v>
      </c>
      <c r="T169" s="7">
        <f t="shared" si="17"/>
        <v>1000000</v>
      </c>
      <c r="U169" s="8">
        <f t="shared" si="18"/>
        <v>0.85</v>
      </c>
      <c r="V169" s="9" t="e">
        <f>IF(T169&lt;=0,"Output &lt;= 0",IF(U169&gt;#REF!,"Terlalu tinggi",IF(U169&lt;#REF!,"Terlalu rendah","Sesuai")))</f>
        <v>#REF!</v>
      </c>
      <c r="W169" s="7" t="e">
        <f>IF(T169&lt;=0,S169,IF(U169&gt;#REF!,ROUNDDOWN(T169*#REF!,0),IF(U169&lt;#REF!,ROUNDUP(T169*#REF!,0),S169)))</f>
        <v>#REF!</v>
      </c>
      <c r="X169" s="7" t="e">
        <f t="shared" si="19"/>
        <v>#REF!</v>
      </c>
      <c r="Y169" s="7" t="e">
        <f t="shared" si="20"/>
        <v>#REF!</v>
      </c>
      <c r="Z169" s="7" t="e">
        <f t="shared" si="21"/>
        <v>#REF!</v>
      </c>
      <c r="AA169" s="7" t="e">
        <f t="shared" si="22"/>
        <v>#REF!</v>
      </c>
      <c r="AB169" s="8" t="e">
        <f t="shared" si="23"/>
        <v>#REF!</v>
      </c>
      <c r="AC169" s="9" t="e">
        <f>IF(T169&lt;=0,"Output &lt;= 0, cek manual",IF(OR(Z169&lt;0,Y169&lt;0),"Biaya negatif",IF(AND(AB169&gt;=#REF!,AB169&lt;=#REF!),"OK","Di luar rentang")))</f>
        <v>#REF!</v>
      </c>
    </row>
    <row r="170" ht="99.75" spans="1:29">
      <c r="A170" s="2" t="s">
        <v>30</v>
      </c>
      <c r="B170" s="2" t="s">
        <v>31</v>
      </c>
      <c r="C170" s="3" t="s">
        <v>811</v>
      </c>
      <c r="D170" s="3" t="s">
        <v>812</v>
      </c>
      <c r="E170" s="3" t="s">
        <v>813</v>
      </c>
      <c r="F170" s="4">
        <v>180000</v>
      </c>
      <c r="G170" s="4">
        <v>3600000</v>
      </c>
      <c r="H170" s="4">
        <v>0</v>
      </c>
      <c r="I170" s="4">
        <v>0</v>
      </c>
      <c r="J170" s="2" t="s">
        <v>814</v>
      </c>
      <c r="K170" s="4">
        <v>4800000</v>
      </c>
      <c r="L170" s="4">
        <v>3120000</v>
      </c>
      <c r="M170" s="4">
        <v>1020000</v>
      </c>
      <c r="N170" s="4">
        <v>4500000</v>
      </c>
      <c r="O170" s="4">
        <v>1200000</v>
      </c>
      <c r="P170" s="11">
        <v>0.75</v>
      </c>
      <c r="Q170" s="11">
        <v>0.85</v>
      </c>
      <c r="R170" s="2" t="s">
        <v>815</v>
      </c>
      <c r="S170" s="7">
        <f t="shared" si="16"/>
        <v>1020000</v>
      </c>
      <c r="T170" s="7">
        <f t="shared" si="17"/>
        <v>1200000</v>
      </c>
      <c r="U170" s="8">
        <f t="shared" si="18"/>
        <v>0.85</v>
      </c>
      <c r="V170" s="9" t="e">
        <f>IF(T170&lt;=0,"Output &lt;= 0",IF(U170&gt;#REF!,"Terlalu tinggi",IF(U170&lt;#REF!,"Terlalu rendah","Sesuai")))</f>
        <v>#REF!</v>
      </c>
      <c r="W170" s="7" t="e">
        <f>IF(T170&lt;=0,S170,IF(U170&gt;#REF!,ROUNDDOWN(T170*#REF!,0),IF(U170&lt;#REF!,ROUNDUP(T170*#REF!,0),S170)))</f>
        <v>#REF!</v>
      </c>
      <c r="X170" s="7" t="e">
        <f t="shared" si="19"/>
        <v>#REF!</v>
      </c>
      <c r="Y170" s="7" t="e">
        <f t="shared" si="20"/>
        <v>#REF!</v>
      </c>
      <c r="Z170" s="7" t="e">
        <f t="shared" si="21"/>
        <v>#REF!</v>
      </c>
      <c r="AA170" s="7" t="e">
        <f t="shared" si="22"/>
        <v>#REF!</v>
      </c>
      <c r="AB170" s="8" t="e">
        <f t="shared" si="23"/>
        <v>#REF!</v>
      </c>
      <c r="AC170" s="9" t="e">
        <f>IF(T170&lt;=0,"Output &lt;= 0, cek manual",IF(OR(Z170&lt;0,Y170&lt;0),"Biaya negatif",IF(AND(AB170&gt;=#REF!,AB170&lt;=#REF!),"OK","Di luar rentang")))</f>
        <v>#REF!</v>
      </c>
    </row>
    <row r="171" ht="114" spans="1:29">
      <c r="A171" s="2" t="s">
        <v>30</v>
      </c>
      <c r="B171" s="2" t="s">
        <v>31</v>
      </c>
      <c r="C171" s="3" t="s">
        <v>816</v>
      </c>
      <c r="D171" s="3" t="s">
        <v>817</v>
      </c>
      <c r="E171" s="3" t="s">
        <v>734</v>
      </c>
      <c r="F171" s="4">
        <v>100000</v>
      </c>
      <c r="G171" s="4">
        <v>24000000</v>
      </c>
      <c r="H171" s="4">
        <v>300000</v>
      </c>
      <c r="I171" s="4">
        <v>10000</v>
      </c>
      <c r="J171" s="2" t="s">
        <v>818</v>
      </c>
      <c r="K171" s="4">
        <v>36000000</v>
      </c>
      <c r="L171" s="4">
        <v>0</v>
      </c>
      <c r="M171" s="4">
        <v>11600000</v>
      </c>
      <c r="N171" s="4">
        <v>2500000</v>
      </c>
      <c r="O171" s="4">
        <v>12000000</v>
      </c>
      <c r="P171" s="5">
        <v>0.666667</v>
      </c>
      <c r="Q171" s="5">
        <v>0.966667</v>
      </c>
      <c r="R171" s="2" t="s">
        <v>819</v>
      </c>
      <c r="S171" s="7">
        <f t="shared" si="16"/>
        <v>11600000</v>
      </c>
      <c r="T171" s="7">
        <f t="shared" si="17"/>
        <v>12000000</v>
      </c>
      <c r="U171" s="8">
        <f t="shared" si="18"/>
        <v>0.966666666666667</v>
      </c>
      <c r="V171" s="9" t="e">
        <f>IF(T171&lt;=0,"Output &lt;= 0",IF(U171&gt;#REF!,"Terlalu tinggi",IF(U171&lt;#REF!,"Terlalu rendah","Sesuai")))</f>
        <v>#REF!</v>
      </c>
      <c r="W171" s="7" t="e">
        <f>IF(T171&lt;=0,S171,IF(U171&gt;#REF!,ROUNDDOWN(T171*#REF!,0),IF(U171&lt;#REF!,ROUNDUP(T171*#REF!,0),S171)))</f>
        <v>#REF!</v>
      </c>
      <c r="X171" s="7" t="e">
        <f t="shared" si="19"/>
        <v>#REF!</v>
      </c>
      <c r="Y171" s="7" t="e">
        <f t="shared" si="20"/>
        <v>#REF!</v>
      </c>
      <c r="Z171" s="7" t="e">
        <f t="shared" si="21"/>
        <v>#REF!</v>
      </c>
      <c r="AA171" s="7" t="e">
        <f t="shared" si="22"/>
        <v>#REF!</v>
      </c>
      <c r="AB171" s="8" t="e">
        <f t="shared" si="23"/>
        <v>#REF!</v>
      </c>
      <c r="AC171" s="9" t="e">
        <f>IF(T171&lt;=0,"Output &lt;= 0, cek manual",IF(OR(Z171&lt;0,Y171&lt;0),"Biaya negatif",IF(AND(AB171&gt;=#REF!,AB171&lt;=#REF!),"OK","Di luar rentang")))</f>
        <v>#REF!</v>
      </c>
    </row>
    <row r="172" ht="85.5" spans="1:29">
      <c r="A172" s="2" t="s">
        <v>30</v>
      </c>
      <c r="B172" s="2" t="s">
        <v>31</v>
      </c>
      <c r="C172" s="3" t="s">
        <v>820</v>
      </c>
      <c r="D172" s="3" t="s">
        <v>821</v>
      </c>
      <c r="E172" s="3" t="s">
        <v>822</v>
      </c>
      <c r="F172" s="4">
        <v>0</v>
      </c>
      <c r="G172" s="4">
        <v>14400000</v>
      </c>
      <c r="H172" s="4">
        <v>600000</v>
      </c>
      <c r="I172" s="4">
        <v>0</v>
      </c>
      <c r="J172" s="2" t="s">
        <v>134</v>
      </c>
      <c r="K172" s="4">
        <v>24000000</v>
      </c>
      <c r="L172" s="4">
        <v>0</v>
      </c>
      <c r="M172" s="4">
        <v>9000000</v>
      </c>
      <c r="N172" s="4">
        <v>57000000</v>
      </c>
      <c r="O172" s="4">
        <v>9600000</v>
      </c>
      <c r="P172" s="12">
        <v>0.6</v>
      </c>
      <c r="Q172" s="13">
        <v>0.9375</v>
      </c>
      <c r="R172" s="2" t="s">
        <v>823</v>
      </c>
      <c r="S172" s="7">
        <f t="shared" si="16"/>
        <v>9000000</v>
      </c>
      <c r="T172" s="7">
        <f t="shared" si="17"/>
        <v>9600000</v>
      </c>
      <c r="U172" s="8">
        <f t="shared" si="18"/>
        <v>0.9375</v>
      </c>
      <c r="V172" s="9" t="e">
        <f>IF(T172&lt;=0,"Output &lt;= 0",IF(U172&gt;#REF!,"Terlalu tinggi",IF(U172&lt;#REF!,"Terlalu rendah","Sesuai")))</f>
        <v>#REF!</v>
      </c>
      <c r="W172" s="7" t="e">
        <f>IF(T172&lt;=0,S172,IF(U172&gt;#REF!,ROUNDDOWN(T172*#REF!,0),IF(U172&lt;#REF!,ROUNDUP(T172*#REF!,0),S172)))</f>
        <v>#REF!</v>
      </c>
      <c r="X172" s="7" t="e">
        <f t="shared" si="19"/>
        <v>#REF!</v>
      </c>
      <c r="Y172" s="7" t="e">
        <f t="shared" si="20"/>
        <v>#REF!</v>
      </c>
      <c r="Z172" s="7" t="e">
        <f t="shared" si="21"/>
        <v>#REF!</v>
      </c>
      <c r="AA172" s="7" t="e">
        <f t="shared" si="22"/>
        <v>#REF!</v>
      </c>
      <c r="AB172" s="8" t="e">
        <f t="shared" si="23"/>
        <v>#REF!</v>
      </c>
      <c r="AC172" s="9" t="e">
        <f>IF(T172&lt;=0,"Output &lt;= 0, cek manual",IF(OR(Z172&lt;0,Y172&lt;0),"Biaya negatif",IF(AND(AB172&gt;=#REF!,AB172&lt;=#REF!),"OK","Di luar rentang")))</f>
        <v>#REF!</v>
      </c>
    </row>
    <row r="173" ht="85.5" spans="1:29">
      <c r="A173" s="2" t="s">
        <v>30</v>
      </c>
      <c r="B173" s="2" t="s">
        <v>31</v>
      </c>
      <c r="C173" s="3" t="s">
        <v>824</v>
      </c>
      <c r="D173" s="3" t="s">
        <v>179</v>
      </c>
      <c r="E173" s="3" t="s">
        <v>825</v>
      </c>
      <c r="F173" s="4">
        <v>0</v>
      </c>
      <c r="G173" s="4">
        <v>10000000</v>
      </c>
      <c r="H173" s="4">
        <v>250000</v>
      </c>
      <c r="I173" s="4">
        <v>0</v>
      </c>
      <c r="J173" s="2" t="s">
        <v>826</v>
      </c>
      <c r="K173" s="4">
        <v>12000000</v>
      </c>
      <c r="L173" s="4">
        <v>0</v>
      </c>
      <c r="M173" s="4">
        <v>1750000</v>
      </c>
      <c r="N173" s="4">
        <v>25000000</v>
      </c>
      <c r="O173" s="4">
        <v>2000000</v>
      </c>
      <c r="P173" s="5">
        <v>0.833333</v>
      </c>
      <c r="Q173" s="10">
        <v>0.875</v>
      </c>
      <c r="R173" s="2" t="s">
        <v>827</v>
      </c>
      <c r="S173" s="7">
        <f t="shared" si="16"/>
        <v>1750000</v>
      </c>
      <c r="T173" s="7">
        <f t="shared" si="17"/>
        <v>2000000</v>
      </c>
      <c r="U173" s="8">
        <f t="shared" si="18"/>
        <v>0.875</v>
      </c>
      <c r="V173" s="9" t="e">
        <f>IF(T173&lt;=0,"Output &lt;= 0",IF(U173&gt;#REF!,"Terlalu tinggi",IF(U173&lt;#REF!,"Terlalu rendah","Sesuai")))</f>
        <v>#REF!</v>
      </c>
      <c r="W173" s="7" t="e">
        <f>IF(T173&lt;=0,S173,IF(U173&gt;#REF!,ROUNDDOWN(T173*#REF!,0),IF(U173&lt;#REF!,ROUNDUP(T173*#REF!,0),S173)))</f>
        <v>#REF!</v>
      </c>
      <c r="X173" s="7" t="e">
        <f t="shared" si="19"/>
        <v>#REF!</v>
      </c>
      <c r="Y173" s="7" t="e">
        <f t="shared" si="20"/>
        <v>#REF!</v>
      </c>
      <c r="Z173" s="7" t="e">
        <f t="shared" si="21"/>
        <v>#REF!</v>
      </c>
      <c r="AA173" s="7" t="e">
        <f t="shared" si="22"/>
        <v>#REF!</v>
      </c>
      <c r="AB173" s="8" t="e">
        <f t="shared" si="23"/>
        <v>#REF!</v>
      </c>
      <c r="AC173" s="9" t="e">
        <f>IF(T173&lt;=0,"Output &lt;= 0, cek manual",IF(OR(Z173&lt;0,Y173&lt;0),"Biaya negatif",IF(AND(AB173&gt;=#REF!,AB173&lt;=#REF!),"OK","Di luar rentang")))</f>
        <v>#REF!</v>
      </c>
    </row>
    <row r="174" ht="71.25" spans="1:29">
      <c r="A174" s="2" t="s">
        <v>30</v>
      </c>
      <c r="B174" s="2" t="s">
        <v>31</v>
      </c>
      <c r="C174" s="3" t="s">
        <v>828</v>
      </c>
      <c r="D174" s="3" t="s">
        <v>829</v>
      </c>
      <c r="E174" s="3" t="s">
        <v>198</v>
      </c>
      <c r="F174" s="4">
        <v>5000000</v>
      </c>
      <c r="G174" s="4">
        <v>15000000</v>
      </c>
      <c r="H174" s="4">
        <v>6000000</v>
      </c>
      <c r="I174" s="4">
        <v>250000</v>
      </c>
      <c r="J174" s="2" t="s">
        <v>830</v>
      </c>
      <c r="K174" s="4">
        <v>36000000</v>
      </c>
      <c r="L174" s="4">
        <v>0</v>
      </c>
      <c r="M174" s="4">
        <v>10000000</v>
      </c>
      <c r="N174" s="4">
        <v>45000000</v>
      </c>
      <c r="O174" s="4">
        <v>21000000</v>
      </c>
      <c r="P174" s="5">
        <v>0.416667</v>
      </c>
      <c r="Q174" s="6">
        <v>0.47619</v>
      </c>
      <c r="R174" s="2" t="s">
        <v>831</v>
      </c>
      <c r="S174" s="7">
        <f t="shared" si="16"/>
        <v>10000000</v>
      </c>
      <c r="T174" s="7">
        <f t="shared" si="17"/>
        <v>21000000</v>
      </c>
      <c r="U174" s="8">
        <f t="shared" si="18"/>
        <v>0.476190476190476</v>
      </c>
      <c r="V174" s="9" t="e">
        <f>IF(T174&lt;=0,"Output &lt;= 0",IF(U174&gt;#REF!,"Terlalu tinggi",IF(U174&lt;#REF!,"Terlalu rendah","Sesuai")))</f>
        <v>#REF!</v>
      </c>
      <c r="W174" s="7" t="e">
        <f>IF(T174&lt;=0,S174,IF(U174&gt;#REF!,ROUNDDOWN(T174*#REF!,0),IF(U174&lt;#REF!,ROUNDUP(T174*#REF!,0),S174)))</f>
        <v>#REF!</v>
      </c>
      <c r="X174" s="7" t="e">
        <f t="shared" si="19"/>
        <v>#REF!</v>
      </c>
      <c r="Y174" s="7" t="e">
        <f t="shared" si="20"/>
        <v>#REF!</v>
      </c>
      <c r="Z174" s="7" t="e">
        <f t="shared" si="21"/>
        <v>#REF!</v>
      </c>
      <c r="AA174" s="7" t="e">
        <f t="shared" si="22"/>
        <v>#REF!</v>
      </c>
      <c r="AB174" s="8" t="e">
        <f t="shared" si="23"/>
        <v>#REF!</v>
      </c>
      <c r="AC174" s="9" t="e">
        <f>IF(T174&lt;=0,"Output &lt;= 0, cek manual",IF(OR(Z174&lt;0,Y174&lt;0),"Biaya negatif",IF(AND(AB174&gt;=#REF!,AB174&lt;=#REF!),"OK","Di luar rentang")))</f>
        <v>#REF!</v>
      </c>
    </row>
    <row r="175" ht="71.25" spans="1:29">
      <c r="A175" s="2" t="s">
        <v>30</v>
      </c>
      <c r="B175" s="2" t="s">
        <v>31</v>
      </c>
      <c r="C175" s="3" t="s">
        <v>832</v>
      </c>
      <c r="D175" s="3" t="s">
        <v>833</v>
      </c>
      <c r="E175" s="3" t="s">
        <v>834</v>
      </c>
      <c r="F175" s="4">
        <v>0</v>
      </c>
      <c r="G175" s="4">
        <v>3600000</v>
      </c>
      <c r="H175" s="4">
        <v>600000</v>
      </c>
      <c r="I175" s="4">
        <v>0</v>
      </c>
      <c r="J175" s="2" t="s">
        <v>672</v>
      </c>
      <c r="K175" s="4">
        <v>14400000</v>
      </c>
      <c r="L175" s="4">
        <v>0</v>
      </c>
      <c r="M175" s="4">
        <v>10200000</v>
      </c>
      <c r="N175" s="4">
        <v>17000000</v>
      </c>
      <c r="O175" s="4">
        <v>10800000</v>
      </c>
      <c r="P175" s="11">
        <v>0.25</v>
      </c>
      <c r="Q175" s="5">
        <v>0.944444</v>
      </c>
      <c r="R175" s="2" t="s">
        <v>835</v>
      </c>
      <c r="S175" s="7">
        <f t="shared" si="16"/>
        <v>10200000</v>
      </c>
      <c r="T175" s="7">
        <f t="shared" si="17"/>
        <v>10800000</v>
      </c>
      <c r="U175" s="8">
        <f t="shared" si="18"/>
        <v>0.944444444444444</v>
      </c>
      <c r="V175" s="9" t="e">
        <f>IF(T175&lt;=0,"Output &lt;= 0",IF(U175&gt;#REF!,"Terlalu tinggi",IF(U175&lt;#REF!,"Terlalu rendah","Sesuai")))</f>
        <v>#REF!</v>
      </c>
      <c r="W175" s="7" t="e">
        <f>IF(T175&lt;=0,S175,IF(U175&gt;#REF!,ROUNDDOWN(T175*#REF!,0),IF(U175&lt;#REF!,ROUNDUP(T175*#REF!,0),S175)))</f>
        <v>#REF!</v>
      </c>
      <c r="X175" s="7" t="e">
        <f t="shared" si="19"/>
        <v>#REF!</v>
      </c>
      <c r="Y175" s="7" t="e">
        <f t="shared" si="20"/>
        <v>#REF!</v>
      </c>
      <c r="Z175" s="7" t="e">
        <f t="shared" si="21"/>
        <v>#REF!</v>
      </c>
      <c r="AA175" s="7" t="e">
        <f t="shared" si="22"/>
        <v>#REF!</v>
      </c>
      <c r="AB175" s="8" t="e">
        <f t="shared" si="23"/>
        <v>#REF!</v>
      </c>
      <c r="AC175" s="9" t="e">
        <f>IF(T175&lt;=0,"Output &lt;= 0, cek manual",IF(OR(Z175&lt;0,Y175&lt;0),"Biaya negatif",IF(AND(AB175&gt;=#REF!,AB175&lt;=#REF!),"OK","Di luar rentang")))</f>
        <v>#REF!</v>
      </c>
    </row>
    <row r="176" ht="85.5" spans="1:29">
      <c r="A176" s="2" t="s">
        <v>30</v>
      </c>
      <c r="B176" s="2" t="s">
        <v>31</v>
      </c>
      <c r="C176" s="3" t="s">
        <v>836</v>
      </c>
      <c r="D176" s="3" t="s">
        <v>837</v>
      </c>
      <c r="E176" s="3" t="s">
        <v>838</v>
      </c>
      <c r="F176" s="4">
        <v>600000</v>
      </c>
      <c r="G176" s="4">
        <v>4500000</v>
      </c>
      <c r="H176" s="4">
        <v>100000</v>
      </c>
      <c r="I176" s="4">
        <v>0</v>
      </c>
      <c r="J176" s="2" t="s">
        <v>839</v>
      </c>
      <c r="K176" s="4">
        <v>11500000</v>
      </c>
      <c r="L176" s="4">
        <v>0</v>
      </c>
      <c r="M176" s="4">
        <v>6300000</v>
      </c>
      <c r="N176" s="4">
        <v>103000000</v>
      </c>
      <c r="O176" s="4">
        <v>7000000</v>
      </c>
      <c r="P176" s="5">
        <v>0.391304</v>
      </c>
      <c r="Q176" s="12">
        <v>0.9</v>
      </c>
      <c r="R176" s="2" t="s">
        <v>840</v>
      </c>
      <c r="S176" s="7">
        <f t="shared" si="16"/>
        <v>6300000</v>
      </c>
      <c r="T176" s="7">
        <f t="shared" si="17"/>
        <v>7000000</v>
      </c>
      <c r="U176" s="8">
        <f t="shared" si="18"/>
        <v>0.9</v>
      </c>
      <c r="V176" s="9" t="e">
        <f>IF(T176&lt;=0,"Output &lt;= 0",IF(U176&gt;#REF!,"Terlalu tinggi",IF(U176&lt;#REF!,"Terlalu rendah","Sesuai")))</f>
        <v>#REF!</v>
      </c>
      <c r="W176" s="7" t="e">
        <f>IF(T176&lt;=0,S176,IF(U176&gt;#REF!,ROUNDDOWN(T176*#REF!,0),IF(U176&lt;#REF!,ROUNDUP(T176*#REF!,0),S176)))</f>
        <v>#REF!</v>
      </c>
      <c r="X176" s="7" t="e">
        <f t="shared" si="19"/>
        <v>#REF!</v>
      </c>
      <c r="Y176" s="7" t="e">
        <f t="shared" si="20"/>
        <v>#REF!</v>
      </c>
      <c r="Z176" s="7" t="e">
        <f t="shared" si="21"/>
        <v>#REF!</v>
      </c>
      <c r="AA176" s="7" t="e">
        <f t="shared" si="22"/>
        <v>#REF!</v>
      </c>
      <c r="AB176" s="8" t="e">
        <f t="shared" si="23"/>
        <v>#REF!</v>
      </c>
      <c r="AC176" s="9" t="e">
        <f>IF(T176&lt;=0,"Output &lt;= 0, cek manual",IF(OR(Z176&lt;0,Y176&lt;0),"Biaya negatif",IF(AND(AB176&gt;=#REF!,AB176&lt;=#REF!),"OK","Di luar rentang")))</f>
        <v>#REF!</v>
      </c>
    </row>
    <row r="177" ht="128.25" spans="1:29">
      <c r="A177" s="2" t="s">
        <v>30</v>
      </c>
      <c r="B177" s="2" t="s">
        <v>31</v>
      </c>
      <c r="C177" s="3" t="s">
        <v>841</v>
      </c>
      <c r="D177" s="3" t="s">
        <v>842</v>
      </c>
      <c r="E177" s="3" t="s">
        <v>842</v>
      </c>
      <c r="F177" s="4">
        <v>0</v>
      </c>
      <c r="G177" s="4">
        <v>120000000</v>
      </c>
      <c r="H177" s="4">
        <v>0</v>
      </c>
      <c r="I177" s="4">
        <v>0</v>
      </c>
      <c r="J177" s="2" t="s">
        <v>64</v>
      </c>
      <c r="K177" s="4">
        <v>150000000</v>
      </c>
      <c r="L177" s="4">
        <v>0</v>
      </c>
      <c r="M177" s="4">
        <v>30000000</v>
      </c>
      <c r="N177" s="4">
        <v>14000000</v>
      </c>
      <c r="O177" s="4">
        <v>30000000</v>
      </c>
      <c r="P177" s="12">
        <v>0.8</v>
      </c>
      <c r="Q177" s="4">
        <v>1</v>
      </c>
      <c r="R177" s="2" t="s">
        <v>843</v>
      </c>
      <c r="S177" s="7">
        <f t="shared" si="16"/>
        <v>30000000</v>
      </c>
      <c r="T177" s="7">
        <f t="shared" si="17"/>
        <v>30000000</v>
      </c>
      <c r="U177" s="8">
        <f t="shared" si="18"/>
        <v>1</v>
      </c>
      <c r="V177" s="9" t="e">
        <f>IF(T177&lt;=0,"Output &lt;= 0",IF(U177&gt;#REF!,"Terlalu tinggi",IF(U177&lt;#REF!,"Terlalu rendah","Sesuai")))</f>
        <v>#REF!</v>
      </c>
      <c r="W177" s="7" t="e">
        <f>IF(T177&lt;=0,S177,IF(U177&gt;#REF!,ROUNDDOWN(T177*#REF!,0),IF(U177&lt;#REF!,ROUNDUP(T177*#REF!,0),S177)))</f>
        <v>#REF!</v>
      </c>
      <c r="X177" s="7" t="e">
        <f t="shared" si="19"/>
        <v>#REF!</v>
      </c>
      <c r="Y177" s="7" t="e">
        <f t="shared" si="20"/>
        <v>#REF!</v>
      </c>
      <c r="Z177" s="7" t="e">
        <f t="shared" si="21"/>
        <v>#REF!</v>
      </c>
      <c r="AA177" s="7" t="e">
        <f t="shared" si="22"/>
        <v>#REF!</v>
      </c>
      <c r="AB177" s="8" t="e">
        <f t="shared" si="23"/>
        <v>#REF!</v>
      </c>
      <c r="AC177" s="9" t="e">
        <f>IF(T177&lt;=0,"Output &lt;= 0, cek manual",IF(OR(Z177&lt;0,Y177&lt;0),"Biaya negatif",IF(AND(AB177&gt;=#REF!,AB177&lt;=#REF!),"OK","Di luar rentang")))</f>
        <v>#REF!</v>
      </c>
    </row>
    <row r="178" ht="99.75" spans="1:29">
      <c r="A178" s="2" t="s">
        <v>30</v>
      </c>
      <c r="B178" s="2" t="s">
        <v>31</v>
      </c>
      <c r="C178" s="3" t="s">
        <v>844</v>
      </c>
      <c r="D178" s="3" t="s">
        <v>91</v>
      </c>
      <c r="E178" s="3" t="s">
        <v>845</v>
      </c>
      <c r="F178" s="4">
        <v>0</v>
      </c>
      <c r="G178" s="4">
        <v>180000000</v>
      </c>
      <c r="H178" s="4">
        <v>12000000</v>
      </c>
      <c r="I178" s="4">
        <v>3000000</v>
      </c>
      <c r="J178" s="2" t="s">
        <v>846</v>
      </c>
      <c r="K178" s="4">
        <v>240000000</v>
      </c>
      <c r="L178" s="4">
        <v>0</v>
      </c>
      <c r="M178" s="4">
        <v>48000000</v>
      </c>
      <c r="N178" s="4">
        <v>150000000</v>
      </c>
      <c r="O178" s="4">
        <v>60000000</v>
      </c>
      <c r="P178" s="11">
        <v>0.75</v>
      </c>
      <c r="Q178" s="12">
        <v>0.8</v>
      </c>
      <c r="R178" s="2" t="s">
        <v>847</v>
      </c>
      <c r="S178" s="7">
        <f t="shared" si="16"/>
        <v>48000000</v>
      </c>
      <c r="T178" s="7">
        <f t="shared" si="17"/>
        <v>60000000</v>
      </c>
      <c r="U178" s="8">
        <f t="shared" si="18"/>
        <v>0.8</v>
      </c>
      <c r="V178" s="9" t="e">
        <f>IF(T178&lt;=0,"Output &lt;= 0",IF(U178&gt;#REF!,"Terlalu tinggi",IF(U178&lt;#REF!,"Terlalu rendah","Sesuai")))</f>
        <v>#REF!</v>
      </c>
      <c r="W178" s="7" t="e">
        <f>IF(T178&lt;=0,S178,IF(U178&gt;#REF!,ROUNDDOWN(T178*#REF!,0),IF(U178&lt;#REF!,ROUNDUP(T178*#REF!,0),S178)))</f>
        <v>#REF!</v>
      </c>
      <c r="X178" s="7" t="e">
        <f t="shared" si="19"/>
        <v>#REF!</v>
      </c>
      <c r="Y178" s="7" t="e">
        <f t="shared" si="20"/>
        <v>#REF!</v>
      </c>
      <c r="Z178" s="7" t="e">
        <f t="shared" si="21"/>
        <v>#REF!</v>
      </c>
      <c r="AA178" s="7" t="e">
        <f t="shared" si="22"/>
        <v>#REF!</v>
      </c>
      <c r="AB178" s="8" t="e">
        <f t="shared" si="23"/>
        <v>#REF!</v>
      </c>
      <c r="AC178" s="9" t="e">
        <f>IF(T178&lt;=0,"Output &lt;= 0, cek manual",IF(OR(Z178&lt;0,Y178&lt;0),"Biaya negatif",IF(AND(AB178&gt;=#REF!,AB178&lt;=#REF!),"OK","Di luar rentang")))</f>
        <v>#REF!</v>
      </c>
    </row>
    <row r="179" ht="114" spans="1:29">
      <c r="A179" s="2" t="s">
        <v>30</v>
      </c>
      <c r="B179" s="2" t="s">
        <v>31</v>
      </c>
      <c r="C179" s="3" t="s">
        <v>848</v>
      </c>
      <c r="D179" s="3" t="s">
        <v>91</v>
      </c>
      <c r="E179" s="3" t="s">
        <v>845</v>
      </c>
      <c r="F179" s="4">
        <v>0</v>
      </c>
      <c r="G179" s="4">
        <v>60000000</v>
      </c>
      <c r="H179" s="4">
        <v>6000000</v>
      </c>
      <c r="I179" s="4">
        <v>5000000</v>
      </c>
      <c r="J179" s="2" t="s">
        <v>846</v>
      </c>
      <c r="K179" s="4">
        <v>120000000</v>
      </c>
      <c r="L179" s="4">
        <v>0</v>
      </c>
      <c r="M179" s="4">
        <v>54000000</v>
      </c>
      <c r="N179" s="4">
        <v>0</v>
      </c>
      <c r="O179" s="4">
        <v>60000000</v>
      </c>
      <c r="P179" s="12">
        <v>0.5</v>
      </c>
      <c r="Q179" s="12">
        <v>0.9</v>
      </c>
      <c r="R179" s="2" t="s">
        <v>847</v>
      </c>
      <c r="S179" s="7">
        <f t="shared" si="16"/>
        <v>54000000</v>
      </c>
      <c r="T179" s="7">
        <f t="shared" si="17"/>
        <v>60000000</v>
      </c>
      <c r="U179" s="8">
        <f t="shared" si="18"/>
        <v>0.9</v>
      </c>
      <c r="V179" s="9" t="e">
        <f>IF(T179&lt;=0,"Output &lt;= 0",IF(U179&gt;#REF!,"Terlalu tinggi",IF(U179&lt;#REF!,"Terlalu rendah","Sesuai")))</f>
        <v>#REF!</v>
      </c>
      <c r="W179" s="7" t="e">
        <f>IF(T179&lt;=0,S179,IF(U179&gt;#REF!,ROUNDDOWN(T179*#REF!,0),IF(U179&lt;#REF!,ROUNDUP(T179*#REF!,0),S179)))</f>
        <v>#REF!</v>
      </c>
      <c r="X179" s="7" t="e">
        <f t="shared" si="19"/>
        <v>#REF!</v>
      </c>
      <c r="Y179" s="7" t="e">
        <f t="shared" si="20"/>
        <v>#REF!</v>
      </c>
      <c r="Z179" s="7" t="e">
        <f t="shared" si="21"/>
        <v>#REF!</v>
      </c>
      <c r="AA179" s="7" t="e">
        <f t="shared" si="22"/>
        <v>#REF!</v>
      </c>
      <c r="AB179" s="8" t="e">
        <f t="shared" si="23"/>
        <v>#REF!</v>
      </c>
      <c r="AC179" s="9" t="e">
        <f>IF(T179&lt;=0,"Output &lt;= 0, cek manual",IF(OR(Z179&lt;0,Y179&lt;0),"Biaya negatif",IF(AND(AB179&gt;=#REF!,AB179&lt;=#REF!),"OK","Di luar rentang")))</f>
        <v>#REF!</v>
      </c>
    </row>
    <row r="180" ht="114" spans="1:29">
      <c r="A180" s="2" t="s">
        <v>30</v>
      </c>
      <c r="B180" s="2" t="s">
        <v>31</v>
      </c>
      <c r="C180" s="3" t="s">
        <v>849</v>
      </c>
      <c r="D180" s="3" t="s">
        <v>850</v>
      </c>
      <c r="E180" s="3" t="s">
        <v>851</v>
      </c>
      <c r="F180" s="4">
        <v>500000</v>
      </c>
      <c r="G180" s="4">
        <v>15000000</v>
      </c>
      <c r="H180" s="4">
        <v>100000</v>
      </c>
      <c r="I180" s="4">
        <v>300000</v>
      </c>
      <c r="J180" s="2" t="s">
        <v>852</v>
      </c>
      <c r="K180" s="4">
        <v>25000000</v>
      </c>
      <c r="L180" s="4">
        <v>0</v>
      </c>
      <c r="M180" s="4">
        <v>9400000</v>
      </c>
      <c r="N180" s="4">
        <v>16000000</v>
      </c>
      <c r="O180" s="4">
        <v>10000000</v>
      </c>
      <c r="P180" s="12">
        <v>0.6</v>
      </c>
      <c r="Q180" s="11">
        <v>0.94</v>
      </c>
      <c r="R180" s="2" t="s">
        <v>853</v>
      </c>
      <c r="S180" s="7">
        <f t="shared" si="16"/>
        <v>9400000</v>
      </c>
      <c r="T180" s="7">
        <f t="shared" si="17"/>
        <v>10000000</v>
      </c>
      <c r="U180" s="8">
        <f t="shared" si="18"/>
        <v>0.94</v>
      </c>
      <c r="V180" s="9" t="e">
        <f>IF(T180&lt;=0,"Output &lt;= 0",IF(U180&gt;#REF!,"Terlalu tinggi",IF(U180&lt;#REF!,"Terlalu rendah","Sesuai")))</f>
        <v>#REF!</v>
      </c>
      <c r="W180" s="7" t="e">
        <f>IF(T180&lt;=0,S180,IF(U180&gt;#REF!,ROUNDDOWN(T180*#REF!,0),IF(U180&lt;#REF!,ROUNDUP(T180*#REF!,0),S180)))</f>
        <v>#REF!</v>
      </c>
      <c r="X180" s="7" t="e">
        <f t="shared" si="19"/>
        <v>#REF!</v>
      </c>
      <c r="Y180" s="7" t="e">
        <f t="shared" si="20"/>
        <v>#REF!</v>
      </c>
      <c r="Z180" s="7" t="e">
        <f t="shared" si="21"/>
        <v>#REF!</v>
      </c>
      <c r="AA180" s="7" t="e">
        <f t="shared" si="22"/>
        <v>#REF!</v>
      </c>
      <c r="AB180" s="8" t="e">
        <f t="shared" si="23"/>
        <v>#REF!</v>
      </c>
      <c r="AC180" s="9" t="e">
        <f>IF(T180&lt;=0,"Output &lt;= 0, cek manual",IF(OR(Z180&lt;0,Y180&lt;0),"Biaya negatif",IF(AND(AB180&gt;=#REF!,AB180&lt;=#REF!),"OK","Di luar rentang")))</f>
        <v>#REF!</v>
      </c>
    </row>
    <row r="181" ht="42.75" spans="1:29">
      <c r="A181" s="2" t="s">
        <v>30</v>
      </c>
      <c r="B181" s="2" t="s">
        <v>31</v>
      </c>
      <c r="C181" s="3" t="s">
        <v>854</v>
      </c>
      <c r="D181" s="3" t="s">
        <v>855</v>
      </c>
      <c r="E181" s="3" t="s">
        <v>426</v>
      </c>
      <c r="F181" s="4">
        <v>0</v>
      </c>
      <c r="G181" s="4">
        <v>5000000</v>
      </c>
      <c r="H181" s="4">
        <v>500000</v>
      </c>
      <c r="I181" s="4">
        <v>0</v>
      </c>
      <c r="J181" s="2" t="s">
        <v>261</v>
      </c>
      <c r="K181" s="4">
        <v>15000000</v>
      </c>
      <c r="L181" s="4">
        <v>0</v>
      </c>
      <c r="M181" s="4">
        <v>9500000</v>
      </c>
      <c r="N181" s="4">
        <v>2000000</v>
      </c>
      <c r="O181" s="4">
        <v>10000000</v>
      </c>
      <c r="P181" s="5">
        <v>0.333333</v>
      </c>
      <c r="Q181" s="11">
        <v>0.95</v>
      </c>
      <c r="R181" s="2" t="s">
        <v>856</v>
      </c>
      <c r="S181" s="7">
        <f t="shared" si="16"/>
        <v>9500000</v>
      </c>
      <c r="T181" s="7">
        <f t="shared" si="17"/>
        <v>10000000</v>
      </c>
      <c r="U181" s="8">
        <f t="shared" si="18"/>
        <v>0.95</v>
      </c>
      <c r="V181" s="9" t="e">
        <f>IF(T181&lt;=0,"Output &lt;= 0",IF(U181&gt;#REF!,"Terlalu tinggi",IF(U181&lt;#REF!,"Terlalu rendah","Sesuai")))</f>
        <v>#REF!</v>
      </c>
      <c r="W181" s="7" t="e">
        <f>IF(T181&lt;=0,S181,IF(U181&gt;#REF!,ROUNDDOWN(T181*#REF!,0),IF(U181&lt;#REF!,ROUNDUP(T181*#REF!,0),S181)))</f>
        <v>#REF!</v>
      </c>
      <c r="X181" s="7" t="e">
        <f t="shared" si="19"/>
        <v>#REF!</v>
      </c>
      <c r="Y181" s="7" t="e">
        <f t="shared" si="20"/>
        <v>#REF!</v>
      </c>
      <c r="Z181" s="7" t="e">
        <f t="shared" si="21"/>
        <v>#REF!</v>
      </c>
      <c r="AA181" s="7" t="e">
        <f t="shared" si="22"/>
        <v>#REF!</v>
      </c>
      <c r="AB181" s="8" t="e">
        <f t="shared" si="23"/>
        <v>#REF!</v>
      </c>
      <c r="AC181" s="9" t="e">
        <f>IF(T181&lt;=0,"Output &lt;= 0, cek manual",IF(OR(Z181&lt;0,Y181&lt;0),"Biaya negatif",IF(AND(AB181&gt;=#REF!,AB181&lt;=#REF!),"OK","Di luar rentang")))</f>
        <v>#REF!</v>
      </c>
    </row>
    <row r="182" ht="85.5" spans="1:29">
      <c r="A182" s="2" t="s">
        <v>30</v>
      </c>
      <c r="B182" s="2" t="s">
        <v>31</v>
      </c>
      <c r="C182" s="3" t="s">
        <v>857</v>
      </c>
      <c r="D182" s="3" t="s">
        <v>228</v>
      </c>
      <c r="E182" s="3" t="s">
        <v>858</v>
      </c>
      <c r="F182" s="4">
        <v>100000</v>
      </c>
      <c r="G182" s="4">
        <v>2000000</v>
      </c>
      <c r="H182" s="4">
        <v>50000</v>
      </c>
      <c r="I182" s="4">
        <v>0</v>
      </c>
      <c r="J182" s="2" t="s">
        <v>859</v>
      </c>
      <c r="K182" s="4">
        <v>3000000</v>
      </c>
      <c r="L182" s="4">
        <v>0</v>
      </c>
      <c r="M182" s="4">
        <v>850000</v>
      </c>
      <c r="N182" s="4">
        <v>2000000</v>
      </c>
      <c r="O182" s="4">
        <v>1000000</v>
      </c>
      <c r="P182" s="5">
        <v>0.666667</v>
      </c>
      <c r="Q182" s="11">
        <v>0.85</v>
      </c>
      <c r="R182" s="2" t="s">
        <v>860</v>
      </c>
      <c r="S182" s="7">
        <f t="shared" si="16"/>
        <v>850000</v>
      </c>
      <c r="T182" s="7">
        <f t="shared" si="17"/>
        <v>1000000</v>
      </c>
      <c r="U182" s="8">
        <f t="shared" si="18"/>
        <v>0.85</v>
      </c>
      <c r="V182" s="9" t="e">
        <f>IF(T182&lt;=0,"Output &lt;= 0",IF(U182&gt;#REF!,"Terlalu tinggi",IF(U182&lt;#REF!,"Terlalu rendah","Sesuai")))</f>
        <v>#REF!</v>
      </c>
      <c r="W182" s="7" t="e">
        <f>IF(T182&lt;=0,S182,IF(U182&gt;#REF!,ROUNDDOWN(T182*#REF!,0),IF(U182&lt;#REF!,ROUNDUP(T182*#REF!,0),S182)))</f>
        <v>#REF!</v>
      </c>
      <c r="X182" s="7" t="e">
        <f t="shared" si="19"/>
        <v>#REF!</v>
      </c>
      <c r="Y182" s="7" t="e">
        <f t="shared" si="20"/>
        <v>#REF!</v>
      </c>
      <c r="Z182" s="7" t="e">
        <f t="shared" si="21"/>
        <v>#REF!</v>
      </c>
      <c r="AA182" s="7" t="e">
        <f t="shared" si="22"/>
        <v>#REF!</v>
      </c>
      <c r="AB182" s="8" t="e">
        <f t="shared" si="23"/>
        <v>#REF!</v>
      </c>
      <c r="AC182" s="9" t="e">
        <f>IF(T182&lt;=0,"Output &lt;= 0, cek manual",IF(OR(Z182&lt;0,Y182&lt;0),"Biaya negatif",IF(AND(AB182&gt;=#REF!,AB182&lt;=#REF!),"OK","Di luar rentang")))</f>
        <v>#REF!</v>
      </c>
    </row>
    <row r="183" ht="99.75" spans="1:29">
      <c r="A183" s="2" t="s">
        <v>30</v>
      </c>
      <c r="B183" s="2" t="s">
        <v>31</v>
      </c>
      <c r="C183" s="3" t="s">
        <v>861</v>
      </c>
      <c r="D183" s="3" t="s">
        <v>862</v>
      </c>
      <c r="E183" s="3" t="s">
        <v>863</v>
      </c>
      <c r="F183" s="4">
        <v>4800000</v>
      </c>
      <c r="G183" s="4">
        <v>0</v>
      </c>
      <c r="H183" s="4">
        <v>150000</v>
      </c>
      <c r="I183" s="4">
        <v>0</v>
      </c>
      <c r="J183" s="2" t="s">
        <v>864</v>
      </c>
      <c r="K183" s="4">
        <v>7200000</v>
      </c>
      <c r="L183" s="4">
        <v>0</v>
      </c>
      <c r="M183" s="4">
        <v>2250000</v>
      </c>
      <c r="N183" s="4">
        <v>3000000</v>
      </c>
      <c r="O183" s="4">
        <v>7200000</v>
      </c>
      <c r="P183" s="4">
        <v>0</v>
      </c>
      <c r="Q183" s="13">
        <v>0.3125</v>
      </c>
      <c r="R183" s="2" t="s">
        <v>865</v>
      </c>
      <c r="S183" s="7">
        <f t="shared" si="16"/>
        <v>2250000</v>
      </c>
      <c r="T183" s="7">
        <f t="shared" si="17"/>
        <v>7200000</v>
      </c>
      <c r="U183" s="8">
        <f t="shared" si="18"/>
        <v>0.3125</v>
      </c>
      <c r="V183" s="9" t="e">
        <f>IF(T183&lt;=0,"Output &lt;= 0",IF(U183&gt;#REF!,"Terlalu tinggi",IF(U183&lt;#REF!,"Terlalu rendah","Sesuai")))</f>
        <v>#REF!</v>
      </c>
      <c r="W183" s="7" t="e">
        <f>IF(T183&lt;=0,S183,IF(U183&gt;#REF!,ROUNDDOWN(T183*#REF!,0),IF(U183&lt;#REF!,ROUNDUP(T183*#REF!,0),S183)))</f>
        <v>#REF!</v>
      </c>
      <c r="X183" s="7" t="e">
        <f t="shared" si="19"/>
        <v>#REF!</v>
      </c>
      <c r="Y183" s="7" t="e">
        <f t="shared" si="20"/>
        <v>#REF!</v>
      </c>
      <c r="Z183" s="7" t="e">
        <f t="shared" si="21"/>
        <v>#REF!</v>
      </c>
      <c r="AA183" s="7" t="e">
        <f t="shared" si="22"/>
        <v>#REF!</v>
      </c>
      <c r="AB183" s="8" t="e">
        <f t="shared" si="23"/>
        <v>#REF!</v>
      </c>
      <c r="AC183" s="9" t="e">
        <f>IF(T183&lt;=0,"Output &lt;= 0, cek manual",IF(OR(Z183&lt;0,Y183&lt;0),"Biaya negatif",IF(AND(AB183&gt;=#REF!,AB183&lt;=#REF!),"OK","Di luar rentang")))</f>
        <v>#REF!</v>
      </c>
    </row>
    <row r="184" ht="99.75" spans="1:29">
      <c r="A184" s="2" t="s">
        <v>30</v>
      </c>
      <c r="B184" s="2" t="s">
        <v>31</v>
      </c>
      <c r="C184" s="3" t="s">
        <v>866</v>
      </c>
      <c r="D184" s="3" t="s">
        <v>264</v>
      </c>
      <c r="E184" s="3" t="s">
        <v>867</v>
      </c>
      <c r="F184" s="4">
        <v>0</v>
      </c>
      <c r="G184" s="4">
        <v>20000000</v>
      </c>
      <c r="H184" s="4">
        <v>0</v>
      </c>
      <c r="I184" s="4">
        <v>0</v>
      </c>
      <c r="J184" s="2" t="s">
        <v>868</v>
      </c>
      <c r="K184" s="4">
        <v>25000000</v>
      </c>
      <c r="L184" s="4">
        <v>0</v>
      </c>
      <c r="M184" s="4">
        <v>5000000</v>
      </c>
      <c r="N184" s="4">
        <v>7400000</v>
      </c>
      <c r="O184" s="4">
        <v>5000000</v>
      </c>
      <c r="P184" s="12">
        <v>0.8</v>
      </c>
      <c r="Q184" s="4">
        <v>1</v>
      </c>
      <c r="R184" s="2" t="s">
        <v>869</v>
      </c>
      <c r="S184" s="7">
        <f t="shared" si="16"/>
        <v>5000000</v>
      </c>
      <c r="T184" s="7">
        <f t="shared" si="17"/>
        <v>5000000</v>
      </c>
      <c r="U184" s="8">
        <f t="shared" si="18"/>
        <v>1</v>
      </c>
      <c r="V184" s="9" t="e">
        <f>IF(T184&lt;=0,"Output &lt;= 0",IF(U184&gt;#REF!,"Terlalu tinggi",IF(U184&lt;#REF!,"Terlalu rendah","Sesuai")))</f>
        <v>#REF!</v>
      </c>
      <c r="W184" s="7" t="e">
        <f>IF(T184&lt;=0,S184,IF(U184&gt;#REF!,ROUNDDOWN(T184*#REF!,0),IF(U184&lt;#REF!,ROUNDUP(T184*#REF!,0),S184)))</f>
        <v>#REF!</v>
      </c>
      <c r="X184" s="7" t="e">
        <f t="shared" si="19"/>
        <v>#REF!</v>
      </c>
      <c r="Y184" s="7" t="e">
        <f t="shared" si="20"/>
        <v>#REF!</v>
      </c>
      <c r="Z184" s="7" t="e">
        <f t="shared" si="21"/>
        <v>#REF!</v>
      </c>
      <c r="AA184" s="7" t="e">
        <f t="shared" si="22"/>
        <v>#REF!</v>
      </c>
      <c r="AB184" s="8" t="e">
        <f t="shared" si="23"/>
        <v>#REF!</v>
      </c>
      <c r="AC184" s="9" t="e">
        <f>IF(T184&lt;=0,"Output &lt;= 0, cek manual",IF(OR(Z184&lt;0,Y184&lt;0),"Biaya negatif",IF(AND(AB184&gt;=#REF!,AB184&lt;=#REF!),"OK","Di luar rentang")))</f>
        <v>#REF!</v>
      </c>
    </row>
    <row r="185" ht="85.5" spans="1:29">
      <c r="A185" s="2" t="s">
        <v>30</v>
      </c>
      <c r="B185" s="2" t="s">
        <v>31</v>
      </c>
      <c r="C185" s="3" t="s">
        <v>870</v>
      </c>
      <c r="D185" s="3" t="s">
        <v>726</v>
      </c>
      <c r="E185" s="3" t="s">
        <v>727</v>
      </c>
      <c r="F185" s="4">
        <v>0</v>
      </c>
      <c r="G185" s="4">
        <v>30250000</v>
      </c>
      <c r="H185" s="4">
        <v>350000</v>
      </c>
      <c r="I185" s="4">
        <v>0</v>
      </c>
      <c r="J185" s="2" t="s">
        <v>871</v>
      </c>
      <c r="K185" s="4">
        <v>35520000</v>
      </c>
      <c r="L185" s="4">
        <v>0</v>
      </c>
      <c r="M185" s="4">
        <v>4920000</v>
      </c>
      <c r="N185" s="4">
        <v>9000000</v>
      </c>
      <c r="O185" s="4">
        <v>5270000</v>
      </c>
      <c r="P185" s="5">
        <v>0.851633</v>
      </c>
      <c r="Q185" s="5">
        <v>0.933586</v>
      </c>
      <c r="R185" s="2" t="s">
        <v>872</v>
      </c>
      <c r="S185" s="7">
        <f t="shared" si="16"/>
        <v>4920000</v>
      </c>
      <c r="T185" s="7">
        <f t="shared" si="17"/>
        <v>5270000</v>
      </c>
      <c r="U185" s="8">
        <f t="shared" si="18"/>
        <v>0.933586337760911</v>
      </c>
      <c r="V185" s="9" t="e">
        <f>IF(T185&lt;=0,"Output &lt;= 0",IF(U185&gt;#REF!,"Terlalu tinggi",IF(U185&lt;#REF!,"Terlalu rendah","Sesuai")))</f>
        <v>#REF!</v>
      </c>
      <c r="W185" s="7" t="e">
        <f>IF(T185&lt;=0,S185,IF(U185&gt;#REF!,ROUNDDOWN(T185*#REF!,0),IF(U185&lt;#REF!,ROUNDUP(T185*#REF!,0),S185)))</f>
        <v>#REF!</v>
      </c>
      <c r="X185" s="7" t="e">
        <f t="shared" si="19"/>
        <v>#REF!</v>
      </c>
      <c r="Y185" s="7" t="e">
        <f t="shared" si="20"/>
        <v>#REF!</v>
      </c>
      <c r="Z185" s="7" t="e">
        <f t="shared" si="21"/>
        <v>#REF!</v>
      </c>
      <c r="AA185" s="7" t="e">
        <f t="shared" si="22"/>
        <v>#REF!</v>
      </c>
      <c r="AB185" s="8" t="e">
        <f t="shared" si="23"/>
        <v>#REF!</v>
      </c>
      <c r="AC185" s="9" t="e">
        <f>IF(T185&lt;=0,"Output &lt;= 0, cek manual",IF(OR(Z185&lt;0,Y185&lt;0),"Biaya negatif",IF(AND(AB185&gt;=#REF!,AB185&lt;=#REF!),"OK","Di luar rentang")))</f>
        <v>#REF!</v>
      </c>
    </row>
    <row r="186" ht="85.5" spans="1:29">
      <c r="A186" s="2" t="s">
        <v>30</v>
      </c>
      <c r="B186" s="2" t="s">
        <v>31</v>
      </c>
      <c r="C186" s="3" t="s">
        <v>873</v>
      </c>
      <c r="D186" s="3" t="s">
        <v>228</v>
      </c>
      <c r="E186" s="3" t="s">
        <v>874</v>
      </c>
      <c r="F186" s="4">
        <v>0</v>
      </c>
      <c r="G186" s="4">
        <v>5000000</v>
      </c>
      <c r="H186" s="4">
        <v>500000</v>
      </c>
      <c r="I186" s="4">
        <v>0</v>
      </c>
      <c r="J186" s="2" t="s">
        <v>88</v>
      </c>
      <c r="K186" s="4">
        <v>8000000</v>
      </c>
      <c r="L186" s="4">
        <v>0</v>
      </c>
      <c r="M186" s="4">
        <v>2500000</v>
      </c>
      <c r="N186" s="4">
        <v>5000000</v>
      </c>
      <c r="O186" s="4">
        <v>3000000</v>
      </c>
      <c r="P186" s="10">
        <v>0.625</v>
      </c>
      <c r="Q186" s="5">
        <v>0.833333</v>
      </c>
      <c r="R186" s="2" t="s">
        <v>875</v>
      </c>
      <c r="S186" s="7">
        <f t="shared" si="16"/>
        <v>2500000</v>
      </c>
      <c r="T186" s="7">
        <f t="shared" si="17"/>
        <v>3000000</v>
      </c>
      <c r="U186" s="8">
        <f t="shared" si="18"/>
        <v>0.833333333333333</v>
      </c>
      <c r="V186" s="9" t="e">
        <f>IF(T186&lt;=0,"Output &lt;= 0",IF(U186&gt;#REF!,"Terlalu tinggi",IF(U186&lt;#REF!,"Terlalu rendah","Sesuai")))</f>
        <v>#REF!</v>
      </c>
      <c r="W186" s="7" t="e">
        <f>IF(T186&lt;=0,S186,IF(U186&gt;#REF!,ROUNDDOWN(T186*#REF!,0),IF(U186&lt;#REF!,ROUNDUP(T186*#REF!,0),S186)))</f>
        <v>#REF!</v>
      </c>
      <c r="X186" s="7" t="e">
        <f t="shared" si="19"/>
        <v>#REF!</v>
      </c>
      <c r="Y186" s="7" t="e">
        <f t="shared" si="20"/>
        <v>#REF!</v>
      </c>
      <c r="Z186" s="7" t="e">
        <f t="shared" si="21"/>
        <v>#REF!</v>
      </c>
      <c r="AA186" s="7" t="e">
        <f t="shared" si="22"/>
        <v>#REF!</v>
      </c>
      <c r="AB186" s="8" t="e">
        <f t="shared" si="23"/>
        <v>#REF!</v>
      </c>
      <c r="AC186" s="9" t="e">
        <f>IF(T186&lt;=0,"Output &lt;= 0, cek manual",IF(OR(Z186&lt;0,Y186&lt;0),"Biaya negatif",IF(AND(AB186&gt;=#REF!,AB186&lt;=#REF!),"OK","Di luar rentang")))</f>
        <v>#REF!</v>
      </c>
    </row>
    <row r="187" ht="85.5" spans="1:29">
      <c r="A187" s="2" t="s">
        <v>30</v>
      </c>
      <c r="B187" s="2" t="s">
        <v>31</v>
      </c>
      <c r="C187" s="3" t="s">
        <v>876</v>
      </c>
      <c r="D187" s="3" t="s">
        <v>38</v>
      </c>
      <c r="E187" s="3" t="s">
        <v>877</v>
      </c>
      <c r="F187" s="4">
        <v>700000</v>
      </c>
      <c r="G187" s="4">
        <v>3000000</v>
      </c>
      <c r="H187" s="4">
        <v>300000</v>
      </c>
      <c r="I187" s="4">
        <v>0</v>
      </c>
      <c r="J187" s="2" t="s">
        <v>878</v>
      </c>
      <c r="K187" s="4">
        <v>12000000</v>
      </c>
      <c r="L187" s="4">
        <v>0</v>
      </c>
      <c r="M187" s="4">
        <v>8000000</v>
      </c>
      <c r="N187" s="4">
        <v>100000</v>
      </c>
      <c r="O187" s="4">
        <v>9000000</v>
      </c>
      <c r="P187" s="11">
        <v>0.25</v>
      </c>
      <c r="Q187" s="5">
        <v>0.888889</v>
      </c>
      <c r="R187" s="2" t="s">
        <v>879</v>
      </c>
      <c r="S187" s="7">
        <f t="shared" si="16"/>
        <v>8000000</v>
      </c>
      <c r="T187" s="7">
        <f t="shared" si="17"/>
        <v>9000000</v>
      </c>
      <c r="U187" s="8">
        <f t="shared" si="18"/>
        <v>0.888888888888889</v>
      </c>
      <c r="V187" s="9" t="e">
        <f>IF(T187&lt;=0,"Output &lt;= 0",IF(U187&gt;#REF!,"Terlalu tinggi",IF(U187&lt;#REF!,"Terlalu rendah","Sesuai")))</f>
        <v>#REF!</v>
      </c>
      <c r="W187" s="7" t="e">
        <f>IF(T187&lt;=0,S187,IF(U187&gt;#REF!,ROUNDDOWN(T187*#REF!,0),IF(U187&lt;#REF!,ROUNDUP(T187*#REF!,0),S187)))</f>
        <v>#REF!</v>
      </c>
      <c r="X187" s="7" t="e">
        <f t="shared" si="19"/>
        <v>#REF!</v>
      </c>
      <c r="Y187" s="7" t="e">
        <f t="shared" si="20"/>
        <v>#REF!</v>
      </c>
      <c r="Z187" s="7" t="e">
        <f t="shared" si="21"/>
        <v>#REF!</v>
      </c>
      <c r="AA187" s="7" t="e">
        <f t="shared" si="22"/>
        <v>#REF!</v>
      </c>
      <c r="AB187" s="8" t="e">
        <f t="shared" si="23"/>
        <v>#REF!</v>
      </c>
      <c r="AC187" s="9" t="e">
        <f>IF(T187&lt;=0,"Output &lt;= 0, cek manual",IF(OR(Z187&lt;0,Y187&lt;0),"Biaya negatif",IF(AND(AB187&gt;=#REF!,AB187&lt;=#REF!),"OK","Di luar rentang")))</f>
        <v>#REF!</v>
      </c>
    </row>
    <row r="188" ht="114" spans="1:29">
      <c r="A188" s="2" t="s">
        <v>30</v>
      </c>
      <c r="B188" s="2" t="s">
        <v>31</v>
      </c>
      <c r="C188" s="3" t="s">
        <v>880</v>
      </c>
      <c r="D188" s="3" t="s">
        <v>881</v>
      </c>
      <c r="E188" s="3" t="s">
        <v>882</v>
      </c>
      <c r="F188" s="4">
        <v>500000</v>
      </c>
      <c r="G188" s="4">
        <v>21600000</v>
      </c>
      <c r="H188" s="4">
        <v>120000</v>
      </c>
      <c r="I188" s="4">
        <v>0</v>
      </c>
      <c r="J188" s="2" t="s">
        <v>883</v>
      </c>
      <c r="K188" s="4">
        <v>27000000</v>
      </c>
      <c r="L188" s="4">
        <v>23000000</v>
      </c>
      <c r="M188" s="4">
        <v>4780000</v>
      </c>
      <c r="N188" s="4">
        <v>450000</v>
      </c>
      <c r="O188" s="4">
        <v>5400000</v>
      </c>
      <c r="P188" s="12">
        <v>0.8</v>
      </c>
      <c r="Q188" s="5">
        <v>0.885185</v>
      </c>
      <c r="R188" s="2" t="s">
        <v>884</v>
      </c>
      <c r="S188" s="7">
        <f t="shared" si="16"/>
        <v>4780000</v>
      </c>
      <c r="T188" s="7">
        <f t="shared" si="17"/>
        <v>5400000</v>
      </c>
      <c r="U188" s="8">
        <f t="shared" si="18"/>
        <v>0.885185185185185</v>
      </c>
      <c r="V188" s="9" t="e">
        <f>IF(T188&lt;=0,"Output &lt;= 0",IF(U188&gt;#REF!,"Terlalu tinggi",IF(U188&lt;#REF!,"Terlalu rendah","Sesuai")))</f>
        <v>#REF!</v>
      </c>
      <c r="W188" s="7" t="e">
        <f>IF(T188&lt;=0,S188,IF(U188&gt;#REF!,ROUNDDOWN(T188*#REF!,0),IF(U188&lt;#REF!,ROUNDUP(T188*#REF!,0),S188)))</f>
        <v>#REF!</v>
      </c>
      <c r="X188" s="7" t="e">
        <f t="shared" si="19"/>
        <v>#REF!</v>
      </c>
      <c r="Y188" s="7" t="e">
        <f t="shared" si="20"/>
        <v>#REF!</v>
      </c>
      <c r="Z188" s="7" t="e">
        <f t="shared" si="21"/>
        <v>#REF!</v>
      </c>
      <c r="AA188" s="7" t="e">
        <f t="shared" si="22"/>
        <v>#REF!</v>
      </c>
      <c r="AB188" s="8" t="e">
        <f t="shared" si="23"/>
        <v>#REF!</v>
      </c>
      <c r="AC188" s="9" t="e">
        <f>IF(T188&lt;=0,"Output &lt;= 0, cek manual",IF(OR(Z188&lt;0,Y188&lt;0),"Biaya negatif",IF(AND(AB188&gt;=#REF!,AB188&lt;=#REF!),"OK","Di luar rentang")))</f>
        <v>#REF!</v>
      </c>
    </row>
    <row r="189" ht="85.5" spans="1:29">
      <c r="A189" s="2" t="s">
        <v>30</v>
      </c>
      <c r="B189" s="2" t="s">
        <v>31</v>
      </c>
      <c r="C189" s="3" t="s">
        <v>885</v>
      </c>
      <c r="D189" s="3" t="s">
        <v>886</v>
      </c>
      <c r="E189" s="3" t="s">
        <v>887</v>
      </c>
      <c r="F189" s="4">
        <v>500000</v>
      </c>
      <c r="G189" s="4">
        <v>3000000</v>
      </c>
      <c r="H189" s="4">
        <v>300000</v>
      </c>
      <c r="I189" s="4">
        <v>0</v>
      </c>
      <c r="J189" s="2" t="s">
        <v>888</v>
      </c>
      <c r="K189" s="4">
        <v>7000000</v>
      </c>
      <c r="L189" s="4">
        <v>0</v>
      </c>
      <c r="M189" s="4">
        <v>3200000</v>
      </c>
      <c r="N189" s="4">
        <v>2200000</v>
      </c>
      <c r="O189" s="4">
        <v>4000000</v>
      </c>
      <c r="P189" s="5">
        <v>0.428571</v>
      </c>
      <c r="Q189" s="12">
        <v>0.8</v>
      </c>
      <c r="R189" s="2" t="s">
        <v>889</v>
      </c>
      <c r="S189" s="7">
        <f t="shared" si="16"/>
        <v>3200000</v>
      </c>
      <c r="T189" s="7">
        <f t="shared" si="17"/>
        <v>4000000</v>
      </c>
      <c r="U189" s="8">
        <f t="shared" si="18"/>
        <v>0.8</v>
      </c>
      <c r="V189" s="9" t="e">
        <f>IF(T189&lt;=0,"Output &lt;= 0",IF(U189&gt;#REF!,"Terlalu tinggi",IF(U189&lt;#REF!,"Terlalu rendah","Sesuai")))</f>
        <v>#REF!</v>
      </c>
      <c r="W189" s="7" t="e">
        <f>IF(T189&lt;=0,S189,IF(U189&gt;#REF!,ROUNDDOWN(T189*#REF!,0),IF(U189&lt;#REF!,ROUNDUP(T189*#REF!,0),S189)))</f>
        <v>#REF!</v>
      </c>
      <c r="X189" s="7" t="e">
        <f t="shared" si="19"/>
        <v>#REF!</v>
      </c>
      <c r="Y189" s="7" t="e">
        <f t="shared" si="20"/>
        <v>#REF!</v>
      </c>
      <c r="Z189" s="7" t="e">
        <f t="shared" si="21"/>
        <v>#REF!</v>
      </c>
      <c r="AA189" s="7" t="e">
        <f t="shared" si="22"/>
        <v>#REF!</v>
      </c>
      <c r="AB189" s="8" t="e">
        <f t="shared" si="23"/>
        <v>#REF!</v>
      </c>
      <c r="AC189" s="9" t="e">
        <f>IF(T189&lt;=0,"Output &lt;= 0, cek manual",IF(OR(Z189&lt;0,Y189&lt;0),"Biaya negatif",IF(AND(AB189&gt;=#REF!,AB189&lt;=#REF!),"OK","Di luar rentang")))</f>
        <v>#REF!</v>
      </c>
    </row>
    <row r="190" ht="85.5" spans="1:29">
      <c r="A190" s="2" t="s">
        <v>30</v>
      </c>
      <c r="B190" s="2" t="s">
        <v>31</v>
      </c>
      <c r="C190" s="3" t="s">
        <v>890</v>
      </c>
      <c r="D190" s="3" t="s">
        <v>91</v>
      </c>
      <c r="E190" s="3" t="s">
        <v>891</v>
      </c>
      <c r="F190" s="4">
        <v>600000</v>
      </c>
      <c r="G190" s="4">
        <v>18000000</v>
      </c>
      <c r="H190" s="4">
        <v>960000</v>
      </c>
      <c r="I190" s="4">
        <v>0</v>
      </c>
      <c r="J190" s="2" t="s">
        <v>892</v>
      </c>
      <c r="K190" s="4">
        <v>27000000</v>
      </c>
      <c r="L190" s="4">
        <v>0</v>
      </c>
      <c r="M190" s="4">
        <v>7440000</v>
      </c>
      <c r="N190" s="4">
        <v>6250000</v>
      </c>
      <c r="O190" s="4">
        <v>9000000</v>
      </c>
      <c r="P190" s="5">
        <v>0.666667</v>
      </c>
      <c r="Q190" s="5">
        <v>0.826667</v>
      </c>
      <c r="R190" s="2" t="s">
        <v>893</v>
      </c>
      <c r="S190" s="7">
        <f t="shared" si="16"/>
        <v>7440000</v>
      </c>
      <c r="T190" s="7">
        <f t="shared" si="17"/>
        <v>9000000</v>
      </c>
      <c r="U190" s="8">
        <f t="shared" si="18"/>
        <v>0.826666666666667</v>
      </c>
      <c r="V190" s="9" t="e">
        <f>IF(T190&lt;=0,"Output &lt;= 0",IF(U190&gt;#REF!,"Terlalu tinggi",IF(U190&lt;#REF!,"Terlalu rendah","Sesuai")))</f>
        <v>#REF!</v>
      </c>
      <c r="W190" s="7" t="e">
        <f>IF(T190&lt;=0,S190,IF(U190&gt;#REF!,ROUNDDOWN(T190*#REF!,0),IF(U190&lt;#REF!,ROUNDUP(T190*#REF!,0),S190)))</f>
        <v>#REF!</v>
      </c>
      <c r="X190" s="7" t="e">
        <f t="shared" si="19"/>
        <v>#REF!</v>
      </c>
      <c r="Y190" s="7" t="e">
        <f t="shared" si="20"/>
        <v>#REF!</v>
      </c>
      <c r="Z190" s="7" t="e">
        <f t="shared" si="21"/>
        <v>#REF!</v>
      </c>
      <c r="AA190" s="7" t="e">
        <f t="shared" si="22"/>
        <v>#REF!</v>
      </c>
      <c r="AB190" s="8" t="e">
        <f t="shared" si="23"/>
        <v>#REF!</v>
      </c>
      <c r="AC190" s="9" t="e">
        <f>IF(T190&lt;=0,"Output &lt;= 0, cek manual",IF(OR(Z190&lt;0,Y190&lt;0),"Biaya negatif",IF(AND(AB190&gt;=#REF!,AB190&lt;=#REF!),"OK","Di luar rentang")))</f>
        <v>#REF!</v>
      </c>
    </row>
    <row r="191" ht="128.25" spans="1:29">
      <c r="A191" s="2" t="s">
        <v>30</v>
      </c>
      <c r="B191" s="2" t="s">
        <v>31</v>
      </c>
      <c r="C191" s="3" t="s">
        <v>894</v>
      </c>
      <c r="D191" s="3" t="s">
        <v>895</v>
      </c>
      <c r="E191" s="3" t="s">
        <v>896</v>
      </c>
      <c r="F191" s="4">
        <v>1750000</v>
      </c>
      <c r="G191" s="4">
        <v>2500000</v>
      </c>
      <c r="H191" s="4">
        <v>150000</v>
      </c>
      <c r="I191" s="4">
        <v>10000</v>
      </c>
      <c r="J191" s="2" t="s">
        <v>897</v>
      </c>
      <c r="K191" s="4">
        <v>6985000</v>
      </c>
      <c r="L191" s="4">
        <v>0</v>
      </c>
      <c r="M191" s="4">
        <v>2585000</v>
      </c>
      <c r="N191" s="4">
        <v>10635000</v>
      </c>
      <c r="O191" s="4">
        <v>4485000</v>
      </c>
      <c r="P191" s="6">
        <v>0.35791</v>
      </c>
      <c r="Q191" s="5">
        <v>0.576366</v>
      </c>
      <c r="R191" s="2" t="s">
        <v>898</v>
      </c>
      <c r="S191" s="7">
        <f t="shared" si="16"/>
        <v>2585000</v>
      </c>
      <c r="T191" s="7">
        <f t="shared" si="17"/>
        <v>4485000</v>
      </c>
      <c r="U191" s="8">
        <f t="shared" si="18"/>
        <v>0.576365663322185</v>
      </c>
      <c r="V191" s="9" t="e">
        <f>IF(T191&lt;=0,"Output &lt;= 0",IF(U191&gt;#REF!,"Terlalu tinggi",IF(U191&lt;#REF!,"Terlalu rendah","Sesuai")))</f>
        <v>#REF!</v>
      </c>
      <c r="W191" s="7" t="e">
        <f>IF(T191&lt;=0,S191,IF(U191&gt;#REF!,ROUNDDOWN(T191*#REF!,0),IF(U191&lt;#REF!,ROUNDUP(T191*#REF!,0),S191)))</f>
        <v>#REF!</v>
      </c>
      <c r="X191" s="7" t="e">
        <f t="shared" si="19"/>
        <v>#REF!</v>
      </c>
      <c r="Y191" s="7" t="e">
        <f t="shared" si="20"/>
        <v>#REF!</v>
      </c>
      <c r="Z191" s="7" t="e">
        <f t="shared" si="21"/>
        <v>#REF!</v>
      </c>
      <c r="AA191" s="7" t="e">
        <f t="shared" si="22"/>
        <v>#REF!</v>
      </c>
      <c r="AB191" s="8" t="e">
        <f t="shared" si="23"/>
        <v>#REF!</v>
      </c>
      <c r="AC191" s="9" t="e">
        <f>IF(T191&lt;=0,"Output &lt;= 0, cek manual",IF(OR(Z191&lt;0,Y191&lt;0),"Biaya negatif",IF(AND(AB191&gt;=#REF!,AB191&lt;=#REF!),"OK","Di luar rentang")))</f>
        <v>#REF!</v>
      </c>
    </row>
    <row r="192" ht="99.75" spans="1:29">
      <c r="A192" s="2" t="s">
        <v>30</v>
      </c>
      <c r="B192" s="2" t="s">
        <v>31</v>
      </c>
      <c r="C192" s="3" t="s">
        <v>899</v>
      </c>
      <c r="D192" s="3" t="s">
        <v>900</v>
      </c>
      <c r="E192" s="3" t="s">
        <v>901</v>
      </c>
      <c r="F192" s="4">
        <v>600000</v>
      </c>
      <c r="G192" s="4">
        <v>156000000</v>
      </c>
      <c r="H192" s="4">
        <v>1560000</v>
      </c>
      <c r="I192" s="4">
        <v>3600000</v>
      </c>
      <c r="J192" s="2" t="s">
        <v>902</v>
      </c>
      <c r="K192" s="4">
        <v>171600000</v>
      </c>
      <c r="L192" s="4">
        <v>0</v>
      </c>
      <c r="M192" s="4">
        <v>13440000</v>
      </c>
      <c r="N192" s="4">
        <v>5000000</v>
      </c>
      <c r="O192" s="4">
        <v>15600000</v>
      </c>
      <c r="P192" s="5">
        <v>0.909091</v>
      </c>
      <c r="Q192" s="5">
        <v>0.861538</v>
      </c>
      <c r="R192" s="2" t="s">
        <v>903</v>
      </c>
      <c r="S192" s="7">
        <f t="shared" si="16"/>
        <v>13440000</v>
      </c>
      <c r="T192" s="7">
        <f t="shared" si="17"/>
        <v>15600000</v>
      </c>
      <c r="U192" s="8">
        <f t="shared" si="18"/>
        <v>0.861538461538462</v>
      </c>
      <c r="V192" s="9" t="e">
        <f>IF(T192&lt;=0,"Output &lt;= 0",IF(U192&gt;#REF!,"Terlalu tinggi",IF(U192&lt;#REF!,"Terlalu rendah","Sesuai")))</f>
        <v>#REF!</v>
      </c>
      <c r="W192" s="7" t="e">
        <f>IF(T192&lt;=0,S192,IF(U192&gt;#REF!,ROUNDDOWN(T192*#REF!,0),IF(U192&lt;#REF!,ROUNDUP(T192*#REF!,0),S192)))</f>
        <v>#REF!</v>
      </c>
      <c r="X192" s="7" t="e">
        <f t="shared" si="19"/>
        <v>#REF!</v>
      </c>
      <c r="Y192" s="7" t="e">
        <f t="shared" si="20"/>
        <v>#REF!</v>
      </c>
      <c r="Z192" s="7" t="e">
        <f t="shared" si="21"/>
        <v>#REF!</v>
      </c>
      <c r="AA192" s="7" t="e">
        <f t="shared" si="22"/>
        <v>#REF!</v>
      </c>
      <c r="AB192" s="8" t="e">
        <f t="shared" si="23"/>
        <v>#REF!</v>
      </c>
      <c r="AC192" s="9" t="e">
        <f>IF(T192&lt;=0,"Output &lt;= 0, cek manual",IF(OR(Z192&lt;0,Y192&lt;0),"Biaya negatif",IF(AND(AB192&gt;=#REF!,AB192&lt;=#REF!),"OK","Di luar rentang")))</f>
        <v>#REF!</v>
      </c>
    </row>
    <row r="193" ht="409.5" spans="1:29">
      <c r="A193" s="2" t="s">
        <v>30</v>
      </c>
      <c r="B193" s="2" t="s">
        <v>31</v>
      </c>
      <c r="C193" s="3" t="s">
        <v>904</v>
      </c>
      <c r="D193" s="3" t="s">
        <v>905</v>
      </c>
      <c r="E193" s="3" t="s">
        <v>906</v>
      </c>
      <c r="F193" s="4">
        <v>500000</v>
      </c>
      <c r="G193" s="4">
        <v>0</v>
      </c>
      <c r="H193" s="4">
        <v>100000</v>
      </c>
      <c r="I193" s="4">
        <v>0</v>
      </c>
      <c r="J193" s="2" t="s">
        <v>74</v>
      </c>
      <c r="K193" s="4">
        <v>9000000</v>
      </c>
      <c r="L193" s="4">
        <v>0</v>
      </c>
      <c r="M193" s="4">
        <v>8400000</v>
      </c>
      <c r="N193" s="4">
        <v>0</v>
      </c>
      <c r="O193" s="4">
        <v>9000000</v>
      </c>
      <c r="P193" s="4">
        <v>0</v>
      </c>
      <c r="Q193" s="5">
        <v>0.933333</v>
      </c>
      <c r="R193" s="2" t="s">
        <v>907</v>
      </c>
      <c r="S193" s="7">
        <f t="shared" si="16"/>
        <v>8400000</v>
      </c>
      <c r="T193" s="7">
        <f t="shared" si="17"/>
        <v>9000000</v>
      </c>
      <c r="U193" s="8">
        <f t="shared" si="18"/>
        <v>0.933333333333333</v>
      </c>
      <c r="V193" s="9" t="e">
        <f>IF(T193&lt;=0,"Output &lt;= 0",IF(U193&gt;#REF!,"Terlalu tinggi",IF(U193&lt;#REF!,"Terlalu rendah","Sesuai")))</f>
        <v>#REF!</v>
      </c>
      <c r="W193" s="7" t="e">
        <f>IF(T193&lt;=0,S193,IF(U193&gt;#REF!,ROUNDDOWN(T193*#REF!,0),IF(U193&lt;#REF!,ROUNDUP(T193*#REF!,0),S193)))</f>
        <v>#REF!</v>
      </c>
      <c r="X193" s="7" t="e">
        <f t="shared" si="19"/>
        <v>#REF!</v>
      </c>
      <c r="Y193" s="7" t="e">
        <f t="shared" si="20"/>
        <v>#REF!</v>
      </c>
      <c r="Z193" s="7" t="e">
        <f t="shared" si="21"/>
        <v>#REF!</v>
      </c>
      <c r="AA193" s="7" t="e">
        <f t="shared" si="22"/>
        <v>#REF!</v>
      </c>
      <c r="AB193" s="8" t="e">
        <f t="shared" si="23"/>
        <v>#REF!</v>
      </c>
      <c r="AC193" s="9" t="e">
        <f>IF(T193&lt;=0,"Output &lt;= 0, cek manual",IF(OR(Z193&lt;0,Y193&lt;0),"Biaya negatif",IF(AND(AB193&gt;=#REF!,AB193&lt;=#REF!),"OK","Di luar rentang")))</f>
        <v>#REF!</v>
      </c>
    </row>
    <row r="194" ht="128.25" spans="1:29">
      <c r="A194" s="2" t="s">
        <v>30</v>
      </c>
      <c r="B194" s="2" t="s">
        <v>31</v>
      </c>
      <c r="C194" s="3" t="s">
        <v>908</v>
      </c>
      <c r="D194" s="3" t="s">
        <v>909</v>
      </c>
      <c r="E194" s="3" t="s">
        <v>910</v>
      </c>
      <c r="F194" s="4">
        <v>200000</v>
      </c>
      <c r="G194" s="4">
        <v>15500000</v>
      </c>
      <c r="H194" s="4">
        <v>1600000</v>
      </c>
      <c r="I194" s="4">
        <v>0</v>
      </c>
      <c r="J194" s="2" t="s">
        <v>261</v>
      </c>
      <c r="K194" s="4">
        <v>19600000</v>
      </c>
      <c r="L194" s="4">
        <v>5200000</v>
      </c>
      <c r="M194" s="4">
        <v>2300000</v>
      </c>
      <c r="N194" s="4">
        <v>15000000</v>
      </c>
      <c r="O194" s="4">
        <v>4100000</v>
      </c>
      <c r="P194" s="5">
        <v>0.790816</v>
      </c>
      <c r="Q194" s="5">
        <v>0.560976</v>
      </c>
      <c r="R194" s="2" t="s">
        <v>911</v>
      </c>
      <c r="S194" s="7">
        <f t="shared" ref="S194:S257" si="24">K194-F194-G194-H194</f>
        <v>2300000</v>
      </c>
      <c r="T194" s="7">
        <f t="shared" ref="T194:T257" si="25">K194-G194</f>
        <v>4100000</v>
      </c>
      <c r="U194" s="8">
        <f t="shared" ref="U194:U257" si="26">IF(T194&lt;=0,"",S194/T194)</f>
        <v>0.560975609756098</v>
      </c>
      <c r="V194" s="9" t="e">
        <f>IF(T194&lt;=0,"Output &lt;= 0",IF(U194&gt;#REF!,"Terlalu tinggi",IF(U194&lt;#REF!,"Terlalu rendah","Sesuai")))</f>
        <v>#REF!</v>
      </c>
      <c r="W194" s="7" t="e">
        <f>IF(T194&lt;=0,S194,IF(U194&gt;#REF!,ROUNDDOWN(T194*#REF!,0),IF(U194&lt;#REF!,ROUNDUP(T194*#REF!,0),S194)))</f>
        <v>#REF!</v>
      </c>
      <c r="X194" s="7" t="e">
        <f t="shared" ref="X194:X257" si="27">W194-S194</f>
        <v>#REF!</v>
      </c>
      <c r="Y194" s="7" t="e">
        <f t="shared" ref="Y194:Y257" si="28">IF(F194+H194&gt;0,ROUND((T194-W194)*H194/(F194+H194),0),T194-W194)</f>
        <v>#REF!</v>
      </c>
      <c r="Z194" s="7" t="e">
        <f t="shared" ref="Z194:Z257" si="29">(T194-W194)-Y194</f>
        <v>#REF!</v>
      </c>
      <c r="AA194" s="7" t="e">
        <f t="shared" ref="AA194:AA257" si="30">K194-Z194-G194-Y194</f>
        <v>#REF!</v>
      </c>
      <c r="AB194" s="8" t="e">
        <f t="shared" ref="AB194:AB257" si="31">IF(T194&lt;=0,"",AA194/T194)</f>
        <v>#REF!</v>
      </c>
      <c r="AC194" s="9" t="e">
        <f>IF(T194&lt;=0,"Output &lt;= 0, cek manual",IF(OR(Z194&lt;0,Y194&lt;0),"Biaya negatif",IF(AND(AB194&gt;=#REF!,AB194&lt;=#REF!),"OK","Di luar rentang")))</f>
        <v>#REF!</v>
      </c>
    </row>
    <row r="195" ht="85.5" spans="1:29">
      <c r="A195" s="2" t="s">
        <v>30</v>
      </c>
      <c r="B195" s="2" t="s">
        <v>31</v>
      </c>
      <c r="C195" s="3" t="s">
        <v>912</v>
      </c>
      <c r="D195" s="3" t="s">
        <v>228</v>
      </c>
      <c r="E195" s="3" t="s">
        <v>913</v>
      </c>
      <c r="F195" s="4">
        <v>200000</v>
      </c>
      <c r="G195" s="4">
        <v>350000</v>
      </c>
      <c r="H195" s="4">
        <v>0</v>
      </c>
      <c r="I195" s="4">
        <v>0</v>
      </c>
      <c r="J195" s="2" t="s">
        <v>914</v>
      </c>
      <c r="K195" s="4">
        <v>1800000</v>
      </c>
      <c r="L195" s="4">
        <v>0</v>
      </c>
      <c r="M195" s="4">
        <v>1250000</v>
      </c>
      <c r="N195" s="4">
        <v>150050000</v>
      </c>
      <c r="O195" s="4">
        <v>1450000</v>
      </c>
      <c r="P195" s="5">
        <v>0.194444</v>
      </c>
      <c r="Q195" s="5">
        <v>0.862069</v>
      </c>
      <c r="R195" s="2" t="s">
        <v>915</v>
      </c>
      <c r="S195" s="7">
        <f t="shared" si="24"/>
        <v>1250000</v>
      </c>
      <c r="T195" s="7">
        <f t="shared" si="25"/>
        <v>1450000</v>
      </c>
      <c r="U195" s="8">
        <f t="shared" si="26"/>
        <v>0.862068965517241</v>
      </c>
      <c r="V195" s="9" t="e">
        <f>IF(T195&lt;=0,"Output &lt;= 0",IF(U195&gt;#REF!,"Terlalu tinggi",IF(U195&lt;#REF!,"Terlalu rendah","Sesuai")))</f>
        <v>#REF!</v>
      </c>
      <c r="W195" s="7" t="e">
        <f>IF(T195&lt;=0,S195,IF(U195&gt;#REF!,ROUNDDOWN(T195*#REF!,0),IF(U195&lt;#REF!,ROUNDUP(T195*#REF!,0),S195)))</f>
        <v>#REF!</v>
      </c>
      <c r="X195" s="7" t="e">
        <f t="shared" si="27"/>
        <v>#REF!</v>
      </c>
      <c r="Y195" s="7" t="e">
        <f t="shared" si="28"/>
        <v>#REF!</v>
      </c>
      <c r="Z195" s="7" t="e">
        <f t="shared" si="29"/>
        <v>#REF!</v>
      </c>
      <c r="AA195" s="7" t="e">
        <f t="shared" si="30"/>
        <v>#REF!</v>
      </c>
      <c r="AB195" s="8" t="e">
        <f t="shared" si="31"/>
        <v>#REF!</v>
      </c>
      <c r="AC195" s="9" t="e">
        <f>IF(T195&lt;=0,"Output &lt;= 0, cek manual",IF(OR(Z195&lt;0,Y195&lt;0),"Biaya negatif",IF(AND(AB195&gt;=#REF!,AB195&lt;=#REF!),"OK","Di luar rentang")))</f>
        <v>#REF!</v>
      </c>
    </row>
    <row r="196" ht="57" spans="1:29">
      <c r="A196" s="2" t="s">
        <v>30</v>
      </c>
      <c r="B196" s="2" t="s">
        <v>31</v>
      </c>
      <c r="C196" s="3" t="s">
        <v>916</v>
      </c>
      <c r="D196" s="3" t="s">
        <v>917</v>
      </c>
      <c r="E196" s="3" t="s">
        <v>918</v>
      </c>
      <c r="F196" s="4">
        <v>0</v>
      </c>
      <c r="G196" s="4">
        <v>10000000</v>
      </c>
      <c r="H196" s="4">
        <v>465000</v>
      </c>
      <c r="I196" s="4">
        <v>2000000</v>
      </c>
      <c r="J196" s="2" t="s">
        <v>919</v>
      </c>
      <c r="K196" s="4">
        <v>15000000</v>
      </c>
      <c r="L196" s="4">
        <v>1000000</v>
      </c>
      <c r="M196" s="4">
        <v>4535000</v>
      </c>
      <c r="N196" s="4">
        <v>55500000</v>
      </c>
      <c r="O196" s="4">
        <v>5000000</v>
      </c>
      <c r="P196" s="5">
        <v>0.666667</v>
      </c>
      <c r="Q196" s="10">
        <v>0.907</v>
      </c>
      <c r="R196" s="2" t="s">
        <v>920</v>
      </c>
      <c r="S196" s="7">
        <f t="shared" si="24"/>
        <v>4535000</v>
      </c>
      <c r="T196" s="7">
        <f t="shared" si="25"/>
        <v>5000000</v>
      </c>
      <c r="U196" s="8">
        <f t="shared" si="26"/>
        <v>0.907</v>
      </c>
      <c r="V196" s="9" t="e">
        <f>IF(T196&lt;=0,"Output &lt;= 0",IF(U196&gt;#REF!,"Terlalu tinggi",IF(U196&lt;#REF!,"Terlalu rendah","Sesuai")))</f>
        <v>#REF!</v>
      </c>
      <c r="W196" s="7" t="e">
        <f>IF(T196&lt;=0,S196,IF(U196&gt;#REF!,ROUNDDOWN(T196*#REF!,0),IF(U196&lt;#REF!,ROUNDUP(T196*#REF!,0),S196)))</f>
        <v>#REF!</v>
      </c>
      <c r="X196" s="7" t="e">
        <f t="shared" si="27"/>
        <v>#REF!</v>
      </c>
      <c r="Y196" s="7" t="e">
        <f t="shared" si="28"/>
        <v>#REF!</v>
      </c>
      <c r="Z196" s="7" t="e">
        <f t="shared" si="29"/>
        <v>#REF!</v>
      </c>
      <c r="AA196" s="7" t="e">
        <f t="shared" si="30"/>
        <v>#REF!</v>
      </c>
      <c r="AB196" s="8" t="e">
        <f t="shared" si="31"/>
        <v>#REF!</v>
      </c>
      <c r="AC196" s="9" t="e">
        <f>IF(T196&lt;=0,"Output &lt;= 0, cek manual",IF(OR(Z196&lt;0,Y196&lt;0),"Biaya negatif",IF(AND(AB196&gt;=#REF!,AB196&lt;=#REF!),"OK","Di luar rentang")))</f>
        <v>#REF!</v>
      </c>
    </row>
    <row r="197" ht="42.75" spans="1:29">
      <c r="A197" s="2" t="s">
        <v>30</v>
      </c>
      <c r="B197" s="2" t="s">
        <v>31</v>
      </c>
      <c r="C197" s="3" t="s">
        <v>921</v>
      </c>
      <c r="D197" s="3" t="s">
        <v>228</v>
      </c>
      <c r="E197" s="3" t="s">
        <v>39</v>
      </c>
      <c r="F197" s="4">
        <v>300000</v>
      </c>
      <c r="G197" s="4">
        <v>7000000</v>
      </c>
      <c r="H197" s="4">
        <v>200000</v>
      </c>
      <c r="I197" s="4">
        <v>0</v>
      </c>
      <c r="J197" s="2" t="s">
        <v>922</v>
      </c>
      <c r="K197" s="4">
        <v>15000000</v>
      </c>
      <c r="L197" s="4">
        <v>0</v>
      </c>
      <c r="M197" s="4">
        <v>7500000</v>
      </c>
      <c r="N197" s="4">
        <v>1850000</v>
      </c>
      <c r="O197" s="4">
        <v>8000000</v>
      </c>
      <c r="P197" s="5">
        <v>0.466667</v>
      </c>
      <c r="Q197" s="13">
        <v>0.9375</v>
      </c>
      <c r="R197" s="2" t="s">
        <v>923</v>
      </c>
      <c r="S197" s="7">
        <f t="shared" si="24"/>
        <v>7500000</v>
      </c>
      <c r="T197" s="7">
        <f t="shared" si="25"/>
        <v>8000000</v>
      </c>
      <c r="U197" s="8">
        <f t="shared" si="26"/>
        <v>0.9375</v>
      </c>
      <c r="V197" s="9" t="e">
        <f>IF(T197&lt;=0,"Output &lt;= 0",IF(U197&gt;#REF!,"Terlalu tinggi",IF(U197&lt;#REF!,"Terlalu rendah","Sesuai")))</f>
        <v>#REF!</v>
      </c>
      <c r="W197" s="7" t="e">
        <f>IF(T197&lt;=0,S197,IF(U197&gt;#REF!,ROUNDDOWN(T197*#REF!,0),IF(U197&lt;#REF!,ROUNDUP(T197*#REF!,0),S197)))</f>
        <v>#REF!</v>
      </c>
      <c r="X197" s="7" t="e">
        <f t="shared" si="27"/>
        <v>#REF!</v>
      </c>
      <c r="Y197" s="7" t="e">
        <f t="shared" si="28"/>
        <v>#REF!</v>
      </c>
      <c r="Z197" s="7" t="e">
        <f t="shared" si="29"/>
        <v>#REF!</v>
      </c>
      <c r="AA197" s="7" t="e">
        <f t="shared" si="30"/>
        <v>#REF!</v>
      </c>
      <c r="AB197" s="8" t="e">
        <f t="shared" si="31"/>
        <v>#REF!</v>
      </c>
      <c r="AC197" s="9" t="e">
        <f>IF(T197&lt;=0,"Output &lt;= 0, cek manual",IF(OR(Z197&lt;0,Y197&lt;0),"Biaya negatif",IF(AND(AB197&gt;=#REF!,AB197&lt;=#REF!),"OK","Di luar rentang")))</f>
        <v>#REF!</v>
      </c>
    </row>
    <row r="198" ht="85.5" spans="1:29">
      <c r="A198" s="2" t="s">
        <v>30</v>
      </c>
      <c r="B198" s="2" t="s">
        <v>31</v>
      </c>
      <c r="C198" s="3" t="s">
        <v>924</v>
      </c>
      <c r="D198" s="3" t="s">
        <v>925</v>
      </c>
      <c r="E198" s="3" t="s">
        <v>926</v>
      </c>
      <c r="F198" s="4">
        <v>0</v>
      </c>
      <c r="G198" s="4">
        <v>500000</v>
      </c>
      <c r="H198" s="4">
        <v>0</v>
      </c>
      <c r="I198" s="4">
        <v>0</v>
      </c>
      <c r="J198" s="2" t="s">
        <v>208</v>
      </c>
      <c r="K198" s="4">
        <v>900000</v>
      </c>
      <c r="L198" s="4">
        <v>0</v>
      </c>
      <c r="M198" s="4">
        <v>400000</v>
      </c>
      <c r="N198" s="4">
        <v>3000000</v>
      </c>
      <c r="O198" s="4">
        <v>400000</v>
      </c>
      <c r="P198" s="5">
        <v>0.555556</v>
      </c>
      <c r="Q198" s="4">
        <v>1</v>
      </c>
      <c r="R198" s="2" t="s">
        <v>927</v>
      </c>
      <c r="S198" s="7">
        <f t="shared" si="24"/>
        <v>400000</v>
      </c>
      <c r="T198" s="7">
        <f t="shared" si="25"/>
        <v>400000</v>
      </c>
      <c r="U198" s="8">
        <f t="shared" si="26"/>
        <v>1</v>
      </c>
      <c r="V198" s="9" t="e">
        <f>IF(T198&lt;=0,"Output &lt;= 0",IF(U198&gt;#REF!,"Terlalu tinggi",IF(U198&lt;#REF!,"Terlalu rendah","Sesuai")))</f>
        <v>#REF!</v>
      </c>
      <c r="W198" s="7" t="e">
        <f>IF(T198&lt;=0,S198,IF(U198&gt;#REF!,ROUNDDOWN(T198*#REF!,0),IF(U198&lt;#REF!,ROUNDUP(T198*#REF!,0),S198)))</f>
        <v>#REF!</v>
      </c>
      <c r="X198" s="7" t="e">
        <f t="shared" si="27"/>
        <v>#REF!</v>
      </c>
      <c r="Y198" s="7" t="e">
        <f t="shared" si="28"/>
        <v>#REF!</v>
      </c>
      <c r="Z198" s="7" t="e">
        <f t="shared" si="29"/>
        <v>#REF!</v>
      </c>
      <c r="AA198" s="7" t="e">
        <f t="shared" si="30"/>
        <v>#REF!</v>
      </c>
      <c r="AB198" s="8" t="e">
        <f t="shared" si="31"/>
        <v>#REF!</v>
      </c>
      <c r="AC198" s="9" t="e">
        <f>IF(T198&lt;=0,"Output &lt;= 0, cek manual",IF(OR(Z198&lt;0,Y198&lt;0),"Biaya negatif",IF(AND(AB198&gt;=#REF!,AB198&lt;=#REF!),"OK","Di luar rentang")))</f>
        <v>#REF!</v>
      </c>
    </row>
    <row r="199" ht="42.75" spans="1:29">
      <c r="A199" s="2" t="s">
        <v>30</v>
      </c>
      <c r="B199" s="2" t="s">
        <v>31</v>
      </c>
      <c r="C199" s="3" t="s">
        <v>928</v>
      </c>
      <c r="D199" s="3" t="s">
        <v>929</v>
      </c>
      <c r="E199" s="3" t="s">
        <v>930</v>
      </c>
      <c r="F199" s="4">
        <v>3000000</v>
      </c>
      <c r="G199" s="4">
        <v>24000000</v>
      </c>
      <c r="H199" s="4">
        <v>1000000</v>
      </c>
      <c r="I199" s="4">
        <v>0</v>
      </c>
      <c r="J199" s="2" t="s">
        <v>878</v>
      </c>
      <c r="K199" s="4">
        <v>42000000</v>
      </c>
      <c r="L199" s="4">
        <v>0</v>
      </c>
      <c r="M199" s="4">
        <v>14000000</v>
      </c>
      <c r="N199" s="4">
        <v>1000000</v>
      </c>
      <c r="O199" s="4">
        <v>18000000</v>
      </c>
      <c r="P199" s="5">
        <v>0.571429</v>
      </c>
      <c r="Q199" s="5">
        <v>0.777778</v>
      </c>
      <c r="R199" s="2" t="s">
        <v>931</v>
      </c>
      <c r="S199" s="7">
        <f t="shared" si="24"/>
        <v>14000000</v>
      </c>
      <c r="T199" s="7">
        <f t="shared" si="25"/>
        <v>18000000</v>
      </c>
      <c r="U199" s="8">
        <f t="shared" si="26"/>
        <v>0.777777777777778</v>
      </c>
      <c r="V199" s="9" t="e">
        <f>IF(T199&lt;=0,"Output &lt;= 0",IF(U199&gt;#REF!,"Terlalu tinggi",IF(U199&lt;#REF!,"Terlalu rendah","Sesuai")))</f>
        <v>#REF!</v>
      </c>
      <c r="W199" s="7" t="e">
        <f>IF(T199&lt;=0,S199,IF(U199&gt;#REF!,ROUNDDOWN(T199*#REF!,0),IF(U199&lt;#REF!,ROUNDUP(T199*#REF!,0),S199)))</f>
        <v>#REF!</v>
      </c>
      <c r="X199" s="7" t="e">
        <f t="shared" si="27"/>
        <v>#REF!</v>
      </c>
      <c r="Y199" s="7" t="e">
        <f t="shared" si="28"/>
        <v>#REF!</v>
      </c>
      <c r="Z199" s="7" t="e">
        <f t="shared" si="29"/>
        <v>#REF!</v>
      </c>
      <c r="AA199" s="7" t="e">
        <f t="shared" si="30"/>
        <v>#REF!</v>
      </c>
      <c r="AB199" s="8" t="e">
        <f t="shared" si="31"/>
        <v>#REF!</v>
      </c>
      <c r="AC199" s="9" t="e">
        <f>IF(T199&lt;=0,"Output &lt;= 0, cek manual",IF(OR(Z199&lt;0,Y199&lt;0),"Biaya negatif",IF(AND(AB199&gt;=#REF!,AB199&lt;=#REF!),"OK","Di luar rentang")))</f>
        <v>#REF!</v>
      </c>
    </row>
    <row r="200" ht="71.25" spans="1:29">
      <c r="A200" s="2" t="s">
        <v>30</v>
      </c>
      <c r="B200" s="2" t="s">
        <v>31</v>
      </c>
      <c r="C200" s="3" t="s">
        <v>932</v>
      </c>
      <c r="D200" s="3" t="s">
        <v>933</v>
      </c>
      <c r="E200" s="3" t="s">
        <v>934</v>
      </c>
      <c r="F200" s="4">
        <v>0</v>
      </c>
      <c r="G200" s="4">
        <v>3500000</v>
      </c>
      <c r="H200" s="4">
        <v>200000</v>
      </c>
      <c r="I200" s="4">
        <v>0</v>
      </c>
      <c r="J200" s="2" t="s">
        <v>935</v>
      </c>
      <c r="K200" s="4">
        <v>4800000</v>
      </c>
      <c r="L200" s="4">
        <v>0</v>
      </c>
      <c r="M200" s="4">
        <v>1100000</v>
      </c>
      <c r="N200" s="4">
        <v>40000000</v>
      </c>
      <c r="O200" s="4">
        <v>1300000</v>
      </c>
      <c r="P200" s="5">
        <v>0.729167</v>
      </c>
      <c r="Q200" s="5">
        <v>0.846154</v>
      </c>
      <c r="R200" s="2" t="s">
        <v>936</v>
      </c>
      <c r="S200" s="7">
        <f t="shared" si="24"/>
        <v>1100000</v>
      </c>
      <c r="T200" s="7">
        <f t="shared" si="25"/>
        <v>1300000</v>
      </c>
      <c r="U200" s="8">
        <f t="shared" si="26"/>
        <v>0.846153846153846</v>
      </c>
      <c r="V200" s="9" t="e">
        <f>IF(T200&lt;=0,"Output &lt;= 0",IF(U200&gt;#REF!,"Terlalu tinggi",IF(U200&lt;#REF!,"Terlalu rendah","Sesuai")))</f>
        <v>#REF!</v>
      </c>
      <c r="W200" s="7" t="e">
        <f>IF(T200&lt;=0,S200,IF(U200&gt;#REF!,ROUNDDOWN(T200*#REF!,0),IF(U200&lt;#REF!,ROUNDUP(T200*#REF!,0),S200)))</f>
        <v>#REF!</v>
      </c>
      <c r="X200" s="7" t="e">
        <f t="shared" si="27"/>
        <v>#REF!</v>
      </c>
      <c r="Y200" s="7" t="e">
        <f t="shared" si="28"/>
        <v>#REF!</v>
      </c>
      <c r="Z200" s="7" t="e">
        <f t="shared" si="29"/>
        <v>#REF!</v>
      </c>
      <c r="AA200" s="7" t="e">
        <f t="shared" si="30"/>
        <v>#REF!</v>
      </c>
      <c r="AB200" s="8" t="e">
        <f t="shared" si="31"/>
        <v>#REF!</v>
      </c>
      <c r="AC200" s="9" t="e">
        <f>IF(T200&lt;=0,"Output &lt;= 0, cek manual",IF(OR(Z200&lt;0,Y200&lt;0),"Biaya negatif",IF(AND(AB200&gt;=#REF!,AB200&lt;=#REF!),"OK","Di luar rentang")))</f>
        <v>#REF!</v>
      </c>
    </row>
    <row r="201" ht="42.75" spans="1:29">
      <c r="A201" s="2" t="s">
        <v>30</v>
      </c>
      <c r="B201" s="2" t="s">
        <v>31</v>
      </c>
      <c r="C201" s="3" t="s">
        <v>937</v>
      </c>
      <c r="D201" s="3" t="s">
        <v>938</v>
      </c>
      <c r="E201" s="3" t="s">
        <v>939</v>
      </c>
      <c r="F201" s="4">
        <v>0</v>
      </c>
      <c r="G201" s="4">
        <v>20000000</v>
      </c>
      <c r="H201" s="4">
        <v>300000</v>
      </c>
      <c r="I201" s="4">
        <v>2500000</v>
      </c>
      <c r="J201" s="2" t="s">
        <v>940</v>
      </c>
      <c r="K201" s="4">
        <v>28500000</v>
      </c>
      <c r="L201" s="4">
        <v>0</v>
      </c>
      <c r="M201" s="4">
        <v>8200000</v>
      </c>
      <c r="N201" s="4">
        <v>25000000</v>
      </c>
      <c r="O201" s="4">
        <v>8500000</v>
      </c>
      <c r="P201" s="5">
        <v>0.701754</v>
      </c>
      <c r="Q201" s="5">
        <v>0.964706</v>
      </c>
      <c r="R201" s="2" t="s">
        <v>941</v>
      </c>
      <c r="S201" s="7">
        <f t="shared" si="24"/>
        <v>8200000</v>
      </c>
      <c r="T201" s="7">
        <f t="shared" si="25"/>
        <v>8500000</v>
      </c>
      <c r="U201" s="8">
        <f t="shared" si="26"/>
        <v>0.964705882352941</v>
      </c>
      <c r="V201" s="9" t="e">
        <f>IF(T201&lt;=0,"Output &lt;= 0",IF(U201&gt;#REF!,"Terlalu tinggi",IF(U201&lt;#REF!,"Terlalu rendah","Sesuai")))</f>
        <v>#REF!</v>
      </c>
      <c r="W201" s="7" t="e">
        <f>IF(T201&lt;=0,S201,IF(U201&gt;#REF!,ROUNDDOWN(T201*#REF!,0),IF(U201&lt;#REF!,ROUNDUP(T201*#REF!,0),S201)))</f>
        <v>#REF!</v>
      </c>
      <c r="X201" s="7" t="e">
        <f t="shared" si="27"/>
        <v>#REF!</v>
      </c>
      <c r="Y201" s="7" t="e">
        <f t="shared" si="28"/>
        <v>#REF!</v>
      </c>
      <c r="Z201" s="7" t="e">
        <f t="shared" si="29"/>
        <v>#REF!</v>
      </c>
      <c r="AA201" s="7" t="e">
        <f t="shared" si="30"/>
        <v>#REF!</v>
      </c>
      <c r="AB201" s="8" t="e">
        <f t="shared" si="31"/>
        <v>#REF!</v>
      </c>
      <c r="AC201" s="9" t="e">
        <f>IF(T201&lt;=0,"Output &lt;= 0, cek manual",IF(OR(Z201&lt;0,Y201&lt;0),"Biaya negatif",IF(AND(AB201&gt;=#REF!,AB201&lt;=#REF!),"OK","Di luar rentang")))</f>
        <v>#REF!</v>
      </c>
    </row>
    <row r="202" ht="85.5" spans="1:29">
      <c r="A202" s="2" t="s">
        <v>30</v>
      </c>
      <c r="B202" s="2" t="s">
        <v>31</v>
      </c>
      <c r="C202" s="3" t="s">
        <v>942</v>
      </c>
      <c r="D202" s="3" t="s">
        <v>886</v>
      </c>
      <c r="E202" s="3" t="s">
        <v>943</v>
      </c>
      <c r="F202" s="4">
        <v>0</v>
      </c>
      <c r="G202" s="4">
        <v>30000000</v>
      </c>
      <c r="H202" s="4">
        <v>200000</v>
      </c>
      <c r="I202" s="4">
        <v>0</v>
      </c>
      <c r="J202" s="2" t="s">
        <v>944</v>
      </c>
      <c r="K202" s="4">
        <v>50000000</v>
      </c>
      <c r="L202" s="4">
        <v>0</v>
      </c>
      <c r="M202" s="4">
        <v>19800000</v>
      </c>
      <c r="N202" s="4">
        <v>15000000</v>
      </c>
      <c r="O202" s="4">
        <v>20000000</v>
      </c>
      <c r="P202" s="12">
        <v>0.6</v>
      </c>
      <c r="Q202" s="11">
        <v>0.99</v>
      </c>
      <c r="R202" s="2" t="s">
        <v>945</v>
      </c>
      <c r="S202" s="7">
        <f t="shared" si="24"/>
        <v>19800000</v>
      </c>
      <c r="T202" s="7">
        <f t="shared" si="25"/>
        <v>20000000</v>
      </c>
      <c r="U202" s="8">
        <f t="shared" si="26"/>
        <v>0.99</v>
      </c>
      <c r="V202" s="9" t="e">
        <f>IF(T202&lt;=0,"Output &lt;= 0",IF(U202&gt;#REF!,"Terlalu tinggi",IF(U202&lt;#REF!,"Terlalu rendah","Sesuai")))</f>
        <v>#REF!</v>
      </c>
      <c r="W202" s="7" t="e">
        <f>IF(T202&lt;=0,S202,IF(U202&gt;#REF!,ROUNDDOWN(T202*#REF!,0),IF(U202&lt;#REF!,ROUNDUP(T202*#REF!,0),S202)))</f>
        <v>#REF!</v>
      </c>
      <c r="X202" s="7" t="e">
        <f t="shared" si="27"/>
        <v>#REF!</v>
      </c>
      <c r="Y202" s="7" t="e">
        <f t="shared" si="28"/>
        <v>#REF!</v>
      </c>
      <c r="Z202" s="7" t="e">
        <f t="shared" si="29"/>
        <v>#REF!</v>
      </c>
      <c r="AA202" s="7" t="e">
        <f t="shared" si="30"/>
        <v>#REF!</v>
      </c>
      <c r="AB202" s="8" t="e">
        <f t="shared" si="31"/>
        <v>#REF!</v>
      </c>
      <c r="AC202" s="9" t="e">
        <f>IF(T202&lt;=0,"Output &lt;= 0, cek manual",IF(OR(Z202&lt;0,Y202&lt;0),"Biaya negatif",IF(AND(AB202&gt;=#REF!,AB202&lt;=#REF!),"OK","Di luar rentang")))</f>
        <v>#REF!</v>
      </c>
    </row>
    <row r="203" ht="142.5" spans="1:29">
      <c r="A203" s="2" t="s">
        <v>30</v>
      </c>
      <c r="B203" s="2" t="s">
        <v>31</v>
      </c>
      <c r="C203" s="3" t="s">
        <v>946</v>
      </c>
      <c r="D203" s="3" t="s">
        <v>570</v>
      </c>
      <c r="E203" s="3" t="s">
        <v>947</v>
      </c>
      <c r="F203" s="4">
        <v>700000</v>
      </c>
      <c r="G203" s="4">
        <v>9000000</v>
      </c>
      <c r="H203" s="4">
        <v>1000000</v>
      </c>
      <c r="I203" s="4">
        <v>0</v>
      </c>
      <c r="J203" s="2" t="s">
        <v>948</v>
      </c>
      <c r="K203" s="4">
        <v>13600000</v>
      </c>
      <c r="L203" s="4">
        <v>0</v>
      </c>
      <c r="M203" s="4">
        <v>2900000</v>
      </c>
      <c r="N203" s="4">
        <v>31000000</v>
      </c>
      <c r="O203" s="4">
        <v>4600000</v>
      </c>
      <c r="P203" s="5">
        <v>0.661765</v>
      </c>
      <c r="Q203" s="5">
        <v>0.630435</v>
      </c>
      <c r="R203" s="2" t="s">
        <v>949</v>
      </c>
      <c r="S203" s="7">
        <f t="shared" si="24"/>
        <v>2900000</v>
      </c>
      <c r="T203" s="7">
        <f t="shared" si="25"/>
        <v>4600000</v>
      </c>
      <c r="U203" s="8">
        <f t="shared" si="26"/>
        <v>0.630434782608696</v>
      </c>
      <c r="V203" s="9" t="e">
        <f>IF(T203&lt;=0,"Output &lt;= 0",IF(U203&gt;#REF!,"Terlalu tinggi",IF(U203&lt;#REF!,"Terlalu rendah","Sesuai")))</f>
        <v>#REF!</v>
      </c>
      <c r="W203" s="7" t="e">
        <f>IF(T203&lt;=0,S203,IF(U203&gt;#REF!,ROUNDDOWN(T203*#REF!,0),IF(U203&lt;#REF!,ROUNDUP(T203*#REF!,0),S203)))</f>
        <v>#REF!</v>
      </c>
      <c r="X203" s="7" t="e">
        <f t="shared" si="27"/>
        <v>#REF!</v>
      </c>
      <c r="Y203" s="7" t="e">
        <f t="shared" si="28"/>
        <v>#REF!</v>
      </c>
      <c r="Z203" s="7" t="e">
        <f t="shared" si="29"/>
        <v>#REF!</v>
      </c>
      <c r="AA203" s="7" t="e">
        <f t="shared" si="30"/>
        <v>#REF!</v>
      </c>
      <c r="AB203" s="8" t="e">
        <f t="shared" si="31"/>
        <v>#REF!</v>
      </c>
      <c r="AC203" s="9" t="e">
        <f>IF(T203&lt;=0,"Output &lt;= 0, cek manual",IF(OR(Z203&lt;0,Y203&lt;0),"Biaya negatif",IF(AND(AB203&gt;=#REF!,AB203&lt;=#REF!),"OK","Di luar rentang")))</f>
        <v>#REF!</v>
      </c>
    </row>
    <row r="204" ht="71.25" spans="1:29">
      <c r="A204" s="2" t="s">
        <v>30</v>
      </c>
      <c r="B204" s="2" t="s">
        <v>31</v>
      </c>
      <c r="C204" s="3" t="s">
        <v>950</v>
      </c>
      <c r="D204" s="3" t="s">
        <v>91</v>
      </c>
      <c r="E204" s="3" t="s">
        <v>198</v>
      </c>
      <c r="F204" s="4">
        <v>15000000</v>
      </c>
      <c r="G204" s="4">
        <v>5420000</v>
      </c>
      <c r="H204" s="4">
        <v>250000</v>
      </c>
      <c r="I204" s="4">
        <v>0</v>
      </c>
      <c r="J204" s="2" t="s">
        <v>951</v>
      </c>
      <c r="K204" s="4">
        <v>33600000</v>
      </c>
      <c r="L204" s="4">
        <v>0</v>
      </c>
      <c r="M204" s="4">
        <v>12930000</v>
      </c>
      <c r="N204" s="4">
        <v>7500000</v>
      </c>
      <c r="O204" s="4">
        <v>28180000</v>
      </c>
      <c r="P204" s="6">
        <v>0.16131</v>
      </c>
      <c r="Q204" s="5">
        <v>0.458836</v>
      </c>
      <c r="R204" s="2" t="s">
        <v>952</v>
      </c>
      <c r="S204" s="7">
        <f t="shared" si="24"/>
        <v>12930000</v>
      </c>
      <c r="T204" s="7">
        <f t="shared" si="25"/>
        <v>28180000</v>
      </c>
      <c r="U204" s="8">
        <f t="shared" si="26"/>
        <v>0.458836053938964</v>
      </c>
      <c r="V204" s="9" t="e">
        <f>IF(T204&lt;=0,"Output &lt;= 0",IF(U204&gt;#REF!,"Terlalu tinggi",IF(U204&lt;#REF!,"Terlalu rendah","Sesuai")))</f>
        <v>#REF!</v>
      </c>
      <c r="W204" s="7" t="e">
        <f>IF(T204&lt;=0,S204,IF(U204&gt;#REF!,ROUNDDOWN(T204*#REF!,0),IF(U204&lt;#REF!,ROUNDUP(T204*#REF!,0),S204)))</f>
        <v>#REF!</v>
      </c>
      <c r="X204" s="7" t="e">
        <f t="shared" si="27"/>
        <v>#REF!</v>
      </c>
      <c r="Y204" s="7" t="e">
        <f t="shared" si="28"/>
        <v>#REF!</v>
      </c>
      <c r="Z204" s="7" t="e">
        <f t="shared" si="29"/>
        <v>#REF!</v>
      </c>
      <c r="AA204" s="7" t="e">
        <f t="shared" si="30"/>
        <v>#REF!</v>
      </c>
      <c r="AB204" s="8" t="e">
        <f t="shared" si="31"/>
        <v>#REF!</v>
      </c>
      <c r="AC204" s="9" t="e">
        <f>IF(T204&lt;=0,"Output &lt;= 0, cek manual",IF(OR(Z204&lt;0,Y204&lt;0),"Biaya negatif",IF(AND(AB204&gt;=#REF!,AB204&lt;=#REF!),"OK","Di luar rentang")))</f>
        <v>#REF!</v>
      </c>
    </row>
    <row r="205" ht="71.25" spans="1:29">
      <c r="A205" s="2" t="s">
        <v>30</v>
      </c>
      <c r="B205" s="2" t="s">
        <v>31</v>
      </c>
      <c r="C205" s="3" t="s">
        <v>953</v>
      </c>
      <c r="D205" s="3" t="s">
        <v>954</v>
      </c>
      <c r="E205" s="3" t="s">
        <v>198</v>
      </c>
      <c r="F205" s="4">
        <v>200000</v>
      </c>
      <c r="G205" s="4">
        <v>36000000</v>
      </c>
      <c r="H205" s="4">
        <v>4000000</v>
      </c>
      <c r="I205" s="4">
        <v>0</v>
      </c>
      <c r="J205" s="2" t="s">
        <v>955</v>
      </c>
      <c r="K205" s="4">
        <v>45000000</v>
      </c>
      <c r="L205" s="4">
        <v>0</v>
      </c>
      <c r="M205" s="4">
        <v>4800000</v>
      </c>
      <c r="N205" s="4">
        <v>1000000</v>
      </c>
      <c r="O205" s="4">
        <v>9000000</v>
      </c>
      <c r="P205" s="12">
        <v>0.8</v>
      </c>
      <c r="Q205" s="5">
        <v>0.533333</v>
      </c>
      <c r="R205" s="2" t="s">
        <v>956</v>
      </c>
      <c r="S205" s="7">
        <f t="shared" si="24"/>
        <v>4800000</v>
      </c>
      <c r="T205" s="7">
        <f t="shared" si="25"/>
        <v>9000000</v>
      </c>
      <c r="U205" s="8">
        <f t="shared" si="26"/>
        <v>0.533333333333333</v>
      </c>
      <c r="V205" s="9" t="e">
        <f>IF(T205&lt;=0,"Output &lt;= 0",IF(U205&gt;#REF!,"Terlalu tinggi",IF(U205&lt;#REF!,"Terlalu rendah","Sesuai")))</f>
        <v>#REF!</v>
      </c>
      <c r="W205" s="7" t="e">
        <f>IF(T205&lt;=0,S205,IF(U205&gt;#REF!,ROUNDDOWN(T205*#REF!,0),IF(U205&lt;#REF!,ROUNDUP(T205*#REF!,0),S205)))</f>
        <v>#REF!</v>
      </c>
      <c r="X205" s="7" t="e">
        <f t="shared" si="27"/>
        <v>#REF!</v>
      </c>
      <c r="Y205" s="7" t="e">
        <f t="shared" si="28"/>
        <v>#REF!</v>
      </c>
      <c r="Z205" s="7" t="e">
        <f t="shared" si="29"/>
        <v>#REF!</v>
      </c>
      <c r="AA205" s="7" t="e">
        <f t="shared" si="30"/>
        <v>#REF!</v>
      </c>
      <c r="AB205" s="8" t="e">
        <f t="shared" si="31"/>
        <v>#REF!</v>
      </c>
      <c r="AC205" s="9" t="e">
        <f>IF(T205&lt;=0,"Output &lt;= 0, cek manual",IF(OR(Z205&lt;0,Y205&lt;0),"Biaya negatif",IF(AND(AB205&gt;=#REF!,AB205&lt;=#REF!),"OK","Di luar rentang")))</f>
        <v>#REF!</v>
      </c>
    </row>
    <row r="206" ht="99.75" spans="1:29">
      <c r="A206" s="2" t="s">
        <v>30</v>
      </c>
      <c r="B206" s="2" t="s">
        <v>31</v>
      </c>
      <c r="C206" s="3" t="s">
        <v>957</v>
      </c>
      <c r="D206" s="3" t="s">
        <v>958</v>
      </c>
      <c r="E206" s="3" t="s">
        <v>959</v>
      </c>
      <c r="F206" s="4">
        <v>100000</v>
      </c>
      <c r="G206" s="4">
        <v>10000000</v>
      </c>
      <c r="H206" s="4">
        <v>150000</v>
      </c>
      <c r="I206" s="4">
        <v>0</v>
      </c>
      <c r="J206" s="2" t="s">
        <v>960</v>
      </c>
      <c r="K206" s="4">
        <v>12000000</v>
      </c>
      <c r="L206" s="4">
        <v>0</v>
      </c>
      <c r="M206" s="4">
        <v>1750000</v>
      </c>
      <c r="N206" s="4">
        <v>130000000</v>
      </c>
      <c r="O206" s="4">
        <v>2000000</v>
      </c>
      <c r="P206" s="5">
        <v>0.833333</v>
      </c>
      <c r="Q206" s="10">
        <v>0.875</v>
      </c>
      <c r="R206" s="2" t="s">
        <v>961</v>
      </c>
      <c r="S206" s="7">
        <f t="shared" si="24"/>
        <v>1750000</v>
      </c>
      <c r="T206" s="7">
        <f t="shared" si="25"/>
        <v>2000000</v>
      </c>
      <c r="U206" s="8">
        <f t="shared" si="26"/>
        <v>0.875</v>
      </c>
      <c r="V206" s="9" t="e">
        <f>IF(T206&lt;=0,"Output &lt;= 0",IF(U206&gt;#REF!,"Terlalu tinggi",IF(U206&lt;#REF!,"Terlalu rendah","Sesuai")))</f>
        <v>#REF!</v>
      </c>
      <c r="W206" s="7" t="e">
        <f>IF(T206&lt;=0,S206,IF(U206&gt;#REF!,ROUNDDOWN(T206*#REF!,0),IF(U206&lt;#REF!,ROUNDUP(T206*#REF!,0),S206)))</f>
        <v>#REF!</v>
      </c>
      <c r="X206" s="7" t="e">
        <f t="shared" si="27"/>
        <v>#REF!</v>
      </c>
      <c r="Y206" s="7" t="e">
        <f t="shared" si="28"/>
        <v>#REF!</v>
      </c>
      <c r="Z206" s="7" t="e">
        <f t="shared" si="29"/>
        <v>#REF!</v>
      </c>
      <c r="AA206" s="7" t="e">
        <f t="shared" si="30"/>
        <v>#REF!</v>
      </c>
      <c r="AB206" s="8" t="e">
        <f t="shared" si="31"/>
        <v>#REF!</v>
      </c>
      <c r="AC206" s="9" t="e">
        <f>IF(T206&lt;=0,"Output &lt;= 0, cek manual",IF(OR(Z206&lt;0,Y206&lt;0),"Biaya negatif",IF(AND(AB206&gt;=#REF!,AB206&lt;=#REF!),"OK","Di luar rentang")))</f>
        <v>#REF!</v>
      </c>
    </row>
    <row r="207" ht="71.25" spans="1:29">
      <c r="A207" s="2" t="s">
        <v>30</v>
      </c>
      <c r="B207" s="2" t="s">
        <v>31</v>
      </c>
      <c r="C207" s="3" t="s">
        <v>962</v>
      </c>
      <c r="D207" s="3" t="s">
        <v>202</v>
      </c>
      <c r="E207" s="3" t="s">
        <v>963</v>
      </c>
      <c r="F207" s="4">
        <v>0</v>
      </c>
      <c r="G207" s="4">
        <v>50000000</v>
      </c>
      <c r="H207" s="4">
        <v>15000000</v>
      </c>
      <c r="I207" s="4">
        <v>0</v>
      </c>
      <c r="J207" s="2" t="s">
        <v>230</v>
      </c>
      <c r="K207" s="4">
        <v>80000000</v>
      </c>
      <c r="L207" s="4">
        <v>0</v>
      </c>
      <c r="M207" s="4">
        <v>15000000</v>
      </c>
      <c r="N207" s="4">
        <v>9500000</v>
      </c>
      <c r="O207" s="4">
        <v>30000000</v>
      </c>
      <c r="P207" s="10">
        <v>0.625</v>
      </c>
      <c r="Q207" s="12">
        <v>0.5</v>
      </c>
      <c r="R207" s="2" t="s">
        <v>964</v>
      </c>
      <c r="S207" s="7">
        <f t="shared" si="24"/>
        <v>15000000</v>
      </c>
      <c r="T207" s="7">
        <f t="shared" si="25"/>
        <v>30000000</v>
      </c>
      <c r="U207" s="8">
        <f t="shared" si="26"/>
        <v>0.5</v>
      </c>
      <c r="V207" s="9" t="e">
        <f>IF(T207&lt;=0,"Output &lt;= 0",IF(U207&gt;#REF!,"Terlalu tinggi",IF(U207&lt;#REF!,"Terlalu rendah","Sesuai")))</f>
        <v>#REF!</v>
      </c>
      <c r="W207" s="7" t="e">
        <f>IF(T207&lt;=0,S207,IF(U207&gt;#REF!,ROUNDDOWN(T207*#REF!,0),IF(U207&lt;#REF!,ROUNDUP(T207*#REF!,0),S207)))</f>
        <v>#REF!</v>
      </c>
      <c r="X207" s="7" t="e">
        <f t="shared" si="27"/>
        <v>#REF!</v>
      </c>
      <c r="Y207" s="7" t="e">
        <f t="shared" si="28"/>
        <v>#REF!</v>
      </c>
      <c r="Z207" s="7" t="e">
        <f t="shared" si="29"/>
        <v>#REF!</v>
      </c>
      <c r="AA207" s="7" t="e">
        <f t="shared" si="30"/>
        <v>#REF!</v>
      </c>
      <c r="AB207" s="8" t="e">
        <f t="shared" si="31"/>
        <v>#REF!</v>
      </c>
      <c r="AC207" s="9" t="e">
        <f>IF(T207&lt;=0,"Output &lt;= 0, cek manual",IF(OR(Z207&lt;0,Y207&lt;0),"Biaya negatif",IF(AND(AB207&gt;=#REF!,AB207&lt;=#REF!),"OK","Di luar rentang")))</f>
        <v>#REF!</v>
      </c>
    </row>
    <row r="208" ht="85.5" spans="1:29">
      <c r="A208" s="2" t="s">
        <v>30</v>
      </c>
      <c r="B208" s="2" t="s">
        <v>31</v>
      </c>
      <c r="C208" s="3" t="s">
        <v>965</v>
      </c>
      <c r="D208" s="3" t="s">
        <v>966</v>
      </c>
      <c r="E208" s="3" t="s">
        <v>198</v>
      </c>
      <c r="F208" s="4">
        <v>2000000</v>
      </c>
      <c r="G208" s="4">
        <v>10000000</v>
      </c>
      <c r="H208" s="4">
        <v>500000</v>
      </c>
      <c r="I208" s="4">
        <v>0</v>
      </c>
      <c r="J208" s="2" t="s">
        <v>967</v>
      </c>
      <c r="K208" s="4">
        <v>15000000</v>
      </c>
      <c r="L208" s="4">
        <v>0</v>
      </c>
      <c r="M208" s="4">
        <v>2500000</v>
      </c>
      <c r="N208" s="4">
        <v>5000000</v>
      </c>
      <c r="O208" s="4">
        <v>5000000</v>
      </c>
      <c r="P208" s="5">
        <v>0.666667</v>
      </c>
      <c r="Q208" s="12">
        <v>0.5</v>
      </c>
      <c r="R208" s="2" t="s">
        <v>968</v>
      </c>
      <c r="S208" s="7">
        <f t="shared" si="24"/>
        <v>2500000</v>
      </c>
      <c r="T208" s="7">
        <f t="shared" si="25"/>
        <v>5000000</v>
      </c>
      <c r="U208" s="8">
        <f t="shared" si="26"/>
        <v>0.5</v>
      </c>
      <c r="V208" s="9" t="e">
        <f>IF(T208&lt;=0,"Output &lt;= 0",IF(U208&gt;#REF!,"Terlalu tinggi",IF(U208&lt;#REF!,"Terlalu rendah","Sesuai")))</f>
        <v>#REF!</v>
      </c>
      <c r="W208" s="7" t="e">
        <f>IF(T208&lt;=0,S208,IF(U208&gt;#REF!,ROUNDDOWN(T208*#REF!,0),IF(U208&lt;#REF!,ROUNDUP(T208*#REF!,0),S208)))</f>
        <v>#REF!</v>
      </c>
      <c r="X208" s="7" t="e">
        <f t="shared" si="27"/>
        <v>#REF!</v>
      </c>
      <c r="Y208" s="7" t="e">
        <f t="shared" si="28"/>
        <v>#REF!</v>
      </c>
      <c r="Z208" s="7" t="e">
        <f t="shared" si="29"/>
        <v>#REF!</v>
      </c>
      <c r="AA208" s="7" t="e">
        <f t="shared" si="30"/>
        <v>#REF!</v>
      </c>
      <c r="AB208" s="8" t="e">
        <f t="shared" si="31"/>
        <v>#REF!</v>
      </c>
      <c r="AC208" s="9" t="e">
        <f>IF(T208&lt;=0,"Output &lt;= 0, cek manual",IF(OR(Z208&lt;0,Y208&lt;0),"Biaya negatif",IF(AND(AB208&gt;=#REF!,AB208&lt;=#REF!),"OK","Di luar rentang")))</f>
        <v>#REF!</v>
      </c>
    </row>
    <row r="209" ht="71.25" spans="1:29">
      <c r="A209" s="2" t="s">
        <v>30</v>
      </c>
      <c r="B209" s="2" t="s">
        <v>31</v>
      </c>
      <c r="C209" s="3" t="s">
        <v>969</v>
      </c>
      <c r="D209" s="3" t="s">
        <v>970</v>
      </c>
      <c r="E209" s="3" t="s">
        <v>971</v>
      </c>
      <c r="F209" s="4">
        <v>1000000</v>
      </c>
      <c r="G209" s="4">
        <v>10000000</v>
      </c>
      <c r="H209" s="4">
        <v>500000</v>
      </c>
      <c r="I209" s="4">
        <v>0</v>
      </c>
      <c r="J209" s="2" t="s">
        <v>972</v>
      </c>
      <c r="K209" s="4">
        <v>12500000</v>
      </c>
      <c r="L209" s="4">
        <v>0</v>
      </c>
      <c r="M209" s="4">
        <v>1000000</v>
      </c>
      <c r="N209" s="4">
        <v>2000000</v>
      </c>
      <c r="O209" s="4">
        <v>2500000</v>
      </c>
      <c r="P209" s="12">
        <v>0.8</v>
      </c>
      <c r="Q209" s="12">
        <v>0.4</v>
      </c>
      <c r="R209" s="2" t="s">
        <v>973</v>
      </c>
      <c r="S209" s="7">
        <f t="shared" si="24"/>
        <v>1000000</v>
      </c>
      <c r="T209" s="7">
        <f t="shared" si="25"/>
        <v>2500000</v>
      </c>
      <c r="U209" s="8">
        <f t="shared" si="26"/>
        <v>0.4</v>
      </c>
      <c r="V209" s="9" t="e">
        <f>IF(T209&lt;=0,"Output &lt;= 0",IF(U209&gt;#REF!,"Terlalu tinggi",IF(U209&lt;#REF!,"Terlalu rendah","Sesuai")))</f>
        <v>#REF!</v>
      </c>
      <c r="W209" s="7" t="e">
        <f>IF(T209&lt;=0,S209,IF(U209&gt;#REF!,ROUNDDOWN(T209*#REF!,0),IF(U209&lt;#REF!,ROUNDUP(T209*#REF!,0),S209)))</f>
        <v>#REF!</v>
      </c>
      <c r="X209" s="7" t="e">
        <f t="shared" si="27"/>
        <v>#REF!</v>
      </c>
      <c r="Y209" s="7" t="e">
        <f t="shared" si="28"/>
        <v>#REF!</v>
      </c>
      <c r="Z209" s="7" t="e">
        <f t="shared" si="29"/>
        <v>#REF!</v>
      </c>
      <c r="AA209" s="7" t="e">
        <f t="shared" si="30"/>
        <v>#REF!</v>
      </c>
      <c r="AB209" s="8" t="e">
        <f t="shared" si="31"/>
        <v>#REF!</v>
      </c>
      <c r="AC209" s="9" t="e">
        <f>IF(T209&lt;=0,"Output &lt;= 0, cek manual",IF(OR(Z209&lt;0,Y209&lt;0),"Biaya negatif",IF(AND(AB209&gt;=#REF!,AB209&lt;=#REF!),"OK","Di luar rentang")))</f>
        <v>#REF!</v>
      </c>
    </row>
    <row r="210" ht="228" spans="1:29">
      <c r="A210" s="2" t="s">
        <v>30</v>
      </c>
      <c r="B210" s="2" t="s">
        <v>31</v>
      </c>
      <c r="C210" s="3" t="s">
        <v>974</v>
      </c>
      <c r="D210" s="3" t="s">
        <v>975</v>
      </c>
      <c r="E210" s="3" t="s">
        <v>976</v>
      </c>
      <c r="F210" s="4">
        <v>5000000</v>
      </c>
      <c r="G210" s="4">
        <v>10000000</v>
      </c>
      <c r="H210" s="4">
        <v>5000000</v>
      </c>
      <c r="I210" s="4">
        <v>65000</v>
      </c>
      <c r="J210" s="2" t="s">
        <v>977</v>
      </c>
      <c r="K210" s="4">
        <v>16300000</v>
      </c>
      <c r="L210" s="4">
        <v>5000000</v>
      </c>
      <c r="M210" s="4">
        <v>-3700000</v>
      </c>
      <c r="N210" s="4">
        <v>36000000</v>
      </c>
      <c r="O210" s="4">
        <v>6300000</v>
      </c>
      <c r="P210" s="5">
        <v>0.613497</v>
      </c>
      <c r="Q210" s="5">
        <v>-0.587302</v>
      </c>
      <c r="R210" s="2" t="s">
        <v>978</v>
      </c>
      <c r="S210" s="7">
        <f t="shared" si="24"/>
        <v>-3700000</v>
      </c>
      <c r="T210" s="7">
        <f t="shared" si="25"/>
        <v>6300000</v>
      </c>
      <c r="U210" s="8">
        <f t="shared" si="26"/>
        <v>-0.587301587301587</v>
      </c>
      <c r="V210" s="9" t="e">
        <f>IF(T210&lt;=0,"Output &lt;= 0",IF(U210&gt;#REF!,"Terlalu tinggi",IF(U210&lt;#REF!,"Terlalu rendah","Sesuai")))</f>
        <v>#REF!</v>
      </c>
      <c r="W210" s="7" t="e">
        <f>IF(T210&lt;=0,S210,IF(U210&gt;#REF!,ROUNDDOWN(T210*#REF!,0),IF(U210&lt;#REF!,ROUNDUP(T210*#REF!,0),S210)))</f>
        <v>#REF!</v>
      </c>
      <c r="X210" s="7" t="e">
        <f t="shared" si="27"/>
        <v>#REF!</v>
      </c>
      <c r="Y210" s="7" t="e">
        <f t="shared" si="28"/>
        <v>#REF!</v>
      </c>
      <c r="Z210" s="7" t="e">
        <f t="shared" si="29"/>
        <v>#REF!</v>
      </c>
      <c r="AA210" s="7" t="e">
        <f t="shared" si="30"/>
        <v>#REF!</v>
      </c>
      <c r="AB210" s="8" t="e">
        <f t="shared" si="31"/>
        <v>#REF!</v>
      </c>
      <c r="AC210" s="9" t="e">
        <f>IF(T210&lt;=0,"Output &lt;= 0, cek manual",IF(OR(Z210&lt;0,Y210&lt;0),"Biaya negatif",IF(AND(AB210&gt;=#REF!,AB210&lt;=#REF!),"OK","Di luar rentang")))</f>
        <v>#REF!</v>
      </c>
    </row>
    <row r="211" ht="85.5" spans="1:29">
      <c r="A211" s="2" t="s">
        <v>30</v>
      </c>
      <c r="B211" s="2" t="s">
        <v>31</v>
      </c>
      <c r="C211" s="3" t="s">
        <v>979</v>
      </c>
      <c r="D211" s="3" t="s">
        <v>91</v>
      </c>
      <c r="E211" s="3" t="s">
        <v>734</v>
      </c>
      <c r="F211" s="4">
        <v>0</v>
      </c>
      <c r="G211" s="4">
        <v>2000000</v>
      </c>
      <c r="H211" s="4">
        <v>300000</v>
      </c>
      <c r="I211" s="4">
        <v>0</v>
      </c>
      <c r="J211" s="2" t="s">
        <v>980</v>
      </c>
      <c r="K211" s="4">
        <v>5000000</v>
      </c>
      <c r="L211" s="4">
        <v>0</v>
      </c>
      <c r="M211" s="4">
        <v>2700000</v>
      </c>
      <c r="N211" s="4">
        <v>3500000</v>
      </c>
      <c r="O211" s="4">
        <v>3000000</v>
      </c>
      <c r="P211" s="12">
        <v>0.4</v>
      </c>
      <c r="Q211" s="12">
        <v>0.9</v>
      </c>
      <c r="R211" s="2" t="s">
        <v>981</v>
      </c>
      <c r="S211" s="7">
        <f t="shared" si="24"/>
        <v>2700000</v>
      </c>
      <c r="T211" s="7">
        <f t="shared" si="25"/>
        <v>3000000</v>
      </c>
      <c r="U211" s="8">
        <f t="shared" si="26"/>
        <v>0.9</v>
      </c>
      <c r="V211" s="9" t="e">
        <f>IF(T211&lt;=0,"Output &lt;= 0",IF(U211&gt;#REF!,"Terlalu tinggi",IF(U211&lt;#REF!,"Terlalu rendah","Sesuai")))</f>
        <v>#REF!</v>
      </c>
      <c r="W211" s="7" t="e">
        <f>IF(T211&lt;=0,S211,IF(U211&gt;#REF!,ROUNDDOWN(T211*#REF!,0),IF(U211&lt;#REF!,ROUNDUP(T211*#REF!,0),S211)))</f>
        <v>#REF!</v>
      </c>
      <c r="X211" s="7" t="e">
        <f t="shared" si="27"/>
        <v>#REF!</v>
      </c>
      <c r="Y211" s="7" t="e">
        <f t="shared" si="28"/>
        <v>#REF!</v>
      </c>
      <c r="Z211" s="7" t="e">
        <f t="shared" si="29"/>
        <v>#REF!</v>
      </c>
      <c r="AA211" s="7" t="e">
        <f t="shared" si="30"/>
        <v>#REF!</v>
      </c>
      <c r="AB211" s="8" t="e">
        <f t="shared" si="31"/>
        <v>#REF!</v>
      </c>
      <c r="AC211" s="9" t="e">
        <f>IF(T211&lt;=0,"Output &lt;= 0, cek manual",IF(OR(Z211&lt;0,Y211&lt;0),"Biaya negatif",IF(AND(AB211&gt;=#REF!,AB211&lt;=#REF!),"OK","Di luar rentang")))</f>
        <v>#REF!</v>
      </c>
    </row>
    <row r="212" ht="99.75" spans="1:29">
      <c r="A212" s="2" t="s">
        <v>30</v>
      </c>
      <c r="B212" s="2" t="s">
        <v>31</v>
      </c>
      <c r="C212" s="3" t="s">
        <v>982</v>
      </c>
      <c r="D212" s="3" t="s">
        <v>983</v>
      </c>
      <c r="E212" s="3" t="s">
        <v>984</v>
      </c>
      <c r="F212" s="4">
        <v>1500000</v>
      </c>
      <c r="G212" s="4">
        <v>2000000</v>
      </c>
      <c r="H212" s="4">
        <v>300000</v>
      </c>
      <c r="I212" s="4">
        <v>0</v>
      </c>
      <c r="J212" s="2" t="s">
        <v>261</v>
      </c>
      <c r="K212" s="4">
        <v>3000000</v>
      </c>
      <c r="L212" s="4">
        <v>1000000</v>
      </c>
      <c r="M212" s="4">
        <v>-800000</v>
      </c>
      <c r="N212" s="4">
        <v>1100000</v>
      </c>
      <c r="O212" s="4">
        <v>1000000</v>
      </c>
      <c r="P212" s="5">
        <v>0.666667</v>
      </c>
      <c r="Q212" s="12">
        <v>-0.8</v>
      </c>
      <c r="R212" s="2" t="s">
        <v>985</v>
      </c>
      <c r="S212" s="7">
        <f t="shared" si="24"/>
        <v>-800000</v>
      </c>
      <c r="T212" s="7">
        <f t="shared" si="25"/>
        <v>1000000</v>
      </c>
      <c r="U212" s="8">
        <f t="shared" si="26"/>
        <v>-0.8</v>
      </c>
      <c r="V212" s="9" t="e">
        <f>IF(T212&lt;=0,"Output &lt;= 0",IF(U212&gt;#REF!,"Terlalu tinggi",IF(U212&lt;#REF!,"Terlalu rendah","Sesuai")))</f>
        <v>#REF!</v>
      </c>
      <c r="W212" s="7" t="e">
        <f>IF(T212&lt;=0,S212,IF(U212&gt;#REF!,ROUNDDOWN(T212*#REF!,0),IF(U212&lt;#REF!,ROUNDUP(T212*#REF!,0),S212)))</f>
        <v>#REF!</v>
      </c>
      <c r="X212" s="7" t="e">
        <f t="shared" si="27"/>
        <v>#REF!</v>
      </c>
      <c r="Y212" s="7" t="e">
        <f t="shared" si="28"/>
        <v>#REF!</v>
      </c>
      <c r="Z212" s="7" t="e">
        <f t="shared" si="29"/>
        <v>#REF!</v>
      </c>
      <c r="AA212" s="7" t="e">
        <f t="shared" si="30"/>
        <v>#REF!</v>
      </c>
      <c r="AB212" s="8" t="e">
        <f t="shared" si="31"/>
        <v>#REF!</v>
      </c>
      <c r="AC212" s="9" t="e">
        <f>IF(T212&lt;=0,"Output &lt;= 0, cek manual",IF(OR(Z212&lt;0,Y212&lt;0),"Biaya negatif",IF(AND(AB212&gt;=#REF!,AB212&lt;=#REF!),"OK","Di luar rentang")))</f>
        <v>#REF!</v>
      </c>
    </row>
    <row r="213" ht="71.25" spans="1:29">
      <c r="A213" s="2" t="s">
        <v>30</v>
      </c>
      <c r="B213" s="2" t="s">
        <v>31</v>
      </c>
      <c r="C213" s="3" t="s">
        <v>986</v>
      </c>
      <c r="D213" s="3" t="s">
        <v>228</v>
      </c>
      <c r="E213" s="3" t="s">
        <v>987</v>
      </c>
      <c r="F213" s="4">
        <v>2000000</v>
      </c>
      <c r="G213" s="4">
        <v>72000000</v>
      </c>
      <c r="H213" s="4">
        <v>600000</v>
      </c>
      <c r="I213" s="4">
        <v>0</v>
      </c>
      <c r="J213" s="2" t="s">
        <v>988</v>
      </c>
      <c r="K213" s="4">
        <v>90000000</v>
      </c>
      <c r="L213" s="4">
        <v>1200000</v>
      </c>
      <c r="M213" s="4">
        <v>15400000</v>
      </c>
      <c r="N213" s="4">
        <v>0</v>
      </c>
      <c r="O213" s="4">
        <v>18000000</v>
      </c>
      <c r="P213" s="12">
        <v>0.8</v>
      </c>
      <c r="Q213" s="5">
        <v>0.855556</v>
      </c>
      <c r="R213" s="2" t="s">
        <v>989</v>
      </c>
      <c r="S213" s="7">
        <f t="shared" si="24"/>
        <v>15400000</v>
      </c>
      <c r="T213" s="7">
        <f t="shared" si="25"/>
        <v>18000000</v>
      </c>
      <c r="U213" s="8">
        <f t="shared" si="26"/>
        <v>0.855555555555556</v>
      </c>
      <c r="V213" s="9" t="e">
        <f>IF(T213&lt;=0,"Output &lt;= 0",IF(U213&gt;#REF!,"Terlalu tinggi",IF(U213&lt;#REF!,"Terlalu rendah","Sesuai")))</f>
        <v>#REF!</v>
      </c>
      <c r="W213" s="7" t="e">
        <f>IF(T213&lt;=0,S213,IF(U213&gt;#REF!,ROUNDDOWN(T213*#REF!,0),IF(U213&lt;#REF!,ROUNDUP(T213*#REF!,0),S213)))</f>
        <v>#REF!</v>
      </c>
      <c r="X213" s="7" t="e">
        <f t="shared" si="27"/>
        <v>#REF!</v>
      </c>
      <c r="Y213" s="7" t="e">
        <f t="shared" si="28"/>
        <v>#REF!</v>
      </c>
      <c r="Z213" s="7" t="e">
        <f t="shared" si="29"/>
        <v>#REF!</v>
      </c>
      <c r="AA213" s="7" t="e">
        <f t="shared" si="30"/>
        <v>#REF!</v>
      </c>
      <c r="AB213" s="8" t="e">
        <f t="shared" si="31"/>
        <v>#REF!</v>
      </c>
      <c r="AC213" s="9" t="e">
        <f>IF(T213&lt;=0,"Output &lt;= 0, cek manual",IF(OR(Z213&lt;0,Y213&lt;0),"Biaya negatif",IF(AND(AB213&gt;=#REF!,AB213&lt;=#REF!),"OK","Di luar rentang")))</f>
        <v>#REF!</v>
      </c>
    </row>
    <row r="214" ht="57" spans="1:29">
      <c r="A214" s="2" t="s">
        <v>30</v>
      </c>
      <c r="B214" s="2" t="s">
        <v>235</v>
      </c>
      <c r="C214" s="3" t="s">
        <v>932</v>
      </c>
      <c r="D214" s="3" t="s">
        <v>32</v>
      </c>
      <c r="E214" s="3" t="s">
        <v>990</v>
      </c>
      <c r="F214" s="4">
        <v>5000000</v>
      </c>
      <c r="G214" s="4">
        <v>180000000</v>
      </c>
      <c r="H214" s="4">
        <v>2000000</v>
      </c>
      <c r="I214" s="4">
        <v>100000</v>
      </c>
      <c r="J214" s="2" t="s">
        <v>991</v>
      </c>
      <c r="K214" s="4">
        <v>255500000</v>
      </c>
      <c r="L214" s="4">
        <v>0</v>
      </c>
      <c r="M214" s="4">
        <v>68500000</v>
      </c>
      <c r="N214" s="4">
        <v>10000000</v>
      </c>
      <c r="O214" s="4">
        <v>75500000</v>
      </c>
      <c r="P214" s="5">
        <v>0.704501</v>
      </c>
      <c r="Q214" s="5">
        <v>0.907285</v>
      </c>
      <c r="R214" s="2" t="s">
        <v>992</v>
      </c>
      <c r="S214" s="7">
        <f t="shared" si="24"/>
        <v>68500000</v>
      </c>
      <c r="T214" s="7">
        <f t="shared" si="25"/>
        <v>75500000</v>
      </c>
      <c r="U214" s="8">
        <f t="shared" si="26"/>
        <v>0.907284768211921</v>
      </c>
      <c r="V214" s="9" t="e">
        <f>IF(T214&lt;=0,"Output &lt;= 0",IF(U214&gt;#REF!,"Terlalu tinggi",IF(U214&lt;#REF!,"Terlalu rendah","Sesuai")))</f>
        <v>#REF!</v>
      </c>
      <c r="W214" s="7" t="e">
        <f>IF(T214&lt;=0,S214,IF(U214&gt;#REF!,ROUNDDOWN(T214*#REF!,0),IF(U214&lt;#REF!,ROUNDUP(T214*#REF!,0),S214)))</f>
        <v>#REF!</v>
      </c>
      <c r="X214" s="7" t="e">
        <f t="shared" si="27"/>
        <v>#REF!</v>
      </c>
      <c r="Y214" s="7" t="e">
        <f t="shared" si="28"/>
        <v>#REF!</v>
      </c>
      <c r="Z214" s="7" t="e">
        <f t="shared" si="29"/>
        <v>#REF!</v>
      </c>
      <c r="AA214" s="7" t="e">
        <f t="shared" si="30"/>
        <v>#REF!</v>
      </c>
      <c r="AB214" s="8" t="e">
        <f t="shared" si="31"/>
        <v>#REF!</v>
      </c>
      <c r="AC214" s="9" t="e">
        <f>IF(T214&lt;=0,"Output &lt;= 0, cek manual",IF(OR(Z214&lt;0,Y214&lt;0),"Biaya negatif",IF(AND(AB214&gt;=#REF!,AB214&lt;=#REF!),"OK","Di luar rentang")))</f>
        <v>#REF!</v>
      </c>
    </row>
    <row r="215" ht="71.25" spans="1:29">
      <c r="A215" s="2" t="s">
        <v>30</v>
      </c>
      <c r="B215" s="2" t="s">
        <v>235</v>
      </c>
      <c r="C215" s="3" t="s">
        <v>993</v>
      </c>
      <c r="D215" s="3" t="s">
        <v>994</v>
      </c>
      <c r="E215" s="3" t="s">
        <v>995</v>
      </c>
      <c r="F215" s="4">
        <v>2000000</v>
      </c>
      <c r="G215" s="4">
        <v>0</v>
      </c>
      <c r="H215" s="4">
        <v>3000000</v>
      </c>
      <c r="I215" s="4">
        <v>0</v>
      </c>
      <c r="J215" s="2" t="s">
        <v>996</v>
      </c>
      <c r="K215" s="4">
        <v>6200000</v>
      </c>
      <c r="L215" s="4">
        <v>0</v>
      </c>
      <c r="M215" s="4">
        <v>1200000</v>
      </c>
      <c r="N215" s="4">
        <v>35000000</v>
      </c>
      <c r="O215" s="4">
        <v>6200000</v>
      </c>
      <c r="P215" s="4">
        <v>0</v>
      </c>
      <c r="Q215" s="5">
        <v>0.193548</v>
      </c>
      <c r="R215" s="2" t="s">
        <v>997</v>
      </c>
      <c r="S215" s="7">
        <f t="shared" si="24"/>
        <v>1200000</v>
      </c>
      <c r="T215" s="7">
        <f t="shared" si="25"/>
        <v>6200000</v>
      </c>
      <c r="U215" s="8">
        <f t="shared" si="26"/>
        <v>0.193548387096774</v>
      </c>
      <c r="V215" s="9" t="e">
        <f>IF(T215&lt;=0,"Output &lt;= 0",IF(U215&gt;#REF!,"Terlalu tinggi",IF(U215&lt;#REF!,"Terlalu rendah","Sesuai")))</f>
        <v>#REF!</v>
      </c>
      <c r="W215" s="7" t="e">
        <f>IF(T215&lt;=0,S215,IF(U215&gt;#REF!,ROUNDDOWN(T215*#REF!,0),IF(U215&lt;#REF!,ROUNDUP(T215*#REF!,0),S215)))</f>
        <v>#REF!</v>
      </c>
      <c r="X215" s="7" t="e">
        <f t="shared" si="27"/>
        <v>#REF!</v>
      </c>
      <c r="Y215" s="7" t="e">
        <f t="shared" si="28"/>
        <v>#REF!</v>
      </c>
      <c r="Z215" s="7" t="e">
        <f t="shared" si="29"/>
        <v>#REF!</v>
      </c>
      <c r="AA215" s="7" t="e">
        <f t="shared" si="30"/>
        <v>#REF!</v>
      </c>
      <c r="AB215" s="8" t="e">
        <f t="shared" si="31"/>
        <v>#REF!</v>
      </c>
      <c r="AC215" s="9" t="e">
        <f>IF(T215&lt;=0,"Output &lt;= 0, cek manual",IF(OR(Z215&lt;0,Y215&lt;0),"Biaya negatif",IF(AND(AB215&gt;=#REF!,AB215&lt;=#REF!),"OK","Di luar rentang")))</f>
        <v>#REF!</v>
      </c>
    </row>
    <row r="216" ht="99.75" spans="1:29">
      <c r="A216" s="2" t="s">
        <v>30</v>
      </c>
      <c r="B216" s="2" t="s">
        <v>235</v>
      </c>
      <c r="C216" s="3" t="s">
        <v>998</v>
      </c>
      <c r="D216" s="3" t="s">
        <v>999</v>
      </c>
      <c r="E216" s="3" t="s">
        <v>1000</v>
      </c>
      <c r="F216" s="4">
        <v>4000000</v>
      </c>
      <c r="G216" s="4">
        <v>6000000</v>
      </c>
      <c r="H216" s="4">
        <v>100000</v>
      </c>
      <c r="I216" s="4">
        <v>0</v>
      </c>
      <c r="J216" s="2" t="s">
        <v>40</v>
      </c>
      <c r="K216" s="4">
        <v>15000000</v>
      </c>
      <c r="L216" s="4">
        <v>0</v>
      </c>
      <c r="M216" s="4">
        <v>4900000</v>
      </c>
      <c r="N216" s="4">
        <v>35000000</v>
      </c>
      <c r="O216" s="4">
        <v>9000000</v>
      </c>
      <c r="P216" s="12">
        <v>0.4</v>
      </c>
      <c r="Q216" s="5">
        <v>0.544444</v>
      </c>
      <c r="R216" s="2" t="s">
        <v>1001</v>
      </c>
      <c r="S216" s="7">
        <f t="shared" si="24"/>
        <v>4900000</v>
      </c>
      <c r="T216" s="7">
        <f t="shared" si="25"/>
        <v>9000000</v>
      </c>
      <c r="U216" s="8">
        <f t="shared" si="26"/>
        <v>0.544444444444444</v>
      </c>
      <c r="V216" s="9" t="e">
        <f>IF(T216&lt;=0,"Output &lt;= 0",IF(U216&gt;#REF!,"Terlalu tinggi",IF(U216&lt;#REF!,"Terlalu rendah","Sesuai")))</f>
        <v>#REF!</v>
      </c>
      <c r="W216" s="7" t="e">
        <f>IF(T216&lt;=0,S216,IF(U216&gt;#REF!,ROUNDDOWN(T216*#REF!,0),IF(U216&lt;#REF!,ROUNDUP(T216*#REF!,0),S216)))</f>
        <v>#REF!</v>
      </c>
      <c r="X216" s="7" t="e">
        <f t="shared" si="27"/>
        <v>#REF!</v>
      </c>
      <c r="Y216" s="7" t="e">
        <f t="shared" si="28"/>
        <v>#REF!</v>
      </c>
      <c r="Z216" s="7" t="e">
        <f t="shared" si="29"/>
        <v>#REF!</v>
      </c>
      <c r="AA216" s="7" t="e">
        <f t="shared" si="30"/>
        <v>#REF!</v>
      </c>
      <c r="AB216" s="8" t="e">
        <f t="shared" si="31"/>
        <v>#REF!</v>
      </c>
      <c r="AC216" s="9" t="e">
        <f>IF(T216&lt;=0,"Output &lt;= 0, cek manual",IF(OR(Z216&lt;0,Y216&lt;0),"Biaya negatif",IF(AND(AB216&gt;=#REF!,AB216&lt;=#REF!),"OK","Di luar rentang")))</f>
        <v>#REF!</v>
      </c>
    </row>
    <row r="217" ht="142.5" spans="1:29">
      <c r="A217" s="2" t="s">
        <v>30</v>
      </c>
      <c r="B217" s="2" t="s">
        <v>235</v>
      </c>
      <c r="C217" s="3" t="s">
        <v>1002</v>
      </c>
      <c r="D217" s="3" t="s">
        <v>1003</v>
      </c>
      <c r="E217" s="3" t="s">
        <v>1003</v>
      </c>
      <c r="F217" s="4">
        <v>3120000</v>
      </c>
      <c r="G217" s="4">
        <v>207480000</v>
      </c>
      <c r="H217" s="4">
        <v>0</v>
      </c>
      <c r="I217" s="4">
        <v>720000</v>
      </c>
      <c r="J217" s="2" t="s">
        <v>1004</v>
      </c>
      <c r="K217" s="4">
        <v>221520000</v>
      </c>
      <c r="L217" s="4">
        <v>0</v>
      </c>
      <c r="M217" s="4">
        <v>10920000</v>
      </c>
      <c r="N217" s="4">
        <v>3000000</v>
      </c>
      <c r="O217" s="4">
        <v>14040000</v>
      </c>
      <c r="P217" s="6">
        <v>0.93662</v>
      </c>
      <c r="Q217" s="5">
        <v>0.777778</v>
      </c>
      <c r="R217" s="2" t="s">
        <v>1005</v>
      </c>
      <c r="S217" s="7">
        <f t="shared" si="24"/>
        <v>10920000</v>
      </c>
      <c r="T217" s="7">
        <f t="shared" si="25"/>
        <v>14040000</v>
      </c>
      <c r="U217" s="8">
        <f t="shared" si="26"/>
        <v>0.777777777777778</v>
      </c>
      <c r="V217" s="9" t="e">
        <f>IF(T217&lt;=0,"Output &lt;= 0",IF(U217&gt;#REF!,"Terlalu tinggi",IF(U217&lt;#REF!,"Terlalu rendah","Sesuai")))</f>
        <v>#REF!</v>
      </c>
      <c r="W217" s="7" t="e">
        <f>IF(T217&lt;=0,S217,IF(U217&gt;#REF!,ROUNDDOWN(T217*#REF!,0),IF(U217&lt;#REF!,ROUNDUP(T217*#REF!,0),S217)))</f>
        <v>#REF!</v>
      </c>
      <c r="X217" s="7" t="e">
        <f t="shared" si="27"/>
        <v>#REF!</v>
      </c>
      <c r="Y217" s="7" t="e">
        <f t="shared" si="28"/>
        <v>#REF!</v>
      </c>
      <c r="Z217" s="7" t="e">
        <f t="shared" si="29"/>
        <v>#REF!</v>
      </c>
      <c r="AA217" s="7" t="e">
        <f t="shared" si="30"/>
        <v>#REF!</v>
      </c>
      <c r="AB217" s="8" t="e">
        <f t="shared" si="31"/>
        <v>#REF!</v>
      </c>
      <c r="AC217" s="9" t="e">
        <f>IF(T217&lt;=0,"Output &lt;= 0, cek manual",IF(OR(Z217&lt;0,Y217&lt;0),"Biaya negatif",IF(AND(AB217&gt;=#REF!,AB217&lt;=#REF!),"OK","Di luar rentang")))</f>
        <v>#REF!</v>
      </c>
    </row>
    <row r="218" ht="57" spans="1:29">
      <c r="A218" s="2" t="s">
        <v>30</v>
      </c>
      <c r="B218" s="2" t="s">
        <v>245</v>
      </c>
      <c r="C218" s="3" t="s">
        <v>1006</v>
      </c>
      <c r="D218" s="3" t="s">
        <v>1007</v>
      </c>
      <c r="E218" s="3" t="s">
        <v>1008</v>
      </c>
      <c r="F218" s="4">
        <v>100000</v>
      </c>
      <c r="G218" s="4">
        <v>0</v>
      </c>
      <c r="H218" s="4">
        <v>50000</v>
      </c>
      <c r="I218" s="4">
        <v>50000</v>
      </c>
      <c r="J218" s="2" t="s">
        <v>162</v>
      </c>
      <c r="K218" s="4">
        <v>1000000</v>
      </c>
      <c r="L218" s="4">
        <v>0</v>
      </c>
      <c r="M218" s="4">
        <v>850000</v>
      </c>
      <c r="N218" s="4">
        <v>10000000</v>
      </c>
      <c r="O218" s="4">
        <v>1000000</v>
      </c>
      <c r="P218" s="4">
        <v>0</v>
      </c>
      <c r="Q218" s="11">
        <v>0.85</v>
      </c>
      <c r="R218" s="2" t="s">
        <v>1009</v>
      </c>
      <c r="S218" s="7">
        <f t="shared" si="24"/>
        <v>850000</v>
      </c>
      <c r="T218" s="7">
        <f t="shared" si="25"/>
        <v>1000000</v>
      </c>
      <c r="U218" s="8">
        <f t="shared" si="26"/>
        <v>0.85</v>
      </c>
      <c r="V218" s="9" t="e">
        <f>IF(T218&lt;=0,"Output &lt;= 0",IF(U218&gt;#REF!,"Terlalu tinggi",IF(U218&lt;#REF!,"Terlalu rendah","Sesuai")))</f>
        <v>#REF!</v>
      </c>
      <c r="W218" s="7" t="e">
        <f>IF(T218&lt;=0,S218,IF(U218&gt;#REF!,ROUNDDOWN(T218*#REF!,0),IF(U218&lt;#REF!,ROUNDUP(T218*#REF!,0),S218)))</f>
        <v>#REF!</v>
      </c>
      <c r="X218" s="7" t="e">
        <f t="shared" si="27"/>
        <v>#REF!</v>
      </c>
      <c r="Y218" s="7" t="e">
        <f t="shared" si="28"/>
        <v>#REF!</v>
      </c>
      <c r="Z218" s="7" t="e">
        <f t="shared" si="29"/>
        <v>#REF!</v>
      </c>
      <c r="AA218" s="7" t="e">
        <f t="shared" si="30"/>
        <v>#REF!</v>
      </c>
      <c r="AB218" s="8" t="e">
        <f t="shared" si="31"/>
        <v>#REF!</v>
      </c>
      <c r="AC218" s="9" t="e">
        <f>IF(T218&lt;=0,"Output &lt;= 0, cek manual",IF(OR(Z218&lt;0,Y218&lt;0),"Biaya negatif",IF(AND(AB218&gt;=#REF!,AB218&lt;=#REF!),"OK","Di luar rentang")))</f>
        <v>#REF!</v>
      </c>
    </row>
    <row r="219" ht="85.5" spans="1:29">
      <c r="A219" s="2" t="s">
        <v>30</v>
      </c>
      <c r="B219" s="2" t="s">
        <v>272</v>
      </c>
      <c r="C219" s="3" t="s">
        <v>1010</v>
      </c>
      <c r="D219" s="3" t="s">
        <v>1011</v>
      </c>
      <c r="E219" s="3" t="s">
        <v>1012</v>
      </c>
      <c r="F219" s="4">
        <v>1500000</v>
      </c>
      <c r="G219" s="4">
        <v>4000000</v>
      </c>
      <c r="H219" s="4">
        <v>100000</v>
      </c>
      <c r="I219" s="4">
        <v>0</v>
      </c>
      <c r="J219" s="2" t="s">
        <v>389</v>
      </c>
      <c r="K219" s="4">
        <v>8000000</v>
      </c>
      <c r="L219" s="4">
        <v>0</v>
      </c>
      <c r="M219" s="4">
        <v>2400000</v>
      </c>
      <c r="N219" s="4">
        <v>3000000</v>
      </c>
      <c r="O219" s="4">
        <v>4000000</v>
      </c>
      <c r="P219" s="12">
        <v>0.5</v>
      </c>
      <c r="Q219" s="12">
        <v>0.6</v>
      </c>
      <c r="R219" s="2" t="s">
        <v>1013</v>
      </c>
      <c r="S219" s="7">
        <f t="shared" si="24"/>
        <v>2400000</v>
      </c>
      <c r="T219" s="7">
        <f t="shared" si="25"/>
        <v>4000000</v>
      </c>
      <c r="U219" s="8">
        <f t="shared" si="26"/>
        <v>0.6</v>
      </c>
      <c r="V219" s="9" t="e">
        <f>IF(T219&lt;=0,"Output &lt;= 0",IF(U219&gt;#REF!,"Terlalu tinggi",IF(U219&lt;#REF!,"Terlalu rendah","Sesuai")))</f>
        <v>#REF!</v>
      </c>
      <c r="W219" s="7" t="e">
        <f>IF(T219&lt;=0,S219,IF(U219&gt;#REF!,ROUNDDOWN(T219*#REF!,0),IF(U219&lt;#REF!,ROUNDUP(T219*#REF!,0),S219)))</f>
        <v>#REF!</v>
      </c>
      <c r="X219" s="7" t="e">
        <f t="shared" si="27"/>
        <v>#REF!</v>
      </c>
      <c r="Y219" s="7" t="e">
        <f t="shared" si="28"/>
        <v>#REF!</v>
      </c>
      <c r="Z219" s="7" t="e">
        <f t="shared" si="29"/>
        <v>#REF!</v>
      </c>
      <c r="AA219" s="7" t="e">
        <f t="shared" si="30"/>
        <v>#REF!</v>
      </c>
      <c r="AB219" s="8" t="e">
        <f t="shared" si="31"/>
        <v>#REF!</v>
      </c>
      <c r="AC219" s="9" t="e">
        <f>IF(T219&lt;=0,"Output &lt;= 0, cek manual",IF(OR(Z219&lt;0,Y219&lt;0),"Biaya negatif",IF(AND(AB219&gt;=#REF!,AB219&lt;=#REF!),"OK","Di luar rentang")))</f>
        <v>#REF!</v>
      </c>
    </row>
    <row r="220" ht="42.75" spans="1:29">
      <c r="A220" s="2" t="s">
        <v>30</v>
      </c>
      <c r="B220" s="2" t="s">
        <v>272</v>
      </c>
      <c r="C220" s="3" t="s">
        <v>1014</v>
      </c>
      <c r="D220" s="3" t="s">
        <v>1015</v>
      </c>
      <c r="E220" s="3" t="s">
        <v>1016</v>
      </c>
      <c r="F220" s="4">
        <v>250000</v>
      </c>
      <c r="G220" s="4">
        <v>0</v>
      </c>
      <c r="H220" s="4">
        <v>50000</v>
      </c>
      <c r="I220" s="4">
        <v>0</v>
      </c>
      <c r="J220" s="2" t="s">
        <v>124</v>
      </c>
      <c r="K220" s="4">
        <v>4800000</v>
      </c>
      <c r="L220" s="4">
        <v>0</v>
      </c>
      <c r="M220" s="4">
        <v>4500000</v>
      </c>
      <c r="N220" s="4">
        <v>500000</v>
      </c>
      <c r="O220" s="4">
        <v>4800000</v>
      </c>
      <c r="P220" s="4">
        <v>0</v>
      </c>
      <c r="Q220" s="13">
        <v>0.9375</v>
      </c>
      <c r="R220" s="2" t="s">
        <v>1017</v>
      </c>
      <c r="S220" s="7">
        <f t="shared" si="24"/>
        <v>4500000</v>
      </c>
      <c r="T220" s="7">
        <f t="shared" si="25"/>
        <v>4800000</v>
      </c>
      <c r="U220" s="8">
        <f t="shared" si="26"/>
        <v>0.9375</v>
      </c>
      <c r="V220" s="9" t="e">
        <f>IF(T220&lt;=0,"Output &lt;= 0",IF(U220&gt;#REF!,"Terlalu tinggi",IF(U220&lt;#REF!,"Terlalu rendah","Sesuai")))</f>
        <v>#REF!</v>
      </c>
      <c r="W220" s="7" t="e">
        <f>IF(T220&lt;=0,S220,IF(U220&gt;#REF!,ROUNDDOWN(T220*#REF!,0),IF(U220&lt;#REF!,ROUNDUP(T220*#REF!,0),S220)))</f>
        <v>#REF!</v>
      </c>
      <c r="X220" s="7" t="e">
        <f t="shared" si="27"/>
        <v>#REF!</v>
      </c>
      <c r="Y220" s="7" t="e">
        <f t="shared" si="28"/>
        <v>#REF!</v>
      </c>
      <c r="Z220" s="7" t="e">
        <f t="shared" si="29"/>
        <v>#REF!</v>
      </c>
      <c r="AA220" s="7" t="e">
        <f t="shared" si="30"/>
        <v>#REF!</v>
      </c>
      <c r="AB220" s="8" t="e">
        <f t="shared" si="31"/>
        <v>#REF!</v>
      </c>
      <c r="AC220" s="9" t="e">
        <f>IF(T220&lt;=0,"Output &lt;= 0, cek manual",IF(OR(Z220&lt;0,Y220&lt;0),"Biaya negatif",IF(AND(AB220&gt;=#REF!,AB220&lt;=#REF!),"OK","Di luar rentang")))</f>
        <v>#REF!</v>
      </c>
    </row>
    <row r="221" ht="85.5" spans="1:29">
      <c r="A221" s="2" t="s">
        <v>30</v>
      </c>
      <c r="B221" s="2" t="s">
        <v>293</v>
      </c>
      <c r="C221" s="3" t="s">
        <v>1018</v>
      </c>
      <c r="D221" s="3" t="s">
        <v>1019</v>
      </c>
      <c r="E221" s="3" t="s">
        <v>1020</v>
      </c>
      <c r="F221" s="4">
        <v>0</v>
      </c>
      <c r="G221" s="4">
        <v>27500000</v>
      </c>
      <c r="H221" s="4">
        <v>250000</v>
      </c>
      <c r="I221" s="4">
        <v>0</v>
      </c>
      <c r="J221" s="2" t="s">
        <v>1021</v>
      </c>
      <c r="K221" s="4">
        <v>42300000</v>
      </c>
      <c r="L221" s="4">
        <v>2750000</v>
      </c>
      <c r="M221" s="4">
        <v>14550000</v>
      </c>
      <c r="N221" s="4">
        <v>9050000</v>
      </c>
      <c r="O221" s="4">
        <v>14800000</v>
      </c>
      <c r="P221" s="5">
        <v>0.650118</v>
      </c>
      <c r="Q221" s="5">
        <v>0.983108</v>
      </c>
      <c r="R221" s="2" t="s">
        <v>1022</v>
      </c>
      <c r="S221" s="7">
        <f t="shared" si="24"/>
        <v>14550000</v>
      </c>
      <c r="T221" s="7">
        <f t="shared" si="25"/>
        <v>14800000</v>
      </c>
      <c r="U221" s="8">
        <f t="shared" si="26"/>
        <v>0.983108108108108</v>
      </c>
      <c r="V221" s="9" t="e">
        <f>IF(T221&lt;=0,"Output &lt;= 0",IF(U221&gt;#REF!,"Terlalu tinggi",IF(U221&lt;#REF!,"Terlalu rendah","Sesuai")))</f>
        <v>#REF!</v>
      </c>
      <c r="W221" s="7" t="e">
        <f>IF(T221&lt;=0,S221,IF(U221&gt;#REF!,ROUNDDOWN(T221*#REF!,0),IF(U221&lt;#REF!,ROUNDUP(T221*#REF!,0),S221)))</f>
        <v>#REF!</v>
      </c>
      <c r="X221" s="7" t="e">
        <f t="shared" si="27"/>
        <v>#REF!</v>
      </c>
      <c r="Y221" s="7" t="e">
        <f t="shared" si="28"/>
        <v>#REF!</v>
      </c>
      <c r="Z221" s="7" t="e">
        <f t="shared" si="29"/>
        <v>#REF!</v>
      </c>
      <c r="AA221" s="7" t="e">
        <f t="shared" si="30"/>
        <v>#REF!</v>
      </c>
      <c r="AB221" s="8" t="e">
        <f t="shared" si="31"/>
        <v>#REF!</v>
      </c>
      <c r="AC221" s="9" t="e">
        <f>IF(T221&lt;=0,"Output &lt;= 0, cek manual",IF(OR(Z221&lt;0,Y221&lt;0),"Biaya negatif",IF(AND(AB221&gt;=#REF!,AB221&lt;=#REF!),"OK","Di luar rentang")))</f>
        <v>#REF!</v>
      </c>
    </row>
    <row r="222" ht="85.5" spans="1:29">
      <c r="A222" s="2" t="s">
        <v>30</v>
      </c>
      <c r="B222" s="2" t="s">
        <v>293</v>
      </c>
      <c r="C222" s="3" t="s">
        <v>1023</v>
      </c>
      <c r="D222" s="3" t="s">
        <v>1024</v>
      </c>
      <c r="E222" s="3" t="s">
        <v>1025</v>
      </c>
      <c r="F222" s="4">
        <v>1000000</v>
      </c>
      <c r="G222" s="4">
        <v>0</v>
      </c>
      <c r="H222" s="4">
        <v>600000</v>
      </c>
      <c r="I222" s="4">
        <v>0</v>
      </c>
      <c r="J222" s="2" t="s">
        <v>1026</v>
      </c>
      <c r="K222" s="4">
        <v>2500000</v>
      </c>
      <c r="L222" s="4">
        <v>0</v>
      </c>
      <c r="M222" s="4">
        <v>900000</v>
      </c>
      <c r="N222" s="4">
        <v>0</v>
      </c>
      <c r="O222" s="4">
        <v>2500000</v>
      </c>
      <c r="P222" s="4">
        <v>0</v>
      </c>
      <c r="Q222" s="11">
        <v>0.36</v>
      </c>
      <c r="R222" s="2" t="s">
        <v>1027</v>
      </c>
      <c r="S222" s="7">
        <f t="shared" si="24"/>
        <v>900000</v>
      </c>
      <c r="T222" s="7">
        <f t="shared" si="25"/>
        <v>2500000</v>
      </c>
      <c r="U222" s="8">
        <f t="shared" si="26"/>
        <v>0.36</v>
      </c>
      <c r="V222" s="9" t="e">
        <f>IF(T222&lt;=0,"Output &lt;= 0",IF(U222&gt;#REF!,"Terlalu tinggi",IF(U222&lt;#REF!,"Terlalu rendah","Sesuai")))</f>
        <v>#REF!</v>
      </c>
      <c r="W222" s="7" t="e">
        <f>IF(T222&lt;=0,S222,IF(U222&gt;#REF!,ROUNDDOWN(T222*#REF!,0),IF(U222&lt;#REF!,ROUNDUP(T222*#REF!,0),S222)))</f>
        <v>#REF!</v>
      </c>
      <c r="X222" s="7" t="e">
        <f t="shared" si="27"/>
        <v>#REF!</v>
      </c>
      <c r="Y222" s="7" t="e">
        <f t="shared" si="28"/>
        <v>#REF!</v>
      </c>
      <c r="Z222" s="7" t="e">
        <f t="shared" si="29"/>
        <v>#REF!</v>
      </c>
      <c r="AA222" s="7" t="e">
        <f t="shared" si="30"/>
        <v>#REF!</v>
      </c>
      <c r="AB222" s="8" t="e">
        <f t="shared" si="31"/>
        <v>#REF!</v>
      </c>
      <c r="AC222" s="9" t="e">
        <f>IF(T222&lt;=0,"Output &lt;= 0, cek manual",IF(OR(Z222&lt;0,Y222&lt;0),"Biaya negatif",IF(AND(AB222&gt;=#REF!,AB222&lt;=#REF!),"OK","Di luar rentang")))</f>
        <v>#REF!</v>
      </c>
    </row>
    <row r="223" ht="71.25" spans="1:29">
      <c r="A223" s="2" t="s">
        <v>30</v>
      </c>
      <c r="B223" s="2" t="s">
        <v>299</v>
      </c>
      <c r="C223" s="3" t="s">
        <v>1028</v>
      </c>
      <c r="D223" s="3" t="s">
        <v>1029</v>
      </c>
      <c r="E223" s="3" t="s">
        <v>1030</v>
      </c>
      <c r="F223" s="4">
        <v>0</v>
      </c>
      <c r="G223" s="4">
        <v>500000</v>
      </c>
      <c r="H223" s="4">
        <v>200000</v>
      </c>
      <c r="I223" s="4">
        <v>50000</v>
      </c>
      <c r="J223" s="2" t="s">
        <v>370</v>
      </c>
      <c r="K223" s="4">
        <v>1500000</v>
      </c>
      <c r="L223" s="4">
        <v>0</v>
      </c>
      <c r="M223" s="4">
        <v>800000</v>
      </c>
      <c r="N223" s="4">
        <v>300000</v>
      </c>
      <c r="O223" s="4">
        <v>1000000</v>
      </c>
      <c r="P223" s="5">
        <v>0.333333</v>
      </c>
      <c r="Q223" s="12">
        <v>0.8</v>
      </c>
      <c r="R223" s="2" t="s">
        <v>1031</v>
      </c>
      <c r="S223" s="7">
        <f t="shared" si="24"/>
        <v>800000</v>
      </c>
      <c r="T223" s="7">
        <f t="shared" si="25"/>
        <v>1000000</v>
      </c>
      <c r="U223" s="8">
        <f t="shared" si="26"/>
        <v>0.8</v>
      </c>
      <c r="V223" s="9" t="e">
        <f>IF(T223&lt;=0,"Output &lt;= 0",IF(U223&gt;#REF!,"Terlalu tinggi",IF(U223&lt;#REF!,"Terlalu rendah","Sesuai")))</f>
        <v>#REF!</v>
      </c>
      <c r="W223" s="7" t="e">
        <f>IF(T223&lt;=0,S223,IF(U223&gt;#REF!,ROUNDDOWN(T223*#REF!,0),IF(U223&lt;#REF!,ROUNDUP(T223*#REF!,0),S223)))</f>
        <v>#REF!</v>
      </c>
      <c r="X223" s="7" t="e">
        <f t="shared" si="27"/>
        <v>#REF!</v>
      </c>
      <c r="Y223" s="7" t="e">
        <f t="shared" si="28"/>
        <v>#REF!</v>
      </c>
      <c r="Z223" s="7" t="e">
        <f t="shared" si="29"/>
        <v>#REF!</v>
      </c>
      <c r="AA223" s="7" t="e">
        <f t="shared" si="30"/>
        <v>#REF!</v>
      </c>
      <c r="AB223" s="8" t="e">
        <f t="shared" si="31"/>
        <v>#REF!</v>
      </c>
      <c r="AC223" s="9" t="e">
        <f>IF(T223&lt;=0,"Output &lt;= 0, cek manual",IF(OR(Z223&lt;0,Y223&lt;0),"Biaya negatif",IF(AND(AB223&gt;=#REF!,AB223&lt;=#REF!),"OK","Di luar rentang")))</f>
        <v>#REF!</v>
      </c>
    </row>
    <row r="224" ht="128.25" spans="1:29">
      <c r="A224" s="2" t="s">
        <v>30</v>
      </c>
      <c r="B224" s="2" t="s">
        <v>305</v>
      </c>
      <c r="C224" s="3" t="s">
        <v>1032</v>
      </c>
      <c r="D224" s="3" t="s">
        <v>1033</v>
      </c>
      <c r="E224" s="3" t="s">
        <v>1034</v>
      </c>
      <c r="F224" s="4">
        <v>0</v>
      </c>
      <c r="G224" s="4">
        <v>2100000</v>
      </c>
      <c r="H224" s="4">
        <v>50000</v>
      </c>
      <c r="I224" s="4">
        <v>0</v>
      </c>
      <c r="J224" s="2" t="s">
        <v>859</v>
      </c>
      <c r="K224" s="4">
        <v>2500000</v>
      </c>
      <c r="L224" s="4">
        <v>0</v>
      </c>
      <c r="M224" s="4">
        <v>350000</v>
      </c>
      <c r="N224" s="4">
        <v>50000</v>
      </c>
      <c r="O224" s="4">
        <v>400000</v>
      </c>
      <c r="P224" s="11">
        <v>0.84</v>
      </c>
      <c r="Q224" s="10">
        <v>0.875</v>
      </c>
      <c r="R224" s="2" t="s">
        <v>1035</v>
      </c>
      <c r="S224" s="7">
        <f t="shared" si="24"/>
        <v>350000</v>
      </c>
      <c r="T224" s="7">
        <f t="shared" si="25"/>
        <v>400000</v>
      </c>
      <c r="U224" s="8">
        <f t="shared" si="26"/>
        <v>0.875</v>
      </c>
      <c r="V224" s="9" t="e">
        <f>IF(T224&lt;=0,"Output &lt;= 0",IF(U224&gt;#REF!,"Terlalu tinggi",IF(U224&lt;#REF!,"Terlalu rendah","Sesuai")))</f>
        <v>#REF!</v>
      </c>
      <c r="W224" s="7" t="e">
        <f>IF(T224&lt;=0,S224,IF(U224&gt;#REF!,ROUNDDOWN(T224*#REF!,0),IF(U224&lt;#REF!,ROUNDUP(T224*#REF!,0),S224)))</f>
        <v>#REF!</v>
      </c>
      <c r="X224" s="7" t="e">
        <f t="shared" si="27"/>
        <v>#REF!</v>
      </c>
      <c r="Y224" s="7" t="e">
        <f t="shared" si="28"/>
        <v>#REF!</v>
      </c>
      <c r="Z224" s="7" t="e">
        <f t="shared" si="29"/>
        <v>#REF!</v>
      </c>
      <c r="AA224" s="7" t="e">
        <f t="shared" si="30"/>
        <v>#REF!</v>
      </c>
      <c r="AB224" s="8" t="e">
        <f t="shared" si="31"/>
        <v>#REF!</v>
      </c>
      <c r="AC224" s="9" t="e">
        <f>IF(T224&lt;=0,"Output &lt;= 0, cek manual",IF(OR(Z224&lt;0,Y224&lt;0),"Biaya negatif",IF(AND(AB224&gt;=#REF!,AB224&lt;=#REF!),"OK","Di luar rentang")))</f>
        <v>#REF!</v>
      </c>
    </row>
    <row r="225" ht="128.25" spans="1:29">
      <c r="A225" s="2" t="s">
        <v>30</v>
      </c>
      <c r="B225" s="2" t="s">
        <v>305</v>
      </c>
      <c r="C225" s="3" t="s">
        <v>1036</v>
      </c>
      <c r="D225" s="3" t="s">
        <v>1037</v>
      </c>
      <c r="E225" s="3" t="s">
        <v>1038</v>
      </c>
      <c r="F225" s="4">
        <v>525000</v>
      </c>
      <c r="G225" s="4">
        <v>0</v>
      </c>
      <c r="H225" s="4">
        <v>110000</v>
      </c>
      <c r="I225" s="4">
        <v>0</v>
      </c>
      <c r="J225" s="2" t="s">
        <v>1039</v>
      </c>
      <c r="K225" s="4">
        <v>1600000</v>
      </c>
      <c r="L225" s="4">
        <v>0</v>
      </c>
      <c r="M225" s="4">
        <v>965000</v>
      </c>
      <c r="N225" s="4">
        <v>10000000</v>
      </c>
      <c r="O225" s="4">
        <v>1600000</v>
      </c>
      <c r="P225" s="4">
        <v>0</v>
      </c>
      <c r="Q225" s="5">
        <v>0.603125</v>
      </c>
      <c r="R225" s="2" t="s">
        <v>1040</v>
      </c>
      <c r="S225" s="7">
        <f t="shared" si="24"/>
        <v>965000</v>
      </c>
      <c r="T225" s="7">
        <f t="shared" si="25"/>
        <v>1600000</v>
      </c>
      <c r="U225" s="8">
        <f t="shared" si="26"/>
        <v>0.603125</v>
      </c>
      <c r="V225" s="9" t="e">
        <f>IF(T225&lt;=0,"Output &lt;= 0",IF(U225&gt;#REF!,"Terlalu tinggi",IF(U225&lt;#REF!,"Terlalu rendah","Sesuai")))</f>
        <v>#REF!</v>
      </c>
      <c r="W225" s="7" t="e">
        <f>IF(T225&lt;=0,S225,IF(U225&gt;#REF!,ROUNDDOWN(T225*#REF!,0),IF(U225&lt;#REF!,ROUNDUP(T225*#REF!,0),S225)))</f>
        <v>#REF!</v>
      </c>
      <c r="X225" s="7" t="e">
        <f t="shared" si="27"/>
        <v>#REF!</v>
      </c>
      <c r="Y225" s="7" t="e">
        <f t="shared" si="28"/>
        <v>#REF!</v>
      </c>
      <c r="Z225" s="7" t="e">
        <f t="shared" si="29"/>
        <v>#REF!</v>
      </c>
      <c r="AA225" s="7" t="e">
        <f t="shared" si="30"/>
        <v>#REF!</v>
      </c>
      <c r="AB225" s="8" t="e">
        <f t="shared" si="31"/>
        <v>#REF!</v>
      </c>
      <c r="AC225" s="9" t="e">
        <f>IF(T225&lt;=0,"Output &lt;= 0, cek manual",IF(OR(Z225&lt;0,Y225&lt;0),"Biaya negatif",IF(AND(AB225&gt;=#REF!,AB225&lt;=#REF!),"OK","Di luar rentang")))</f>
        <v>#REF!</v>
      </c>
    </row>
    <row r="226" ht="71.25" spans="1:29">
      <c r="A226" s="2" t="s">
        <v>30</v>
      </c>
      <c r="B226" s="2" t="s">
        <v>305</v>
      </c>
      <c r="C226" s="3" t="s">
        <v>1041</v>
      </c>
      <c r="D226" s="3" t="s">
        <v>1042</v>
      </c>
      <c r="E226" s="3" t="s">
        <v>1043</v>
      </c>
      <c r="F226" s="4">
        <v>0</v>
      </c>
      <c r="G226" s="4">
        <v>1150000</v>
      </c>
      <c r="H226" s="4">
        <v>0</v>
      </c>
      <c r="I226" s="4">
        <v>0</v>
      </c>
      <c r="J226" s="2" t="s">
        <v>919</v>
      </c>
      <c r="K226" s="4">
        <v>2800000</v>
      </c>
      <c r="L226" s="4">
        <v>0</v>
      </c>
      <c r="M226" s="4">
        <v>1650000</v>
      </c>
      <c r="N226" s="4">
        <v>0</v>
      </c>
      <c r="O226" s="4">
        <v>1650000</v>
      </c>
      <c r="P226" s="5">
        <v>0.410714</v>
      </c>
      <c r="Q226" s="4">
        <v>1</v>
      </c>
      <c r="R226" s="2" t="s">
        <v>1044</v>
      </c>
      <c r="S226" s="7">
        <f t="shared" si="24"/>
        <v>1650000</v>
      </c>
      <c r="T226" s="7">
        <f t="shared" si="25"/>
        <v>1650000</v>
      </c>
      <c r="U226" s="8">
        <f t="shared" si="26"/>
        <v>1</v>
      </c>
      <c r="V226" s="9" t="e">
        <f>IF(T226&lt;=0,"Output &lt;= 0",IF(U226&gt;#REF!,"Terlalu tinggi",IF(U226&lt;#REF!,"Terlalu rendah","Sesuai")))</f>
        <v>#REF!</v>
      </c>
      <c r="W226" s="7" t="e">
        <f>IF(T226&lt;=0,S226,IF(U226&gt;#REF!,ROUNDDOWN(T226*#REF!,0),IF(U226&lt;#REF!,ROUNDUP(T226*#REF!,0),S226)))</f>
        <v>#REF!</v>
      </c>
      <c r="X226" s="7" t="e">
        <f t="shared" si="27"/>
        <v>#REF!</v>
      </c>
      <c r="Y226" s="7" t="e">
        <f t="shared" si="28"/>
        <v>#REF!</v>
      </c>
      <c r="Z226" s="7" t="e">
        <f t="shared" si="29"/>
        <v>#REF!</v>
      </c>
      <c r="AA226" s="7" t="e">
        <f t="shared" si="30"/>
        <v>#REF!</v>
      </c>
      <c r="AB226" s="8" t="e">
        <f t="shared" si="31"/>
        <v>#REF!</v>
      </c>
      <c r="AC226" s="9" t="e">
        <f>IF(T226&lt;=0,"Output &lt;= 0, cek manual",IF(OR(Z226&lt;0,Y226&lt;0),"Biaya negatif",IF(AND(AB226&gt;=#REF!,AB226&lt;=#REF!),"OK","Di luar rentang")))</f>
        <v>#REF!</v>
      </c>
    </row>
    <row r="227" ht="99.75" spans="1:29">
      <c r="A227" s="2" t="s">
        <v>30</v>
      </c>
      <c r="B227" s="2" t="s">
        <v>305</v>
      </c>
      <c r="C227" s="3" t="s">
        <v>1045</v>
      </c>
      <c r="D227" s="3" t="s">
        <v>307</v>
      </c>
      <c r="E227" s="3" t="s">
        <v>315</v>
      </c>
      <c r="F227" s="4">
        <v>0</v>
      </c>
      <c r="G227" s="4">
        <v>3250000</v>
      </c>
      <c r="H227" s="4">
        <v>0</v>
      </c>
      <c r="I227" s="4">
        <v>0</v>
      </c>
      <c r="J227" s="2" t="s">
        <v>1046</v>
      </c>
      <c r="K227" s="4">
        <v>4800000</v>
      </c>
      <c r="L227" s="4">
        <v>0</v>
      </c>
      <c r="M227" s="4">
        <v>1550000</v>
      </c>
      <c r="N227" s="4">
        <v>2500000</v>
      </c>
      <c r="O227" s="4">
        <v>1550000</v>
      </c>
      <c r="P227" s="5">
        <v>0.677083</v>
      </c>
      <c r="Q227" s="4">
        <v>1</v>
      </c>
      <c r="R227" s="2" t="s">
        <v>1047</v>
      </c>
      <c r="S227" s="7">
        <f t="shared" si="24"/>
        <v>1550000</v>
      </c>
      <c r="T227" s="7">
        <f t="shared" si="25"/>
        <v>1550000</v>
      </c>
      <c r="U227" s="8">
        <f t="shared" si="26"/>
        <v>1</v>
      </c>
      <c r="V227" s="9" t="e">
        <f>IF(T227&lt;=0,"Output &lt;= 0",IF(U227&gt;#REF!,"Terlalu tinggi",IF(U227&lt;#REF!,"Terlalu rendah","Sesuai")))</f>
        <v>#REF!</v>
      </c>
      <c r="W227" s="7" t="e">
        <f>IF(T227&lt;=0,S227,IF(U227&gt;#REF!,ROUNDDOWN(T227*#REF!,0),IF(U227&lt;#REF!,ROUNDUP(T227*#REF!,0),S227)))</f>
        <v>#REF!</v>
      </c>
      <c r="X227" s="7" t="e">
        <f t="shared" si="27"/>
        <v>#REF!</v>
      </c>
      <c r="Y227" s="7" t="e">
        <f t="shared" si="28"/>
        <v>#REF!</v>
      </c>
      <c r="Z227" s="7" t="e">
        <f t="shared" si="29"/>
        <v>#REF!</v>
      </c>
      <c r="AA227" s="7" t="e">
        <f t="shared" si="30"/>
        <v>#REF!</v>
      </c>
      <c r="AB227" s="8" t="e">
        <f t="shared" si="31"/>
        <v>#REF!</v>
      </c>
      <c r="AC227" s="9" t="e">
        <f>IF(T227&lt;=0,"Output &lt;= 0, cek manual",IF(OR(Z227&lt;0,Y227&lt;0),"Biaya negatif",IF(AND(AB227&gt;=#REF!,AB227&lt;=#REF!),"OK","Di luar rentang")))</f>
        <v>#REF!</v>
      </c>
    </row>
    <row r="228" ht="342" spans="1:29">
      <c r="A228" s="2" t="s">
        <v>30</v>
      </c>
      <c r="B228" s="2" t="s">
        <v>305</v>
      </c>
      <c r="C228" s="3" t="s">
        <v>1048</v>
      </c>
      <c r="D228" s="3" t="s">
        <v>1049</v>
      </c>
      <c r="E228" s="3" t="s">
        <v>1050</v>
      </c>
      <c r="F228" s="4">
        <v>1200000</v>
      </c>
      <c r="G228" s="4">
        <v>96000000</v>
      </c>
      <c r="H228" s="4">
        <v>14400000</v>
      </c>
      <c r="I228" s="4">
        <v>12000000</v>
      </c>
      <c r="J228" s="2" t="s">
        <v>1051</v>
      </c>
      <c r="K228" s="4">
        <v>268800000</v>
      </c>
      <c r="L228" s="4">
        <v>0</v>
      </c>
      <c r="M228" s="4">
        <v>157200000</v>
      </c>
      <c r="N228" s="4">
        <v>0</v>
      </c>
      <c r="O228" s="4">
        <v>172800000</v>
      </c>
      <c r="P228" s="5">
        <v>0.357143</v>
      </c>
      <c r="Q228" s="5">
        <v>0.909722</v>
      </c>
      <c r="R228" s="2" t="s">
        <v>1052</v>
      </c>
      <c r="S228" s="7">
        <f t="shared" si="24"/>
        <v>157200000</v>
      </c>
      <c r="T228" s="7">
        <f t="shared" si="25"/>
        <v>172800000</v>
      </c>
      <c r="U228" s="8">
        <f t="shared" si="26"/>
        <v>0.909722222222222</v>
      </c>
      <c r="V228" s="9" t="e">
        <f>IF(T228&lt;=0,"Output &lt;= 0",IF(U228&gt;#REF!,"Terlalu tinggi",IF(U228&lt;#REF!,"Terlalu rendah","Sesuai")))</f>
        <v>#REF!</v>
      </c>
      <c r="W228" s="7" t="e">
        <f>IF(T228&lt;=0,S228,IF(U228&gt;#REF!,ROUNDDOWN(T228*#REF!,0),IF(U228&lt;#REF!,ROUNDUP(T228*#REF!,0),S228)))</f>
        <v>#REF!</v>
      </c>
      <c r="X228" s="7" t="e">
        <f t="shared" si="27"/>
        <v>#REF!</v>
      </c>
      <c r="Y228" s="7" t="e">
        <f t="shared" si="28"/>
        <v>#REF!</v>
      </c>
      <c r="Z228" s="7" t="e">
        <f t="shared" si="29"/>
        <v>#REF!</v>
      </c>
      <c r="AA228" s="7" t="e">
        <f t="shared" si="30"/>
        <v>#REF!</v>
      </c>
      <c r="AB228" s="8" t="e">
        <f t="shared" si="31"/>
        <v>#REF!</v>
      </c>
      <c r="AC228" s="9" t="e">
        <f>IF(T228&lt;=0,"Output &lt;= 0, cek manual",IF(OR(Z228&lt;0,Y228&lt;0),"Biaya negatif",IF(AND(AB228&gt;=#REF!,AB228&lt;=#REF!),"OK","Di luar rentang")))</f>
        <v>#REF!</v>
      </c>
    </row>
    <row r="229" ht="114" spans="1:29">
      <c r="A229" s="2" t="s">
        <v>30</v>
      </c>
      <c r="B229" s="2" t="s">
        <v>330</v>
      </c>
      <c r="C229" s="3" t="s">
        <v>1053</v>
      </c>
      <c r="D229" s="3" t="s">
        <v>1054</v>
      </c>
      <c r="E229" s="3" t="s">
        <v>1055</v>
      </c>
      <c r="F229" s="4">
        <v>100000</v>
      </c>
      <c r="G229" s="4">
        <v>13200000</v>
      </c>
      <c r="H229" s="4">
        <v>960000</v>
      </c>
      <c r="I229" s="4">
        <v>192000</v>
      </c>
      <c r="J229" s="2" t="s">
        <v>1056</v>
      </c>
      <c r="K229" s="4">
        <v>21200000</v>
      </c>
      <c r="L229" s="4">
        <v>0</v>
      </c>
      <c r="M229" s="4">
        <v>6940000</v>
      </c>
      <c r="N229" s="4">
        <v>300000</v>
      </c>
      <c r="O229" s="4">
        <v>8000000</v>
      </c>
      <c r="P229" s="5">
        <v>0.622642</v>
      </c>
      <c r="Q229" s="13">
        <v>0.8675</v>
      </c>
      <c r="R229" s="2" t="s">
        <v>1057</v>
      </c>
      <c r="S229" s="7">
        <f t="shared" si="24"/>
        <v>6940000</v>
      </c>
      <c r="T229" s="7">
        <f t="shared" si="25"/>
        <v>8000000</v>
      </c>
      <c r="U229" s="8">
        <f t="shared" si="26"/>
        <v>0.8675</v>
      </c>
      <c r="V229" s="9" t="e">
        <f>IF(T229&lt;=0,"Output &lt;= 0",IF(U229&gt;#REF!,"Terlalu tinggi",IF(U229&lt;#REF!,"Terlalu rendah","Sesuai")))</f>
        <v>#REF!</v>
      </c>
      <c r="W229" s="7" t="e">
        <f>IF(T229&lt;=0,S229,IF(U229&gt;#REF!,ROUNDDOWN(T229*#REF!,0),IF(U229&lt;#REF!,ROUNDUP(T229*#REF!,0),S229)))</f>
        <v>#REF!</v>
      </c>
      <c r="X229" s="7" t="e">
        <f t="shared" si="27"/>
        <v>#REF!</v>
      </c>
      <c r="Y229" s="7" t="e">
        <f t="shared" si="28"/>
        <v>#REF!</v>
      </c>
      <c r="Z229" s="7" t="e">
        <f t="shared" si="29"/>
        <v>#REF!</v>
      </c>
      <c r="AA229" s="7" t="e">
        <f t="shared" si="30"/>
        <v>#REF!</v>
      </c>
      <c r="AB229" s="8" t="e">
        <f t="shared" si="31"/>
        <v>#REF!</v>
      </c>
      <c r="AC229" s="9" t="e">
        <f>IF(T229&lt;=0,"Output &lt;= 0, cek manual",IF(OR(Z229&lt;0,Y229&lt;0),"Biaya negatif",IF(AND(AB229&gt;=#REF!,AB229&lt;=#REF!),"OK","Di luar rentang")))</f>
        <v>#REF!</v>
      </c>
    </row>
    <row r="230" ht="57" spans="1:29">
      <c r="A230" s="2" t="s">
        <v>30</v>
      </c>
      <c r="B230" s="2" t="s">
        <v>336</v>
      </c>
      <c r="C230" s="3" t="s">
        <v>1058</v>
      </c>
      <c r="D230" s="3" t="s">
        <v>1059</v>
      </c>
      <c r="E230" s="3" t="s">
        <v>1060</v>
      </c>
      <c r="F230" s="4">
        <v>390000</v>
      </c>
      <c r="G230" s="4">
        <v>10000000</v>
      </c>
      <c r="H230" s="4">
        <v>300000</v>
      </c>
      <c r="I230" s="4">
        <v>0</v>
      </c>
      <c r="J230" s="2" t="s">
        <v>1061</v>
      </c>
      <c r="K230" s="4">
        <v>15550000</v>
      </c>
      <c r="L230" s="4">
        <v>0</v>
      </c>
      <c r="M230" s="4">
        <v>4860000</v>
      </c>
      <c r="N230" s="4">
        <v>800000</v>
      </c>
      <c r="O230" s="4">
        <v>5550000</v>
      </c>
      <c r="P230" s="5">
        <v>0.643087</v>
      </c>
      <c r="Q230" s="5">
        <v>0.875676</v>
      </c>
      <c r="R230" s="2" t="s">
        <v>1062</v>
      </c>
      <c r="S230" s="7">
        <f t="shared" si="24"/>
        <v>4860000</v>
      </c>
      <c r="T230" s="7">
        <f t="shared" si="25"/>
        <v>5550000</v>
      </c>
      <c r="U230" s="8">
        <f t="shared" si="26"/>
        <v>0.875675675675676</v>
      </c>
      <c r="V230" s="9" t="e">
        <f>IF(T230&lt;=0,"Output &lt;= 0",IF(U230&gt;#REF!,"Terlalu tinggi",IF(U230&lt;#REF!,"Terlalu rendah","Sesuai")))</f>
        <v>#REF!</v>
      </c>
      <c r="W230" s="7" t="e">
        <f>IF(T230&lt;=0,S230,IF(U230&gt;#REF!,ROUNDDOWN(T230*#REF!,0),IF(U230&lt;#REF!,ROUNDUP(T230*#REF!,0),S230)))</f>
        <v>#REF!</v>
      </c>
      <c r="X230" s="7" t="e">
        <f t="shared" si="27"/>
        <v>#REF!</v>
      </c>
      <c r="Y230" s="7" t="e">
        <f t="shared" si="28"/>
        <v>#REF!</v>
      </c>
      <c r="Z230" s="7" t="e">
        <f t="shared" si="29"/>
        <v>#REF!</v>
      </c>
      <c r="AA230" s="7" t="e">
        <f t="shared" si="30"/>
        <v>#REF!</v>
      </c>
      <c r="AB230" s="8" t="e">
        <f t="shared" si="31"/>
        <v>#REF!</v>
      </c>
      <c r="AC230" s="9" t="e">
        <f>IF(T230&lt;=0,"Output &lt;= 0, cek manual",IF(OR(Z230&lt;0,Y230&lt;0),"Biaya negatif",IF(AND(AB230&gt;=#REF!,AB230&lt;=#REF!),"OK","Di luar rentang")))</f>
        <v>#REF!</v>
      </c>
    </row>
    <row r="231" ht="85.5" spans="1:29">
      <c r="A231" s="2" t="s">
        <v>30</v>
      </c>
      <c r="B231" s="2" t="s">
        <v>336</v>
      </c>
      <c r="C231" s="3" t="s">
        <v>1063</v>
      </c>
      <c r="D231" s="3" t="s">
        <v>1064</v>
      </c>
      <c r="E231" s="3" t="s">
        <v>1065</v>
      </c>
      <c r="F231" s="4">
        <v>5600000</v>
      </c>
      <c r="G231" s="4">
        <v>0</v>
      </c>
      <c r="H231" s="4">
        <v>0</v>
      </c>
      <c r="I231" s="4">
        <v>0</v>
      </c>
      <c r="J231" s="2" t="s">
        <v>1066</v>
      </c>
      <c r="K231" s="4">
        <v>10400000</v>
      </c>
      <c r="L231" s="4">
        <v>0</v>
      </c>
      <c r="M231" s="4">
        <v>4800000</v>
      </c>
      <c r="N231" s="4">
        <v>200000000</v>
      </c>
      <c r="O231" s="4">
        <v>10400000</v>
      </c>
      <c r="P231" s="4">
        <v>0</v>
      </c>
      <c r="Q231" s="5">
        <v>0.461538</v>
      </c>
      <c r="R231" s="2" t="s">
        <v>1067</v>
      </c>
      <c r="S231" s="7">
        <f t="shared" si="24"/>
        <v>4800000</v>
      </c>
      <c r="T231" s="7">
        <f t="shared" si="25"/>
        <v>10400000</v>
      </c>
      <c r="U231" s="8">
        <f t="shared" si="26"/>
        <v>0.461538461538462</v>
      </c>
      <c r="V231" s="9" t="e">
        <f>IF(T231&lt;=0,"Output &lt;= 0",IF(U231&gt;#REF!,"Terlalu tinggi",IF(U231&lt;#REF!,"Terlalu rendah","Sesuai")))</f>
        <v>#REF!</v>
      </c>
      <c r="W231" s="7" t="e">
        <f>IF(T231&lt;=0,S231,IF(U231&gt;#REF!,ROUNDDOWN(T231*#REF!,0),IF(U231&lt;#REF!,ROUNDUP(T231*#REF!,0),S231)))</f>
        <v>#REF!</v>
      </c>
      <c r="X231" s="7" t="e">
        <f t="shared" si="27"/>
        <v>#REF!</v>
      </c>
      <c r="Y231" s="7" t="e">
        <f t="shared" si="28"/>
        <v>#REF!</v>
      </c>
      <c r="Z231" s="7" t="e">
        <f t="shared" si="29"/>
        <v>#REF!</v>
      </c>
      <c r="AA231" s="7" t="e">
        <f t="shared" si="30"/>
        <v>#REF!</v>
      </c>
      <c r="AB231" s="8" t="e">
        <f t="shared" si="31"/>
        <v>#REF!</v>
      </c>
      <c r="AC231" s="9" t="e">
        <f>IF(T231&lt;=0,"Output &lt;= 0, cek manual",IF(OR(Z231&lt;0,Y231&lt;0),"Biaya negatif",IF(AND(AB231&gt;=#REF!,AB231&lt;=#REF!),"OK","Di luar rentang")))</f>
        <v>#REF!</v>
      </c>
    </row>
    <row r="232" ht="142.5" spans="1:29">
      <c r="A232" s="2" t="s">
        <v>30</v>
      </c>
      <c r="B232" s="2" t="s">
        <v>336</v>
      </c>
      <c r="C232" s="3" t="s">
        <v>1068</v>
      </c>
      <c r="D232" s="3" t="s">
        <v>1069</v>
      </c>
      <c r="E232" s="3" t="s">
        <v>1070</v>
      </c>
      <c r="F232" s="4">
        <v>1800000</v>
      </c>
      <c r="G232" s="4">
        <v>0</v>
      </c>
      <c r="H232" s="4">
        <v>660000</v>
      </c>
      <c r="I232" s="4">
        <v>0</v>
      </c>
      <c r="J232" s="2" t="s">
        <v>1071</v>
      </c>
      <c r="K232" s="4">
        <v>3000000</v>
      </c>
      <c r="L232" s="4">
        <v>0</v>
      </c>
      <c r="M232" s="4">
        <v>540000</v>
      </c>
      <c r="N232" s="4">
        <v>25700000</v>
      </c>
      <c r="O232" s="4">
        <v>3000000</v>
      </c>
      <c r="P232" s="4">
        <v>0</v>
      </c>
      <c r="Q232" s="11">
        <v>0.18</v>
      </c>
      <c r="R232" s="2" t="s">
        <v>1072</v>
      </c>
      <c r="S232" s="7">
        <f t="shared" si="24"/>
        <v>540000</v>
      </c>
      <c r="T232" s="7">
        <f t="shared" si="25"/>
        <v>3000000</v>
      </c>
      <c r="U232" s="8">
        <f t="shared" si="26"/>
        <v>0.18</v>
      </c>
      <c r="V232" s="9" t="e">
        <f>IF(T232&lt;=0,"Output &lt;= 0",IF(U232&gt;#REF!,"Terlalu tinggi",IF(U232&lt;#REF!,"Terlalu rendah","Sesuai")))</f>
        <v>#REF!</v>
      </c>
      <c r="W232" s="7" t="e">
        <f>IF(T232&lt;=0,S232,IF(U232&gt;#REF!,ROUNDDOWN(T232*#REF!,0),IF(U232&lt;#REF!,ROUNDUP(T232*#REF!,0),S232)))</f>
        <v>#REF!</v>
      </c>
      <c r="X232" s="7" t="e">
        <f t="shared" si="27"/>
        <v>#REF!</v>
      </c>
      <c r="Y232" s="7" t="e">
        <f t="shared" si="28"/>
        <v>#REF!</v>
      </c>
      <c r="Z232" s="7" t="e">
        <f t="shared" si="29"/>
        <v>#REF!</v>
      </c>
      <c r="AA232" s="7" t="e">
        <f t="shared" si="30"/>
        <v>#REF!</v>
      </c>
      <c r="AB232" s="8" t="e">
        <f t="shared" si="31"/>
        <v>#REF!</v>
      </c>
      <c r="AC232" s="9" t="e">
        <f>IF(T232&lt;=0,"Output &lt;= 0, cek manual",IF(OR(Z232&lt;0,Y232&lt;0),"Biaya negatif",IF(AND(AB232&gt;=#REF!,AB232&lt;=#REF!),"OK","Di luar rentang")))</f>
        <v>#REF!</v>
      </c>
    </row>
    <row r="233" ht="99.75" spans="1:29">
      <c r="A233" s="2" t="s">
        <v>30</v>
      </c>
      <c r="B233" s="2" t="s">
        <v>336</v>
      </c>
      <c r="C233" s="3" t="s">
        <v>1073</v>
      </c>
      <c r="D233" s="3" t="s">
        <v>1074</v>
      </c>
      <c r="E233" s="3" t="s">
        <v>1075</v>
      </c>
      <c r="F233" s="4">
        <v>5000000</v>
      </c>
      <c r="G233" s="4">
        <v>0</v>
      </c>
      <c r="H233" s="4">
        <v>1000000</v>
      </c>
      <c r="I233" s="4">
        <v>0</v>
      </c>
      <c r="J233" s="2" t="s">
        <v>186</v>
      </c>
      <c r="K233" s="4">
        <v>15000000</v>
      </c>
      <c r="L233" s="4">
        <v>0</v>
      </c>
      <c r="M233" s="4">
        <v>9000000</v>
      </c>
      <c r="N233" s="4">
        <v>3000000</v>
      </c>
      <c r="O233" s="4">
        <v>15000000</v>
      </c>
      <c r="P233" s="4">
        <v>0</v>
      </c>
      <c r="Q233" s="12">
        <v>0.6</v>
      </c>
      <c r="R233" s="2" t="s">
        <v>1076</v>
      </c>
      <c r="S233" s="7">
        <f t="shared" si="24"/>
        <v>9000000</v>
      </c>
      <c r="T233" s="7">
        <f t="shared" si="25"/>
        <v>15000000</v>
      </c>
      <c r="U233" s="8">
        <f t="shared" si="26"/>
        <v>0.6</v>
      </c>
      <c r="V233" s="9" t="e">
        <f>IF(T233&lt;=0,"Output &lt;= 0",IF(U233&gt;#REF!,"Terlalu tinggi",IF(U233&lt;#REF!,"Terlalu rendah","Sesuai")))</f>
        <v>#REF!</v>
      </c>
      <c r="W233" s="7" t="e">
        <f>IF(T233&lt;=0,S233,IF(U233&gt;#REF!,ROUNDDOWN(T233*#REF!,0),IF(U233&lt;#REF!,ROUNDUP(T233*#REF!,0),S233)))</f>
        <v>#REF!</v>
      </c>
      <c r="X233" s="7" t="e">
        <f t="shared" si="27"/>
        <v>#REF!</v>
      </c>
      <c r="Y233" s="7" t="e">
        <f t="shared" si="28"/>
        <v>#REF!</v>
      </c>
      <c r="Z233" s="7" t="e">
        <f t="shared" si="29"/>
        <v>#REF!</v>
      </c>
      <c r="AA233" s="7" t="e">
        <f t="shared" si="30"/>
        <v>#REF!</v>
      </c>
      <c r="AB233" s="8" t="e">
        <f t="shared" si="31"/>
        <v>#REF!</v>
      </c>
      <c r="AC233" s="9" t="e">
        <f>IF(T233&lt;=0,"Output &lt;= 0, cek manual",IF(OR(Z233&lt;0,Y233&lt;0),"Biaya negatif",IF(AND(AB233&gt;=#REF!,AB233&lt;=#REF!),"OK","Di luar rentang")))</f>
        <v>#REF!</v>
      </c>
    </row>
    <row r="234" ht="156.75" spans="1:29">
      <c r="A234" s="2" t="s">
        <v>30</v>
      </c>
      <c r="B234" s="2" t="s">
        <v>363</v>
      </c>
      <c r="C234" s="3" t="s">
        <v>1077</v>
      </c>
      <c r="D234" s="3" t="s">
        <v>1078</v>
      </c>
      <c r="E234" s="3" t="s">
        <v>1079</v>
      </c>
      <c r="F234" s="4">
        <v>0</v>
      </c>
      <c r="G234" s="4">
        <v>800000</v>
      </c>
      <c r="H234" s="4">
        <v>1000000</v>
      </c>
      <c r="I234" s="4">
        <v>0</v>
      </c>
      <c r="J234" s="2" t="s">
        <v>157</v>
      </c>
      <c r="K234" s="4">
        <v>2000000</v>
      </c>
      <c r="L234" s="4">
        <v>0</v>
      </c>
      <c r="M234" s="4">
        <v>200000</v>
      </c>
      <c r="N234" s="4">
        <v>172000000</v>
      </c>
      <c r="O234" s="4">
        <v>1200000</v>
      </c>
      <c r="P234" s="12">
        <v>0.4</v>
      </c>
      <c r="Q234" s="5">
        <v>0.166667</v>
      </c>
      <c r="R234" s="2" t="s">
        <v>1080</v>
      </c>
      <c r="S234" s="7">
        <f t="shared" si="24"/>
        <v>200000</v>
      </c>
      <c r="T234" s="7">
        <f t="shared" si="25"/>
        <v>1200000</v>
      </c>
      <c r="U234" s="8">
        <f t="shared" si="26"/>
        <v>0.166666666666667</v>
      </c>
      <c r="V234" s="9" t="e">
        <f>IF(T234&lt;=0,"Output &lt;= 0",IF(U234&gt;#REF!,"Terlalu tinggi",IF(U234&lt;#REF!,"Terlalu rendah","Sesuai")))</f>
        <v>#REF!</v>
      </c>
      <c r="W234" s="7" t="e">
        <f>IF(T234&lt;=0,S234,IF(U234&gt;#REF!,ROUNDDOWN(T234*#REF!,0),IF(U234&lt;#REF!,ROUNDUP(T234*#REF!,0),S234)))</f>
        <v>#REF!</v>
      </c>
      <c r="X234" s="7" t="e">
        <f t="shared" si="27"/>
        <v>#REF!</v>
      </c>
      <c r="Y234" s="7" t="e">
        <f t="shared" si="28"/>
        <v>#REF!</v>
      </c>
      <c r="Z234" s="7" t="e">
        <f t="shared" si="29"/>
        <v>#REF!</v>
      </c>
      <c r="AA234" s="7" t="e">
        <f t="shared" si="30"/>
        <v>#REF!</v>
      </c>
      <c r="AB234" s="8" t="e">
        <f t="shared" si="31"/>
        <v>#REF!</v>
      </c>
      <c r="AC234" s="9" t="e">
        <f>IF(T234&lt;=0,"Output &lt;= 0, cek manual",IF(OR(Z234&lt;0,Y234&lt;0),"Biaya negatif",IF(AND(AB234&gt;=#REF!,AB234&lt;=#REF!),"OK","Di luar rentang")))</f>
        <v>#REF!</v>
      </c>
    </row>
    <row r="235" ht="71.25" spans="1:29">
      <c r="A235" s="2" t="s">
        <v>30</v>
      </c>
      <c r="B235" s="2" t="s">
        <v>1081</v>
      </c>
      <c r="C235" s="3" t="s">
        <v>1082</v>
      </c>
      <c r="D235" s="3" t="s">
        <v>1083</v>
      </c>
      <c r="E235" s="3" t="s">
        <v>1084</v>
      </c>
      <c r="F235" s="4">
        <v>1000000</v>
      </c>
      <c r="G235" s="4">
        <v>55200000</v>
      </c>
      <c r="H235" s="4">
        <v>1200000</v>
      </c>
      <c r="I235" s="4">
        <v>0</v>
      </c>
      <c r="J235" s="2" t="s">
        <v>1085</v>
      </c>
      <c r="K235" s="4">
        <v>84000000</v>
      </c>
      <c r="L235" s="4">
        <v>0</v>
      </c>
      <c r="M235" s="4">
        <v>26600000</v>
      </c>
      <c r="N235" s="4">
        <v>7700000</v>
      </c>
      <c r="O235" s="4">
        <v>28800000</v>
      </c>
      <c r="P235" s="5">
        <v>0.657143</v>
      </c>
      <c r="Q235" s="5">
        <v>0.923611</v>
      </c>
      <c r="R235" s="2" t="s">
        <v>1086</v>
      </c>
      <c r="S235" s="7">
        <f t="shared" si="24"/>
        <v>26600000</v>
      </c>
      <c r="T235" s="7">
        <f t="shared" si="25"/>
        <v>28800000</v>
      </c>
      <c r="U235" s="8">
        <f t="shared" si="26"/>
        <v>0.923611111111111</v>
      </c>
      <c r="V235" s="9" t="e">
        <f>IF(T235&lt;=0,"Output &lt;= 0",IF(U235&gt;#REF!,"Terlalu tinggi",IF(U235&lt;#REF!,"Terlalu rendah","Sesuai")))</f>
        <v>#REF!</v>
      </c>
      <c r="W235" s="7" t="e">
        <f>IF(T235&lt;=0,S235,IF(U235&gt;#REF!,ROUNDDOWN(T235*#REF!,0),IF(U235&lt;#REF!,ROUNDUP(T235*#REF!,0),S235)))</f>
        <v>#REF!</v>
      </c>
      <c r="X235" s="7" t="e">
        <f t="shared" si="27"/>
        <v>#REF!</v>
      </c>
      <c r="Y235" s="7" t="e">
        <f t="shared" si="28"/>
        <v>#REF!</v>
      </c>
      <c r="Z235" s="7" t="e">
        <f t="shared" si="29"/>
        <v>#REF!</v>
      </c>
      <c r="AA235" s="7" t="e">
        <f t="shared" si="30"/>
        <v>#REF!</v>
      </c>
      <c r="AB235" s="8" t="e">
        <f t="shared" si="31"/>
        <v>#REF!</v>
      </c>
      <c r="AC235" s="9" t="e">
        <f>IF(T235&lt;=0,"Output &lt;= 0, cek manual",IF(OR(Z235&lt;0,Y235&lt;0),"Biaya negatif",IF(AND(AB235&gt;=#REF!,AB235&lt;=#REF!),"OK","Di luar rentang")))</f>
        <v>#REF!</v>
      </c>
    </row>
    <row r="236" ht="99.75" spans="1:29">
      <c r="A236" s="2" t="s">
        <v>30</v>
      </c>
      <c r="B236" s="2" t="s">
        <v>372</v>
      </c>
      <c r="C236" s="3" t="s">
        <v>1087</v>
      </c>
      <c r="D236" s="3" t="s">
        <v>403</v>
      </c>
      <c r="E236" s="3" t="s">
        <v>425</v>
      </c>
      <c r="F236" s="4">
        <v>100000</v>
      </c>
      <c r="G236" s="4">
        <v>5000000</v>
      </c>
      <c r="H236" s="4">
        <v>500000</v>
      </c>
      <c r="I236" s="4">
        <v>0</v>
      </c>
      <c r="J236" s="2" t="s">
        <v>1066</v>
      </c>
      <c r="K236" s="4">
        <v>8000000</v>
      </c>
      <c r="L236" s="4">
        <v>0</v>
      </c>
      <c r="M236" s="4">
        <v>2400000</v>
      </c>
      <c r="N236" s="4">
        <v>200000</v>
      </c>
      <c r="O236" s="4">
        <v>3000000</v>
      </c>
      <c r="P236" s="10">
        <v>0.625</v>
      </c>
      <c r="Q236" s="12">
        <v>0.8</v>
      </c>
      <c r="R236" s="2" t="s">
        <v>1088</v>
      </c>
      <c r="S236" s="7">
        <f t="shared" si="24"/>
        <v>2400000</v>
      </c>
      <c r="T236" s="7">
        <f t="shared" si="25"/>
        <v>3000000</v>
      </c>
      <c r="U236" s="8">
        <f t="shared" si="26"/>
        <v>0.8</v>
      </c>
      <c r="V236" s="9" t="e">
        <f>IF(T236&lt;=0,"Output &lt;= 0",IF(U236&gt;#REF!,"Terlalu tinggi",IF(U236&lt;#REF!,"Terlalu rendah","Sesuai")))</f>
        <v>#REF!</v>
      </c>
      <c r="W236" s="7" t="e">
        <f>IF(T236&lt;=0,S236,IF(U236&gt;#REF!,ROUNDDOWN(T236*#REF!,0),IF(U236&lt;#REF!,ROUNDUP(T236*#REF!,0),S236)))</f>
        <v>#REF!</v>
      </c>
      <c r="X236" s="7" t="e">
        <f t="shared" si="27"/>
        <v>#REF!</v>
      </c>
      <c r="Y236" s="7" t="e">
        <f t="shared" si="28"/>
        <v>#REF!</v>
      </c>
      <c r="Z236" s="7" t="e">
        <f t="shared" si="29"/>
        <v>#REF!</v>
      </c>
      <c r="AA236" s="7" t="e">
        <f t="shared" si="30"/>
        <v>#REF!</v>
      </c>
      <c r="AB236" s="8" t="e">
        <f t="shared" si="31"/>
        <v>#REF!</v>
      </c>
      <c r="AC236" s="9" t="e">
        <f>IF(T236&lt;=0,"Output &lt;= 0, cek manual",IF(OR(Z236&lt;0,Y236&lt;0),"Biaya negatif",IF(AND(AB236&gt;=#REF!,AB236&lt;=#REF!),"OK","Di luar rentang")))</f>
        <v>#REF!</v>
      </c>
    </row>
    <row r="237" ht="99.75" spans="1:29">
      <c r="A237" s="2" t="s">
        <v>30</v>
      </c>
      <c r="B237" s="2" t="s">
        <v>372</v>
      </c>
      <c r="C237" s="3" t="s">
        <v>1089</v>
      </c>
      <c r="D237" s="3" t="s">
        <v>403</v>
      </c>
      <c r="E237" s="3" t="s">
        <v>1090</v>
      </c>
      <c r="F237" s="4">
        <v>0</v>
      </c>
      <c r="G237" s="4">
        <v>42000000</v>
      </c>
      <c r="H237" s="4">
        <v>864000</v>
      </c>
      <c r="I237" s="4">
        <v>0</v>
      </c>
      <c r="J237" s="2" t="s">
        <v>1091</v>
      </c>
      <c r="K237" s="4">
        <v>60000000</v>
      </c>
      <c r="L237" s="4">
        <v>0</v>
      </c>
      <c r="M237" s="4">
        <v>17136000</v>
      </c>
      <c r="N237" s="4">
        <v>0</v>
      </c>
      <c r="O237" s="4">
        <v>18000000</v>
      </c>
      <c r="P237" s="12">
        <v>0.7</v>
      </c>
      <c r="Q237" s="10">
        <v>0.952</v>
      </c>
      <c r="R237" s="2" t="s">
        <v>1092</v>
      </c>
      <c r="S237" s="7">
        <f t="shared" si="24"/>
        <v>17136000</v>
      </c>
      <c r="T237" s="7">
        <f t="shared" si="25"/>
        <v>18000000</v>
      </c>
      <c r="U237" s="8">
        <f t="shared" si="26"/>
        <v>0.952</v>
      </c>
      <c r="V237" s="9" t="e">
        <f>IF(T237&lt;=0,"Output &lt;= 0",IF(U237&gt;#REF!,"Terlalu tinggi",IF(U237&lt;#REF!,"Terlalu rendah","Sesuai")))</f>
        <v>#REF!</v>
      </c>
      <c r="W237" s="7" t="e">
        <f>IF(T237&lt;=0,S237,IF(U237&gt;#REF!,ROUNDDOWN(T237*#REF!,0),IF(U237&lt;#REF!,ROUNDUP(T237*#REF!,0),S237)))</f>
        <v>#REF!</v>
      </c>
      <c r="X237" s="7" t="e">
        <f t="shared" si="27"/>
        <v>#REF!</v>
      </c>
      <c r="Y237" s="7" t="e">
        <f t="shared" si="28"/>
        <v>#REF!</v>
      </c>
      <c r="Z237" s="7" t="e">
        <f t="shared" si="29"/>
        <v>#REF!</v>
      </c>
      <c r="AA237" s="7" t="e">
        <f t="shared" si="30"/>
        <v>#REF!</v>
      </c>
      <c r="AB237" s="8" t="e">
        <f t="shared" si="31"/>
        <v>#REF!</v>
      </c>
      <c r="AC237" s="9" t="e">
        <f>IF(T237&lt;=0,"Output &lt;= 0, cek manual",IF(OR(Z237&lt;0,Y237&lt;0),"Biaya negatif",IF(AND(AB237&gt;=#REF!,AB237&lt;=#REF!),"OK","Di luar rentang")))</f>
        <v>#REF!</v>
      </c>
    </row>
    <row r="238" ht="128.25" spans="1:29">
      <c r="A238" s="2" t="s">
        <v>30</v>
      </c>
      <c r="B238" s="2" t="s">
        <v>372</v>
      </c>
      <c r="C238" s="3" t="s">
        <v>1093</v>
      </c>
      <c r="D238" s="3" t="s">
        <v>1094</v>
      </c>
      <c r="E238" s="3" t="s">
        <v>1095</v>
      </c>
      <c r="F238" s="4">
        <v>0</v>
      </c>
      <c r="G238" s="4">
        <v>6000000</v>
      </c>
      <c r="H238" s="4">
        <v>2000000</v>
      </c>
      <c r="I238" s="4">
        <v>0</v>
      </c>
      <c r="J238" s="2" t="s">
        <v>276</v>
      </c>
      <c r="K238" s="4">
        <v>15000000</v>
      </c>
      <c r="L238" s="4">
        <v>0</v>
      </c>
      <c r="M238" s="4">
        <v>7000000</v>
      </c>
      <c r="N238" s="4">
        <v>15000000</v>
      </c>
      <c r="O238" s="4">
        <v>9000000</v>
      </c>
      <c r="P238" s="12">
        <v>0.4</v>
      </c>
      <c r="Q238" s="5">
        <v>0.777778</v>
      </c>
      <c r="R238" s="2" t="s">
        <v>1096</v>
      </c>
      <c r="S238" s="7">
        <f t="shared" si="24"/>
        <v>7000000</v>
      </c>
      <c r="T238" s="7">
        <f t="shared" si="25"/>
        <v>9000000</v>
      </c>
      <c r="U238" s="8">
        <f t="shared" si="26"/>
        <v>0.777777777777778</v>
      </c>
      <c r="V238" s="9" t="e">
        <f>IF(T238&lt;=0,"Output &lt;= 0",IF(U238&gt;#REF!,"Terlalu tinggi",IF(U238&lt;#REF!,"Terlalu rendah","Sesuai")))</f>
        <v>#REF!</v>
      </c>
      <c r="W238" s="7" t="e">
        <f>IF(T238&lt;=0,S238,IF(U238&gt;#REF!,ROUNDDOWN(T238*#REF!,0),IF(U238&lt;#REF!,ROUNDUP(T238*#REF!,0),S238)))</f>
        <v>#REF!</v>
      </c>
      <c r="X238" s="7" t="e">
        <f t="shared" si="27"/>
        <v>#REF!</v>
      </c>
      <c r="Y238" s="7" t="e">
        <f t="shared" si="28"/>
        <v>#REF!</v>
      </c>
      <c r="Z238" s="7" t="e">
        <f t="shared" si="29"/>
        <v>#REF!</v>
      </c>
      <c r="AA238" s="7" t="e">
        <f t="shared" si="30"/>
        <v>#REF!</v>
      </c>
      <c r="AB238" s="8" t="e">
        <f t="shared" si="31"/>
        <v>#REF!</v>
      </c>
      <c r="AC238" s="9" t="e">
        <f>IF(T238&lt;=0,"Output &lt;= 0, cek manual",IF(OR(Z238&lt;0,Y238&lt;0),"Biaya negatif",IF(AND(AB238&gt;=#REF!,AB238&lt;=#REF!),"OK","Di luar rentang")))</f>
        <v>#REF!</v>
      </c>
    </row>
    <row r="239" ht="85.5" spans="1:29">
      <c r="A239" s="2" t="s">
        <v>30</v>
      </c>
      <c r="B239" s="2" t="s">
        <v>372</v>
      </c>
      <c r="C239" s="3" t="s">
        <v>1097</v>
      </c>
      <c r="D239" s="3" t="s">
        <v>338</v>
      </c>
      <c r="E239" s="3" t="s">
        <v>1098</v>
      </c>
      <c r="F239" s="4">
        <v>8400000</v>
      </c>
      <c r="G239" s="4">
        <v>0</v>
      </c>
      <c r="H239" s="4">
        <v>720000</v>
      </c>
      <c r="I239" s="4">
        <v>0</v>
      </c>
      <c r="J239" s="2" t="s">
        <v>1099</v>
      </c>
      <c r="K239" s="4">
        <v>12000000</v>
      </c>
      <c r="L239" s="4">
        <v>0</v>
      </c>
      <c r="M239" s="4">
        <v>2880000</v>
      </c>
      <c r="N239" s="4">
        <v>5100000</v>
      </c>
      <c r="O239" s="4">
        <v>12000000</v>
      </c>
      <c r="P239" s="4">
        <v>0</v>
      </c>
      <c r="Q239" s="11">
        <v>0.24</v>
      </c>
      <c r="R239" s="2" t="s">
        <v>1100</v>
      </c>
      <c r="S239" s="7">
        <f t="shared" si="24"/>
        <v>2880000</v>
      </c>
      <c r="T239" s="7">
        <f t="shared" si="25"/>
        <v>12000000</v>
      </c>
      <c r="U239" s="8">
        <f t="shared" si="26"/>
        <v>0.24</v>
      </c>
      <c r="V239" s="9" t="e">
        <f>IF(T239&lt;=0,"Output &lt;= 0",IF(U239&gt;#REF!,"Terlalu tinggi",IF(U239&lt;#REF!,"Terlalu rendah","Sesuai")))</f>
        <v>#REF!</v>
      </c>
      <c r="W239" s="7" t="e">
        <f>IF(T239&lt;=0,S239,IF(U239&gt;#REF!,ROUNDDOWN(T239*#REF!,0),IF(U239&lt;#REF!,ROUNDUP(T239*#REF!,0),S239)))</f>
        <v>#REF!</v>
      </c>
      <c r="X239" s="7" t="e">
        <f t="shared" si="27"/>
        <v>#REF!</v>
      </c>
      <c r="Y239" s="7" t="e">
        <f t="shared" si="28"/>
        <v>#REF!</v>
      </c>
      <c r="Z239" s="7" t="e">
        <f t="shared" si="29"/>
        <v>#REF!</v>
      </c>
      <c r="AA239" s="7" t="e">
        <f t="shared" si="30"/>
        <v>#REF!</v>
      </c>
      <c r="AB239" s="8" t="e">
        <f t="shared" si="31"/>
        <v>#REF!</v>
      </c>
      <c r="AC239" s="9" t="e">
        <f>IF(T239&lt;=0,"Output &lt;= 0, cek manual",IF(OR(Z239&lt;0,Y239&lt;0),"Biaya negatif",IF(AND(AB239&gt;=#REF!,AB239&lt;=#REF!),"OK","Di luar rentang")))</f>
        <v>#REF!</v>
      </c>
    </row>
    <row r="240" ht="99.75" spans="1:29">
      <c r="A240" s="2" t="s">
        <v>30</v>
      </c>
      <c r="B240" s="2" t="s">
        <v>391</v>
      </c>
      <c r="C240" s="3" t="s">
        <v>1101</v>
      </c>
      <c r="D240" s="3" t="s">
        <v>1102</v>
      </c>
      <c r="E240" s="3" t="s">
        <v>1103</v>
      </c>
      <c r="F240" s="4">
        <v>0</v>
      </c>
      <c r="G240" s="4">
        <v>15000000</v>
      </c>
      <c r="H240" s="4">
        <v>1500000</v>
      </c>
      <c r="I240" s="4">
        <v>0</v>
      </c>
      <c r="J240" s="2" t="s">
        <v>249</v>
      </c>
      <c r="K240" s="4">
        <v>22600000</v>
      </c>
      <c r="L240" s="4">
        <v>0</v>
      </c>
      <c r="M240" s="4">
        <v>6100000</v>
      </c>
      <c r="N240" s="4">
        <v>1000000</v>
      </c>
      <c r="O240" s="4">
        <v>7600000</v>
      </c>
      <c r="P240" s="5">
        <v>0.663717</v>
      </c>
      <c r="Q240" s="5">
        <v>0.802632</v>
      </c>
      <c r="R240" s="2" t="s">
        <v>1104</v>
      </c>
      <c r="S240" s="7">
        <f t="shared" si="24"/>
        <v>6100000</v>
      </c>
      <c r="T240" s="7">
        <f t="shared" si="25"/>
        <v>7600000</v>
      </c>
      <c r="U240" s="8">
        <f t="shared" si="26"/>
        <v>0.802631578947368</v>
      </c>
      <c r="V240" s="9" t="e">
        <f>IF(T240&lt;=0,"Output &lt;= 0",IF(U240&gt;#REF!,"Terlalu tinggi",IF(U240&lt;#REF!,"Terlalu rendah","Sesuai")))</f>
        <v>#REF!</v>
      </c>
      <c r="W240" s="7" t="e">
        <f>IF(T240&lt;=0,S240,IF(U240&gt;#REF!,ROUNDDOWN(T240*#REF!,0),IF(U240&lt;#REF!,ROUNDUP(T240*#REF!,0),S240)))</f>
        <v>#REF!</v>
      </c>
      <c r="X240" s="7" t="e">
        <f t="shared" si="27"/>
        <v>#REF!</v>
      </c>
      <c r="Y240" s="7" t="e">
        <f t="shared" si="28"/>
        <v>#REF!</v>
      </c>
      <c r="Z240" s="7" t="e">
        <f t="shared" si="29"/>
        <v>#REF!</v>
      </c>
      <c r="AA240" s="7" t="e">
        <f t="shared" si="30"/>
        <v>#REF!</v>
      </c>
      <c r="AB240" s="8" t="e">
        <f t="shared" si="31"/>
        <v>#REF!</v>
      </c>
      <c r="AC240" s="9" t="e">
        <f>IF(T240&lt;=0,"Output &lt;= 0, cek manual",IF(OR(Z240&lt;0,Y240&lt;0),"Biaya negatif",IF(AND(AB240&gt;=#REF!,AB240&lt;=#REF!),"OK","Di luar rentang")))</f>
        <v>#REF!</v>
      </c>
    </row>
    <row r="241" ht="114" spans="1:29">
      <c r="A241" s="2" t="s">
        <v>30</v>
      </c>
      <c r="B241" s="2" t="s">
        <v>391</v>
      </c>
      <c r="C241" s="3" t="s">
        <v>1105</v>
      </c>
      <c r="D241" s="3" t="s">
        <v>403</v>
      </c>
      <c r="E241" s="3" t="s">
        <v>1106</v>
      </c>
      <c r="F241" s="4">
        <v>0</v>
      </c>
      <c r="G241" s="4">
        <v>18243000</v>
      </c>
      <c r="H241" s="4">
        <v>2400000</v>
      </c>
      <c r="I241" s="4">
        <v>0</v>
      </c>
      <c r="J241" s="2" t="s">
        <v>1107</v>
      </c>
      <c r="K241" s="4">
        <v>22560000</v>
      </c>
      <c r="L241" s="4">
        <v>0</v>
      </c>
      <c r="M241" s="4">
        <v>1917000</v>
      </c>
      <c r="N241" s="4">
        <v>500000</v>
      </c>
      <c r="O241" s="4">
        <v>4317000</v>
      </c>
      <c r="P241" s="5">
        <v>0.808644</v>
      </c>
      <c r="Q241" s="5">
        <v>0.444058</v>
      </c>
      <c r="R241" s="2" t="s">
        <v>1108</v>
      </c>
      <c r="S241" s="7">
        <f t="shared" si="24"/>
        <v>1917000</v>
      </c>
      <c r="T241" s="7">
        <f t="shared" si="25"/>
        <v>4317000</v>
      </c>
      <c r="U241" s="8">
        <f t="shared" si="26"/>
        <v>0.444058373870744</v>
      </c>
      <c r="V241" s="9" t="e">
        <f>IF(T241&lt;=0,"Output &lt;= 0",IF(U241&gt;#REF!,"Terlalu tinggi",IF(U241&lt;#REF!,"Terlalu rendah","Sesuai")))</f>
        <v>#REF!</v>
      </c>
      <c r="W241" s="7" t="e">
        <f>IF(T241&lt;=0,S241,IF(U241&gt;#REF!,ROUNDDOWN(T241*#REF!,0),IF(U241&lt;#REF!,ROUNDUP(T241*#REF!,0),S241)))</f>
        <v>#REF!</v>
      </c>
      <c r="X241" s="7" t="e">
        <f t="shared" si="27"/>
        <v>#REF!</v>
      </c>
      <c r="Y241" s="7" t="e">
        <f t="shared" si="28"/>
        <v>#REF!</v>
      </c>
      <c r="Z241" s="7" t="e">
        <f t="shared" si="29"/>
        <v>#REF!</v>
      </c>
      <c r="AA241" s="7" t="e">
        <f t="shared" si="30"/>
        <v>#REF!</v>
      </c>
      <c r="AB241" s="8" t="e">
        <f t="shared" si="31"/>
        <v>#REF!</v>
      </c>
      <c r="AC241" s="9" t="e">
        <f>IF(T241&lt;=0,"Output &lt;= 0, cek manual",IF(OR(Z241&lt;0,Y241&lt;0),"Biaya negatif",IF(AND(AB241&gt;=#REF!,AB241&lt;=#REF!),"OK","Di luar rentang")))</f>
        <v>#REF!</v>
      </c>
    </row>
    <row r="242" ht="114" spans="1:29">
      <c r="A242" s="2" t="s">
        <v>30</v>
      </c>
      <c r="B242" s="2" t="s">
        <v>391</v>
      </c>
      <c r="C242" s="3" t="s">
        <v>1109</v>
      </c>
      <c r="D242" s="3" t="s">
        <v>1110</v>
      </c>
      <c r="E242" s="3" t="s">
        <v>1111</v>
      </c>
      <c r="F242" s="4">
        <v>1500000</v>
      </c>
      <c r="G242" s="4">
        <v>1500000</v>
      </c>
      <c r="H242" s="4">
        <v>250000</v>
      </c>
      <c r="I242" s="4">
        <v>0</v>
      </c>
      <c r="J242" s="2" t="s">
        <v>1046</v>
      </c>
      <c r="K242" s="4">
        <v>4200000</v>
      </c>
      <c r="L242" s="4">
        <v>0</v>
      </c>
      <c r="M242" s="4">
        <v>950000</v>
      </c>
      <c r="N242" s="4">
        <v>1000000</v>
      </c>
      <c r="O242" s="4">
        <v>2700000</v>
      </c>
      <c r="P242" s="5">
        <v>0.357143</v>
      </c>
      <c r="Q242" s="5">
        <v>0.351852</v>
      </c>
      <c r="R242" s="2" t="s">
        <v>1112</v>
      </c>
      <c r="S242" s="7">
        <f t="shared" si="24"/>
        <v>950000</v>
      </c>
      <c r="T242" s="7">
        <f t="shared" si="25"/>
        <v>2700000</v>
      </c>
      <c r="U242" s="8">
        <f t="shared" si="26"/>
        <v>0.351851851851852</v>
      </c>
      <c r="V242" s="9" t="e">
        <f>IF(T242&lt;=0,"Output &lt;= 0",IF(U242&gt;#REF!,"Terlalu tinggi",IF(U242&lt;#REF!,"Terlalu rendah","Sesuai")))</f>
        <v>#REF!</v>
      </c>
      <c r="W242" s="7" t="e">
        <f>IF(T242&lt;=0,S242,IF(U242&gt;#REF!,ROUNDDOWN(T242*#REF!,0),IF(U242&lt;#REF!,ROUNDUP(T242*#REF!,0),S242)))</f>
        <v>#REF!</v>
      </c>
      <c r="X242" s="7" t="e">
        <f t="shared" si="27"/>
        <v>#REF!</v>
      </c>
      <c r="Y242" s="7" t="e">
        <f t="shared" si="28"/>
        <v>#REF!</v>
      </c>
      <c r="Z242" s="7" t="e">
        <f t="shared" si="29"/>
        <v>#REF!</v>
      </c>
      <c r="AA242" s="7" t="e">
        <f t="shared" si="30"/>
        <v>#REF!</v>
      </c>
      <c r="AB242" s="8" t="e">
        <f t="shared" si="31"/>
        <v>#REF!</v>
      </c>
      <c r="AC242" s="9" t="e">
        <f>IF(T242&lt;=0,"Output &lt;= 0, cek manual",IF(OR(Z242&lt;0,Y242&lt;0),"Biaya negatif",IF(AND(AB242&gt;=#REF!,AB242&lt;=#REF!),"OK","Di luar rentang")))</f>
        <v>#REF!</v>
      </c>
    </row>
    <row r="243" ht="114" spans="1:29">
      <c r="A243" s="2" t="s">
        <v>30</v>
      </c>
      <c r="B243" s="2" t="s">
        <v>391</v>
      </c>
      <c r="C243" s="3" t="s">
        <v>1113</v>
      </c>
      <c r="D243" s="3" t="s">
        <v>541</v>
      </c>
      <c r="E243" s="3" t="s">
        <v>1114</v>
      </c>
      <c r="F243" s="4">
        <v>0</v>
      </c>
      <c r="G243" s="4">
        <v>0</v>
      </c>
      <c r="H243" s="4">
        <v>4800000</v>
      </c>
      <c r="I243" s="4">
        <v>2680000</v>
      </c>
      <c r="J243" s="2" t="s">
        <v>580</v>
      </c>
      <c r="K243" s="4">
        <v>9640000</v>
      </c>
      <c r="L243" s="4">
        <v>0</v>
      </c>
      <c r="M243" s="4">
        <v>4840000</v>
      </c>
      <c r="N243" s="4">
        <v>0</v>
      </c>
      <c r="O243" s="4">
        <v>9640000</v>
      </c>
      <c r="P243" s="4">
        <v>0</v>
      </c>
      <c r="Q243" s="5">
        <v>0.502075</v>
      </c>
      <c r="R243" s="2" t="s">
        <v>1115</v>
      </c>
      <c r="S243" s="7">
        <f t="shared" si="24"/>
        <v>4840000</v>
      </c>
      <c r="T243" s="7">
        <f t="shared" si="25"/>
        <v>9640000</v>
      </c>
      <c r="U243" s="8">
        <f t="shared" si="26"/>
        <v>0.50207468879668</v>
      </c>
      <c r="V243" s="9" t="e">
        <f>IF(T243&lt;=0,"Output &lt;= 0",IF(U243&gt;#REF!,"Terlalu tinggi",IF(U243&lt;#REF!,"Terlalu rendah","Sesuai")))</f>
        <v>#REF!</v>
      </c>
      <c r="W243" s="7" t="e">
        <f>IF(T243&lt;=0,S243,IF(U243&gt;#REF!,ROUNDDOWN(T243*#REF!,0),IF(U243&lt;#REF!,ROUNDUP(T243*#REF!,0),S243)))</f>
        <v>#REF!</v>
      </c>
      <c r="X243" s="7" t="e">
        <f t="shared" si="27"/>
        <v>#REF!</v>
      </c>
      <c r="Y243" s="7" t="e">
        <f t="shared" si="28"/>
        <v>#REF!</v>
      </c>
      <c r="Z243" s="7" t="e">
        <f t="shared" si="29"/>
        <v>#REF!</v>
      </c>
      <c r="AA243" s="7" t="e">
        <f t="shared" si="30"/>
        <v>#REF!</v>
      </c>
      <c r="AB243" s="8" t="e">
        <f t="shared" si="31"/>
        <v>#REF!</v>
      </c>
      <c r="AC243" s="9" t="e">
        <f>IF(T243&lt;=0,"Output &lt;= 0, cek manual",IF(OR(Z243&lt;0,Y243&lt;0),"Biaya negatif",IF(AND(AB243&gt;=#REF!,AB243&lt;=#REF!),"OK","Di luar rentang")))</f>
        <v>#REF!</v>
      </c>
    </row>
    <row r="244" ht="128.25" spans="1:29">
      <c r="A244" s="2" t="s">
        <v>30</v>
      </c>
      <c r="B244" s="2" t="s">
        <v>391</v>
      </c>
      <c r="C244" s="3" t="s">
        <v>1116</v>
      </c>
      <c r="D244" s="3" t="s">
        <v>57</v>
      </c>
      <c r="E244" s="3" t="s">
        <v>1117</v>
      </c>
      <c r="F244" s="4">
        <v>0</v>
      </c>
      <c r="G244" s="4">
        <v>3900000</v>
      </c>
      <c r="H244" s="4">
        <v>1200000</v>
      </c>
      <c r="I244" s="4">
        <v>0</v>
      </c>
      <c r="J244" s="2" t="s">
        <v>84</v>
      </c>
      <c r="K244" s="4">
        <v>15000000</v>
      </c>
      <c r="L244" s="4">
        <v>0</v>
      </c>
      <c r="M244" s="4">
        <v>9900000</v>
      </c>
      <c r="N244" s="4">
        <v>38000000</v>
      </c>
      <c r="O244" s="4">
        <v>11100000</v>
      </c>
      <c r="P244" s="11">
        <v>0.26</v>
      </c>
      <c r="Q244" s="5">
        <v>0.891892</v>
      </c>
      <c r="R244" s="2" t="s">
        <v>1118</v>
      </c>
      <c r="S244" s="7">
        <f t="shared" si="24"/>
        <v>9900000</v>
      </c>
      <c r="T244" s="7">
        <f t="shared" si="25"/>
        <v>11100000</v>
      </c>
      <c r="U244" s="8">
        <f t="shared" si="26"/>
        <v>0.891891891891892</v>
      </c>
      <c r="V244" s="9" t="e">
        <f>IF(T244&lt;=0,"Output &lt;= 0",IF(U244&gt;#REF!,"Terlalu tinggi",IF(U244&lt;#REF!,"Terlalu rendah","Sesuai")))</f>
        <v>#REF!</v>
      </c>
      <c r="W244" s="7" t="e">
        <f>IF(T244&lt;=0,S244,IF(U244&gt;#REF!,ROUNDDOWN(T244*#REF!,0),IF(U244&lt;#REF!,ROUNDUP(T244*#REF!,0),S244)))</f>
        <v>#REF!</v>
      </c>
      <c r="X244" s="7" t="e">
        <f t="shared" si="27"/>
        <v>#REF!</v>
      </c>
      <c r="Y244" s="7" t="e">
        <f t="shared" si="28"/>
        <v>#REF!</v>
      </c>
      <c r="Z244" s="7" t="e">
        <f t="shared" si="29"/>
        <v>#REF!</v>
      </c>
      <c r="AA244" s="7" t="e">
        <f t="shared" si="30"/>
        <v>#REF!</v>
      </c>
      <c r="AB244" s="8" t="e">
        <f t="shared" si="31"/>
        <v>#REF!</v>
      </c>
      <c r="AC244" s="9" t="e">
        <f>IF(T244&lt;=0,"Output &lt;= 0, cek manual",IF(OR(Z244&lt;0,Y244&lt;0),"Biaya negatif",IF(AND(AB244&gt;=#REF!,AB244&lt;=#REF!),"OK","Di luar rentang")))</f>
        <v>#REF!</v>
      </c>
    </row>
    <row r="245" ht="114" spans="1:29">
      <c r="A245" s="2" t="s">
        <v>30</v>
      </c>
      <c r="B245" s="2" t="s">
        <v>391</v>
      </c>
      <c r="C245" s="3" t="s">
        <v>1119</v>
      </c>
      <c r="D245" s="3" t="s">
        <v>403</v>
      </c>
      <c r="E245" s="3" t="s">
        <v>399</v>
      </c>
      <c r="F245" s="4">
        <v>1000000</v>
      </c>
      <c r="G245" s="4">
        <v>4800000</v>
      </c>
      <c r="H245" s="4">
        <v>300000</v>
      </c>
      <c r="I245" s="4">
        <v>0</v>
      </c>
      <c r="J245" s="2" t="s">
        <v>1120</v>
      </c>
      <c r="K245" s="4">
        <v>7060000</v>
      </c>
      <c r="L245" s="4">
        <v>0</v>
      </c>
      <c r="M245" s="4">
        <v>960000</v>
      </c>
      <c r="N245" s="4">
        <v>5000000</v>
      </c>
      <c r="O245" s="4">
        <v>2260000</v>
      </c>
      <c r="P245" s="5">
        <v>0.679887</v>
      </c>
      <c r="Q245" s="5">
        <v>0.424779</v>
      </c>
      <c r="R245" s="2" t="s">
        <v>1121</v>
      </c>
      <c r="S245" s="7">
        <f t="shared" si="24"/>
        <v>960000</v>
      </c>
      <c r="T245" s="7">
        <f t="shared" si="25"/>
        <v>2260000</v>
      </c>
      <c r="U245" s="8">
        <f t="shared" si="26"/>
        <v>0.424778761061947</v>
      </c>
      <c r="V245" s="9" t="e">
        <f>IF(T245&lt;=0,"Output &lt;= 0",IF(U245&gt;#REF!,"Terlalu tinggi",IF(U245&lt;#REF!,"Terlalu rendah","Sesuai")))</f>
        <v>#REF!</v>
      </c>
      <c r="W245" s="7" t="e">
        <f>IF(T245&lt;=0,S245,IF(U245&gt;#REF!,ROUNDDOWN(T245*#REF!,0),IF(U245&lt;#REF!,ROUNDUP(T245*#REF!,0),S245)))</f>
        <v>#REF!</v>
      </c>
      <c r="X245" s="7" t="e">
        <f t="shared" si="27"/>
        <v>#REF!</v>
      </c>
      <c r="Y245" s="7" t="e">
        <f t="shared" si="28"/>
        <v>#REF!</v>
      </c>
      <c r="Z245" s="7" t="e">
        <f t="shared" si="29"/>
        <v>#REF!</v>
      </c>
      <c r="AA245" s="7" t="e">
        <f t="shared" si="30"/>
        <v>#REF!</v>
      </c>
      <c r="AB245" s="8" t="e">
        <f t="shared" si="31"/>
        <v>#REF!</v>
      </c>
      <c r="AC245" s="9" t="e">
        <f>IF(T245&lt;=0,"Output &lt;= 0, cek manual",IF(OR(Z245&lt;0,Y245&lt;0),"Biaya negatif",IF(AND(AB245&gt;=#REF!,AB245&lt;=#REF!),"OK","Di luar rentang")))</f>
        <v>#REF!</v>
      </c>
    </row>
    <row r="246" ht="71.25" spans="1:29">
      <c r="A246" s="2" t="s">
        <v>30</v>
      </c>
      <c r="B246" s="2" t="s">
        <v>391</v>
      </c>
      <c r="C246" s="3" t="s">
        <v>1122</v>
      </c>
      <c r="D246" s="3" t="s">
        <v>403</v>
      </c>
      <c r="E246" s="3" t="s">
        <v>1123</v>
      </c>
      <c r="F246" s="4">
        <v>500000</v>
      </c>
      <c r="G246" s="4">
        <v>1000000</v>
      </c>
      <c r="H246" s="4">
        <v>150000</v>
      </c>
      <c r="I246" s="4">
        <v>0</v>
      </c>
      <c r="J246" s="2" t="s">
        <v>619</v>
      </c>
      <c r="K246" s="4">
        <v>2280000</v>
      </c>
      <c r="L246" s="4">
        <v>0</v>
      </c>
      <c r="M246" s="4">
        <v>630000</v>
      </c>
      <c r="N246" s="4">
        <v>850000</v>
      </c>
      <c r="O246" s="4">
        <v>1280000</v>
      </c>
      <c r="P246" s="5">
        <v>0.438596</v>
      </c>
      <c r="Q246" s="5">
        <v>0.492188</v>
      </c>
      <c r="R246" s="2" t="s">
        <v>1124</v>
      </c>
      <c r="S246" s="7">
        <f t="shared" si="24"/>
        <v>630000</v>
      </c>
      <c r="T246" s="7">
        <f t="shared" si="25"/>
        <v>1280000</v>
      </c>
      <c r="U246" s="8">
        <f t="shared" si="26"/>
        <v>0.4921875</v>
      </c>
      <c r="V246" s="9" t="e">
        <f>IF(T246&lt;=0,"Output &lt;= 0",IF(U246&gt;#REF!,"Terlalu tinggi",IF(U246&lt;#REF!,"Terlalu rendah","Sesuai")))</f>
        <v>#REF!</v>
      </c>
      <c r="W246" s="7" t="e">
        <f>IF(T246&lt;=0,S246,IF(U246&gt;#REF!,ROUNDDOWN(T246*#REF!,0),IF(U246&lt;#REF!,ROUNDUP(T246*#REF!,0),S246)))</f>
        <v>#REF!</v>
      </c>
      <c r="X246" s="7" t="e">
        <f t="shared" si="27"/>
        <v>#REF!</v>
      </c>
      <c r="Y246" s="7" t="e">
        <f t="shared" si="28"/>
        <v>#REF!</v>
      </c>
      <c r="Z246" s="7" t="e">
        <f t="shared" si="29"/>
        <v>#REF!</v>
      </c>
      <c r="AA246" s="7" t="e">
        <f t="shared" si="30"/>
        <v>#REF!</v>
      </c>
      <c r="AB246" s="8" t="e">
        <f t="shared" si="31"/>
        <v>#REF!</v>
      </c>
      <c r="AC246" s="9" t="e">
        <f>IF(T246&lt;=0,"Output &lt;= 0, cek manual",IF(OR(Z246&lt;0,Y246&lt;0),"Biaya negatif",IF(AND(AB246&gt;=#REF!,AB246&lt;=#REF!),"OK","Di luar rentang")))</f>
        <v>#REF!</v>
      </c>
    </row>
    <row r="247" ht="99.75" spans="1:29">
      <c r="A247" s="2" t="s">
        <v>30</v>
      </c>
      <c r="B247" s="2" t="s">
        <v>428</v>
      </c>
      <c r="C247" s="3" t="s">
        <v>1125</v>
      </c>
      <c r="D247" s="3" t="s">
        <v>1126</v>
      </c>
      <c r="E247" s="3" t="s">
        <v>1127</v>
      </c>
      <c r="F247" s="4">
        <v>0</v>
      </c>
      <c r="G247" s="4">
        <v>73200000</v>
      </c>
      <c r="H247" s="4">
        <v>2000000</v>
      </c>
      <c r="I247" s="4">
        <v>0</v>
      </c>
      <c r="J247" s="2" t="s">
        <v>1128</v>
      </c>
      <c r="K247" s="4">
        <v>157600000</v>
      </c>
      <c r="L247" s="4">
        <v>0</v>
      </c>
      <c r="M247" s="4">
        <v>82400000</v>
      </c>
      <c r="N247" s="4">
        <v>7900000</v>
      </c>
      <c r="O247" s="4">
        <v>84400000</v>
      </c>
      <c r="P247" s="5">
        <v>0.464467</v>
      </c>
      <c r="Q247" s="5">
        <v>0.976303</v>
      </c>
      <c r="R247" s="2" t="s">
        <v>1129</v>
      </c>
      <c r="S247" s="7">
        <f t="shared" si="24"/>
        <v>82400000</v>
      </c>
      <c r="T247" s="7">
        <f t="shared" si="25"/>
        <v>84400000</v>
      </c>
      <c r="U247" s="8">
        <f t="shared" si="26"/>
        <v>0.976303317535545</v>
      </c>
      <c r="V247" s="9" t="e">
        <f>IF(T247&lt;=0,"Output &lt;= 0",IF(U247&gt;#REF!,"Terlalu tinggi",IF(U247&lt;#REF!,"Terlalu rendah","Sesuai")))</f>
        <v>#REF!</v>
      </c>
      <c r="W247" s="7" t="e">
        <f>IF(T247&lt;=0,S247,IF(U247&gt;#REF!,ROUNDDOWN(T247*#REF!,0),IF(U247&lt;#REF!,ROUNDUP(T247*#REF!,0),S247)))</f>
        <v>#REF!</v>
      </c>
      <c r="X247" s="7" t="e">
        <f t="shared" si="27"/>
        <v>#REF!</v>
      </c>
      <c r="Y247" s="7" t="e">
        <f t="shared" si="28"/>
        <v>#REF!</v>
      </c>
      <c r="Z247" s="7" t="e">
        <f t="shared" si="29"/>
        <v>#REF!</v>
      </c>
      <c r="AA247" s="7" t="e">
        <f t="shared" si="30"/>
        <v>#REF!</v>
      </c>
      <c r="AB247" s="8" t="e">
        <f t="shared" si="31"/>
        <v>#REF!</v>
      </c>
      <c r="AC247" s="9" t="e">
        <f>IF(T247&lt;=0,"Output &lt;= 0, cek manual",IF(OR(Z247&lt;0,Y247&lt;0),"Biaya negatif",IF(AND(AB247&gt;=#REF!,AB247&lt;=#REF!),"OK","Di luar rentang")))</f>
        <v>#REF!</v>
      </c>
    </row>
    <row r="248" ht="85.5" spans="1:29">
      <c r="A248" s="2" t="s">
        <v>30</v>
      </c>
      <c r="B248" s="2" t="s">
        <v>433</v>
      </c>
      <c r="C248" s="3" t="s">
        <v>1130</v>
      </c>
      <c r="D248" s="3" t="s">
        <v>301</v>
      </c>
      <c r="E248" s="3" t="s">
        <v>1131</v>
      </c>
      <c r="F248" s="4">
        <v>0</v>
      </c>
      <c r="G248" s="4">
        <v>3000000</v>
      </c>
      <c r="H248" s="4">
        <v>0</v>
      </c>
      <c r="I248" s="4">
        <v>0</v>
      </c>
      <c r="J248" s="2" t="s">
        <v>84</v>
      </c>
      <c r="K248" s="4">
        <v>7000000</v>
      </c>
      <c r="L248" s="4">
        <v>0</v>
      </c>
      <c r="M248" s="4">
        <v>4000000</v>
      </c>
      <c r="N248" s="4">
        <v>2100000</v>
      </c>
      <c r="O248" s="4">
        <v>4000000</v>
      </c>
      <c r="P248" s="5">
        <v>0.428571</v>
      </c>
      <c r="Q248" s="4">
        <v>1</v>
      </c>
      <c r="R248" s="2" t="s">
        <v>1132</v>
      </c>
      <c r="S248" s="7">
        <f t="shared" si="24"/>
        <v>4000000</v>
      </c>
      <c r="T248" s="7">
        <f t="shared" si="25"/>
        <v>4000000</v>
      </c>
      <c r="U248" s="8">
        <f t="shared" si="26"/>
        <v>1</v>
      </c>
      <c r="V248" s="9" t="e">
        <f>IF(T248&lt;=0,"Output &lt;= 0",IF(U248&gt;#REF!,"Terlalu tinggi",IF(U248&lt;#REF!,"Terlalu rendah","Sesuai")))</f>
        <v>#REF!</v>
      </c>
      <c r="W248" s="7" t="e">
        <f>IF(T248&lt;=0,S248,IF(U248&gt;#REF!,ROUNDDOWN(T248*#REF!,0),IF(U248&lt;#REF!,ROUNDUP(T248*#REF!,0),S248)))</f>
        <v>#REF!</v>
      </c>
      <c r="X248" s="7" t="e">
        <f t="shared" si="27"/>
        <v>#REF!</v>
      </c>
      <c r="Y248" s="7" t="e">
        <f t="shared" si="28"/>
        <v>#REF!</v>
      </c>
      <c r="Z248" s="7" t="e">
        <f t="shared" si="29"/>
        <v>#REF!</v>
      </c>
      <c r="AA248" s="7" t="e">
        <f t="shared" si="30"/>
        <v>#REF!</v>
      </c>
      <c r="AB248" s="8" t="e">
        <f t="shared" si="31"/>
        <v>#REF!</v>
      </c>
      <c r="AC248" s="9" t="e">
        <f>IF(T248&lt;=0,"Output &lt;= 0, cek manual",IF(OR(Z248&lt;0,Y248&lt;0),"Biaya negatif",IF(AND(AB248&gt;=#REF!,AB248&lt;=#REF!),"OK","Di luar rentang")))</f>
        <v>#REF!</v>
      </c>
    </row>
    <row r="249" ht="71.25" spans="1:29">
      <c r="A249" s="2" t="s">
        <v>30</v>
      </c>
      <c r="B249" s="2" t="s">
        <v>1133</v>
      </c>
      <c r="C249" s="3" t="s">
        <v>1134</v>
      </c>
      <c r="D249" s="3" t="s">
        <v>1135</v>
      </c>
      <c r="E249" s="3" t="s">
        <v>1136</v>
      </c>
      <c r="F249" s="4">
        <v>12500000</v>
      </c>
      <c r="G249" s="4">
        <v>0</v>
      </c>
      <c r="H249" s="4">
        <v>300000</v>
      </c>
      <c r="I249" s="4">
        <v>0</v>
      </c>
      <c r="J249" s="2" t="s">
        <v>1137</v>
      </c>
      <c r="K249" s="4">
        <v>30000000</v>
      </c>
      <c r="L249" s="4">
        <v>0</v>
      </c>
      <c r="M249" s="4">
        <v>17200000</v>
      </c>
      <c r="N249" s="4">
        <v>3000000</v>
      </c>
      <c r="O249" s="4">
        <v>30000000</v>
      </c>
      <c r="P249" s="4">
        <v>0</v>
      </c>
      <c r="Q249" s="5">
        <v>0.573333</v>
      </c>
      <c r="R249" s="2" t="s">
        <v>1138</v>
      </c>
      <c r="S249" s="7">
        <f t="shared" si="24"/>
        <v>17200000</v>
      </c>
      <c r="T249" s="7">
        <f t="shared" si="25"/>
        <v>30000000</v>
      </c>
      <c r="U249" s="8">
        <f t="shared" si="26"/>
        <v>0.573333333333333</v>
      </c>
      <c r="V249" s="9" t="e">
        <f>IF(T249&lt;=0,"Output &lt;= 0",IF(U249&gt;#REF!,"Terlalu tinggi",IF(U249&lt;#REF!,"Terlalu rendah","Sesuai")))</f>
        <v>#REF!</v>
      </c>
      <c r="W249" s="7" t="e">
        <f>IF(T249&lt;=0,S249,IF(U249&gt;#REF!,ROUNDDOWN(T249*#REF!,0),IF(U249&lt;#REF!,ROUNDUP(T249*#REF!,0),S249)))</f>
        <v>#REF!</v>
      </c>
      <c r="X249" s="7" t="e">
        <f t="shared" si="27"/>
        <v>#REF!</v>
      </c>
      <c r="Y249" s="7" t="e">
        <f t="shared" si="28"/>
        <v>#REF!</v>
      </c>
      <c r="Z249" s="7" t="e">
        <f t="shared" si="29"/>
        <v>#REF!</v>
      </c>
      <c r="AA249" s="7" t="e">
        <f t="shared" si="30"/>
        <v>#REF!</v>
      </c>
      <c r="AB249" s="8" t="e">
        <f t="shared" si="31"/>
        <v>#REF!</v>
      </c>
      <c r="AC249" s="9" t="e">
        <f>IF(T249&lt;=0,"Output &lt;= 0, cek manual",IF(OR(Z249&lt;0,Y249&lt;0),"Biaya negatif",IF(AND(AB249&gt;=#REF!,AB249&lt;=#REF!),"OK","Di luar rentang")))</f>
        <v>#REF!</v>
      </c>
    </row>
    <row r="250" ht="171" spans="1:29">
      <c r="A250" s="2" t="s">
        <v>30</v>
      </c>
      <c r="B250" s="2" t="s">
        <v>1139</v>
      </c>
      <c r="C250" s="3" t="s">
        <v>1140</v>
      </c>
      <c r="D250" s="3" t="s">
        <v>1141</v>
      </c>
      <c r="E250" s="3" t="s">
        <v>1141</v>
      </c>
      <c r="F250" s="4">
        <v>600000</v>
      </c>
      <c r="G250" s="4">
        <v>75000000</v>
      </c>
      <c r="H250" s="4">
        <v>2400000</v>
      </c>
      <c r="I250" s="4">
        <v>1200000</v>
      </c>
      <c r="J250" s="2" t="s">
        <v>1142</v>
      </c>
      <c r="K250" s="4">
        <v>216600000</v>
      </c>
      <c r="L250" s="4">
        <v>0</v>
      </c>
      <c r="M250" s="4">
        <v>138600000</v>
      </c>
      <c r="N250" s="4">
        <v>250000000</v>
      </c>
      <c r="O250" s="4">
        <v>141600000</v>
      </c>
      <c r="P250" s="6">
        <v>0.34626</v>
      </c>
      <c r="Q250" s="5">
        <v>0.978814</v>
      </c>
      <c r="R250" s="2" t="s">
        <v>1143</v>
      </c>
      <c r="S250" s="7">
        <f t="shared" si="24"/>
        <v>138600000</v>
      </c>
      <c r="T250" s="7">
        <f t="shared" si="25"/>
        <v>141600000</v>
      </c>
      <c r="U250" s="8">
        <f t="shared" si="26"/>
        <v>0.978813559322034</v>
      </c>
      <c r="V250" s="9" t="e">
        <f>IF(T250&lt;=0,"Output &lt;= 0",IF(U250&gt;#REF!,"Terlalu tinggi",IF(U250&lt;#REF!,"Terlalu rendah","Sesuai")))</f>
        <v>#REF!</v>
      </c>
      <c r="W250" s="7" t="e">
        <f>IF(T250&lt;=0,S250,IF(U250&gt;#REF!,ROUNDDOWN(T250*#REF!,0),IF(U250&lt;#REF!,ROUNDUP(T250*#REF!,0),S250)))</f>
        <v>#REF!</v>
      </c>
      <c r="X250" s="7" t="e">
        <f t="shared" si="27"/>
        <v>#REF!</v>
      </c>
      <c r="Y250" s="7" t="e">
        <f t="shared" si="28"/>
        <v>#REF!</v>
      </c>
      <c r="Z250" s="7" t="e">
        <f t="shared" si="29"/>
        <v>#REF!</v>
      </c>
      <c r="AA250" s="7" t="e">
        <f t="shared" si="30"/>
        <v>#REF!</v>
      </c>
      <c r="AB250" s="8" t="e">
        <f t="shared" si="31"/>
        <v>#REF!</v>
      </c>
      <c r="AC250" s="9" t="e">
        <f>IF(T250&lt;=0,"Output &lt;= 0, cek manual",IF(OR(Z250&lt;0,Y250&lt;0),"Biaya negatif",IF(AND(AB250&gt;=#REF!,AB250&lt;=#REF!),"OK","Di luar rentang")))</f>
        <v>#REF!</v>
      </c>
    </row>
    <row r="251" ht="85.5" spans="1:29">
      <c r="A251" s="2" t="s">
        <v>30</v>
      </c>
      <c r="B251" s="2" t="s">
        <v>1144</v>
      </c>
      <c r="C251" s="3" t="s">
        <v>1145</v>
      </c>
      <c r="D251" s="3" t="s">
        <v>1146</v>
      </c>
      <c r="E251" s="3" t="s">
        <v>1147</v>
      </c>
      <c r="F251" s="4">
        <v>0</v>
      </c>
      <c r="G251" s="4">
        <v>12000000</v>
      </c>
      <c r="H251" s="4">
        <v>0</v>
      </c>
      <c r="I251" s="4">
        <v>0</v>
      </c>
      <c r="J251" s="2" t="s">
        <v>1148</v>
      </c>
      <c r="K251" s="4">
        <v>24000000</v>
      </c>
      <c r="L251" s="4">
        <v>0</v>
      </c>
      <c r="M251" s="4">
        <v>12000000</v>
      </c>
      <c r="N251" s="4">
        <v>0</v>
      </c>
      <c r="O251" s="4">
        <v>12000000</v>
      </c>
      <c r="P251" s="12">
        <v>0.5</v>
      </c>
      <c r="Q251" s="4">
        <v>1</v>
      </c>
      <c r="R251" s="2" t="s">
        <v>1149</v>
      </c>
      <c r="S251" s="7">
        <f t="shared" si="24"/>
        <v>12000000</v>
      </c>
      <c r="T251" s="7">
        <f t="shared" si="25"/>
        <v>12000000</v>
      </c>
      <c r="U251" s="8">
        <f t="shared" si="26"/>
        <v>1</v>
      </c>
      <c r="V251" s="9" t="e">
        <f>IF(T251&lt;=0,"Output &lt;= 0",IF(U251&gt;#REF!,"Terlalu tinggi",IF(U251&lt;#REF!,"Terlalu rendah","Sesuai")))</f>
        <v>#REF!</v>
      </c>
      <c r="W251" s="7" t="e">
        <f>IF(T251&lt;=0,S251,IF(U251&gt;#REF!,ROUNDDOWN(T251*#REF!,0),IF(U251&lt;#REF!,ROUNDUP(T251*#REF!,0),S251)))</f>
        <v>#REF!</v>
      </c>
      <c r="X251" s="7" t="e">
        <f t="shared" si="27"/>
        <v>#REF!</v>
      </c>
      <c r="Y251" s="7" t="e">
        <f t="shared" si="28"/>
        <v>#REF!</v>
      </c>
      <c r="Z251" s="7" t="e">
        <f t="shared" si="29"/>
        <v>#REF!</v>
      </c>
      <c r="AA251" s="7" t="e">
        <f t="shared" si="30"/>
        <v>#REF!</v>
      </c>
      <c r="AB251" s="8" t="e">
        <f t="shared" si="31"/>
        <v>#REF!</v>
      </c>
      <c r="AC251" s="9" t="e">
        <f>IF(T251&lt;=0,"Output &lt;= 0, cek manual",IF(OR(Z251&lt;0,Y251&lt;0),"Biaya negatif",IF(AND(AB251&gt;=#REF!,AB251&lt;=#REF!),"OK","Di luar rentang")))</f>
        <v>#REF!</v>
      </c>
    </row>
    <row r="252" ht="99.75" spans="1:29">
      <c r="A252" s="2" t="s">
        <v>30</v>
      </c>
      <c r="B252" s="2" t="s">
        <v>466</v>
      </c>
      <c r="C252" s="3" t="s">
        <v>1150</v>
      </c>
      <c r="D252" s="3" t="s">
        <v>478</v>
      </c>
      <c r="E252" s="3" t="s">
        <v>478</v>
      </c>
      <c r="F252" s="4">
        <v>576000</v>
      </c>
      <c r="G252" s="4">
        <v>12000000</v>
      </c>
      <c r="H252" s="4">
        <v>1000000</v>
      </c>
      <c r="I252" s="4">
        <v>720000</v>
      </c>
      <c r="J252" s="2" t="s">
        <v>1151</v>
      </c>
      <c r="K252" s="4">
        <v>46800000</v>
      </c>
      <c r="L252" s="4">
        <v>0</v>
      </c>
      <c r="M252" s="4">
        <v>33224000</v>
      </c>
      <c r="N252" s="4">
        <v>30000000</v>
      </c>
      <c r="O252" s="4">
        <v>34800000</v>
      </c>
      <c r="P252" s="6">
        <v>0.25641</v>
      </c>
      <c r="Q252" s="5">
        <v>0.954713</v>
      </c>
      <c r="R252" s="2" t="s">
        <v>1152</v>
      </c>
      <c r="S252" s="7">
        <f t="shared" si="24"/>
        <v>33224000</v>
      </c>
      <c r="T252" s="7">
        <f t="shared" si="25"/>
        <v>34800000</v>
      </c>
      <c r="U252" s="8">
        <f t="shared" si="26"/>
        <v>0.954712643678161</v>
      </c>
      <c r="V252" s="9" t="e">
        <f>IF(T252&lt;=0,"Output &lt;= 0",IF(U252&gt;#REF!,"Terlalu tinggi",IF(U252&lt;#REF!,"Terlalu rendah","Sesuai")))</f>
        <v>#REF!</v>
      </c>
      <c r="W252" s="7" t="e">
        <f>IF(T252&lt;=0,S252,IF(U252&gt;#REF!,ROUNDDOWN(T252*#REF!,0),IF(U252&lt;#REF!,ROUNDUP(T252*#REF!,0),S252)))</f>
        <v>#REF!</v>
      </c>
      <c r="X252" s="7" t="e">
        <f t="shared" si="27"/>
        <v>#REF!</v>
      </c>
      <c r="Y252" s="7" t="e">
        <f t="shared" si="28"/>
        <v>#REF!</v>
      </c>
      <c r="Z252" s="7" t="e">
        <f t="shared" si="29"/>
        <v>#REF!</v>
      </c>
      <c r="AA252" s="7" t="e">
        <f t="shared" si="30"/>
        <v>#REF!</v>
      </c>
      <c r="AB252" s="8" t="e">
        <f t="shared" si="31"/>
        <v>#REF!</v>
      </c>
      <c r="AC252" s="9" t="e">
        <f>IF(T252&lt;=0,"Output &lt;= 0, cek manual",IF(OR(Z252&lt;0,Y252&lt;0),"Biaya negatif",IF(AND(AB252&gt;=#REF!,AB252&lt;=#REF!),"OK","Di luar rentang")))</f>
        <v>#REF!</v>
      </c>
    </row>
    <row r="253" ht="71.25" spans="1:29">
      <c r="A253" s="2" t="s">
        <v>30</v>
      </c>
      <c r="B253" s="2" t="s">
        <v>466</v>
      </c>
      <c r="C253" s="3" t="s">
        <v>1153</v>
      </c>
      <c r="D253" s="3" t="s">
        <v>1154</v>
      </c>
      <c r="E253" s="3" t="s">
        <v>1155</v>
      </c>
      <c r="F253" s="4">
        <v>0</v>
      </c>
      <c r="G253" s="4">
        <v>10000000</v>
      </c>
      <c r="H253" s="4">
        <v>1000000</v>
      </c>
      <c r="I253" s="4">
        <v>192000</v>
      </c>
      <c r="J253" s="2" t="s">
        <v>1156</v>
      </c>
      <c r="K253" s="4">
        <v>15000000</v>
      </c>
      <c r="L253" s="4">
        <v>0</v>
      </c>
      <c r="M253" s="4">
        <v>4000000</v>
      </c>
      <c r="N253" s="4">
        <v>5000000</v>
      </c>
      <c r="O253" s="4">
        <v>5000000</v>
      </c>
      <c r="P253" s="5">
        <v>0.666667</v>
      </c>
      <c r="Q253" s="12">
        <v>0.8</v>
      </c>
      <c r="R253" s="2" t="s">
        <v>1157</v>
      </c>
      <c r="S253" s="7">
        <f t="shared" si="24"/>
        <v>4000000</v>
      </c>
      <c r="T253" s="7">
        <f t="shared" si="25"/>
        <v>5000000</v>
      </c>
      <c r="U253" s="8">
        <f t="shared" si="26"/>
        <v>0.8</v>
      </c>
      <c r="V253" s="9" t="e">
        <f>IF(T253&lt;=0,"Output &lt;= 0",IF(U253&gt;#REF!,"Terlalu tinggi",IF(U253&lt;#REF!,"Terlalu rendah","Sesuai")))</f>
        <v>#REF!</v>
      </c>
      <c r="W253" s="7" t="e">
        <f>IF(T253&lt;=0,S253,IF(U253&gt;#REF!,ROUNDDOWN(T253*#REF!,0),IF(U253&lt;#REF!,ROUNDUP(T253*#REF!,0),S253)))</f>
        <v>#REF!</v>
      </c>
      <c r="X253" s="7" t="e">
        <f t="shared" si="27"/>
        <v>#REF!</v>
      </c>
      <c r="Y253" s="7" t="e">
        <f t="shared" si="28"/>
        <v>#REF!</v>
      </c>
      <c r="Z253" s="7" t="e">
        <f t="shared" si="29"/>
        <v>#REF!</v>
      </c>
      <c r="AA253" s="7" t="e">
        <f t="shared" si="30"/>
        <v>#REF!</v>
      </c>
      <c r="AB253" s="8" t="e">
        <f t="shared" si="31"/>
        <v>#REF!</v>
      </c>
      <c r="AC253" s="9" t="e">
        <f>IF(T253&lt;=0,"Output &lt;= 0, cek manual",IF(OR(Z253&lt;0,Y253&lt;0),"Biaya negatif",IF(AND(AB253&gt;=#REF!,AB253&lt;=#REF!),"OK","Di luar rentang")))</f>
        <v>#REF!</v>
      </c>
    </row>
    <row r="254" ht="42.75" spans="1:29">
      <c r="A254" s="2" t="s">
        <v>30</v>
      </c>
      <c r="B254" s="2" t="s">
        <v>466</v>
      </c>
      <c r="C254" s="3" t="s">
        <v>1158</v>
      </c>
      <c r="D254" s="3" t="s">
        <v>478</v>
      </c>
      <c r="E254" s="3" t="s">
        <v>478</v>
      </c>
      <c r="F254" s="4">
        <v>168000</v>
      </c>
      <c r="G254" s="4">
        <v>96000000</v>
      </c>
      <c r="H254" s="4">
        <v>0</v>
      </c>
      <c r="I254" s="4">
        <v>720000</v>
      </c>
      <c r="J254" s="2" t="s">
        <v>1159</v>
      </c>
      <c r="K254" s="4">
        <v>112488000</v>
      </c>
      <c r="L254" s="4">
        <v>0</v>
      </c>
      <c r="M254" s="4">
        <v>16320000</v>
      </c>
      <c r="N254" s="4">
        <v>20000000</v>
      </c>
      <c r="O254" s="4">
        <v>16488000</v>
      </c>
      <c r="P254" s="5">
        <v>0.853424</v>
      </c>
      <c r="Q254" s="5">
        <v>0.989811</v>
      </c>
      <c r="R254" s="2" t="s">
        <v>1160</v>
      </c>
      <c r="S254" s="7">
        <f t="shared" si="24"/>
        <v>16320000</v>
      </c>
      <c r="T254" s="7">
        <f t="shared" si="25"/>
        <v>16488000</v>
      </c>
      <c r="U254" s="8">
        <f t="shared" si="26"/>
        <v>0.98981077147016</v>
      </c>
      <c r="V254" s="9" t="e">
        <f>IF(T254&lt;=0,"Output &lt;= 0",IF(U254&gt;#REF!,"Terlalu tinggi",IF(U254&lt;#REF!,"Terlalu rendah","Sesuai")))</f>
        <v>#REF!</v>
      </c>
      <c r="W254" s="7" t="e">
        <f>IF(T254&lt;=0,S254,IF(U254&gt;#REF!,ROUNDDOWN(T254*#REF!,0),IF(U254&lt;#REF!,ROUNDUP(T254*#REF!,0),S254)))</f>
        <v>#REF!</v>
      </c>
      <c r="X254" s="7" t="e">
        <f t="shared" si="27"/>
        <v>#REF!</v>
      </c>
      <c r="Y254" s="7" t="e">
        <f t="shared" si="28"/>
        <v>#REF!</v>
      </c>
      <c r="Z254" s="7" t="e">
        <f t="shared" si="29"/>
        <v>#REF!</v>
      </c>
      <c r="AA254" s="7" t="e">
        <f t="shared" si="30"/>
        <v>#REF!</v>
      </c>
      <c r="AB254" s="8" t="e">
        <f t="shared" si="31"/>
        <v>#REF!</v>
      </c>
      <c r="AC254" s="9" t="e">
        <f>IF(T254&lt;=0,"Output &lt;= 0, cek manual",IF(OR(Z254&lt;0,Y254&lt;0),"Biaya negatif",IF(AND(AB254&gt;=#REF!,AB254&lt;=#REF!),"OK","Di luar rentang")))</f>
        <v>#REF!</v>
      </c>
    </row>
    <row r="255" ht="71.25" spans="1:29">
      <c r="A255" s="2" t="s">
        <v>30</v>
      </c>
      <c r="B255" s="2" t="s">
        <v>466</v>
      </c>
      <c r="C255" s="3" t="s">
        <v>1161</v>
      </c>
      <c r="D255" s="3" t="s">
        <v>1162</v>
      </c>
      <c r="E255" s="3" t="s">
        <v>1163</v>
      </c>
      <c r="F255" s="4">
        <v>500000</v>
      </c>
      <c r="G255" s="4">
        <v>28000000</v>
      </c>
      <c r="H255" s="4">
        <v>1000000</v>
      </c>
      <c r="I255" s="4">
        <v>1000000</v>
      </c>
      <c r="J255" s="2" t="s">
        <v>1164</v>
      </c>
      <c r="K255" s="4">
        <v>50000000</v>
      </c>
      <c r="L255" s="4">
        <v>0</v>
      </c>
      <c r="M255" s="4">
        <v>20500000</v>
      </c>
      <c r="N255" s="4">
        <v>600000</v>
      </c>
      <c r="O255" s="4">
        <v>22000000</v>
      </c>
      <c r="P255" s="11">
        <v>0.56</v>
      </c>
      <c r="Q255" s="5">
        <v>0.931818</v>
      </c>
      <c r="R255" s="2" t="s">
        <v>1165</v>
      </c>
      <c r="S255" s="7">
        <f t="shared" si="24"/>
        <v>20500000</v>
      </c>
      <c r="T255" s="7">
        <f t="shared" si="25"/>
        <v>22000000</v>
      </c>
      <c r="U255" s="8">
        <f t="shared" si="26"/>
        <v>0.931818181818182</v>
      </c>
      <c r="V255" s="9" t="e">
        <f>IF(T255&lt;=0,"Output &lt;= 0",IF(U255&gt;#REF!,"Terlalu tinggi",IF(U255&lt;#REF!,"Terlalu rendah","Sesuai")))</f>
        <v>#REF!</v>
      </c>
      <c r="W255" s="7" t="e">
        <f>IF(T255&lt;=0,S255,IF(U255&gt;#REF!,ROUNDDOWN(T255*#REF!,0),IF(U255&lt;#REF!,ROUNDUP(T255*#REF!,0),S255)))</f>
        <v>#REF!</v>
      </c>
      <c r="X255" s="7" t="e">
        <f t="shared" si="27"/>
        <v>#REF!</v>
      </c>
      <c r="Y255" s="7" t="e">
        <f t="shared" si="28"/>
        <v>#REF!</v>
      </c>
      <c r="Z255" s="7" t="e">
        <f t="shared" si="29"/>
        <v>#REF!</v>
      </c>
      <c r="AA255" s="7" t="e">
        <f t="shared" si="30"/>
        <v>#REF!</v>
      </c>
      <c r="AB255" s="8" t="e">
        <f t="shared" si="31"/>
        <v>#REF!</v>
      </c>
      <c r="AC255" s="9" t="e">
        <f>IF(T255&lt;=0,"Output &lt;= 0, cek manual",IF(OR(Z255&lt;0,Y255&lt;0),"Biaya negatif",IF(AND(AB255&gt;=#REF!,AB255&lt;=#REF!),"OK","Di luar rentang")))</f>
        <v>#REF!</v>
      </c>
    </row>
    <row r="256" ht="71.25" spans="1:29">
      <c r="A256" s="2" t="s">
        <v>30</v>
      </c>
      <c r="B256" s="2" t="s">
        <v>466</v>
      </c>
      <c r="C256" s="3" t="s">
        <v>1166</v>
      </c>
      <c r="D256" s="3" t="s">
        <v>468</v>
      </c>
      <c r="E256" s="3" t="s">
        <v>1167</v>
      </c>
      <c r="F256" s="4">
        <v>1000000</v>
      </c>
      <c r="G256" s="4">
        <v>50000000</v>
      </c>
      <c r="H256" s="4">
        <v>0</v>
      </c>
      <c r="I256" s="4">
        <v>0</v>
      </c>
      <c r="J256" s="2" t="s">
        <v>442</v>
      </c>
      <c r="K256" s="4">
        <v>90000000</v>
      </c>
      <c r="L256" s="4">
        <v>0</v>
      </c>
      <c r="M256" s="4">
        <v>39000000</v>
      </c>
      <c r="N256" s="4">
        <v>500000</v>
      </c>
      <c r="O256" s="4">
        <v>40000000</v>
      </c>
      <c r="P256" s="5">
        <v>0.555556</v>
      </c>
      <c r="Q256" s="10">
        <v>0.975</v>
      </c>
      <c r="R256" s="2" t="s">
        <v>1168</v>
      </c>
      <c r="S256" s="7">
        <f t="shared" si="24"/>
        <v>39000000</v>
      </c>
      <c r="T256" s="7">
        <f t="shared" si="25"/>
        <v>40000000</v>
      </c>
      <c r="U256" s="8">
        <f t="shared" si="26"/>
        <v>0.975</v>
      </c>
      <c r="V256" s="9" t="e">
        <f>IF(T256&lt;=0,"Output &lt;= 0",IF(U256&gt;#REF!,"Terlalu tinggi",IF(U256&lt;#REF!,"Terlalu rendah","Sesuai")))</f>
        <v>#REF!</v>
      </c>
      <c r="W256" s="7" t="e">
        <f>IF(T256&lt;=0,S256,IF(U256&gt;#REF!,ROUNDDOWN(T256*#REF!,0),IF(U256&lt;#REF!,ROUNDUP(T256*#REF!,0),S256)))</f>
        <v>#REF!</v>
      </c>
      <c r="X256" s="7" t="e">
        <f t="shared" si="27"/>
        <v>#REF!</v>
      </c>
      <c r="Y256" s="7" t="e">
        <f t="shared" si="28"/>
        <v>#REF!</v>
      </c>
      <c r="Z256" s="7" t="e">
        <f t="shared" si="29"/>
        <v>#REF!</v>
      </c>
      <c r="AA256" s="7" t="e">
        <f t="shared" si="30"/>
        <v>#REF!</v>
      </c>
      <c r="AB256" s="8" t="e">
        <f t="shared" si="31"/>
        <v>#REF!</v>
      </c>
      <c r="AC256" s="9" t="e">
        <f>IF(T256&lt;=0,"Output &lt;= 0, cek manual",IF(OR(Z256&lt;0,Y256&lt;0),"Biaya negatif",IF(AND(AB256&gt;=#REF!,AB256&lt;=#REF!),"OK","Di luar rentang")))</f>
        <v>#REF!</v>
      </c>
    </row>
    <row r="257" ht="71.25" spans="1:29">
      <c r="A257" s="2" t="s">
        <v>30</v>
      </c>
      <c r="B257" s="2" t="s">
        <v>493</v>
      </c>
      <c r="C257" s="3" t="s">
        <v>1169</v>
      </c>
      <c r="D257" s="3" t="s">
        <v>495</v>
      </c>
      <c r="E257" s="3" t="s">
        <v>495</v>
      </c>
      <c r="F257" s="4">
        <v>336000</v>
      </c>
      <c r="G257" s="4">
        <v>9600000</v>
      </c>
      <c r="H257" s="4">
        <v>1200000</v>
      </c>
      <c r="I257" s="4">
        <v>1704000</v>
      </c>
      <c r="J257" s="2" t="s">
        <v>1170</v>
      </c>
      <c r="K257" s="4">
        <v>62400000</v>
      </c>
      <c r="L257" s="4">
        <v>0</v>
      </c>
      <c r="M257" s="4">
        <v>51264000</v>
      </c>
      <c r="N257" s="4">
        <v>50000000</v>
      </c>
      <c r="O257" s="4">
        <v>52800000</v>
      </c>
      <c r="P257" s="5">
        <v>0.153846</v>
      </c>
      <c r="Q257" s="5">
        <v>0.970909</v>
      </c>
      <c r="R257" s="2" t="s">
        <v>1171</v>
      </c>
      <c r="S257" s="7">
        <f t="shared" si="24"/>
        <v>51264000</v>
      </c>
      <c r="T257" s="7">
        <f t="shared" si="25"/>
        <v>52800000</v>
      </c>
      <c r="U257" s="8">
        <f t="shared" si="26"/>
        <v>0.970909090909091</v>
      </c>
      <c r="V257" s="9" t="e">
        <f>IF(T257&lt;=0,"Output &lt;= 0",IF(U257&gt;#REF!,"Terlalu tinggi",IF(U257&lt;#REF!,"Terlalu rendah","Sesuai")))</f>
        <v>#REF!</v>
      </c>
      <c r="W257" s="7" t="e">
        <f>IF(T257&lt;=0,S257,IF(U257&gt;#REF!,ROUNDDOWN(T257*#REF!,0),IF(U257&lt;#REF!,ROUNDUP(T257*#REF!,0),S257)))</f>
        <v>#REF!</v>
      </c>
      <c r="X257" s="7" t="e">
        <f t="shared" si="27"/>
        <v>#REF!</v>
      </c>
      <c r="Y257" s="7" t="e">
        <f t="shared" si="28"/>
        <v>#REF!</v>
      </c>
      <c r="Z257" s="7" t="e">
        <f t="shared" si="29"/>
        <v>#REF!</v>
      </c>
      <c r="AA257" s="7" t="e">
        <f t="shared" si="30"/>
        <v>#REF!</v>
      </c>
      <c r="AB257" s="8" t="e">
        <f t="shared" si="31"/>
        <v>#REF!</v>
      </c>
      <c r="AC257" s="9" t="e">
        <f>IF(T257&lt;=0,"Output &lt;= 0, cek manual",IF(OR(Z257&lt;0,Y257&lt;0),"Biaya negatif",IF(AND(AB257&gt;=#REF!,AB257&lt;=#REF!),"OK","Di luar rentang")))</f>
        <v>#REF!</v>
      </c>
    </row>
    <row r="258" ht="71.25" spans="1:29">
      <c r="A258" s="2" t="s">
        <v>30</v>
      </c>
      <c r="B258" s="2" t="s">
        <v>528</v>
      </c>
      <c r="C258" s="3" t="s">
        <v>1172</v>
      </c>
      <c r="D258" s="3" t="s">
        <v>530</v>
      </c>
      <c r="E258" s="3" t="s">
        <v>1173</v>
      </c>
      <c r="F258" s="4">
        <v>0</v>
      </c>
      <c r="G258" s="4">
        <v>100000000</v>
      </c>
      <c r="H258" s="4">
        <v>600000</v>
      </c>
      <c r="I258" s="4">
        <v>12000000</v>
      </c>
      <c r="J258" s="2" t="s">
        <v>1174</v>
      </c>
      <c r="K258" s="4">
        <v>156000000</v>
      </c>
      <c r="L258" s="4">
        <v>0</v>
      </c>
      <c r="M258" s="4">
        <v>55400000</v>
      </c>
      <c r="N258" s="4">
        <v>12000000</v>
      </c>
      <c r="O258" s="4">
        <v>56000000</v>
      </c>
      <c r="P258" s="5">
        <v>0.641026</v>
      </c>
      <c r="Q258" s="5">
        <v>0.989286</v>
      </c>
      <c r="R258" s="2" t="s">
        <v>1175</v>
      </c>
      <c r="S258" s="7">
        <f t="shared" ref="S258:S321" si="32">K258-F258-G258-H258</f>
        <v>55400000</v>
      </c>
      <c r="T258" s="7">
        <f t="shared" ref="T258:T321" si="33">K258-G258</f>
        <v>56000000</v>
      </c>
      <c r="U258" s="8">
        <f t="shared" ref="U258:U321" si="34">IF(T258&lt;=0,"",S258/T258)</f>
        <v>0.989285714285714</v>
      </c>
      <c r="V258" s="9" t="e">
        <f>IF(T258&lt;=0,"Output &lt;= 0",IF(U258&gt;#REF!,"Terlalu tinggi",IF(U258&lt;#REF!,"Terlalu rendah","Sesuai")))</f>
        <v>#REF!</v>
      </c>
      <c r="W258" s="7" t="e">
        <f>IF(T258&lt;=0,S258,IF(U258&gt;#REF!,ROUNDDOWN(T258*#REF!,0),IF(U258&lt;#REF!,ROUNDUP(T258*#REF!,0),S258)))</f>
        <v>#REF!</v>
      </c>
      <c r="X258" s="7" t="e">
        <f t="shared" ref="X258:X321" si="35">W258-S258</f>
        <v>#REF!</v>
      </c>
      <c r="Y258" s="7" t="e">
        <f t="shared" ref="Y258:Y321" si="36">IF(F258+H258&gt;0,ROUND((T258-W258)*H258/(F258+H258),0),T258-W258)</f>
        <v>#REF!</v>
      </c>
      <c r="Z258" s="7" t="e">
        <f t="shared" ref="Z258:Z321" si="37">(T258-W258)-Y258</f>
        <v>#REF!</v>
      </c>
      <c r="AA258" s="7" t="e">
        <f t="shared" ref="AA258:AA321" si="38">K258-Z258-G258-Y258</f>
        <v>#REF!</v>
      </c>
      <c r="AB258" s="8" t="e">
        <f t="shared" ref="AB258:AB321" si="39">IF(T258&lt;=0,"",AA258/T258)</f>
        <v>#REF!</v>
      </c>
      <c r="AC258" s="9" t="e">
        <f>IF(T258&lt;=0,"Output &lt;= 0, cek manual",IF(OR(Z258&lt;0,Y258&lt;0),"Biaya negatif",IF(AND(AB258&gt;=#REF!,AB258&lt;=#REF!),"OK","Di luar rentang")))</f>
        <v>#REF!</v>
      </c>
    </row>
    <row r="259" ht="57" spans="1:29">
      <c r="A259" s="2" t="s">
        <v>30</v>
      </c>
      <c r="B259" s="2" t="s">
        <v>534</v>
      </c>
      <c r="C259" s="3" t="s">
        <v>550</v>
      </c>
      <c r="D259" s="3" t="s">
        <v>1176</v>
      </c>
      <c r="E259" s="3" t="s">
        <v>1176</v>
      </c>
      <c r="F259" s="4">
        <v>500000</v>
      </c>
      <c r="G259" s="4">
        <v>49920000</v>
      </c>
      <c r="H259" s="4">
        <v>0</v>
      </c>
      <c r="I259" s="4">
        <v>0</v>
      </c>
      <c r="J259" s="2" t="s">
        <v>1177</v>
      </c>
      <c r="K259" s="4">
        <v>57600000</v>
      </c>
      <c r="L259" s="4">
        <v>0</v>
      </c>
      <c r="M259" s="4">
        <v>7180000</v>
      </c>
      <c r="N259" s="4">
        <v>1200000</v>
      </c>
      <c r="O259" s="4">
        <v>7680000</v>
      </c>
      <c r="P259" s="5">
        <v>0.866667</v>
      </c>
      <c r="Q259" s="5">
        <v>0.934896</v>
      </c>
      <c r="R259" s="2" t="s">
        <v>1178</v>
      </c>
      <c r="S259" s="7">
        <f t="shared" si="32"/>
        <v>7180000</v>
      </c>
      <c r="T259" s="7">
        <f t="shared" si="33"/>
        <v>7680000</v>
      </c>
      <c r="U259" s="8">
        <f t="shared" si="34"/>
        <v>0.934895833333333</v>
      </c>
      <c r="V259" s="9" t="e">
        <f>IF(T259&lt;=0,"Output &lt;= 0",IF(U259&gt;#REF!,"Terlalu tinggi",IF(U259&lt;#REF!,"Terlalu rendah","Sesuai")))</f>
        <v>#REF!</v>
      </c>
      <c r="W259" s="7" t="e">
        <f>IF(T259&lt;=0,S259,IF(U259&gt;#REF!,ROUNDDOWN(T259*#REF!,0),IF(U259&lt;#REF!,ROUNDUP(T259*#REF!,0),S259)))</f>
        <v>#REF!</v>
      </c>
      <c r="X259" s="7" t="e">
        <f t="shared" si="35"/>
        <v>#REF!</v>
      </c>
      <c r="Y259" s="7" t="e">
        <f t="shared" si="36"/>
        <v>#REF!</v>
      </c>
      <c r="Z259" s="7" t="e">
        <f t="shared" si="37"/>
        <v>#REF!</v>
      </c>
      <c r="AA259" s="7" t="e">
        <f t="shared" si="38"/>
        <v>#REF!</v>
      </c>
      <c r="AB259" s="8" t="e">
        <f t="shared" si="39"/>
        <v>#REF!</v>
      </c>
      <c r="AC259" s="9" t="e">
        <f>IF(T259&lt;=0,"Output &lt;= 0, cek manual",IF(OR(Z259&lt;0,Y259&lt;0),"Biaya negatif",IF(AND(AB259&gt;=#REF!,AB259&lt;=#REF!),"OK","Di luar rentang")))</f>
        <v>#REF!</v>
      </c>
    </row>
    <row r="260" ht="57" spans="1:29">
      <c r="A260" s="2" t="s">
        <v>30</v>
      </c>
      <c r="B260" s="2" t="s">
        <v>534</v>
      </c>
      <c r="C260" s="3" t="s">
        <v>550</v>
      </c>
      <c r="D260" s="3" t="s">
        <v>381</v>
      </c>
      <c r="E260" s="3" t="s">
        <v>588</v>
      </c>
      <c r="F260" s="4">
        <v>0</v>
      </c>
      <c r="G260" s="4">
        <v>2080000</v>
      </c>
      <c r="H260" s="4">
        <v>0</v>
      </c>
      <c r="I260" s="4">
        <v>60000</v>
      </c>
      <c r="J260" s="2" t="s">
        <v>1179</v>
      </c>
      <c r="K260" s="4">
        <v>30960000</v>
      </c>
      <c r="L260" s="4">
        <v>0</v>
      </c>
      <c r="M260" s="4">
        <v>28880000</v>
      </c>
      <c r="N260" s="4">
        <v>5200000</v>
      </c>
      <c r="O260" s="4">
        <v>28880000</v>
      </c>
      <c r="P260" s="5">
        <v>0.067183</v>
      </c>
      <c r="Q260" s="4">
        <v>1</v>
      </c>
      <c r="R260" s="2" t="s">
        <v>1180</v>
      </c>
      <c r="S260" s="7">
        <f t="shared" si="32"/>
        <v>28880000</v>
      </c>
      <c r="T260" s="7">
        <f t="shared" si="33"/>
        <v>28880000</v>
      </c>
      <c r="U260" s="8">
        <f t="shared" si="34"/>
        <v>1</v>
      </c>
      <c r="V260" s="9" t="e">
        <f>IF(T260&lt;=0,"Output &lt;= 0",IF(U260&gt;#REF!,"Terlalu tinggi",IF(U260&lt;#REF!,"Terlalu rendah","Sesuai")))</f>
        <v>#REF!</v>
      </c>
      <c r="W260" s="7" t="e">
        <f>IF(T260&lt;=0,S260,IF(U260&gt;#REF!,ROUNDDOWN(T260*#REF!,0),IF(U260&lt;#REF!,ROUNDUP(T260*#REF!,0),S260)))</f>
        <v>#REF!</v>
      </c>
      <c r="X260" s="7" t="e">
        <f t="shared" si="35"/>
        <v>#REF!</v>
      </c>
      <c r="Y260" s="7" t="e">
        <f t="shared" si="36"/>
        <v>#REF!</v>
      </c>
      <c r="Z260" s="7" t="e">
        <f t="shared" si="37"/>
        <v>#REF!</v>
      </c>
      <c r="AA260" s="7" t="e">
        <f t="shared" si="38"/>
        <v>#REF!</v>
      </c>
      <c r="AB260" s="8" t="e">
        <f t="shared" si="39"/>
        <v>#REF!</v>
      </c>
      <c r="AC260" s="9" t="e">
        <f>IF(T260&lt;=0,"Output &lt;= 0, cek manual",IF(OR(Z260&lt;0,Y260&lt;0),"Biaya negatif",IF(AND(AB260&gt;=#REF!,AB260&lt;=#REF!),"OK","Di luar rentang")))</f>
        <v>#REF!</v>
      </c>
    </row>
    <row r="261" ht="71.25" spans="1:29">
      <c r="A261" s="2" t="s">
        <v>30</v>
      </c>
      <c r="B261" s="2" t="s">
        <v>534</v>
      </c>
      <c r="C261" s="3" t="s">
        <v>1181</v>
      </c>
      <c r="D261" s="3" t="s">
        <v>1182</v>
      </c>
      <c r="E261" s="3" t="s">
        <v>1182</v>
      </c>
      <c r="F261" s="4">
        <v>0</v>
      </c>
      <c r="G261" s="4">
        <v>77280000</v>
      </c>
      <c r="H261" s="4">
        <v>0</v>
      </c>
      <c r="I261" s="4">
        <v>0</v>
      </c>
      <c r="J261" s="2" t="s">
        <v>162</v>
      </c>
      <c r="K261" s="4">
        <v>84000000</v>
      </c>
      <c r="L261" s="4">
        <v>0</v>
      </c>
      <c r="M261" s="4">
        <v>6720000</v>
      </c>
      <c r="N261" s="4">
        <v>0</v>
      </c>
      <c r="O261" s="4">
        <v>6720000</v>
      </c>
      <c r="P261" s="11">
        <v>0.92</v>
      </c>
      <c r="Q261" s="4">
        <v>1</v>
      </c>
      <c r="R261" s="2" t="s">
        <v>1183</v>
      </c>
      <c r="S261" s="7">
        <f t="shared" si="32"/>
        <v>6720000</v>
      </c>
      <c r="T261" s="7">
        <f t="shared" si="33"/>
        <v>6720000</v>
      </c>
      <c r="U261" s="8">
        <f t="shared" si="34"/>
        <v>1</v>
      </c>
      <c r="V261" s="9" t="e">
        <f>IF(T261&lt;=0,"Output &lt;= 0",IF(U261&gt;#REF!,"Terlalu tinggi",IF(U261&lt;#REF!,"Terlalu rendah","Sesuai")))</f>
        <v>#REF!</v>
      </c>
      <c r="W261" s="7" t="e">
        <f>IF(T261&lt;=0,S261,IF(U261&gt;#REF!,ROUNDDOWN(T261*#REF!,0),IF(U261&lt;#REF!,ROUNDUP(T261*#REF!,0),S261)))</f>
        <v>#REF!</v>
      </c>
      <c r="X261" s="7" t="e">
        <f t="shared" si="35"/>
        <v>#REF!</v>
      </c>
      <c r="Y261" s="7" t="e">
        <f t="shared" si="36"/>
        <v>#REF!</v>
      </c>
      <c r="Z261" s="7" t="e">
        <f t="shared" si="37"/>
        <v>#REF!</v>
      </c>
      <c r="AA261" s="7" t="e">
        <f t="shared" si="38"/>
        <v>#REF!</v>
      </c>
      <c r="AB261" s="8" t="e">
        <f t="shared" si="39"/>
        <v>#REF!</v>
      </c>
      <c r="AC261" s="9" t="e">
        <f>IF(T261&lt;=0,"Output &lt;= 0, cek manual",IF(OR(Z261&lt;0,Y261&lt;0),"Biaya negatif",IF(AND(AB261&gt;=#REF!,AB261&lt;=#REF!),"OK","Di luar rentang")))</f>
        <v>#REF!</v>
      </c>
    </row>
    <row r="262" ht="99.75" spans="1:29">
      <c r="A262" s="2" t="s">
        <v>30</v>
      </c>
      <c r="B262" s="2" t="s">
        <v>534</v>
      </c>
      <c r="C262" s="3" t="s">
        <v>1184</v>
      </c>
      <c r="D262" s="3" t="s">
        <v>1185</v>
      </c>
      <c r="E262" s="3" t="s">
        <v>1186</v>
      </c>
      <c r="F262" s="4">
        <v>24960000</v>
      </c>
      <c r="G262" s="4">
        <v>0</v>
      </c>
      <c r="H262" s="4">
        <v>0</v>
      </c>
      <c r="I262" s="4">
        <v>35000</v>
      </c>
      <c r="J262" s="2" t="s">
        <v>1187</v>
      </c>
      <c r="K262" s="4">
        <v>28560000000</v>
      </c>
      <c r="L262" s="4">
        <v>0</v>
      </c>
      <c r="M262" s="4">
        <v>28535040000</v>
      </c>
      <c r="N262" s="4">
        <v>1800000</v>
      </c>
      <c r="O262" s="4">
        <v>28560000000</v>
      </c>
      <c r="P262" s="4">
        <v>0</v>
      </c>
      <c r="Q262" s="5">
        <v>0.999126</v>
      </c>
      <c r="R262" s="2" t="s">
        <v>1188</v>
      </c>
      <c r="S262" s="7">
        <f t="shared" si="32"/>
        <v>28535040000</v>
      </c>
      <c r="T262" s="7">
        <f t="shared" si="33"/>
        <v>28560000000</v>
      </c>
      <c r="U262" s="8">
        <f t="shared" si="34"/>
        <v>0.999126050420168</v>
      </c>
      <c r="V262" s="9" t="e">
        <f>IF(T262&lt;=0,"Output &lt;= 0",IF(U262&gt;#REF!,"Terlalu tinggi",IF(U262&lt;#REF!,"Terlalu rendah","Sesuai")))</f>
        <v>#REF!</v>
      </c>
      <c r="W262" s="7" t="e">
        <f>IF(T262&lt;=0,S262,IF(U262&gt;#REF!,ROUNDDOWN(T262*#REF!,0),IF(U262&lt;#REF!,ROUNDUP(T262*#REF!,0),S262)))</f>
        <v>#REF!</v>
      </c>
      <c r="X262" s="7" t="e">
        <f t="shared" si="35"/>
        <v>#REF!</v>
      </c>
      <c r="Y262" s="7" t="e">
        <f t="shared" si="36"/>
        <v>#REF!</v>
      </c>
      <c r="Z262" s="7" t="e">
        <f t="shared" si="37"/>
        <v>#REF!</v>
      </c>
      <c r="AA262" s="7" t="e">
        <f t="shared" si="38"/>
        <v>#REF!</v>
      </c>
      <c r="AB262" s="8" t="e">
        <f t="shared" si="39"/>
        <v>#REF!</v>
      </c>
      <c r="AC262" s="9" t="e">
        <f>IF(T262&lt;=0,"Output &lt;= 0, cek manual",IF(OR(Z262&lt;0,Y262&lt;0),"Biaya negatif",IF(AND(AB262&gt;=#REF!,AB262&lt;=#REF!),"OK","Di luar rentang")))</f>
        <v>#REF!</v>
      </c>
    </row>
    <row r="263" ht="99.75" spans="1:29">
      <c r="A263" s="2" t="s">
        <v>30</v>
      </c>
      <c r="B263" s="2" t="s">
        <v>534</v>
      </c>
      <c r="C263" s="3" t="s">
        <v>1189</v>
      </c>
      <c r="D263" s="3" t="s">
        <v>377</v>
      </c>
      <c r="E263" s="3" t="s">
        <v>1190</v>
      </c>
      <c r="F263" s="4">
        <v>0</v>
      </c>
      <c r="G263" s="4">
        <v>48000000</v>
      </c>
      <c r="H263" s="4">
        <v>100000</v>
      </c>
      <c r="I263" s="4">
        <v>0</v>
      </c>
      <c r="J263" s="2" t="s">
        <v>1191</v>
      </c>
      <c r="K263" s="4">
        <v>52800000</v>
      </c>
      <c r="L263" s="4">
        <v>0</v>
      </c>
      <c r="M263" s="4">
        <v>4700000</v>
      </c>
      <c r="N263" s="4">
        <v>0</v>
      </c>
      <c r="O263" s="4">
        <v>4800000</v>
      </c>
      <c r="P263" s="5">
        <v>0.909091</v>
      </c>
      <c r="Q263" s="5">
        <v>0.979167</v>
      </c>
      <c r="R263" s="2" t="s">
        <v>1192</v>
      </c>
      <c r="S263" s="7">
        <f t="shared" si="32"/>
        <v>4700000</v>
      </c>
      <c r="T263" s="7">
        <f t="shared" si="33"/>
        <v>4800000</v>
      </c>
      <c r="U263" s="8">
        <f t="shared" si="34"/>
        <v>0.979166666666667</v>
      </c>
      <c r="V263" s="9" t="e">
        <f>IF(T263&lt;=0,"Output &lt;= 0",IF(U263&gt;#REF!,"Terlalu tinggi",IF(U263&lt;#REF!,"Terlalu rendah","Sesuai")))</f>
        <v>#REF!</v>
      </c>
      <c r="W263" s="7" t="e">
        <f>IF(T263&lt;=0,S263,IF(U263&gt;#REF!,ROUNDDOWN(T263*#REF!,0),IF(U263&lt;#REF!,ROUNDUP(T263*#REF!,0),S263)))</f>
        <v>#REF!</v>
      </c>
      <c r="X263" s="7" t="e">
        <f t="shared" si="35"/>
        <v>#REF!</v>
      </c>
      <c r="Y263" s="7" t="e">
        <f t="shared" si="36"/>
        <v>#REF!</v>
      </c>
      <c r="Z263" s="7" t="e">
        <f t="shared" si="37"/>
        <v>#REF!</v>
      </c>
      <c r="AA263" s="7" t="e">
        <f t="shared" si="38"/>
        <v>#REF!</v>
      </c>
      <c r="AB263" s="8" t="e">
        <f t="shared" si="39"/>
        <v>#REF!</v>
      </c>
      <c r="AC263" s="9" t="e">
        <f>IF(T263&lt;=0,"Output &lt;= 0, cek manual",IF(OR(Z263&lt;0,Y263&lt;0),"Biaya negatif",IF(AND(AB263&gt;=#REF!,AB263&lt;=#REF!),"OK","Di luar rentang")))</f>
        <v>#REF!</v>
      </c>
    </row>
    <row r="264" ht="114" spans="1:29">
      <c r="A264" s="2" t="s">
        <v>30</v>
      </c>
      <c r="B264" s="2" t="s">
        <v>534</v>
      </c>
      <c r="C264" s="3" t="s">
        <v>1193</v>
      </c>
      <c r="D264" s="3" t="s">
        <v>534</v>
      </c>
      <c r="E264" s="3" t="s">
        <v>1194</v>
      </c>
      <c r="F264" s="4">
        <v>0</v>
      </c>
      <c r="G264" s="4">
        <v>24960000</v>
      </c>
      <c r="H264" s="4">
        <v>0</v>
      </c>
      <c r="I264" s="4">
        <v>0</v>
      </c>
      <c r="J264" s="2" t="s">
        <v>580</v>
      </c>
      <c r="K264" s="4">
        <v>28800000</v>
      </c>
      <c r="L264" s="4">
        <v>0</v>
      </c>
      <c r="M264" s="4">
        <v>3840000</v>
      </c>
      <c r="N264" s="4">
        <v>20650000</v>
      </c>
      <c r="O264" s="4">
        <v>3840000</v>
      </c>
      <c r="P264" s="5">
        <v>0.866667</v>
      </c>
      <c r="Q264" s="4">
        <v>1</v>
      </c>
      <c r="R264" s="2" t="s">
        <v>1195</v>
      </c>
      <c r="S264" s="7">
        <f t="shared" si="32"/>
        <v>3840000</v>
      </c>
      <c r="T264" s="7">
        <f t="shared" si="33"/>
        <v>3840000</v>
      </c>
      <c r="U264" s="8">
        <f t="shared" si="34"/>
        <v>1</v>
      </c>
      <c r="V264" s="9" t="e">
        <f>IF(T264&lt;=0,"Output &lt;= 0",IF(U264&gt;#REF!,"Terlalu tinggi",IF(U264&lt;#REF!,"Terlalu rendah","Sesuai")))</f>
        <v>#REF!</v>
      </c>
      <c r="W264" s="7" t="e">
        <f>IF(T264&lt;=0,S264,IF(U264&gt;#REF!,ROUNDDOWN(T264*#REF!,0),IF(U264&lt;#REF!,ROUNDUP(T264*#REF!,0),S264)))</f>
        <v>#REF!</v>
      </c>
      <c r="X264" s="7" t="e">
        <f t="shared" si="35"/>
        <v>#REF!</v>
      </c>
      <c r="Y264" s="7" t="e">
        <f t="shared" si="36"/>
        <v>#REF!</v>
      </c>
      <c r="Z264" s="7" t="e">
        <f t="shared" si="37"/>
        <v>#REF!</v>
      </c>
      <c r="AA264" s="7" t="e">
        <f t="shared" si="38"/>
        <v>#REF!</v>
      </c>
      <c r="AB264" s="8" t="e">
        <f t="shared" si="39"/>
        <v>#REF!</v>
      </c>
      <c r="AC264" s="9" t="e">
        <f>IF(T264&lt;=0,"Output &lt;= 0, cek manual",IF(OR(Z264&lt;0,Y264&lt;0),"Biaya negatif",IF(AND(AB264&gt;=#REF!,AB264&lt;=#REF!),"OK","Di luar rentang")))</f>
        <v>#REF!</v>
      </c>
    </row>
    <row r="265" ht="114" spans="1:29">
      <c r="A265" s="2" t="s">
        <v>30</v>
      </c>
      <c r="B265" s="2" t="s">
        <v>534</v>
      </c>
      <c r="C265" s="3" t="s">
        <v>1196</v>
      </c>
      <c r="D265" s="3" t="s">
        <v>541</v>
      </c>
      <c r="E265" s="3" t="s">
        <v>1197</v>
      </c>
      <c r="F265" s="4">
        <v>25000</v>
      </c>
      <c r="G265" s="4">
        <v>24960000</v>
      </c>
      <c r="H265" s="4">
        <v>25000</v>
      </c>
      <c r="I265" s="4">
        <v>0</v>
      </c>
      <c r="J265" s="2" t="s">
        <v>1198</v>
      </c>
      <c r="K265" s="4">
        <v>26400000</v>
      </c>
      <c r="L265" s="4">
        <v>0</v>
      </c>
      <c r="M265" s="4">
        <v>1390000</v>
      </c>
      <c r="N265" s="4">
        <v>600000</v>
      </c>
      <c r="O265" s="4">
        <v>1440000</v>
      </c>
      <c r="P265" s="5">
        <v>0.945455</v>
      </c>
      <c r="Q265" s="5">
        <v>0.965278</v>
      </c>
      <c r="R265" s="2" t="s">
        <v>1199</v>
      </c>
      <c r="S265" s="7">
        <f t="shared" si="32"/>
        <v>1390000</v>
      </c>
      <c r="T265" s="7">
        <f t="shared" si="33"/>
        <v>1440000</v>
      </c>
      <c r="U265" s="8">
        <f t="shared" si="34"/>
        <v>0.965277777777778</v>
      </c>
      <c r="V265" s="9" t="e">
        <f>IF(T265&lt;=0,"Output &lt;= 0",IF(U265&gt;#REF!,"Terlalu tinggi",IF(U265&lt;#REF!,"Terlalu rendah","Sesuai")))</f>
        <v>#REF!</v>
      </c>
      <c r="W265" s="7" t="e">
        <f>IF(T265&lt;=0,S265,IF(U265&gt;#REF!,ROUNDDOWN(T265*#REF!,0),IF(U265&lt;#REF!,ROUNDUP(T265*#REF!,0),S265)))</f>
        <v>#REF!</v>
      </c>
      <c r="X265" s="7" t="e">
        <f t="shared" si="35"/>
        <v>#REF!</v>
      </c>
      <c r="Y265" s="7" t="e">
        <f t="shared" si="36"/>
        <v>#REF!</v>
      </c>
      <c r="Z265" s="7" t="e">
        <f t="shared" si="37"/>
        <v>#REF!</v>
      </c>
      <c r="AA265" s="7" t="e">
        <f t="shared" si="38"/>
        <v>#REF!</v>
      </c>
      <c r="AB265" s="8" t="e">
        <f t="shared" si="39"/>
        <v>#REF!</v>
      </c>
      <c r="AC265" s="9" t="e">
        <f>IF(T265&lt;=0,"Output &lt;= 0, cek manual",IF(OR(Z265&lt;0,Y265&lt;0),"Biaya negatif",IF(AND(AB265&gt;=#REF!,AB265&lt;=#REF!),"OK","Di luar rentang")))</f>
        <v>#REF!</v>
      </c>
    </row>
    <row r="266" ht="99.75" spans="1:29">
      <c r="A266" s="2" t="s">
        <v>30</v>
      </c>
      <c r="B266" s="2" t="s">
        <v>534</v>
      </c>
      <c r="C266" s="3" t="s">
        <v>1200</v>
      </c>
      <c r="D266" s="3" t="s">
        <v>541</v>
      </c>
      <c r="E266" s="3" t="s">
        <v>1114</v>
      </c>
      <c r="F266" s="4">
        <v>0</v>
      </c>
      <c r="G266" s="4">
        <v>0</v>
      </c>
      <c r="H266" s="4">
        <v>24960000</v>
      </c>
      <c r="I266" s="4">
        <v>0</v>
      </c>
      <c r="J266" s="2" t="s">
        <v>580</v>
      </c>
      <c r="K266" s="4">
        <v>28860000</v>
      </c>
      <c r="L266" s="4">
        <v>0</v>
      </c>
      <c r="M266" s="4">
        <v>3900000</v>
      </c>
      <c r="N266" s="4">
        <v>6500000</v>
      </c>
      <c r="O266" s="4">
        <v>28860000</v>
      </c>
      <c r="P266" s="4">
        <v>0</v>
      </c>
      <c r="Q266" s="5">
        <v>0.135135</v>
      </c>
      <c r="R266" s="2" t="s">
        <v>1115</v>
      </c>
      <c r="S266" s="7">
        <f t="shared" si="32"/>
        <v>3900000</v>
      </c>
      <c r="T266" s="7">
        <f t="shared" si="33"/>
        <v>28860000</v>
      </c>
      <c r="U266" s="8">
        <f t="shared" si="34"/>
        <v>0.135135135135135</v>
      </c>
      <c r="V266" s="9" t="e">
        <f>IF(T266&lt;=0,"Output &lt;= 0",IF(U266&gt;#REF!,"Terlalu tinggi",IF(U266&lt;#REF!,"Terlalu rendah","Sesuai")))</f>
        <v>#REF!</v>
      </c>
      <c r="W266" s="7" t="e">
        <f>IF(T266&lt;=0,S266,IF(U266&gt;#REF!,ROUNDDOWN(T266*#REF!,0),IF(U266&lt;#REF!,ROUNDUP(T266*#REF!,0),S266)))</f>
        <v>#REF!</v>
      </c>
      <c r="X266" s="7" t="e">
        <f t="shared" si="35"/>
        <v>#REF!</v>
      </c>
      <c r="Y266" s="7" t="e">
        <f t="shared" si="36"/>
        <v>#REF!</v>
      </c>
      <c r="Z266" s="7" t="e">
        <f t="shared" si="37"/>
        <v>#REF!</v>
      </c>
      <c r="AA266" s="7" t="e">
        <f t="shared" si="38"/>
        <v>#REF!</v>
      </c>
      <c r="AB266" s="8" t="e">
        <f t="shared" si="39"/>
        <v>#REF!</v>
      </c>
      <c r="AC266" s="9" t="e">
        <f>IF(T266&lt;=0,"Output &lt;= 0, cek manual",IF(OR(Z266&lt;0,Y266&lt;0),"Biaya negatif",IF(AND(AB266&gt;=#REF!,AB266&lt;=#REF!),"OK","Di luar rentang")))</f>
        <v>#REF!</v>
      </c>
    </row>
    <row r="267" ht="256.5" spans="1:29">
      <c r="A267" s="2" t="s">
        <v>30</v>
      </c>
      <c r="B267" s="2" t="s">
        <v>534</v>
      </c>
      <c r="C267" s="3" t="s">
        <v>1201</v>
      </c>
      <c r="D267" s="3" t="s">
        <v>536</v>
      </c>
      <c r="E267" s="3" t="s">
        <v>1202</v>
      </c>
      <c r="F267" s="4">
        <v>0</v>
      </c>
      <c r="G267" s="4">
        <v>12480000</v>
      </c>
      <c r="H267" s="4">
        <v>0</v>
      </c>
      <c r="I267" s="4">
        <v>0</v>
      </c>
      <c r="J267" s="2" t="s">
        <v>1203</v>
      </c>
      <c r="K267" s="4">
        <v>16200000</v>
      </c>
      <c r="L267" s="4">
        <v>0</v>
      </c>
      <c r="M267" s="4">
        <v>3720000</v>
      </c>
      <c r="N267" s="4">
        <v>15000000</v>
      </c>
      <c r="O267" s="4">
        <v>3720000</v>
      </c>
      <c r="P267" s="6">
        <v>0.77037</v>
      </c>
      <c r="Q267" s="4">
        <v>1</v>
      </c>
      <c r="R267" s="2" t="s">
        <v>1204</v>
      </c>
      <c r="S267" s="7">
        <f t="shared" si="32"/>
        <v>3720000</v>
      </c>
      <c r="T267" s="7">
        <f t="shared" si="33"/>
        <v>3720000</v>
      </c>
      <c r="U267" s="8">
        <f t="shared" si="34"/>
        <v>1</v>
      </c>
      <c r="V267" s="9" t="e">
        <f>IF(T267&lt;=0,"Output &lt;= 0",IF(U267&gt;#REF!,"Terlalu tinggi",IF(U267&lt;#REF!,"Terlalu rendah","Sesuai")))</f>
        <v>#REF!</v>
      </c>
      <c r="W267" s="7" t="e">
        <f>IF(T267&lt;=0,S267,IF(U267&gt;#REF!,ROUNDDOWN(T267*#REF!,0),IF(U267&lt;#REF!,ROUNDUP(T267*#REF!,0),S267)))</f>
        <v>#REF!</v>
      </c>
      <c r="X267" s="7" t="e">
        <f t="shared" si="35"/>
        <v>#REF!</v>
      </c>
      <c r="Y267" s="7" t="e">
        <f t="shared" si="36"/>
        <v>#REF!</v>
      </c>
      <c r="Z267" s="7" t="e">
        <f t="shared" si="37"/>
        <v>#REF!</v>
      </c>
      <c r="AA267" s="7" t="e">
        <f t="shared" si="38"/>
        <v>#REF!</v>
      </c>
      <c r="AB267" s="8" t="e">
        <f t="shared" si="39"/>
        <v>#REF!</v>
      </c>
      <c r="AC267" s="9" t="e">
        <f>IF(T267&lt;=0,"Output &lt;= 0, cek manual",IF(OR(Z267&lt;0,Y267&lt;0),"Biaya negatif",IF(AND(AB267&gt;=#REF!,AB267&lt;=#REF!),"OK","Di luar rentang")))</f>
        <v>#REF!</v>
      </c>
    </row>
    <row r="268" ht="71.25" spans="1:29">
      <c r="A268" s="2" t="s">
        <v>30</v>
      </c>
      <c r="B268" s="2" t="s">
        <v>534</v>
      </c>
      <c r="C268" s="3" t="s">
        <v>1205</v>
      </c>
      <c r="D268" s="3" t="s">
        <v>1206</v>
      </c>
      <c r="E268" s="3" t="s">
        <v>1207</v>
      </c>
      <c r="F268" s="4">
        <v>440000</v>
      </c>
      <c r="G268" s="4">
        <v>0</v>
      </c>
      <c r="H268" s="4">
        <v>100000</v>
      </c>
      <c r="I268" s="4">
        <v>0</v>
      </c>
      <c r="J268" s="2" t="s">
        <v>1208</v>
      </c>
      <c r="K268" s="4">
        <v>1200000</v>
      </c>
      <c r="L268" s="4">
        <v>0</v>
      </c>
      <c r="M268" s="4">
        <v>660000</v>
      </c>
      <c r="N268" s="4">
        <v>200000</v>
      </c>
      <c r="O268" s="4">
        <v>1200000</v>
      </c>
      <c r="P268" s="4">
        <v>0</v>
      </c>
      <c r="Q268" s="11">
        <v>0.55</v>
      </c>
      <c r="R268" s="2" t="s">
        <v>1209</v>
      </c>
      <c r="S268" s="7">
        <f t="shared" si="32"/>
        <v>660000</v>
      </c>
      <c r="T268" s="7">
        <f t="shared" si="33"/>
        <v>1200000</v>
      </c>
      <c r="U268" s="8">
        <f t="shared" si="34"/>
        <v>0.55</v>
      </c>
      <c r="V268" s="9" t="e">
        <f>IF(T268&lt;=0,"Output &lt;= 0",IF(U268&gt;#REF!,"Terlalu tinggi",IF(U268&lt;#REF!,"Terlalu rendah","Sesuai")))</f>
        <v>#REF!</v>
      </c>
      <c r="W268" s="7" t="e">
        <f>IF(T268&lt;=0,S268,IF(U268&gt;#REF!,ROUNDDOWN(T268*#REF!,0),IF(U268&lt;#REF!,ROUNDUP(T268*#REF!,0),S268)))</f>
        <v>#REF!</v>
      </c>
      <c r="X268" s="7" t="e">
        <f t="shared" si="35"/>
        <v>#REF!</v>
      </c>
      <c r="Y268" s="7" t="e">
        <f t="shared" si="36"/>
        <v>#REF!</v>
      </c>
      <c r="Z268" s="7" t="e">
        <f t="shared" si="37"/>
        <v>#REF!</v>
      </c>
      <c r="AA268" s="7" t="e">
        <f t="shared" si="38"/>
        <v>#REF!</v>
      </c>
      <c r="AB268" s="8" t="e">
        <f t="shared" si="39"/>
        <v>#REF!</v>
      </c>
      <c r="AC268" s="9" t="e">
        <f>IF(T268&lt;=0,"Output &lt;= 0, cek manual",IF(OR(Z268&lt;0,Y268&lt;0),"Biaya negatif",IF(AND(AB268&gt;=#REF!,AB268&lt;=#REF!),"OK","Di luar rentang")))</f>
        <v>#REF!</v>
      </c>
    </row>
    <row r="269" ht="99.75" spans="1:29">
      <c r="A269" s="2" t="s">
        <v>30</v>
      </c>
      <c r="B269" s="2" t="s">
        <v>534</v>
      </c>
      <c r="C269" s="3" t="s">
        <v>1210</v>
      </c>
      <c r="D269" s="3" t="s">
        <v>381</v>
      </c>
      <c r="E269" s="3" t="s">
        <v>1211</v>
      </c>
      <c r="F269" s="4">
        <v>150000</v>
      </c>
      <c r="G269" s="4">
        <v>14400000</v>
      </c>
      <c r="H269" s="4">
        <v>0</v>
      </c>
      <c r="I269" s="4">
        <v>0</v>
      </c>
      <c r="J269" s="2" t="s">
        <v>1212</v>
      </c>
      <c r="K269" s="4">
        <v>17550000</v>
      </c>
      <c r="L269" s="4">
        <v>0</v>
      </c>
      <c r="M269" s="4">
        <v>3000000</v>
      </c>
      <c r="N269" s="4">
        <v>3100000</v>
      </c>
      <c r="O269" s="4">
        <v>3150000</v>
      </c>
      <c r="P269" s="5">
        <v>0.820513</v>
      </c>
      <c r="Q269" s="5">
        <v>0.952381</v>
      </c>
      <c r="R269" s="2" t="s">
        <v>1213</v>
      </c>
      <c r="S269" s="7">
        <f t="shared" si="32"/>
        <v>3000000</v>
      </c>
      <c r="T269" s="7">
        <f t="shared" si="33"/>
        <v>3150000</v>
      </c>
      <c r="U269" s="8">
        <f t="shared" si="34"/>
        <v>0.952380952380952</v>
      </c>
      <c r="V269" s="9" t="e">
        <f>IF(T269&lt;=0,"Output &lt;= 0",IF(U269&gt;#REF!,"Terlalu tinggi",IF(U269&lt;#REF!,"Terlalu rendah","Sesuai")))</f>
        <v>#REF!</v>
      </c>
      <c r="W269" s="7" t="e">
        <f>IF(T269&lt;=0,S269,IF(U269&gt;#REF!,ROUNDDOWN(T269*#REF!,0),IF(U269&lt;#REF!,ROUNDUP(T269*#REF!,0),S269)))</f>
        <v>#REF!</v>
      </c>
      <c r="X269" s="7" t="e">
        <f t="shared" si="35"/>
        <v>#REF!</v>
      </c>
      <c r="Y269" s="7" t="e">
        <f t="shared" si="36"/>
        <v>#REF!</v>
      </c>
      <c r="Z269" s="7" t="e">
        <f t="shared" si="37"/>
        <v>#REF!</v>
      </c>
      <c r="AA269" s="7" t="e">
        <f t="shared" si="38"/>
        <v>#REF!</v>
      </c>
      <c r="AB269" s="8" t="e">
        <f t="shared" si="39"/>
        <v>#REF!</v>
      </c>
      <c r="AC269" s="9" t="e">
        <f>IF(T269&lt;=0,"Output &lt;= 0, cek manual",IF(OR(Z269&lt;0,Y269&lt;0),"Biaya negatif",IF(AND(AB269&gt;=#REF!,AB269&lt;=#REF!),"OK","Di luar rentang")))</f>
        <v>#REF!</v>
      </c>
    </row>
    <row r="270" ht="114" spans="1:29">
      <c r="A270" s="2" t="s">
        <v>30</v>
      </c>
      <c r="B270" s="2" t="s">
        <v>534</v>
      </c>
      <c r="C270" s="3" t="s">
        <v>1214</v>
      </c>
      <c r="D270" s="3" t="s">
        <v>1215</v>
      </c>
      <c r="E270" s="3" t="s">
        <v>1216</v>
      </c>
      <c r="F270" s="4">
        <v>0</v>
      </c>
      <c r="G270" s="4">
        <v>24960000</v>
      </c>
      <c r="H270" s="4">
        <v>200000</v>
      </c>
      <c r="I270" s="4">
        <v>0</v>
      </c>
      <c r="J270" s="2" t="s">
        <v>152</v>
      </c>
      <c r="K270" s="4">
        <v>28800000</v>
      </c>
      <c r="L270" s="4">
        <v>0</v>
      </c>
      <c r="M270" s="4">
        <v>3640000</v>
      </c>
      <c r="N270" s="4">
        <v>4400000</v>
      </c>
      <c r="O270" s="4">
        <v>3840000</v>
      </c>
      <c r="P270" s="5">
        <v>0.866667</v>
      </c>
      <c r="Q270" s="5">
        <v>0.947917</v>
      </c>
      <c r="R270" s="2" t="s">
        <v>1217</v>
      </c>
      <c r="S270" s="7">
        <f t="shared" si="32"/>
        <v>3640000</v>
      </c>
      <c r="T270" s="7">
        <f t="shared" si="33"/>
        <v>3840000</v>
      </c>
      <c r="U270" s="8">
        <f t="shared" si="34"/>
        <v>0.947916666666667</v>
      </c>
      <c r="V270" s="9" t="e">
        <f>IF(T270&lt;=0,"Output &lt;= 0",IF(U270&gt;#REF!,"Terlalu tinggi",IF(U270&lt;#REF!,"Terlalu rendah","Sesuai")))</f>
        <v>#REF!</v>
      </c>
      <c r="W270" s="7" t="e">
        <f>IF(T270&lt;=0,S270,IF(U270&gt;#REF!,ROUNDDOWN(T270*#REF!,0),IF(U270&lt;#REF!,ROUNDUP(T270*#REF!,0),S270)))</f>
        <v>#REF!</v>
      </c>
      <c r="X270" s="7" t="e">
        <f t="shared" si="35"/>
        <v>#REF!</v>
      </c>
      <c r="Y270" s="7" t="e">
        <f t="shared" si="36"/>
        <v>#REF!</v>
      </c>
      <c r="Z270" s="7" t="e">
        <f t="shared" si="37"/>
        <v>#REF!</v>
      </c>
      <c r="AA270" s="7" t="e">
        <f t="shared" si="38"/>
        <v>#REF!</v>
      </c>
      <c r="AB270" s="8" t="e">
        <f t="shared" si="39"/>
        <v>#REF!</v>
      </c>
      <c r="AC270" s="9" t="e">
        <f>IF(T270&lt;=0,"Output &lt;= 0, cek manual",IF(OR(Z270&lt;0,Y270&lt;0),"Biaya negatif",IF(AND(AB270&gt;=#REF!,AB270&lt;=#REF!),"OK","Di luar rentang")))</f>
        <v>#REF!</v>
      </c>
    </row>
    <row r="271" ht="99.75" spans="1:29">
      <c r="A271" s="2" t="s">
        <v>30</v>
      </c>
      <c r="B271" s="2" t="s">
        <v>1218</v>
      </c>
      <c r="C271" s="3" t="s">
        <v>1219</v>
      </c>
      <c r="D271" s="3" t="s">
        <v>1220</v>
      </c>
      <c r="E271" s="3" t="s">
        <v>1221</v>
      </c>
      <c r="F271" s="4">
        <v>0</v>
      </c>
      <c r="G271" s="4">
        <v>15000000</v>
      </c>
      <c r="H271" s="4">
        <v>2000000</v>
      </c>
      <c r="I271" s="4">
        <v>0</v>
      </c>
      <c r="J271" s="2" t="s">
        <v>1222</v>
      </c>
      <c r="K271" s="4">
        <v>18800000</v>
      </c>
      <c r="L271" s="4">
        <v>0</v>
      </c>
      <c r="M271" s="4">
        <v>1800000</v>
      </c>
      <c r="N271" s="4">
        <v>14000000</v>
      </c>
      <c r="O271" s="4">
        <v>3800000</v>
      </c>
      <c r="P271" s="5">
        <v>0.797872</v>
      </c>
      <c r="Q271" s="5">
        <v>0.473684</v>
      </c>
      <c r="R271" s="2" t="s">
        <v>1223</v>
      </c>
      <c r="S271" s="7">
        <f t="shared" si="32"/>
        <v>1800000</v>
      </c>
      <c r="T271" s="7">
        <f t="shared" si="33"/>
        <v>3800000</v>
      </c>
      <c r="U271" s="8">
        <f t="shared" si="34"/>
        <v>0.473684210526316</v>
      </c>
      <c r="V271" s="9" t="e">
        <f>IF(T271&lt;=0,"Output &lt;= 0",IF(U271&gt;#REF!,"Terlalu tinggi",IF(U271&lt;#REF!,"Terlalu rendah","Sesuai")))</f>
        <v>#REF!</v>
      </c>
      <c r="W271" s="7" t="e">
        <f>IF(T271&lt;=0,S271,IF(U271&gt;#REF!,ROUNDDOWN(T271*#REF!,0),IF(U271&lt;#REF!,ROUNDUP(T271*#REF!,0),S271)))</f>
        <v>#REF!</v>
      </c>
      <c r="X271" s="7" t="e">
        <f t="shared" si="35"/>
        <v>#REF!</v>
      </c>
      <c r="Y271" s="7" t="e">
        <f t="shared" si="36"/>
        <v>#REF!</v>
      </c>
      <c r="Z271" s="7" t="e">
        <f t="shared" si="37"/>
        <v>#REF!</v>
      </c>
      <c r="AA271" s="7" t="e">
        <f t="shared" si="38"/>
        <v>#REF!</v>
      </c>
      <c r="AB271" s="8" t="e">
        <f t="shared" si="39"/>
        <v>#REF!</v>
      </c>
      <c r="AC271" s="9" t="e">
        <f>IF(T271&lt;=0,"Output &lt;= 0, cek manual",IF(OR(Z271&lt;0,Y271&lt;0),"Biaya negatif",IF(AND(AB271&gt;=#REF!,AB271&lt;=#REF!),"OK","Di luar rentang")))</f>
        <v>#REF!</v>
      </c>
    </row>
    <row r="272" ht="85.5" spans="1:29">
      <c r="A272" s="2" t="s">
        <v>30</v>
      </c>
      <c r="B272" s="2" t="s">
        <v>599</v>
      </c>
      <c r="C272" s="3" t="s">
        <v>1224</v>
      </c>
      <c r="D272" s="3" t="s">
        <v>1225</v>
      </c>
      <c r="E272" s="3" t="s">
        <v>1226</v>
      </c>
      <c r="F272" s="4">
        <v>0</v>
      </c>
      <c r="G272" s="4">
        <v>0</v>
      </c>
      <c r="H272" s="4">
        <v>50000</v>
      </c>
      <c r="I272" s="4">
        <v>50000</v>
      </c>
      <c r="J272" s="2" t="s">
        <v>261</v>
      </c>
      <c r="K272" s="4">
        <v>127000000</v>
      </c>
      <c r="L272" s="4">
        <v>0</v>
      </c>
      <c r="M272" s="4">
        <v>126950000</v>
      </c>
      <c r="N272" s="4">
        <v>60000000</v>
      </c>
      <c r="O272" s="4">
        <v>127000000</v>
      </c>
      <c r="P272" s="4">
        <v>0</v>
      </c>
      <c r="Q272" s="5">
        <v>0.999606</v>
      </c>
      <c r="R272" s="2" t="s">
        <v>1227</v>
      </c>
      <c r="S272" s="7">
        <f t="shared" si="32"/>
        <v>126950000</v>
      </c>
      <c r="T272" s="7">
        <f t="shared" si="33"/>
        <v>127000000</v>
      </c>
      <c r="U272" s="8">
        <f t="shared" si="34"/>
        <v>0.999606299212598</v>
      </c>
      <c r="V272" s="9" t="e">
        <f>IF(T272&lt;=0,"Output &lt;= 0",IF(U272&gt;#REF!,"Terlalu tinggi",IF(U272&lt;#REF!,"Terlalu rendah","Sesuai")))</f>
        <v>#REF!</v>
      </c>
      <c r="W272" s="7" t="e">
        <f>IF(T272&lt;=0,S272,IF(U272&gt;#REF!,ROUNDDOWN(T272*#REF!,0),IF(U272&lt;#REF!,ROUNDUP(T272*#REF!,0),S272)))</f>
        <v>#REF!</v>
      </c>
      <c r="X272" s="7" t="e">
        <f t="shared" si="35"/>
        <v>#REF!</v>
      </c>
      <c r="Y272" s="7" t="e">
        <f t="shared" si="36"/>
        <v>#REF!</v>
      </c>
      <c r="Z272" s="7" t="e">
        <f t="shared" si="37"/>
        <v>#REF!</v>
      </c>
      <c r="AA272" s="7" t="e">
        <f t="shared" si="38"/>
        <v>#REF!</v>
      </c>
      <c r="AB272" s="8" t="e">
        <f t="shared" si="39"/>
        <v>#REF!</v>
      </c>
      <c r="AC272" s="9" t="e">
        <f>IF(T272&lt;=0,"Output &lt;= 0, cek manual",IF(OR(Z272&lt;0,Y272&lt;0),"Biaya negatif",IF(AND(AB272&gt;=#REF!,AB272&lt;=#REF!),"OK","Di luar rentang")))</f>
        <v>#REF!</v>
      </c>
    </row>
    <row r="273" ht="42.75" spans="1:29">
      <c r="A273" s="2" t="s">
        <v>30</v>
      </c>
      <c r="B273" s="2" t="s">
        <v>1228</v>
      </c>
      <c r="C273" s="3" t="s">
        <v>1229</v>
      </c>
      <c r="D273" s="3" t="s">
        <v>338</v>
      </c>
      <c r="E273" s="3" t="s">
        <v>1230</v>
      </c>
      <c r="F273" s="4">
        <v>1500000</v>
      </c>
      <c r="G273" s="4">
        <v>2500000</v>
      </c>
      <c r="H273" s="4">
        <v>50000</v>
      </c>
      <c r="I273" s="4">
        <v>0</v>
      </c>
      <c r="J273" s="2" t="s">
        <v>1231</v>
      </c>
      <c r="K273" s="4">
        <v>5000000</v>
      </c>
      <c r="L273" s="4">
        <v>150000</v>
      </c>
      <c r="M273" s="4">
        <v>950000</v>
      </c>
      <c r="N273" s="4">
        <v>0</v>
      </c>
      <c r="O273" s="4">
        <v>2500000</v>
      </c>
      <c r="P273" s="12">
        <v>0.5</v>
      </c>
      <c r="Q273" s="11">
        <v>0.38</v>
      </c>
      <c r="R273" s="2" t="s">
        <v>1232</v>
      </c>
      <c r="S273" s="7">
        <f t="shared" si="32"/>
        <v>950000</v>
      </c>
      <c r="T273" s="7">
        <f t="shared" si="33"/>
        <v>2500000</v>
      </c>
      <c r="U273" s="8">
        <f t="shared" si="34"/>
        <v>0.38</v>
      </c>
      <c r="V273" s="9" t="e">
        <f>IF(T273&lt;=0,"Output &lt;= 0",IF(U273&gt;#REF!,"Terlalu tinggi",IF(U273&lt;#REF!,"Terlalu rendah","Sesuai")))</f>
        <v>#REF!</v>
      </c>
      <c r="W273" s="7" t="e">
        <f>IF(T273&lt;=0,S273,IF(U273&gt;#REF!,ROUNDDOWN(T273*#REF!,0),IF(U273&lt;#REF!,ROUNDUP(T273*#REF!,0),S273)))</f>
        <v>#REF!</v>
      </c>
      <c r="X273" s="7" t="e">
        <f t="shared" si="35"/>
        <v>#REF!</v>
      </c>
      <c r="Y273" s="7" t="e">
        <f t="shared" si="36"/>
        <v>#REF!</v>
      </c>
      <c r="Z273" s="7" t="e">
        <f t="shared" si="37"/>
        <v>#REF!</v>
      </c>
      <c r="AA273" s="7" t="e">
        <f t="shared" si="38"/>
        <v>#REF!</v>
      </c>
      <c r="AB273" s="8" t="e">
        <f t="shared" si="39"/>
        <v>#REF!</v>
      </c>
      <c r="AC273" s="9" t="e">
        <f>IF(T273&lt;=0,"Output &lt;= 0, cek manual",IF(OR(Z273&lt;0,Y273&lt;0),"Biaya negatif",IF(AND(AB273&gt;=#REF!,AB273&lt;=#REF!),"OK","Di luar rentang")))</f>
        <v>#REF!</v>
      </c>
    </row>
    <row r="274" ht="99.75" spans="1:29">
      <c r="A274" s="2" t="s">
        <v>30</v>
      </c>
      <c r="B274" s="2" t="s">
        <v>1228</v>
      </c>
      <c r="C274" s="3" t="s">
        <v>1233</v>
      </c>
      <c r="D274" s="3" t="s">
        <v>338</v>
      </c>
      <c r="E274" s="3" t="s">
        <v>1234</v>
      </c>
      <c r="F274" s="4">
        <v>0</v>
      </c>
      <c r="G274" s="4">
        <v>1497600000</v>
      </c>
      <c r="H274" s="4">
        <v>31600000</v>
      </c>
      <c r="I274" s="4">
        <v>3000000</v>
      </c>
      <c r="J274" s="2" t="s">
        <v>1235</v>
      </c>
      <c r="K274" s="4">
        <v>2620000000</v>
      </c>
      <c r="L274" s="4">
        <v>0</v>
      </c>
      <c r="M274" s="4">
        <v>1090800000</v>
      </c>
      <c r="N274" s="4">
        <v>0</v>
      </c>
      <c r="O274" s="4">
        <v>1122400000</v>
      </c>
      <c r="P274" s="5">
        <v>0.571603</v>
      </c>
      <c r="Q274" s="5">
        <v>0.971846</v>
      </c>
      <c r="R274" s="2" t="s">
        <v>1236</v>
      </c>
      <c r="S274" s="7">
        <f t="shared" si="32"/>
        <v>1090800000</v>
      </c>
      <c r="T274" s="7">
        <f t="shared" si="33"/>
        <v>1122400000</v>
      </c>
      <c r="U274" s="8">
        <f t="shared" si="34"/>
        <v>0.971846044191019</v>
      </c>
      <c r="V274" s="9" t="e">
        <f>IF(T274&lt;=0,"Output &lt;= 0",IF(U274&gt;#REF!,"Terlalu tinggi",IF(U274&lt;#REF!,"Terlalu rendah","Sesuai")))</f>
        <v>#REF!</v>
      </c>
      <c r="W274" s="7" t="e">
        <f>IF(T274&lt;=0,S274,IF(U274&gt;#REF!,ROUNDDOWN(T274*#REF!,0),IF(U274&lt;#REF!,ROUNDUP(T274*#REF!,0),S274)))</f>
        <v>#REF!</v>
      </c>
      <c r="X274" s="7" t="e">
        <f t="shared" si="35"/>
        <v>#REF!</v>
      </c>
      <c r="Y274" s="7" t="e">
        <f t="shared" si="36"/>
        <v>#REF!</v>
      </c>
      <c r="Z274" s="7" t="e">
        <f t="shared" si="37"/>
        <v>#REF!</v>
      </c>
      <c r="AA274" s="7" t="e">
        <f t="shared" si="38"/>
        <v>#REF!</v>
      </c>
      <c r="AB274" s="8" t="e">
        <f t="shared" si="39"/>
        <v>#REF!</v>
      </c>
      <c r="AC274" s="9" t="e">
        <f>IF(T274&lt;=0,"Output &lt;= 0, cek manual",IF(OR(Z274&lt;0,Y274&lt;0),"Biaya negatif",IF(AND(AB274&gt;=#REF!,AB274&lt;=#REF!),"OK","Di luar rentang")))</f>
        <v>#REF!</v>
      </c>
    </row>
    <row r="275" ht="99.75" spans="1:29">
      <c r="A275" s="2" t="s">
        <v>30</v>
      </c>
      <c r="B275" s="2" t="s">
        <v>621</v>
      </c>
      <c r="C275" s="3" t="s">
        <v>1237</v>
      </c>
      <c r="D275" s="3" t="s">
        <v>627</v>
      </c>
      <c r="E275" s="3" t="s">
        <v>1238</v>
      </c>
      <c r="F275" s="4">
        <v>6000000</v>
      </c>
      <c r="G275" s="4">
        <v>6000000</v>
      </c>
      <c r="H275" s="4">
        <v>12000000</v>
      </c>
      <c r="I275" s="4">
        <v>3000000</v>
      </c>
      <c r="J275" s="2" t="s">
        <v>629</v>
      </c>
      <c r="K275" s="4">
        <v>33000000</v>
      </c>
      <c r="L275" s="4">
        <v>0</v>
      </c>
      <c r="M275" s="4">
        <v>9000000</v>
      </c>
      <c r="N275" s="4">
        <v>48000000</v>
      </c>
      <c r="O275" s="4">
        <v>27000000</v>
      </c>
      <c r="P275" s="5">
        <v>0.181818</v>
      </c>
      <c r="Q275" s="5">
        <v>0.333333</v>
      </c>
      <c r="R275" s="2" t="s">
        <v>1239</v>
      </c>
      <c r="S275" s="7">
        <f t="shared" si="32"/>
        <v>9000000</v>
      </c>
      <c r="T275" s="7">
        <f t="shared" si="33"/>
        <v>27000000</v>
      </c>
      <c r="U275" s="8">
        <f t="shared" si="34"/>
        <v>0.333333333333333</v>
      </c>
      <c r="V275" s="9" t="e">
        <f>IF(T275&lt;=0,"Output &lt;= 0",IF(U275&gt;#REF!,"Terlalu tinggi",IF(U275&lt;#REF!,"Terlalu rendah","Sesuai")))</f>
        <v>#REF!</v>
      </c>
      <c r="W275" s="7" t="e">
        <f>IF(T275&lt;=0,S275,IF(U275&gt;#REF!,ROUNDDOWN(T275*#REF!,0),IF(U275&lt;#REF!,ROUNDUP(T275*#REF!,0),S275)))</f>
        <v>#REF!</v>
      </c>
      <c r="X275" s="7" t="e">
        <f t="shared" si="35"/>
        <v>#REF!</v>
      </c>
      <c r="Y275" s="7" t="e">
        <f t="shared" si="36"/>
        <v>#REF!</v>
      </c>
      <c r="Z275" s="7" t="e">
        <f t="shared" si="37"/>
        <v>#REF!</v>
      </c>
      <c r="AA275" s="7" t="e">
        <f t="shared" si="38"/>
        <v>#REF!</v>
      </c>
      <c r="AB275" s="8" t="e">
        <f t="shared" si="39"/>
        <v>#REF!</v>
      </c>
      <c r="AC275" s="9" t="e">
        <f>IF(T275&lt;=0,"Output &lt;= 0, cek manual",IF(OR(Z275&lt;0,Y275&lt;0),"Biaya negatif",IF(AND(AB275&gt;=#REF!,AB275&lt;=#REF!),"OK","Di luar rentang")))</f>
        <v>#REF!</v>
      </c>
    </row>
    <row r="276" ht="156.75" spans="1:29">
      <c r="A276" s="2" t="s">
        <v>30</v>
      </c>
      <c r="B276" s="2" t="s">
        <v>621</v>
      </c>
      <c r="C276" s="3" t="s">
        <v>1240</v>
      </c>
      <c r="D276" s="3" t="s">
        <v>1241</v>
      </c>
      <c r="E276" s="3" t="s">
        <v>1242</v>
      </c>
      <c r="F276" s="4">
        <v>2500000</v>
      </c>
      <c r="G276" s="4">
        <v>140000000</v>
      </c>
      <c r="H276" s="4">
        <v>4500000</v>
      </c>
      <c r="I276" s="4">
        <v>20000</v>
      </c>
      <c r="J276" s="2" t="s">
        <v>1243</v>
      </c>
      <c r="K276" s="4">
        <v>188000000</v>
      </c>
      <c r="L276" s="4">
        <v>0</v>
      </c>
      <c r="M276" s="4">
        <v>41000000</v>
      </c>
      <c r="N276" s="4">
        <v>47000000</v>
      </c>
      <c r="O276" s="4">
        <v>48000000</v>
      </c>
      <c r="P276" s="5">
        <v>0.744681</v>
      </c>
      <c r="Q276" s="5">
        <v>0.854167</v>
      </c>
      <c r="R276" s="2" t="s">
        <v>1244</v>
      </c>
      <c r="S276" s="7">
        <f t="shared" si="32"/>
        <v>41000000</v>
      </c>
      <c r="T276" s="7">
        <f t="shared" si="33"/>
        <v>48000000</v>
      </c>
      <c r="U276" s="8">
        <f t="shared" si="34"/>
        <v>0.854166666666667</v>
      </c>
      <c r="V276" s="9" t="e">
        <f>IF(T276&lt;=0,"Output &lt;= 0",IF(U276&gt;#REF!,"Terlalu tinggi",IF(U276&lt;#REF!,"Terlalu rendah","Sesuai")))</f>
        <v>#REF!</v>
      </c>
      <c r="W276" s="7" t="e">
        <f>IF(T276&lt;=0,S276,IF(U276&gt;#REF!,ROUNDDOWN(T276*#REF!,0),IF(U276&lt;#REF!,ROUNDUP(T276*#REF!,0),S276)))</f>
        <v>#REF!</v>
      </c>
      <c r="X276" s="7" t="e">
        <f t="shared" si="35"/>
        <v>#REF!</v>
      </c>
      <c r="Y276" s="7" t="e">
        <f t="shared" si="36"/>
        <v>#REF!</v>
      </c>
      <c r="Z276" s="7" t="e">
        <f t="shared" si="37"/>
        <v>#REF!</v>
      </c>
      <c r="AA276" s="7" t="e">
        <f t="shared" si="38"/>
        <v>#REF!</v>
      </c>
      <c r="AB276" s="8" t="e">
        <f t="shared" si="39"/>
        <v>#REF!</v>
      </c>
      <c r="AC276" s="9" t="e">
        <f>IF(T276&lt;=0,"Output &lt;= 0, cek manual",IF(OR(Z276&lt;0,Y276&lt;0),"Biaya negatif",IF(AND(AB276&gt;=#REF!,AB276&lt;=#REF!),"OK","Di luar rentang")))</f>
        <v>#REF!</v>
      </c>
    </row>
    <row r="277" ht="71.25" spans="1:29">
      <c r="A277" s="2" t="s">
        <v>30</v>
      </c>
      <c r="B277" s="2" t="s">
        <v>1245</v>
      </c>
      <c r="C277" s="3" t="s">
        <v>1246</v>
      </c>
      <c r="D277" s="3" t="s">
        <v>1247</v>
      </c>
      <c r="E277" s="3" t="s">
        <v>1248</v>
      </c>
      <c r="F277" s="4">
        <v>0</v>
      </c>
      <c r="G277" s="4">
        <v>0</v>
      </c>
      <c r="H277" s="4">
        <v>100000</v>
      </c>
      <c r="I277" s="4">
        <v>0</v>
      </c>
      <c r="J277" s="2" t="s">
        <v>261</v>
      </c>
      <c r="K277" s="4">
        <v>800000</v>
      </c>
      <c r="L277" s="4">
        <v>0</v>
      </c>
      <c r="M277" s="4">
        <v>700000</v>
      </c>
      <c r="N277" s="4">
        <v>6000000</v>
      </c>
      <c r="O277" s="4">
        <v>800000</v>
      </c>
      <c r="P277" s="4">
        <v>0</v>
      </c>
      <c r="Q277" s="10">
        <v>0.875</v>
      </c>
      <c r="R277" s="2" t="s">
        <v>1249</v>
      </c>
      <c r="S277" s="7">
        <f t="shared" si="32"/>
        <v>700000</v>
      </c>
      <c r="T277" s="7">
        <f t="shared" si="33"/>
        <v>800000</v>
      </c>
      <c r="U277" s="8">
        <f t="shared" si="34"/>
        <v>0.875</v>
      </c>
      <c r="V277" s="9" t="e">
        <f>IF(T277&lt;=0,"Output &lt;= 0",IF(U277&gt;#REF!,"Terlalu tinggi",IF(U277&lt;#REF!,"Terlalu rendah","Sesuai")))</f>
        <v>#REF!</v>
      </c>
      <c r="W277" s="7" t="e">
        <f>IF(T277&lt;=0,S277,IF(U277&gt;#REF!,ROUNDDOWN(T277*#REF!,0),IF(U277&lt;#REF!,ROUNDUP(T277*#REF!,0),S277)))</f>
        <v>#REF!</v>
      </c>
      <c r="X277" s="7" t="e">
        <f t="shared" si="35"/>
        <v>#REF!</v>
      </c>
      <c r="Y277" s="7" t="e">
        <f t="shared" si="36"/>
        <v>#REF!</v>
      </c>
      <c r="Z277" s="7" t="e">
        <f t="shared" si="37"/>
        <v>#REF!</v>
      </c>
      <c r="AA277" s="7" t="e">
        <f t="shared" si="38"/>
        <v>#REF!</v>
      </c>
      <c r="AB277" s="8" t="e">
        <f t="shared" si="39"/>
        <v>#REF!</v>
      </c>
      <c r="AC277" s="9" t="e">
        <f>IF(T277&lt;=0,"Output &lt;= 0, cek manual",IF(OR(Z277&lt;0,Y277&lt;0),"Biaya negatif",IF(AND(AB277&gt;=#REF!,AB277&lt;=#REF!),"OK","Di luar rentang")))</f>
        <v>#REF!</v>
      </c>
    </row>
    <row r="278" ht="156.75" spans="1:29">
      <c r="A278" s="2" t="s">
        <v>30</v>
      </c>
      <c r="B278" s="2" t="s">
        <v>1245</v>
      </c>
      <c r="C278" s="3" t="s">
        <v>1250</v>
      </c>
      <c r="D278" s="3" t="s">
        <v>1251</v>
      </c>
      <c r="E278" s="3" t="s">
        <v>1252</v>
      </c>
      <c r="F278" s="4">
        <v>122000</v>
      </c>
      <c r="G278" s="4">
        <v>3800000</v>
      </c>
      <c r="H278" s="4">
        <v>500000</v>
      </c>
      <c r="I278" s="4">
        <v>0</v>
      </c>
      <c r="J278" s="2" t="s">
        <v>1253</v>
      </c>
      <c r="K278" s="4">
        <v>7852000</v>
      </c>
      <c r="L278" s="4">
        <v>0</v>
      </c>
      <c r="M278" s="4">
        <v>3430000</v>
      </c>
      <c r="N278" s="4">
        <v>137000000</v>
      </c>
      <c r="O278" s="4">
        <v>4052000</v>
      </c>
      <c r="P278" s="5">
        <v>0.483953</v>
      </c>
      <c r="Q278" s="5">
        <v>0.846496</v>
      </c>
      <c r="R278" s="2" t="s">
        <v>1254</v>
      </c>
      <c r="S278" s="7">
        <f t="shared" si="32"/>
        <v>3430000</v>
      </c>
      <c r="T278" s="7">
        <f t="shared" si="33"/>
        <v>4052000</v>
      </c>
      <c r="U278" s="8">
        <f t="shared" si="34"/>
        <v>0.84649555774926</v>
      </c>
      <c r="V278" s="9" t="e">
        <f>IF(T278&lt;=0,"Output &lt;= 0",IF(U278&gt;#REF!,"Terlalu tinggi",IF(U278&lt;#REF!,"Terlalu rendah","Sesuai")))</f>
        <v>#REF!</v>
      </c>
      <c r="W278" s="7" t="e">
        <f>IF(T278&lt;=0,S278,IF(U278&gt;#REF!,ROUNDDOWN(T278*#REF!,0),IF(U278&lt;#REF!,ROUNDUP(T278*#REF!,0),S278)))</f>
        <v>#REF!</v>
      </c>
      <c r="X278" s="7" t="e">
        <f t="shared" si="35"/>
        <v>#REF!</v>
      </c>
      <c r="Y278" s="7" t="e">
        <f t="shared" si="36"/>
        <v>#REF!</v>
      </c>
      <c r="Z278" s="7" t="e">
        <f t="shared" si="37"/>
        <v>#REF!</v>
      </c>
      <c r="AA278" s="7" t="e">
        <f t="shared" si="38"/>
        <v>#REF!</v>
      </c>
      <c r="AB278" s="8" t="e">
        <f t="shared" si="39"/>
        <v>#REF!</v>
      </c>
      <c r="AC278" s="9" t="e">
        <f>IF(T278&lt;=0,"Output &lt;= 0, cek manual",IF(OR(Z278&lt;0,Y278&lt;0),"Biaya negatif",IF(AND(AB278&gt;=#REF!,AB278&lt;=#REF!),"OK","Di luar rentang")))</f>
        <v>#REF!</v>
      </c>
    </row>
    <row r="279" ht="99.75" spans="1:29">
      <c r="A279" s="2" t="s">
        <v>30</v>
      </c>
      <c r="B279" s="2" t="s">
        <v>647</v>
      </c>
      <c r="C279" s="3" t="s">
        <v>1255</v>
      </c>
      <c r="D279" s="3" t="s">
        <v>1256</v>
      </c>
      <c r="E279" s="3" t="s">
        <v>1257</v>
      </c>
      <c r="F279" s="4">
        <v>0</v>
      </c>
      <c r="G279" s="4">
        <v>5120000</v>
      </c>
      <c r="H279" s="4">
        <v>500000</v>
      </c>
      <c r="I279" s="4">
        <v>0</v>
      </c>
      <c r="J279" s="2" t="s">
        <v>1258</v>
      </c>
      <c r="K279" s="4">
        <v>7680000</v>
      </c>
      <c r="L279" s="4">
        <v>0</v>
      </c>
      <c r="M279" s="4">
        <v>2060000</v>
      </c>
      <c r="N279" s="4">
        <v>0</v>
      </c>
      <c r="O279" s="4">
        <v>2560000</v>
      </c>
      <c r="P279" s="5">
        <v>0.666667</v>
      </c>
      <c r="Q279" s="5">
        <v>0.804688</v>
      </c>
      <c r="R279" s="2" t="s">
        <v>1259</v>
      </c>
      <c r="S279" s="7">
        <f t="shared" si="32"/>
        <v>2060000</v>
      </c>
      <c r="T279" s="7">
        <f t="shared" si="33"/>
        <v>2560000</v>
      </c>
      <c r="U279" s="8">
        <f t="shared" si="34"/>
        <v>0.8046875</v>
      </c>
      <c r="V279" s="9" t="e">
        <f>IF(T279&lt;=0,"Output &lt;= 0",IF(U279&gt;#REF!,"Terlalu tinggi",IF(U279&lt;#REF!,"Terlalu rendah","Sesuai")))</f>
        <v>#REF!</v>
      </c>
      <c r="W279" s="7" t="e">
        <f>IF(T279&lt;=0,S279,IF(U279&gt;#REF!,ROUNDDOWN(T279*#REF!,0),IF(U279&lt;#REF!,ROUNDUP(T279*#REF!,0),S279)))</f>
        <v>#REF!</v>
      </c>
      <c r="X279" s="7" t="e">
        <f t="shared" si="35"/>
        <v>#REF!</v>
      </c>
      <c r="Y279" s="7" t="e">
        <f t="shared" si="36"/>
        <v>#REF!</v>
      </c>
      <c r="Z279" s="7" t="e">
        <f t="shared" si="37"/>
        <v>#REF!</v>
      </c>
      <c r="AA279" s="7" t="e">
        <f t="shared" si="38"/>
        <v>#REF!</v>
      </c>
      <c r="AB279" s="8" t="e">
        <f t="shared" si="39"/>
        <v>#REF!</v>
      </c>
      <c r="AC279" s="9" t="e">
        <f>IF(T279&lt;=0,"Output &lt;= 0, cek manual",IF(OR(Z279&lt;0,Y279&lt;0),"Biaya negatif",IF(AND(AB279&gt;=#REF!,AB279&lt;=#REF!),"OK","Di luar rentang")))</f>
        <v>#REF!</v>
      </c>
    </row>
    <row r="280" ht="71.25" spans="1:29">
      <c r="A280" s="2" t="s">
        <v>30</v>
      </c>
      <c r="B280" s="2" t="s">
        <v>658</v>
      </c>
      <c r="C280" s="3" t="s">
        <v>1260</v>
      </c>
      <c r="D280" s="3" t="s">
        <v>1261</v>
      </c>
      <c r="E280" s="3" t="s">
        <v>1262</v>
      </c>
      <c r="F280" s="4">
        <v>350000</v>
      </c>
      <c r="G280" s="4">
        <v>750000</v>
      </c>
      <c r="H280" s="4">
        <v>50000</v>
      </c>
      <c r="I280" s="4">
        <v>65000</v>
      </c>
      <c r="J280" s="2" t="s">
        <v>1263</v>
      </c>
      <c r="K280" s="4">
        <v>3648000</v>
      </c>
      <c r="L280" s="4">
        <v>0</v>
      </c>
      <c r="M280" s="4">
        <v>2498000</v>
      </c>
      <c r="N280" s="4">
        <v>27365000</v>
      </c>
      <c r="O280" s="4">
        <v>2898000</v>
      </c>
      <c r="P280" s="5">
        <v>0.205592</v>
      </c>
      <c r="Q280" s="5">
        <v>0.861974</v>
      </c>
      <c r="R280" s="2" t="s">
        <v>1264</v>
      </c>
      <c r="S280" s="7">
        <f t="shared" si="32"/>
        <v>2498000</v>
      </c>
      <c r="T280" s="7">
        <f t="shared" si="33"/>
        <v>2898000</v>
      </c>
      <c r="U280" s="8">
        <f t="shared" si="34"/>
        <v>0.861973775017253</v>
      </c>
      <c r="V280" s="9" t="e">
        <f>IF(T280&lt;=0,"Output &lt;= 0",IF(U280&gt;#REF!,"Terlalu tinggi",IF(U280&lt;#REF!,"Terlalu rendah","Sesuai")))</f>
        <v>#REF!</v>
      </c>
      <c r="W280" s="7" t="e">
        <f>IF(T280&lt;=0,S280,IF(U280&gt;#REF!,ROUNDDOWN(T280*#REF!,0),IF(U280&lt;#REF!,ROUNDUP(T280*#REF!,0),S280)))</f>
        <v>#REF!</v>
      </c>
      <c r="X280" s="7" t="e">
        <f t="shared" si="35"/>
        <v>#REF!</v>
      </c>
      <c r="Y280" s="7" t="e">
        <f t="shared" si="36"/>
        <v>#REF!</v>
      </c>
      <c r="Z280" s="7" t="e">
        <f t="shared" si="37"/>
        <v>#REF!</v>
      </c>
      <c r="AA280" s="7" t="e">
        <f t="shared" si="38"/>
        <v>#REF!</v>
      </c>
      <c r="AB280" s="8" t="e">
        <f t="shared" si="39"/>
        <v>#REF!</v>
      </c>
      <c r="AC280" s="9" t="e">
        <f>IF(T280&lt;=0,"Output &lt;= 0, cek manual",IF(OR(Z280&lt;0,Y280&lt;0),"Biaya negatif",IF(AND(AB280&gt;=#REF!,AB280&lt;=#REF!),"OK","Di luar rentang")))</f>
        <v>#REF!</v>
      </c>
    </row>
    <row r="281" ht="57" spans="1:29">
      <c r="A281" s="2" t="s">
        <v>30</v>
      </c>
      <c r="B281" s="2" t="s">
        <v>1265</v>
      </c>
      <c r="C281" s="3" t="s">
        <v>1266</v>
      </c>
      <c r="D281" s="3" t="s">
        <v>1267</v>
      </c>
      <c r="E281" s="3" t="s">
        <v>1268</v>
      </c>
      <c r="F281" s="4">
        <v>0</v>
      </c>
      <c r="G281" s="4">
        <v>1723520000</v>
      </c>
      <c r="H281" s="4">
        <v>550000</v>
      </c>
      <c r="I281" s="4">
        <v>0</v>
      </c>
      <c r="J281" s="2" t="s">
        <v>1269</v>
      </c>
      <c r="K281" s="4">
        <v>1985000000</v>
      </c>
      <c r="L281" s="4">
        <v>0</v>
      </c>
      <c r="M281" s="4">
        <v>260930000</v>
      </c>
      <c r="N281" s="4">
        <v>0</v>
      </c>
      <c r="O281" s="4">
        <v>261480000</v>
      </c>
      <c r="P281" s="5">
        <v>0.868272</v>
      </c>
      <c r="Q281" s="5">
        <v>0.997897</v>
      </c>
      <c r="R281" s="2" t="s">
        <v>1270</v>
      </c>
      <c r="S281" s="7">
        <f t="shared" si="32"/>
        <v>260930000</v>
      </c>
      <c r="T281" s="7">
        <f t="shared" si="33"/>
        <v>261480000</v>
      </c>
      <c r="U281" s="8">
        <f t="shared" si="34"/>
        <v>0.997896588649227</v>
      </c>
      <c r="V281" s="9" t="e">
        <f>IF(T281&lt;=0,"Output &lt;= 0",IF(U281&gt;#REF!,"Terlalu tinggi",IF(U281&lt;#REF!,"Terlalu rendah","Sesuai")))</f>
        <v>#REF!</v>
      </c>
      <c r="W281" s="7" t="e">
        <f>IF(T281&lt;=0,S281,IF(U281&gt;#REF!,ROUNDDOWN(T281*#REF!,0),IF(U281&lt;#REF!,ROUNDUP(T281*#REF!,0),S281)))</f>
        <v>#REF!</v>
      </c>
      <c r="X281" s="7" t="e">
        <f t="shared" si="35"/>
        <v>#REF!</v>
      </c>
      <c r="Y281" s="7" t="e">
        <f t="shared" si="36"/>
        <v>#REF!</v>
      </c>
      <c r="Z281" s="7" t="e">
        <f t="shared" si="37"/>
        <v>#REF!</v>
      </c>
      <c r="AA281" s="7" t="e">
        <f t="shared" si="38"/>
        <v>#REF!</v>
      </c>
      <c r="AB281" s="8" t="e">
        <f t="shared" si="39"/>
        <v>#REF!</v>
      </c>
      <c r="AC281" s="9" t="e">
        <f>IF(T281&lt;=0,"Output &lt;= 0, cek manual",IF(OR(Z281&lt;0,Y281&lt;0),"Biaya negatif",IF(AND(AB281&gt;=#REF!,AB281&lt;=#REF!),"OK","Di luar rentang")))</f>
        <v>#REF!</v>
      </c>
    </row>
    <row r="282" ht="99.75" spans="1:29">
      <c r="A282" s="2" t="s">
        <v>30</v>
      </c>
      <c r="B282" s="2" t="s">
        <v>1271</v>
      </c>
      <c r="C282" s="3" t="s">
        <v>1272</v>
      </c>
      <c r="D282" s="3" t="s">
        <v>1267</v>
      </c>
      <c r="E282" s="3" t="s">
        <v>1273</v>
      </c>
      <c r="F282" s="4">
        <v>0</v>
      </c>
      <c r="G282" s="4">
        <v>720000000</v>
      </c>
      <c r="H282" s="4">
        <v>5000000</v>
      </c>
      <c r="I282" s="4">
        <v>0</v>
      </c>
      <c r="J282" s="2" t="s">
        <v>1274</v>
      </c>
      <c r="K282" s="4">
        <v>800000000</v>
      </c>
      <c r="L282" s="4">
        <v>0</v>
      </c>
      <c r="M282" s="4">
        <v>75000000</v>
      </c>
      <c r="N282" s="4">
        <v>80000000</v>
      </c>
      <c r="O282" s="4">
        <v>80000000</v>
      </c>
      <c r="P282" s="12">
        <v>0.9</v>
      </c>
      <c r="Q282" s="13">
        <v>0.9375</v>
      </c>
      <c r="R282" s="2" t="s">
        <v>1275</v>
      </c>
      <c r="S282" s="7">
        <f t="shared" si="32"/>
        <v>75000000</v>
      </c>
      <c r="T282" s="7">
        <f t="shared" si="33"/>
        <v>80000000</v>
      </c>
      <c r="U282" s="8">
        <f t="shared" si="34"/>
        <v>0.9375</v>
      </c>
      <c r="V282" s="9" t="e">
        <f>IF(T282&lt;=0,"Output &lt;= 0",IF(U282&gt;#REF!,"Terlalu tinggi",IF(U282&lt;#REF!,"Terlalu rendah","Sesuai")))</f>
        <v>#REF!</v>
      </c>
      <c r="W282" s="7" t="e">
        <f>IF(T282&lt;=0,S282,IF(U282&gt;#REF!,ROUNDDOWN(T282*#REF!,0),IF(U282&lt;#REF!,ROUNDUP(T282*#REF!,0),S282)))</f>
        <v>#REF!</v>
      </c>
      <c r="X282" s="7" t="e">
        <f t="shared" si="35"/>
        <v>#REF!</v>
      </c>
      <c r="Y282" s="7" t="e">
        <f t="shared" si="36"/>
        <v>#REF!</v>
      </c>
      <c r="Z282" s="7" t="e">
        <f t="shared" si="37"/>
        <v>#REF!</v>
      </c>
      <c r="AA282" s="7" t="e">
        <f t="shared" si="38"/>
        <v>#REF!</v>
      </c>
      <c r="AB282" s="8" t="e">
        <f t="shared" si="39"/>
        <v>#REF!</v>
      </c>
      <c r="AC282" s="9" t="e">
        <f>IF(T282&lt;=0,"Output &lt;= 0, cek manual",IF(OR(Z282&lt;0,Y282&lt;0),"Biaya negatif",IF(AND(AB282&gt;=#REF!,AB282&lt;=#REF!),"OK","Di luar rentang")))</f>
        <v>#REF!</v>
      </c>
    </row>
    <row r="283" ht="85.5" spans="1:29">
      <c r="A283" s="2" t="s">
        <v>30</v>
      </c>
      <c r="B283" s="2" t="s">
        <v>670</v>
      </c>
      <c r="C283" s="3" t="s">
        <v>1276</v>
      </c>
      <c r="D283" s="3" t="s">
        <v>1277</v>
      </c>
      <c r="E283" s="3" t="s">
        <v>1278</v>
      </c>
      <c r="F283" s="4">
        <v>1500000</v>
      </c>
      <c r="G283" s="4">
        <v>144000000</v>
      </c>
      <c r="H283" s="4">
        <v>3500000</v>
      </c>
      <c r="I283" s="4">
        <v>0</v>
      </c>
      <c r="J283" s="2" t="s">
        <v>1279</v>
      </c>
      <c r="K283" s="4">
        <v>228000000</v>
      </c>
      <c r="L283" s="4">
        <v>0</v>
      </c>
      <c r="M283" s="4">
        <v>79000000</v>
      </c>
      <c r="N283" s="4">
        <v>135000000</v>
      </c>
      <c r="O283" s="4">
        <v>84000000</v>
      </c>
      <c r="P283" s="5">
        <v>0.631579</v>
      </c>
      <c r="Q283" s="5">
        <v>0.940476</v>
      </c>
      <c r="R283" s="2" t="s">
        <v>1280</v>
      </c>
      <c r="S283" s="7">
        <f t="shared" si="32"/>
        <v>79000000</v>
      </c>
      <c r="T283" s="7">
        <f t="shared" si="33"/>
        <v>84000000</v>
      </c>
      <c r="U283" s="8">
        <f t="shared" si="34"/>
        <v>0.94047619047619</v>
      </c>
      <c r="V283" s="9" t="e">
        <f>IF(T283&lt;=0,"Output &lt;= 0",IF(U283&gt;#REF!,"Terlalu tinggi",IF(U283&lt;#REF!,"Terlalu rendah","Sesuai")))</f>
        <v>#REF!</v>
      </c>
      <c r="W283" s="7" t="e">
        <f>IF(T283&lt;=0,S283,IF(U283&gt;#REF!,ROUNDDOWN(T283*#REF!,0),IF(U283&lt;#REF!,ROUNDUP(T283*#REF!,0),S283)))</f>
        <v>#REF!</v>
      </c>
      <c r="X283" s="7" t="e">
        <f t="shared" si="35"/>
        <v>#REF!</v>
      </c>
      <c r="Y283" s="7" t="e">
        <f t="shared" si="36"/>
        <v>#REF!</v>
      </c>
      <c r="Z283" s="7" t="e">
        <f t="shared" si="37"/>
        <v>#REF!</v>
      </c>
      <c r="AA283" s="7" t="e">
        <f t="shared" si="38"/>
        <v>#REF!</v>
      </c>
      <c r="AB283" s="8" t="e">
        <f t="shared" si="39"/>
        <v>#REF!</v>
      </c>
      <c r="AC283" s="9" t="e">
        <f>IF(T283&lt;=0,"Output &lt;= 0, cek manual",IF(OR(Z283&lt;0,Y283&lt;0),"Biaya negatif",IF(AND(AB283&gt;=#REF!,AB283&lt;=#REF!),"OK","Di luar rentang")))</f>
        <v>#REF!</v>
      </c>
    </row>
    <row r="284" ht="71.25" spans="1:29">
      <c r="A284" s="2" t="s">
        <v>30</v>
      </c>
      <c r="B284" s="2" t="s">
        <v>670</v>
      </c>
      <c r="C284" s="3" t="s">
        <v>1281</v>
      </c>
      <c r="D284" s="3" t="s">
        <v>1282</v>
      </c>
      <c r="E284" s="3" t="s">
        <v>1282</v>
      </c>
      <c r="F284" s="4">
        <v>300000</v>
      </c>
      <c r="G284" s="4">
        <v>20000000</v>
      </c>
      <c r="H284" s="4">
        <v>500000</v>
      </c>
      <c r="I284" s="4">
        <v>500000</v>
      </c>
      <c r="J284" s="2" t="s">
        <v>940</v>
      </c>
      <c r="K284" s="4">
        <v>65000000</v>
      </c>
      <c r="L284" s="4">
        <v>10000000</v>
      </c>
      <c r="M284" s="4">
        <v>44200000</v>
      </c>
      <c r="N284" s="4">
        <v>60000000</v>
      </c>
      <c r="O284" s="4">
        <v>45000000</v>
      </c>
      <c r="P284" s="5">
        <v>0.307692</v>
      </c>
      <c r="Q284" s="5">
        <v>0.982222</v>
      </c>
      <c r="R284" s="2" t="s">
        <v>1283</v>
      </c>
      <c r="S284" s="7">
        <f t="shared" si="32"/>
        <v>44200000</v>
      </c>
      <c r="T284" s="7">
        <f t="shared" si="33"/>
        <v>45000000</v>
      </c>
      <c r="U284" s="8">
        <f t="shared" si="34"/>
        <v>0.982222222222222</v>
      </c>
      <c r="V284" s="9" t="e">
        <f>IF(T284&lt;=0,"Output &lt;= 0",IF(U284&gt;#REF!,"Terlalu tinggi",IF(U284&lt;#REF!,"Terlalu rendah","Sesuai")))</f>
        <v>#REF!</v>
      </c>
      <c r="W284" s="7" t="e">
        <f>IF(T284&lt;=0,S284,IF(U284&gt;#REF!,ROUNDDOWN(T284*#REF!,0),IF(U284&lt;#REF!,ROUNDUP(T284*#REF!,0),S284)))</f>
        <v>#REF!</v>
      </c>
      <c r="X284" s="7" t="e">
        <f t="shared" si="35"/>
        <v>#REF!</v>
      </c>
      <c r="Y284" s="7" t="e">
        <f t="shared" si="36"/>
        <v>#REF!</v>
      </c>
      <c r="Z284" s="7" t="e">
        <f t="shared" si="37"/>
        <v>#REF!</v>
      </c>
      <c r="AA284" s="7" t="e">
        <f t="shared" si="38"/>
        <v>#REF!</v>
      </c>
      <c r="AB284" s="8" t="e">
        <f t="shared" si="39"/>
        <v>#REF!</v>
      </c>
      <c r="AC284" s="9" t="e">
        <f>IF(T284&lt;=0,"Output &lt;= 0, cek manual",IF(OR(Z284&lt;0,Y284&lt;0),"Biaya negatif",IF(AND(AB284&gt;=#REF!,AB284&lt;=#REF!),"OK","Di luar rentang")))</f>
        <v>#REF!</v>
      </c>
    </row>
    <row r="285" ht="256.5" spans="1:29">
      <c r="A285" s="2" t="s">
        <v>30</v>
      </c>
      <c r="B285" s="2" t="s">
        <v>670</v>
      </c>
      <c r="C285" s="3" t="s">
        <v>1284</v>
      </c>
      <c r="D285" s="3" t="s">
        <v>1285</v>
      </c>
      <c r="E285" s="3" t="s">
        <v>1286</v>
      </c>
      <c r="F285" s="4">
        <v>100000</v>
      </c>
      <c r="G285" s="4">
        <v>14400000</v>
      </c>
      <c r="H285" s="4">
        <v>200000</v>
      </c>
      <c r="I285" s="4">
        <v>0</v>
      </c>
      <c r="J285" s="2" t="s">
        <v>1287</v>
      </c>
      <c r="K285" s="4">
        <v>27000000</v>
      </c>
      <c r="L285" s="4">
        <v>0</v>
      </c>
      <c r="M285" s="4">
        <v>12300000</v>
      </c>
      <c r="N285" s="4">
        <v>700000</v>
      </c>
      <c r="O285" s="4">
        <v>12600000</v>
      </c>
      <c r="P285" s="5">
        <v>0.533333</v>
      </c>
      <c r="Q285" s="6">
        <v>0.97619</v>
      </c>
      <c r="R285" s="2" t="s">
        <v>1288</v>
      </c>
      <c r="S285" s="7">
        <f t="shared" si="32"/>
        <v>12300000</v>
      </c>
      <c r="T285" s="7">
        <f t="shared" si="33"/>
        <v>12600000</v>
      </c>
      <c r="U285" s="8">
        <f t="shared" si="34"/>
        <v>0.976190476190476</v>
      </c>
      <c r="V285" s="9" t="e">
        <f>IF(T285&lt;=0,"Output &lt;= 0",IF(U285&gt;#REF!,"Terlalu tinggi",IF(U285&lt;#REF!,"Terlalu rendah","Sesuai")))</f>
        <v>#REF!</v>
      </c>
      <c r="W285" s="7" t="e">
        <f>IF(T285&lt;=0,S285,IF(U285&gt;#REF!,ROUNDDOWN(T285*#REF!,0),IF(U285&lt;#REF!,ROUNDUP(T285*#REF!,0),S285)))</f>
        <v>#REF!</v>
      </c>
      <c r="X285" s="7" t="e">
        <f t="shared" si="35"/>
        <v>#REF!</v>
      </c>
      <c r="Y285" s="7" t="e">
        <f t="shared" si="36"/>
        <v>#REF!</v>
      </c>
      <c r="Z285" s="7" t="e">
        <f t="shared" si="37"/>
        <v>#REF!</v>
      </c>
      <c r="AA285" s="7" t="e">
        <f t="shared" si="38"/>
        <v>#REF!</v>
      </c>
      <c r="AB285" s="8" t="e">
        <f t="shared" si="39"/>
        <v>#REF!</v>
      </c>
      <c r="AC285" s="9" t="e">
        <f>IF(T285&lt;=0,"Output &lt;= 0, cek manual",IF(OR(Z285&lt;0,Y285&lt;0),"Biaya negatif",IF(AND(AB285&gt;=#REF!,AB285&lt;=#REF!),"OK","Di luar rentang")))</f>
        <v>#REF!</v>
      </c>
    </row>
    <row r="286" ht="71.25" spans="1:29">
      <c r="A286" s="2" t="s">
        <v>30</v>
      </c>
      <c r="B286" s="2" t="s">
        <v>670</v>
      </c>
      <c r="C286" s="3" t="s">
        <v>1289</v>
      </c>
      <c r="D286" s="3" t="s">
        <v>1290</v>
      </c>
      <c r="E286" s="3" t="s">
        <v>1291</v>
      </c>
      <c r="F286" s="4">
        <v>0</v>
      </c>
      <c r="G286" s="4">
        <v>24000000</v>
      </c>
      <c r="H286" s="4">
        <v>1200000</v>
      </c>
      <c r="I286" s="4">
        <v>0</v>
      </c>
      <c r="J286" s="2" t="s">
        <v>1292</v>
      </c>
      <c r="K286" s="4">
        <v>36000000</v>
      </c>
      <c r="L286" s="4">
        <v>0</v>
      </c>
      <c r="M286" s="4">
        <v>10800000</v>
      </c>
      <c r="N286" s="4">
        <v>15000000</v>
      </c>
      <c r="O286" s="4">
        <v>12000000</v>
      </c>
      <c r="P286" s="5">
        <v>0.666667</v>
      </c>
      <c r="Q286" s="12">
        <v>0.9</v>
      </c>
      <c r="R286" s="2" t="s">
        <v>1293</v>
      </c>
      <c r="S286" s="7">
        <f t="shared" si="32"/>
        <v>10800000</v>
      </c>
      <c r="T286" s="7">
        <f t="shared" si="33"/>
        <v>12000000</v>
      </c>
      <c r="U286" s="8">
        <f t="shared" si="34"/>
        <v>0.9</v>
      </c>
      <c r="V286" s="9" t="e">
        <f>IF(T286&lt;=0,"Output &lt;= 0",IF(U286&gt;#REF!,"Terlalu tinggi",IF(U286&lt;#REF!,"Terlalu rendah","Sesuai")))</f>
        <v>#REF!</v>
      </c>
      <c r="W286" s="7" t="e">
        <f>IF(T286&lt;=0,S286,IF(U286&gt;#REF!,ROUNDDOWN(T286*#REF!,0),IF(U286&lt;#REF!,ROUNDUP(T286*#REF!,0),S286)))</f>
        <v>#REF!</v>
      </c>
      <c r="X286" s="7" t="e">
        <f t="shared" si="35"/>
        <v>#REF!</v>
      </c>
      <c r="Y286" s="7" t="e">
        <f t="shared" si="36"/>
        <v>#REF!</v>
      </c>
      <c r="Z286" s="7" t="e">
        <f t="shared" si="37"/>
        <v>#REF!</v>
      </c>
      <c r="AA286" s="7" t="e">
        <f t="shared" si="38"/>
        <v>#REF!</v>
      </c>
      <c r="AB286" s="8" t="e">
        <f t="shared" si="39"/>
        <v>#REF!</v>
      </c>
      <c r="AC286" s="9" t="e">
        <f>IF(T286&lt;=0,"Output &lt;= 0, cek manual",IF(OR(Z286&lt;0,Y286&lt;0),"Biaya negatif",IF(AND(AB286&gt;=#REF!,AB286&lt;=#REF!),"OK","Di luar rentang")))</f>
        <v>#REF!</v>
      </c>
    </row>
    <row r="287" ht="85.5" spans="1:29">
      <c r="A287" s="2" t="s">
        <v>30</v>
      </c>
      <c r="B287" s="2" t="s">
        <v>670</v>
      </c>
      <c r="C287" s="3" t="s">
        <v>1294</v>
      </c>
      <c r="D287" s="3" t="s">
        <v>1295</v>
      </c>
      <c r="E287" s="3" t="s">
        <v>1296</v>
      </c>
      <c r="F287" s="4">
        <v>50000</v>
      </c>
      <c r="G287" s="4">
        <v>28000000</v>
      </c>
      <c r="H287" s="4">
        <v>300000</v>
      </c>
      <c r="I287" s="4">
        <v>0</v>
      </c>
      <c r="J287" s="2" t="s">
        <v>1297</v>
      </c>
      <c r="K287" s="4">
        <v>45000000</v>
      </c>
      <c r="L287" s="4">
        <v>0</v>
      </c>
      <c r="M287" s="4">
        <v>16650000</v>
      </c>
      <c r="N287" s="4">
        <v>3100000</v>
      </c>
      <c r="O287" s="4">
        <v>17000000</v>
      </c>
      <c r="P287" s="5">
        <v>0.622222</v>
      </c>
      <c r="Q287" s="5">
        <v>0.979412</v>
      </c>
      <c r="R287" s="2" t="s">
        <v>1298</v>
      </c>
      <c r="S287" s="7">
        <f t="shared" si="32"/>
        <v>16650000</v>
      </c>
      <c r="T287" s="7">
        <f t="shared" si="33"/>
        <v>17000000</v>
      </c>
      <c r="U287" s="8">
        <f t="shared" si="34"/>
        <v>0.979411764705882</v>
      </c>
      <c r="V287" s="9" t="e">
        <f>IF(T287&lt;=0,"Output &lt;= 0",IF(U287&gt;#REF!,"Terlalu tinggi",IF(U287&lt;#REF!,"Terlalu rendah","Sesuai")))</f>
        <v>#REF!</v>
      </c>
      <c r="W287" s="7" t="e">
        <f>IF(T287&lt;=0,S287,IF(U287&gt;#REF!,ROUNDDOWN(T287*#REF!,0),IF(U287&lt;#REF!,ROUNDUP(T287*#REF!,0),S287)))</f>
        <v>#REF!</v>
      </c>
      <c r="X287" s="7" t="e">
        <f t="shared" si="35"/>
        <v>#REF!</v>
      </c>
      <c r="Y287" s="7" t="e">
        <f t="shared" si="36"/>
        <v>#REF!</v>
      </c>
      <c r="Z287" s="7" t="e">
        <f t="shared" si="37"/>
        <v>#REF!</v>
      </c>
      <c r="AA287" s="7" t="e">
        <f t="shared" si="38"/>
        <v>#REF!</v>
      </c>
      <c r="AB287" s="8" t="e">
        <f t="shared" si="39"/>
        <v>#REF!</v>
      </c>
      <c r="AC287" s="9" t="e">
        <f>IF(T287&lt;=0,"Output &lt;= 0, cek manual",IF(OR(Z287&lt;0,Y287&lt;0),"Biaya negatif",IF(AND(AB287&gt;=#REF!,AB287&lt;=#REF!),"OK","Di luar rentang")))</f>
        <v>#REF!</v>
      </c>
    </row>
    <row r="288" ht="142.5" spans="1:29">
      <c r="A288" s="2" t="s">
        <v>30</v>
      </c>
      <c r="B288" s="2" t="s">
        <v>31</v>
      </c>
      <c r="C288" s="3" t="s">
        <v>1299</v>
      </c>
      <c r="D288" s="3" t="s">
        <v>1300</v>
      </c>
      <c r="E288" s="3" t="s">
        <v>1301</v>
      </c>
      <c r="F288" s="4">
        <v>500000</v>
      </c>
      <c r="G288" s="4">
        <v>35000000</v>
      </c>
      <c r="H288" s="4">
        <v>500000</v>
      </c>
      <c r="I288" s="4">
        <v>0</v>
      </c>
      <c r="J288" s="2" t="s">
        <v>1302</v>
      </c>
      <c r="K288" s="4">
        <v>70000000</v>
      </c>
      <c r="L288" s="4">
        <v>0</v>
      </c>
      <c r="M288" s="4">
        <v>34000000</v>
      </c>
      <c r="N288" s="4">
        <v>3000000</v>
      </c>
      <c r="O288" s="4">
        <v>35000000</v>
      </c>
      <c r="P288" s="12">
        <v>0.5</v>
      </c>
      <c r="Q288" s="5">
        <v>0.971429</v>
      </c>
      <c r="R288" s="2" t="s">
        <v>1303</v>
      </c>
      <c r="S288" s="7">
        <f t="shared" si="32"/>
        <v>34000000</v>
      </c>
      <c r="T288" s="7">
        <f t="shared" si="33"/>
        <v>35000000</v>
      </c>
      <c r="U288" s="8">
        <f t="shared" si="34"/>
        <v>0.971428571428571</v>
      </c>
      <c r="V288" s="9" t="e">
        <f>IF(T288&lt;=0,"Output &lt;= 0",IF(U288&gt;#REF!,"Terlalu tinggi",IF(U288&lt;#REF!,"Terlalu rendah","Sesuai")))</f>
        <v>#REF!</v>
      </c>
      <c r="W288" s="7" t="e">
        <f>IF(T288&lt;=0,S288,IF(U288&gt;#REF!,ROUNDDOWN(T288*#REF!,0),IF(U288&lt;#REF!,ROUNDUP(T288*#REF!,0),S288)))</f>
        <v>#REF!</v>
      </c>
      <c r="X288" s="7" t="e">
        <f t="shared" si="35"/>
        <v>#REF!</v>
      </c>
      <c r="Y288" s="7" t="e">
        <f t="shared" si="36"/>
        <v>#REF!</v>
      </c>
      <c r="Z288" s="7" t="e">
        <f t="shared" si="37"/>
        <v>#REF!</v>
      </c>
      <c r="AA288" s="7" t="e">
        <f t="shared" si="38"/>
        <v>#REF!</v>
      </c>
      <c r="AB288" s="8" t="e">
        <f t="shared" si="39"/>
        <v>#REF!</v>
      </c>
      <c r="AC288" s="9" t="e">
        <f>IF(T288&lt;=0,"Output &lt;= 0, cek manual",IF(OR(Z288&lt;0,Y288&lt;0),"Biaya negatif",IF(AND(AB288&gt;=#REF!,AB288&lt;=#REF!),"OK","Di luar rentang")))</f>
        <v>#REF!</v>
      </c>
    </row>
    <row r="289" ht="85.5" spans="1:29">
      <c r="A289" s="2" t="s">
        <v>30</v>
      </c>
      <c r="B289" s="2" t="s">
        <v>31</v>
      </c>
      <c r="C289" s="3" t="s">
        <v>1304</v>
      </c>
      <c r="D289" s="3"/>
      <c r="E289" s="3"/>
      <c r="F289" s="4">
        <v>0</v>
      </c>
      <c r="G289" s="4">
        <v>300000000</v>
      </c>
      <c r="H289" s="4">
        <v>26900000</v>
      </c>
      <c r="I289" s="4">
        <v>0</v>
      </c>
      <c r="J289" s="2"/>
      <c r="K289" s="4">
        <v>625000000</v>
      </c>
      <c r="L289" s="4">
        <v>0</v>
      </c>
      <c r="M289" s="4">
        <v>298100000</v>
      </c>
      <c r="N289" s="4">
        <v>380000000</v>
      </c>
      <c r="O289" s="4">
        <v>325000000</v>
      </c>
      <c r="P289" s="11">
        <v>0.48</v>
      </c>
      <c r="Q289" s="5">
        <v>0.917231</v>
      </c>
      <c r="R289" s="2" t="s">
        <v>1305</v>
      </c>
      <c r="S289" s="7">
        <f t="shared" si="32"/>
        <v>298100000</v>
      </c>
      <c r="T289" s="7">
        <f t="shared" si="33"/>
        <v>325000000</v>
      </c>
      <c r="U289" s="8">
        <f t="shared" si="34"/>
        <v>0.917230769230769</v>
      </c>
      <c r="V289" s="9" t="e">
        <f>IF(T289&lt;=0,"Output &lt;= 0",IF(U289&gt;#REF!,"Terlalu tinggi",IF(U289&lt;#REF!,"Terlalu rendah","Sesuai")))</f>
        <v>#REF!</v>
      </c>
      <c r="W289" s="7" t="e">
        <f>IF(T289&lt;=0,S289,IF(U289&gt;#REF!,ROUNDDOWN(T289*#REF!,0),IF(U289&lt;#REF!,ROUNDUP(T289*#REF!,0),S289)))</f>
        <v>#REF!</v>
      </c>
      <c r="X289" s="7" t="e">
        <f t="shared" si="35"/>
        <v>#REF!</v>
      </c>
      <c r="Y289" s="7" t="e">
        <f t="shared" si="36"/>
        <v>#REF!</v>
      </c>
      <c r="Z289" s="7" t="e">
        <f t="shared" si="37"/>
        <v>#REF!</v>
      </c>
      <c r="AA289" s="7" t="e">
        <f t="shared" si="38"/>
        <v>#REF!</v>
      </c>
      <c r="AB289" s="8" t="e">
        <f t="shared" si="39"/>
        <v>#REF!</v>
      </c>
      <c r="AC289" s="9" t="e">
        <f>IF(T289&lt;=0,"Output &lt;= 0, cek manual",IF(OR(Z289&lt;0,Y289&lt;0),"Biaya negatif",IF(AND(AB289&gt;=#REF!,AB289&lt;=#REF!),"OK","Di luar rentang")))</f>
        <v>#REF!</v>
      </c>
    </row>
    <row r="290" ht="99.75" spans="1:29">
      <c r="A290" s="2" t="s">
        <v>30</v>
      </c>
      <c r="B290" s="2" t="s">
        <v>31</v>
      </c>
      <c r="C290" s="3" t="s">
        <v>1306</v>
      </c>
      <c r="D290" s="3" t="s">
        <v>886</v>
      </c>
      <c r="E290" s="3" t="s">
        <v>1307</v>
      </c>
      <c r="F290" s="4">
        <v>500000</v>
      </c>
      <c r="G290" s="4">
        <v>0</v>
      </c>
      <c r="H290" s="4">
        <v>1000000</v>
      </c>
      <c r="I290" s="4">
        <v>0</v>
      </c>
      <c r="J290" s="2" t="s">
        <v>40</v>
      </c>
      <c r="K290" s="4">
        <v>4000000</v>
      </c>
      <c r="L290" s="4">
        <v>0</v>
      </c>
      <c r="M290" s="4">
        <v>2500000</v>
      </c>
      <c r="N290" s="4">
        <v>1500000</v>
      </c>
      <c r="O290" s="4">
        <v>4000000</v>
      </c>
      <c r="P290" s="4">
        <v>0</v>
      </c>
      <c r="Q290" s="10">
        <v>0.625</v>
      </c>
      <c r="R290" s="2" t="s">
        <v>1308</v>
      </c>
      <c r="S290" s="7">
        <f t="shared" si="32"/>
        <v>2500000</v>
      </c>
      <c r="T290" s="7">
        <f t="shared" si="33"/>
        <v>4000000</v>
      </c>
      <c r="U290" s="8">
        <f t="shared" si="34"/>
        <v>0.625</v>
      </c>
      <c r="V290" s="9" t="e">
        <f>IF(T290&lt;=0,"Output &lt;= 0",IF(U290&gt;#REF!,"Terlalu tinggi",IF(U290&lt;#REF!,"Terlalu rendah","Sesuai")))</f>
        <v>#REF!</v>
      </c>
      <c r="W290" s="7" t="e">
        <f>IF(T290&lt;=0,S290,IF(U290&gt;#REF!,ROUNDDOWN(T290*#REF!,0),IF(U290&lt;#REF!,ROUNDUP(T290*#REF!,0),S290)))</f>
        <v>#REF!</v>
      </c>
      <c r="X290" s="7" t="e">
        <f t="shared" si="35"/>
        <v>#REF!</v>
      </c>
      <c r="Y290" s="7" t="e">
        <f t="shared" si="36"/>
        <v>#REF!</v>
      </c>
      <c r="Z290" s="7" t="e">
        <f t="shared" si="37"/>
        <v>#REF!</v>
      </c>
      <c r="AA290" s="7" t="e">
        <f t="shared" si="38"/>
        <v>#REF!</v>
      </c>
      <c r="AB290" s="8" t="e">
        <f t="shared" si="39"/>
        <v>#REF!</v>
      </c>
      <c r="AC290" s="9" t="e">
        <f>IF(T290&lt;=0,"Output &lt;= 0, cek manual",IF(OR(Z290&lt;0,Y290&lt;0),"Biaya negatif",IF(AND(AB290&gt;=#REF!,AB290&lt;=#REF!),"OK","Di luar rentang")))</f>
        <v>#REF!</v>
      </c>
    </row>
    <row r="291" ht="114" spans="1:29">
      <c r="A291" s="2" t="s">
        <v>30</v>
      </c>
      <c r="B291" s="2" t="s">
        <v>31</v>
      </c>
      <c r="C291" s="3" t="s">
        <v>1309</v>
      </c>
      <c r="D291" s="3" t="s">
        <v>1310</v>
      </c>
      <c r="E291" s="3" t="s">
        <v>1311</v>
      </c>
      <c r="F291" s="4">
        <v>0</v>
      </c>
      <c r="G291" s="4">
        <v>38400000</v>
      </c>
      <c r="H291" s="4">
        <v>500000</v>
      </c>
      <c r="I291" s="4">
        <v>0</v>
      </c>
      <c r="J291" s="2" t="s">
        <v>1312</v>
      </c>
      <c r="K291" s="4">
        <v>60000000</v>
      </c>
      <c r="L291" s="4">
        <v>0</v>
      </c>
      <c r="M291" s="4">
        <v>21100000</v>
      </c>
      <c r="N291" s="4">
        <v>28000000</v>
      </c>
      <c r="O291" s="4">
        <v>21600000</v>
      </c>
      <c r="P291" s="11">
        <v>0.64</v>
      </c>
      <c r="Q291" s="5">
        <v>0.976852</v>
      </c>
      <c r="R291" s="2" t="s">
        <v>1313</v>
      </c>
      <c r="S291" s="7">
        <f t="shared" si="32"/>
        <v>21100000</v>
      </c>
      <c r="T291" s="7">
        <f t="shared" si="33"/>
        <v>21600000</v>
      </c>
      <c r="U291" s="8">
        <f t="shared" si="34"/>
        <v>0.976851851851852</v>
      </c>
      <c r="V291" s="9" t="e">
        <f>IF(T291&lt;=0,"Output &lt;= 0",IF(U291&gt;#REF!,"Terlalu tinggi",IF(U291&lt;#REF!,"Terlalu rendah","Sesuai")))</f>
        <v>#REF!</v>
      </c>
      <c r="W291" s="7" t="e">
        <f>IF(T291&lt;=0,S291,IF(U291&gt;#REF!,ROUNDDOWN(T291*#REF!,0),IF(U291&lt;#REF!,ROUNDUP(T291*#REF!,0),S291)))</f>
        <v>#REF!</v>
      </c>
      <c r="X291" s="7" t="e">
        <f t="shared" si="35"/>
        <v>#REF!</v>
      </c>
      <c r="Y291" s="7" t="e">
        <f t="shared" si="36"/>
        <v>#REF!</v>
      </c>
      <c r="Z291" s="7" t="e">
        <f t="shared" si="37"/>
        <v>#REF!</v>
      </c>
      <c r="AA291" s="7" t="e">
        <f t="shared" si="38"/>
        <v>#REF!</v>
      </c>
      <c r="AB291" s="8" t="e">
        <f t="shared" si="39"/>
        <v>#REF!</v>
      </c>
      <c r="AC291" s="9" t="e">
        <f>IF(T291&lt;=0,"Output &lt;= 0, cek manual",IF(OR(Z291&lt;0,Y291&lt;0),"Biaya negatif",IF(AND(AB291&gt;=#REF!,AB291&lt;=#REF!),"OK","Di luar rentang")))</f>
        <v>#REF!</v>
      </c>
    </row>
    <row r="292" ht="71.25" spans="1:29">
      <c r="A292" s="2" t="s">
        <v>30</v>
      </c>
      <c r="B292" s="2" t="s">
        <v>31</v>
      </c>
      <c r="C292" s="3" t="s">
        <v>1314</v>
      </c>
      <c r="D292" s="3" t="s">
        <v>1315</v>
      </c>
      <c r="E292" s="3" t="s">
        <v>1316</v>
      </c>
      <c r="F292" s="4">
        <v>0</v>
      </c>
      <c r="G292" s="4">
        <v>2500000</v>
      </c>
      <c r="H292" s="4">
        <v>100000</v>
      </c>
      <c r="I292" s="4">
        <v>0</v>
      </c>
      <c r="J292" s="2" t="s">
        <v>790</v>
      </c>
      <c r="K292" s="4">
        <v>4500000</v>
      </c>
      <c r="L292" s="4">
        <v>0</v>
      </c>
      <c r="M292" s="4">
        <v>1900000</v>
      </c>
      <c r="N292" s="4">
        <v>19000000</v>
      </c>
      <c r="O292" s="4">
        <v>2000000</v>
      </c>
      <c r="P292" s="5">
        <v>0.555556</v>
      </c>
      <c r="Q292" s="11">
        <v>0.95</v>
      </c>
      <c r="R292" s="2" t="s">
        <v>1317</v>
      </c>
      <c r="S292" s="7">
        <f t="shared" si="32"/>
        <v>1900000</v>
      </c>
      <c r="T292" s="7">
        <f t="shared" si="33"/>
        <v>2000000</v>
      </c>
      <c r="U292" s="8">
        <f t="shared" si="34"/>
        <v>0.95</v>
      </c>
      <c r="V292" s="9" t="e">
        <f>IF(T292&lt;=0,"Output &lt;= 0",IF(U292&gt;#REF!,"Terlalu tinggi",IF(U292&lt;#REF!,"Terlalu rendah","Sesuai")))</f>
        <v>#REF!</v>
      </c>
      <c r="W292" s="7" t="e">
        <f>IF(T292&lt;=0,S292,IF(U292&gt;#REF!,ROUNDDOWN(T292*#REF!,0),IF(U292&lt;#REF!,ROUNDUP(T292*#REF!,0),S292)))</f>
        <v>#REF!</v>
      </c>
      <c r="X292" s="7" t="e">
        <f t="shared" si="35"/>
        <v>#REF!</v>
      </c>
      <c r="Y292" s="7" t="e">
        <f t="shared" si="36"/>
        <v>#REF!</v>
      </c>
      <c r="Z292" s="7" t="e">
        <f t="shared" si="37"/>
        <v>#REF!</v>
      </c>
      <c r="AA292" s="7" t="e">
        <f t="shared" si="38"/>
        <v>#REF!</v>
      </c>
      <c r="AB292" s="8" t="e">
        <f t="shared" si="39"/>
        <v>#REF!</v>
      </c>
      <c r="AC292" s="9" t="e">
        <f>IF(T292&lt;=0,"Output &lt;= 0, cek manual",IF(OR(Z292&lt;0,Y292&lt;0),"Biaya negatif",IF(AND(AB292&gt;=#REF!,AB292&lt;=#REF!),"OK","Di luar rentang")))</f>
        <v>#REF!</v>
      </c>
    </row>
    <row r="293" ht="99.75" spans="1:29">
      <c r="A293" s="2" t="s">
        <v>30</v>
      </c>
      <c r="B293" s="2" t="s">
        <v>31</v>
      </c>
      <c r="C293" s="3" t="s">
        <v>1318</v>
      </c>
      <c r="D293" s="3" t="s">
        <v>1319</v>
      </c>
      <c r="E293" s="3" t="s">
        <v>1319</v>
      </c>
      <c r="F293" s="4">
        <v>100000000</v>
      </c>
      <c r="G293" s="4">
        <v>156000000</v>
      </c>
      <c r="H293" s="4">
        <v>100000</v>
      </c>
      <c r="I293" s="4">
        <v>0</v>
      </c>
      <c r="J293" s="2" t="s">
        <v>1320</v>
      </c>
      <c r="K293" s="4">
        <v>192000000000</v>
      </c>
      <c r="L293" s="4">
        <v>0</v>
      </c>
      <c r="M293" s="4">
        <v>191743900000</v>
      </c>
      <c r="N293" s="4">
        <v>130000000</v>
      </c>
      <c r="O293" s="4">
        <v>191844000000</v>
      </c>
      <c r="P293" s="5">
        <v>0.000813</v>
      </c>
      <c r="Q293" s="5">
        <v>0.999478</v>
      </c>
      <c r="R293" s="2" t="s">
        <v>1321</v>
      </c>
      <c r="S293" s="7">
        <f t="shared" si="32"/>
        <v>191743900000</v>
      </c>
      <c r="T293" s="7">
        <f t="shared" si="33"/>
        <v>191844000000</v>
      </c>
      <c r="U293" s="8">
        <f t="shared" si="34"/>
        <v>0.999478221888618</v>
      </c>
      <c r="V293" s="9" t="e">
        <f>IF(T293&lt;=0,"Output &lt;= 0",IF(U293&gt;#REF!,"Terlalu tinggi",IF(U293&lt;#REF!,"Terlalu rendah","Sesuai")))</f>
        <v>#REF!</v>
      </c>
      <c r="W293" s="7" t="e">
        <f>IF(T293&lt;=0,S293,IF(U293&gt;#REF!,ROUNDDOWN(T293*#REF!,0),IF(U293&lt;#REF!,ROUNDUP(T293*#REF!,0),S293)))</f>
        <v>#REF!</v>
      </c>
      <c r="X293" s="7" t="e">
        <f t="shared" si="35"/>
        <v>#REF!</v>
      </c>
      <c r="Y293" s="7" t="e">
        <f t="shared" si="36"/>
        <v>#REF!</v>
      </c>
      <c r="Z293" s="7" t="e">
        <f t="shared" si="37"/>
        <v>#REF!</v>
      </c>
      <c r="AA293" s="7" t="e">
        <f t="shared" si="38"/>
        <v>#REF!</v>
      </c>
      <c r="AB293" s="8" t="e">
        <f t="shared" si="39"/>
        <v>#REF!</v>
      </c>
      <c r="AC293" s="9" t="e">
        <f>IF(T293&lt;=0,"Output &lt;= 0, cek manual",IF(OR(Z293&lt;0,Y293&lt;0),"Biaya negatif",IF(AND(AB293&gt;=#REF!,AB293&lt;=#REF!),"OK","Di luar rentang")))</f>
        <v>#REF!</v>
      </c>
    </row>
    <row r="294" ht="85.5" spans="1:29">
      <c r="A294" s="2" t="s">
        <v>30</v>
      </c>
      <c r="B294" s="2" t="s">
        <v>31</v>
      </c>
      <c r="C294" s="3" t="s">
        <v>1322</v>
      </c>
      <c r="D294" s="3" t="s">
        <v>1323</v>
      </c>
      <c r="E294" s="3" t="s">
        <v>1324</v>
      </c>
      <c r="F294" s="4">
        <v>0</v>
      </c>
      <c r="G294" s="4">
        <v>12000000</v>
      </c>
      <c r="H294" s="4">
        <v>1000000</v>
      </c>
      <c r="I294" s="4">
        <v>100000</v>
      </c>
      <c r="J294" s="2" t="s">
        <v>1325</v>
      </c>
      <c r="K294" s="4">
        <v>17000000</v>
      </c>
      <c r="L294" s="4">
        <v>0</v>
      </c>
      <c r="M294" s="4">
        <v>4000000</v>
      </c>
      <c r="N294" s="4">
        <v>70000000</v>
      </c>
      <c r="O294" s="4">
        <v>5000000</v>
      </c>
      <c r="P294" s="5">
        <v>0.705882</v>
      </c>
      <c r="Q294" s="12">
        <v>0.8</v>
      </c>
      <c r="R294" s="2" t="s">
        <v>1326</v>
      </c>
      <c r="S294" s="7">
        <f t="shared" si="32"/>
        <v>4000000</v>
      </c>
      <c r="T294" s="7">
        <f t="shared" si="33"/>
        <v>5000000</v>
      </c>
      <c r="U294" s="8">
        <f t="shared" si="34"/>
        <v>0.8</v>
      </c>
      <c r="V294" s="9" t="e">
        <f>IF(T294&lt;=0,"Output &lt;= 0",IF(U294&gt;#REF!,"Terlalu tinggi",IF(U294&lt;#REF!,"Terlalu rendah","Sesuai")))</f>
        <v>#REF!</v>
      </c>
      <c r="W294" s="7" t="e">
        <f>IF(T294&lt;=0,S294,IF(U294&gt;#REF!,ROUNDDOWN(T294*#REF!,0),IF(U294&lt;#REF!,ROUNDUP(T294*#REF!,0),S294)))</f>
        <v>#REF!</v>
      </c>
      <c r="X294" s="7" t="e">
        <f t="shared" si="35"/>
        <v>#REF!</v>
      </c>
      <c r="Y294" s="7" t="e">
        <f t="shared" si="36"/>
        <v>#REF!</v>
      </c>
      <c r="Z294" s="7" t="e">
        <f t="shared" si="37"/>
        <v>#REF!</v>
      </c>
      <c r="AA294" s="7" t="e">
        <f t="shared" si="38"/>
        <v>#REF!</v>
      </c>
      <c r="AB294" s="8" t="e">
        <f t="shared" si="39"/>
        <v>#REF!</v>
      </c>
      <c r="AC294" s="9" t="e">
        <f>IF(T294&lt;=0,"Output &lt;= 0, cek manual",IF(OR(Z294&lt;0,Y294&lt;0),"Biaya negatif",IF(AND(AB294&gt;=#REF!,AB294&lt;=#REF!),"OK","Di luar rentang")))</f>
        <v>#REF!</v>
      </c>
    </row>
    <row r="295" ht="114" spans="1:29">
      <c r="A295" s="2" t="s">
        <v>30</v>
      </c>
      <c r="B295" s="2" t="s">
        <v>31</v>
      </c>
      <c r="C295" s="3" t="s">
        <v>1327</v>
      </c>
      <c r="D295" s="3" t="s">
        <v>52</v>
      </c>
      <c r="E295" s="3" t="s">
        <v>1328</v>
      </c>
      <c r="F295" s="4">
        <v>0</v>
      </c>
      <c r="G295" s="4">
        <v>28800000</v>
      </c>
      <c r="H295" s="4">
        <v>960000</v>
      </c>
      <c r="I295" s="4">
        <v>0</v>
      </c>
      <c r="J295" s="2" t="s">
        <v>1329</v>
      </c>
      <c r="K295" s="4">
        <v>36000000</v>
      </c>
      <c r="L295" s="4">
        <v>0</v>
      </c>
      <c r="M295" s="4">
        <v>6240000</v>
      </c>
      <c r="N295" s="4">
        <v>17500000</v>
      </c>
      <c r="O295" s="4">
        <v>7200000</v>
      </c>
      <c r="P295" s="12">
        <v>0.8</v>
      </c>
      <c r="Q295" s="5">
        <v>0.866667</v>
      </c>
      <c r="R295" s="2" t="s">
        <v>1330</v>
      </c>
      <c r="S295" s="7">
        <f t="shared" si="32"/>
        <v>6240000</v>
      </c>
      <c r="T295" s="7">
        <f t="shared" si="33"/>
        <v>7200000</v>
      </c>
      <c r="U295" s="8">
        <f t="shared" si="34"/>
        <v>0.866666666666667</v>
      </c>
      <c r="V295" s="9" t="e">
        <f>IF(T295&lt;=0,"Output &lt;= 0",IF(U295&gt;#REF!,"Terlalu tinggi",IF(U295&lt;#REF!,"Terlalu rendah","Sesuai")))</f>
        <v>#REF!</v>
      </c>
      <c r="W295" s="7" t="e">
        <f>IF(T295&lt;=0,S295,IF(U295&gt;#REF!,ROUNDDOWN(T295*#REF!,0),IF(U295&lt;#REF!,ROUNDUP(T295*#REF!,0),S295)))</f>
        <v>#REF!</v>
      </c>
      <c r="X295" s="7" t="e">
        <f t="shared" si="35"/>
        <v>#REF!</v>
      </c>
      <c r="Y295" s="7" t="e">
        <f t="shared" si="36"/>
        <v>#REF!</v>
      </c>
      <c r="Z295" s="7" t="e">
        <f t="shared" si="37"/>
        <v>#REF!</v>
      </c>
      <c r="AA295" s="7" t="e">
        <f t="shared" si="38"/>
        <v>#REF!</v>
      </c>
      <c r="AB295" s="8" t="e">
        <f t="shared" si="39"/>
        <v>#REF!</v>
      </c>
      <c r="AC295" s="9" t="e">
        <f>IF(T295&lt;=0,"Output &lt;= 0, cek manual",IF(OR(Z295&lt;0,Y295&lt;0),"Biaya negatif",IF(AND(AB295&gt;=#REF!,AB295&lt;=#REF!),"OK","Di luar rentang")))</f>
        <v>#REF!</v>
      </c>
    </row>
    <row r="296" ht="85.5" spans="1:29">
      <c r="A296" s="2" t="s">
        <v>30</v>
      </c>
      <c r="B296" s="2" t="s">
        <v>31</v>
      </c>
      <c r="C296" s="3" t="s">
        <v>1331</v>
      </c>
      <c r="D296" s="3" t="s">
        <v>1332</v>
      </c>
      <c r="E296" s="3" t="s">
        <v>1333</v>
      </c>
      <c r="F296" s="4">
        <v>240000000</v>
      </c>
      <c r="G296" s="4">
        <v>5000000</v>
      </c>
      <c r="H296" s="4">
        <v>3000000</v>
      </c>
      <c r="I296" s="4">
        <v>0</v>
      </c>
      <c r="J296" s="2" t="s">
        <v>1334</v>
      </c>
      <c r="K296" s="4">
        <v>360000000</v>
      </c>
      <c r="L296" s="4">
        <v>0</v>
      </c>
      <c r="M296" s="4">
        <v>112000000</v>
      </c>
      <c r="N296" s="4">
        <v>200000000</v>
      </c>
      <c r="O296" s="4">
        <v>355000000</v>
      </c>
      <c r="P296" s="5">
        <v>0.013889</v>
      </c>
      <c r="Q296" s="5">
        <v>0.315493</v>
      </c>
      <c r="R296" s="2" t="s">
        <v>1335</v>
      </c>
      <c r="S296" s="7">
        <f t="shared" si="32"/>
        <v>112000000</v>
      </c>
      <c r="T296" s="7">
        <f t="shared" si="33"/>
        <v>355000000</v>
      </c>
      <c r="U296" s="8">
        <f t="shared" si="34"/>
        <v>0.315492957746479</v>
      </c>
      <c r="V296" s="9" t="e">
        <f>IF(T296&lt;=0,"Output &lt;= 0",IF(U296&gt;#REF!,"Terlalu tinggi",IF(U296&lt;#REF!,"Terlalu rendah","Sesuai")))</f>
        <v>#REF!</v>
      </c>
      <c r="W296" s="7" t="e">
        <f>IF(T296&lt;=0,S296,IF(U296&gt;#REF!,ROUNDDOWN(T296*#REF!,0),IF(U296&lt;#REF!,ROUNDUP(T296*#REF!,0),S296)))</f>
        <v>#REF!</v>
      </c>
      <c r="X296" s="7" t="e">
        <f t="shared" si="35"/>
        <v>#REF!</v>
      </c>
      <c r="Y296" s="7" t="e">
        <f t="shared" si="36"/>
        <v>#REF!</v>
      </c>
      <c r="Z296" s="7" t="e">
        <f t="shared" si="37"/>
        <v>#REF!</v>
      </c>
      <c r="AA296" s="7" t="e">
        <f t="shared" si="38"/>
        <v>#REF!</v>
      </c>
      <c r="AB296" s="8" t="e">
        <f t="shared" si="39"/>
        <v>#REF!</v>
      </c>
      <c r="AC296" s="9" t="e">
        <f>IF(T296&lt;=0,"Output &lt;= 0, cek manual",IF(OR(Z296&lt;0,Y296&lt;0),"Biaya negatif",IF(AND(AB296&gt;=#REF!,AB296&lt;=#REF!),"OK","Di luar rentang")))</f>
        <v>#REF!</v>
      </c>
    </row>
    <row r="297" ht="71.25" spans="1:29">
      <c r="A297" s="2" t="s">
        <v>30</v>
      </c>
      <c r="B297" s="2" t="s">
        <v>31</v>
      </c>
      <c r="C297" s="3" t="s">
        <v>1336</v>
      </c>
      <c r="D297" s="3" t="s">
        <v>1337</v>
      </c>
      <c r="E297" s="3" t="s">
        <v>1338</v>
      </c>
      <c r="F297" s="4">
        <v>200000</v>
      </c>
      <c r="G297" s="4">
        <v>600000</v>
      </c>
      <c r="H297" s="4">
        <v>0</v>
      </c>
      <c r="I297" s="4">
        <v>0</v>
      </c>
      <c r="J297" s="2" t="s">
        <v>1339</v>
      </c>
      <c r="K297" s="4">
        <v>2500000</v>
      </c>
      <c r="L297" s="4">
        <v>0</v>
      </c>
      <c r="M297" s="4">
        <v>1700000</v>
      </c>
      <c r="N297" s="4">
        <v>0</v>
      </c>
      <c r="O297" s="4">
        <v>1900000</v>
      </c>
      <c r="P297" s="11">
        <v>0.24</v>
      </c>
      <c r="Q297" s="5">
        <v>0.894737</v>
      </c>
      <c r="R297" s="2" t="s">
        <v>1340</v>
      </c>
      <c r="S297" s="7">
        <f t="shared" si="32"/>
        <v>1700000</v>
      </c>
      <c r="T297" s="7">
        <f t="shared" si="33"/>
        <v>1900000</v>
      </c>
      <c r="U297" s="8">
        <f t="shared" si="34"/>
        <v>0.894736842105263</v>
      </c>
      <c r="V297" s="9" t="e">
        <f>IF(T297&lt;=0,"Output &lt;= 0",IF(U297&gt;#REF!,"Terlalu tinggi",IF(U297&lt;#REF!,"Terlalu rendah","Sesuai")))</f>
        <v>#REF!</v>
      </c>
      <c r="W297" s="7" t="e">
        <f>IF(T297&lt;=0,S297,IF(U297&gt;#REF!,ROUNDDOWN(T297*#REF!,0),IF(U297&lt;#REF!,ROUNDUP(T297*#REF!,0),S297)))</f>
        <v>#REF!</v>
      </c>
      <c r="X297" s="7" t="e">
        <f t="shared" si="35"/>
        <v>#REF!</v>
      </c>
      <c r="Y297" s="7" t="e">
        <f t="shared" si="36"/>
        <v>#REF!</v>
      </c>
      <c r="Z297" s="7" t="e">
        <f t="shared" si="37"/>
        <v>#REF!</v>
      </c>
      <c r="AA297" s="7" t="e">
        <f t="shared" si="38"/>
        <v>#REF!</v>
      </c>
      <c r="AB297" s="8" t="e">
        <f t="shared" si="39"/>
        <v>#REF!</v>
      </c>
      <c r="AC297" s="9" t="e">
        <f>IF(T297&lt;=0,"Output &lt;= 0, cek manual",IF(OR(Z297&lt;0,Y297&lt;0),"Biaya negatif",IF(AND(AB297&gt;=#REF!,AB297&lt;=#REF!),"OK","Di luar rentang")))</f>
        <v>#REF!</v>
      </c>
    </row>
    <row r="298" ht="128.25" spans="1:29">
      <c r="A298" s="2" t="s">
        <v>30</v>
      </c>
      <c r="B298" s="2" t="s">
        <v>31</v>
      </c>
      <c r="C298" s="3" t="s">
        <v>1341</v>
      </c>
      <c r="D298" s="3" t="s">
        <v>1342</v>
      </c>
      <c r="E298" s="3" t="s">
        <v>1343</v>
      </c>
      <c r="F298" s="4">
        <v>1750000</v>
      </c>
      <c r="G298" s="4">
        <v>144000000</v>
      </c>
      <c r="H298" s="4">
        <v>1560000</v>
      </c>
      <c r="I298" s="4">
        <v>0</v>
      </c>
      <c r="J298" s="2" t="s">
        <v>1344</v>
      </c>
      <c r="K298" s="4">
        <v>180000000</v>
      </c>
      <c r="L298" s="4">
        <v>0</v>
      </c>
      <c r="M298" s="4">
        <v>32690000</v>
      </c>
      <c r="N298" s="4">
        <v>45000000</v>
      </c>
      <c r="O298" s="4">
        <v>36000000</v>
      </c>
      <c r="P298" s="12">
        <v>0.8</v>
      </c>
      <c r="Q298" s="5">
        <v>0.908056</v>
      </c>
      <c r="R298" s="2" t="s">
        <v>1345</v>
      </c>
      <c r="S298" s="7">
        <f t="shared" si="32"/>
        <v>32690000</v>
      </c>
      <c r="T298" s="7">
        <f t="shared" si="33"/>
        <v>36000000</v>
      </c>
      <c r="U298" s="8">
        <f t="shared" si="34"/>
        <v>0.908055555555556</v>
      </c>
      <c r="V298" s="9" t="e">
        <f>IF(T298&lt;=0,"Output &lt;= 0",IF(U298&gt;#REF!,"Terlalu tinggi",IF(U298&lt;#REF!,"Terlalu rendah","Sesuai")))</f>
        <v>#REF!</v>
      </c>
      <c r="W298" s="7" t="e">
        <f>IF(T298&lt;=0,S298,IF(U298&gt;#REF!,ROUNDDOWN(T298*#REF!,0),IF(U298&lt;#REF!,ROUNDUP(T298*#REF!,0),S298)))</f>
        <v>#REF!</v>
      </c>
      <c r="X298" s="7" t="e">
        <f t="shared" si="35"/>
        <v>#REF!</v>
      </c>
      <c r="Y298" s="7" t="e">
        <f t="shared" si="36"/>
        <v>#REF!</v>
      </c>
      <c r="Z298" s="7" t="e">
        <f t="shared" si="37"/>
        <v>#REF!</v>
      </c>
      <c r="AA298" s="7" t="e">
        <f t="shared" si="38"/>
        <v>#REF!</v>
      </c>
      <c r="AB298" s="8" t="e">
        <f t="shared" si="39"/>
        <v>#REF!</v>
      </c>
      <c r="AC298" s="9" t="e">
        <f>IF(T298&lt;=0,"Output &lt;= 0, cek manual",IF(OR(Z298&lt;0,Y298&lt;0),"Biaya negatif",IF(AND(AB298&gt;=#REF!,AB298&lt;=#REF!),"OK","Di luar rentang")))</f>
        <v>#REF!</v>
      </c>
    </row>
    <row r="299" ht="199.5" spans="1:29">
      <c r="A299" s="2" t="s">
        <v>30</v>
      </c>
      <c r="B299" s="2" t="s">
        <v>31</v>
      </c>
      <c r="C299" s="3" t="s">
        <v>1346</v>
      </c>
      <c r="D299" s="3" t="s">
        <v>1347</v>
      </c>
      <c r="E299" s="3" t="s">
        <v>1348</v>
      </c>
      <c r="F299" s="4">
        <v>4500000</v>
      </c>
      <c r="G299" s="4">
        <v>280000000</v>
      </c>
      <c r="H299" s="4">
        <v>3000000</v>
      </c>
      <c r="I299" s="4">
        <v>30000000</v>
      </c>
      <c r="J299" s="2" t="s">
        <v>1349</v>
      </c>
      <c r="K299" s="4">
        <v>380000000</v>
      </c>
      <c r="L299" s="4">
        <v>0</v>
      </c>
      <c r="M299" s="4">
        <v>92500000</v>
      </c>
      <c r="N299" s="4">
        <v>55000000</v>
      </c>
      <c r="O299" s="4">
        <v>100000000</v>
      </c>
      <c r="P299" s="5">
        <v>0.736842</v>
      </c>
      <c r="Q299" s="10">
        <v>0.925</v>
      </c>
      <c r="R299" s="2" t="s">
        <v>1350</v>
      </c>
      <c r="S299" s="7">
        <f t="shared" si="32"/>
        <v>92500000</v>
      </c>
      <c r="T299" s="7">
        <f t="shared" si="33"/>
        <v>100000000</v>
      </c>
      <c r="U299" s="8">
        <f t="shared" si="34"/>
        <v>0.925</v>
      </c>
      <c r="V299" s="9" t="e">
        <f>IF(T299&lt;=0,"Output &lt;= 0",IF(U299&gt;#REF!,"Terlalu tinggi",IF(U299&lt;#REF!,"Terlalu rendah","Sesuai")))</f>
        <v>#REF!</v>
      </c>
      <c r="W299" s="7" t="e">
        <f>IF(T299&lt;=0,S299,IF(U299&gt;#REF!,ROUNDDOWN(T299*#REF!,0),IF(U299&lt;#REF!,ROUNDUP(T299*#REF!,0),S299)))</f>
        <v>#REF!</v>
      </c>
      <c r="X299" s="7" t="e">
        <f t="shared" si="35"/>
        <v>#REF!</v>
      </c>
      <c r="Y299" s="7" t="e">
        <f t="shared" si="36"/>
        <v>#REF!</v>
      </c>
      <c r="Z299" s="7" t="e">
        <f t="shared" si="37"/>
        <v>#REF!</v>
      </c>
      <c r="AA299" s="7" t="e">
        <f t="shared" si="38"/>
        <v>#REF!</v>
      </c>
      <c r="AB299" s="8" t="e">
        <f t="shared" si="39"/>
        <v>#REF!</v>
      </c>
      <c r="AC299" s="9" t="e">
        <f>IF(T299&lt;=0,"Output &lt;= 0, cek manual",IF(OR(Z299&lt;0,Y299&lt;0),"Biaya negatif",IF(AND(AB299&gt;=#REF!,AB299&lt;=#REF!),"OK","Di luar rentang")))</f>
        <v>#REF!</v>
      </c>
    </row>
    <row r="300" ht="71.25" spans="1:29">
      <c r="A300" s="2" t="s">
        <v>30</v>
      </c>
      <c r="B300" s="2" t="s">
        <v>31</v>
      </c>
      <c r="C300" s="3" t="s">
        <v>1351</v>
      </c>
      <c r="D300" s="3" t="s">
        <v>1352</v>
      </c>
      <c r="E300" s="3" t="s">
        <v>1353</v>
      </c>
      <c r="F300" s="4">
        <v>0</v>
      </c>
      <c r="G300" s="4">
        <v>6000000</v>
      </c>
      <c r="H300" s="4">
        <v>700000</v>
      </c>
      <c r="I300" s="4">
        <v>0</v>
      </c>
      <c r="J300" s="2" t="s">
        <v>1354</v>
      </c>
      <c r="K300" s="4">
        <v>13200000</v>
      </c>
      <c r="L300" s="4">
        <v>0</v>
      </c>
      <c r="M300" s="4">
        <v>6500000</v>
      </c>
      <c r="N300" s="4">
        <v>11000000</v>
      </c>
      <c r="O300" s="4">
        <v>7200000</v>
      </c>
      <c r="P300" s="5">
        <v>0.454545</v>
      </c>
      <c r="Q300" s="5">
        <v>0.902778</v>
      </c>
      <c r="R300" s="2" t="s">
        <v>1355</v>
      </c>
      <c r="S300" s="7">
        <f t="shared" si="32"/>
        <v>6500000</v>
      </c>
      <c r="T300" s="7">
        <f t="shared" si="33"/>
        <v>7200000</v>
      </c>
      <c r="U300" s="8">
        <f t="shared" si="34"/>
        <v>0.902777777777778</v>
      </c>
      <c r="V300" s="9" t="e">
        <f>IF(T300&lt;=0,"Output &lt;= 0",IF(U300&gt;#REF!,"Terlalu tinggi",IF(U300&lt;#REF!,"Terlalu rendah","Sesuai")))</f>
        <v>#REF!</v>
      </c>
      <c r="W300" s="7" t="e">
        <f>IF(T300&lt;=0,S300,IF(U300&gt;#REF!,ROUNDDOWN(T300*#REF!,0),IF(U300&lt;#REF!,ROUNDUP(T300*#REF!,0),S300)))</f>
        <v>#REF!</v>
      </c>
      <c r="X300" s="7" t="e">
        <f t="shared" si="35"/>
        <v>#REF!</v>
      </c>
      <c r="Y300" s="7" t="e">
        <f t="shared" si="36"/>
        <v>#REF!</v>
      </c>
      <c r="Z300" s="7" t="e">
        <f t="shared" si="37"/>
        <v>#REF!</v>
      </c>
      <c r="AA300" s="7" t="e">
        <f t="shared" si="38"/>
        <v>#REF!</v>
      </c>
      <c r="AB300" s="8" t="e">
        <f t="shared" si="39"/>
        <v>#REF!</v>
      </c>
      <c r="AC300" s="9" t="e">
        <f>IF(T300&lt;=0,"Output &lt;= 0, cek manual",IF(OR(Z300&lt;0,Y300&lt;0),"Biaya negatif",IF(AND(AB300&gt;=#REF!,AB300&lt;=#REF!),"OK","Di luar rentang")))</f>
        <v>#REF!</v>
      </c>
    </row>
    <row r="301" ht="85.5" spans="1:29">
      <c r="A301" s="2" t="s">
        <v>30</v>
      </c>
      <c r="B301" s="2" t="s">
        <v>31</v>
      </c>
      <c r="C301" s="3" t="s">
        <v>149</v>
      </c>
      <c r="D301" s="3" t="s">
        <v>279</v>
      </c>
      <c r="E301" s="3" t="s">
        <v>1356</v>
      </c>
      <c r="F301" s="4">
        <v>100000</v>
      </c>
      <c r="G301" s="4">
        <v>1000000</v>
      </c>
      <c r="H301" s="4">
        <v>500000</v>
      </c>
      <c r="I301" s="4">
        <v>0</v>
      </c>
      <c r="J301" s="2" t="s">
        <v>1357</v>
      </c>
      <c r="K301" s="4">
        <v>6000000</v>
      </c>
      <c r="L301" s="4">
        <v>0</v>
      </c>
      <c r="M301" s="4">
        <v>4400000</v>
      </c>
      <c r="N301" s="4">
        <v>4200000</v>
      </c>
      <c r="O301" s="4">
        <v>5000000</v>
      </c>
      <c r="P301" s="5">
        <v>0.166667</v>
      </c>
      <c r="Q301" s="11">
        <v>0.88</v>
      </c>
      <c r="R301" s="2" t="s">
        <v>1358</v>
      </c>
      <c r="S301" s="7">
        <f t="shared" si="32"/>
        <v>4400000</v>
      </c>
      <c r="T301" s="7">
        <f t="shared" si="33"/>
        <v>5000000</v>
      </c>
      <c r="U301" s="8">
        <f t="shared" si="34"/>
        <v>0.88</v>
      </c>
      <c r="V301" s="9" t="e">
        <f>IF(T301&lt;=0,"Output &lt;= 0",IF(U301&gt;#REF!,"Terlalu tinggi",IF(U301&lt;#REF!,"Terlalu rendah","Sesuai")))</f>
        <v>#REF!</v>
      </c>
      <c r="W301" s="7" t="e">
        <f>IF(T301&lt;=0,S301,IF(U301&gt;#REF!,ROUNDDOWN(T301*#REF!,0),IF(U301&lt;#REF!,ROUNDUP(T301*#REF!,0),S301)))</f>
        <v>#REF!</v>
      </c>
      <c r="X301" s="7" t="e">
        <f t="shared" si="35"/>
        <v>#REF!</v>
      </c>
      <c r="Y301" s="7" t="e">
        <f t="shared" si="36"/>
        <v>#REF!</v>
      </c>
      <c r="Z301" s="7" t="e">
        <f t="shared" si="37"/>
        <v>#REF!</v>
      </c>
      <c r="AA301" s="7" t="e">
        <f t="shared" si="38"/>
        <v>#REF!</v>
      </c>
      <c r="AB301" s="8" t="e">
        <f t="shared" si="39"/>
        <v>#REF!</v>
      </c>
      <c r="AC301" s="9" t="e">
        <f>IF(T301&lt;=0,"Output &lt;= 0, cek manual",IF(OR(Z301&lt;0,Y301&lt;0),"Biaya negatif",IF(AND(AB301&gt;=#REF!,AB301&lt;=#REF!),"OK","Di luar rentang")))</f>
        <v>#REF!</v>
      </c>
    </row>
    <row r="302" ht="57" spans="1:29">
      <c r="A302" s="2" t="s">
        <v>30</v>
      </c>
      <c r="B302" s="2" t="s">
        <v>31</v>
      </c>
      <c r="C302" s="3" t="s">
        <v>1359</v>
      </c>
      <c r="D302" s="3" t="s">
        <v>228</v>
      </c>
      <c r="E302" s="3" t="s">
        <v>1360</v>
      </c>
      <c r="F302" s="4">
        <v>3000000</v>
      </c>
      <c r="G302" s="4">
        <v>0</v>
      </c>
      <c r="H302" s="4">
        <v>0</v>
      </c>
      <c r="I302" s="4">
        <v>0</v>
      </c>
      <c r="J302" s="2" t="s">
        <v>281</v>
      </c>
      <c r="K302" s="4">
        <v>7000000</v>
      </c>
      <c r="L302" s="4">
        <v>0</v>
      </c>
      <c r="M302" s="4">
        <v>4000000</v>
      </c>
      <c r="N302" s="4">
        <v>0</v>
      </c>
      <c r="O302" s="4">
        <v>7000000</v>
      </c>
      <c r="P302" s="4">
        <v>0</v>
      </c>
      <c r="Q302" s="5">
        <v>0.571429</v>
      </c>
      <c r="R302" s="2" t="s">
        <v>1361</v>
      </c>
      <c r="S302" s="7">
        <f t="shared" si="32"/>
        <v>4000000</v>
      </c>
      <c r="T302" s="7">
        <f t="shared" si="33"/>
        <v>7000000</v>
      </c>
      <c r="U302" s="8">
        <f t="shared" si="34"/>
        <v>0.571428571428571</v>
      </c>
      <c r="V302" s="9" t="e">
        <f>IF(T302&lt;=0,"Output &lt;= 0",IF(U302&gt;#REF!,"Terlalu tinggi",IF(U302&lt;#REF!,"Terlalu rendah","Sesuai")))</f>
        <v>#REF!</v>
      </c>
      <c r="W302" s="7" t="e">
        <f>IF(T302&lt;=0,S302,IF(U302&gt;#REF!,ROUNDDOWN(T302*#REF!,0),IF(U302&lt;#REF!,ROUNDUP(T302*#REF!,0),S302)))</f>
        <v>#REF!</v>
      </c>
      <c r="X302" s="7" t="e">
        <f t="shared" si="35"/>
        <v>#REF!</v>
      </c>
      <c r="Y302" s="7" t="e">
        <f t="shared" si="36"/>
        <v>#REF!</v>
      </c>
      <c r="Z302" s="7" t="e">
        <f t="shared" si="37"/>
        <v>#REF!</v>
      </c>
      <c r="AA302" s="7" t="e">
        <f t="shared" si="38"/>
        <v>#REF!</v>
      </c>
      <c r="AB302" s="8" t="e">
        <f t="shared" si="39"/>
        <v>#REF!</v>
      </c>
      <c r="AC302" s="9" t="e">
        <f>IF(T302&lt;=0,"Output &lt;= 0, cek manual",IF(OR(Z302&lt;0,Y302&lt;0),"Biaya negatif",IF(AND(AB302&gt;=#REF!,AB302&lt;=#REF!),"OK","Di luar rentang")))</f>
        <v>#REF!</v>
      </c>
    </row>
    <row r="303" ht="71.25" spans="1:29">
      <c r="A303" s="2" t="s">
        <v>30</v>
      </c>
      <c r="B303" s="2" t="s">
        <v>31</v>
      </c>
      <c r="C303" s="3" t="s">
        <v>1362</v>
      </c>
      <c r="D303" s="3" t="s">
        <v>1363</v>
      </c>
      <c r="E303" s="3" t="s">
        <v>1364</v>
      </c>
      <c r="F303" s="4">
        <v>10000000</v>
      </c>
      <c r="G303" s="4">
        <v>0</v>
      </c>
      <c r="H303" s="4">
        <v>50000</v>
      </c>
      <c r="I303" s="4">
        <v>0</v>
      </c>
      <c r="J303" s="2" t="s">
        <v>662</v>
      </c>
      <c r="K303" s="4">
        <v>26400000</v>
      </c>
      <c r="L303" s="4">
        <v>0</v>
      </c>
      <c r="M303" s="4">
        <v>16350000</v>
      </c>
      <c r="N303" s="4">
        <v>10000000</v>
      </c>
      <c r="O303" s="4">
        <v>26400000</v>
      </c>
      <c r="P303" s="4">
        <v>0</v>
      </c>
      <c r="Q303" s="5">
        <v>0.619318</v>
      </c>
      <c r="R303" s="2" t="s">
        <v>1365</v>
      </c>
      <c r="S303" s="7">
        <f t="shared" si="32"/>
        <v>16350000</v>
      </c>
      <c r="T303" s="7">
        <f t="shared" si="33"/>
        <v>26400000</v>
      </c>
      <c r="U303" s="8">
        <f t="shared" si="34"/>
        <v>0.619318181818182</v>
      </c>
      <c r="V303" s="9" t="e">
        <f>IF(T303&lt;=0,"Output &lt;= 0",IF(U303&gt;#REF!,"Terlalu tinggi",IF(U303&lt;#REF!,"Terlalu rendah","Sesuai")))</f>
        <v>#REF!</v>
      </c>
      <c r="W303" s="7" t="e">
        <f>IF(T303&lt;=0,S303,IF(U303&gt;#REF!,ROUNDDOWN(T303*#REF!,0),IF(U303&lt;#REF!,ROUNDUP(T303*#REF!,0),S303)))</f>
        <v>#REF!</v>
      </c>
      <c r="X303" s="7" t="e">
        <f t="shared" si="35"/>
        <v>#REF!</v>
      </c>
      <c r="Y303" s="7" t="e">
        <f t="shared" si="36"/>
        <v>#REF!</v>
      </c>
      <c r="Z303" s="7" t="e">
        <f t="shared" si="37"/>
        <v>#REF!</v>
      </c>
      <c r="AA303" s="7" t="e">
        <f t="shared" si="38"/>
        <v>#REF!</v>
      </c>
      <c r="AB303" s="8" t="e">
        <f t="shared" si="39"/>
        <v>#REF!</v>
      </c>
      <c r="AC303" s="9" t="e">
        <f>IF(T303&lt;=0,"Output &lt;= 0, cek manual",IF(OR(Z303&lt;0,Y303&lt;0),"Biaya negatif",IF(AND(AB303&gt;=#REF!,AB303&lt;=#REF!),"OK","Di luar rentang")))</f>
        <v>#REF!</v>
      </c>
    </row>
    <row r="304" ht="71.25" spans="1:29">
      <c r="A304" s="2" t="s">
        <v>30</v>
      </c>
      <c r="B304" s="2" t="s">
        <v>31</v>
      </c>
      <c r="C304" s="3" t="s">
        <v>1366</v>
      </c>
      <c r="D304" s="3" t="s">
        <v>228</v>
      </c>
      <c r="E304" s="3" t="s">
        <v>1367</v>
      </c>
      <c r="F304" s="4">
        <v>120000</v>
      </c>
      <c r="G304" s="4">
        <v>5000000</v>
      </c>
      <c r="H304" s="4">
        <v>200000</v>
      </c>
      <c r="I304" s="4">
        <v>18000</v>
      </c>
      <c r="J304" s="2" t="s">
        <v>1368</v>
      </c>
      <c r="K304" s="4">
        <v>8000000</v>
      </c>
      <c r="L304" s="4">
        <v>0</v>
      </c>
      <c r="M304" s="4">
        <v>2680000</v>
      </c>
      <c r="N304" s="4">
        <v>25000000</v>
      </c>
      <c r="O304" s="4">
        <v>3000000</v>
      </c>
      <c r="P304" s="10">
        <v>0.625</v>
      </c>
      <c r="Q304" s="5">
        <v>0.893333</v>
      </c>
      <c r="R304" s="2" t="s">
        <v>1369</v>
      </c>
      <c r="S304" s="7">
        <f t="shared" si="32"/>
        <v>2680000</v>
      </c>
      <c r="T304" s="7">
        <f t="shared" si="33"/>
        <v>3000000</v>
      </c>
      <c r="U304" s="8">
        <f t="shared" si="34"/>
        <v>0.893333333333333</v>
      </c>
      <c r="V304" s="9" t="e">
        <f>IF(T304&lt;=0,"Output &lt;= 0",IF(U304&gt;#REF!,"Terlalu tinggi",IF(U304&lt;#REF!,"Terlalu rendah","Sesuai")))</f>
        <v>#REF!</v>
      </c>
      <c r="W304" s="7" t="e">
        <f>IF(T304&lt;=0,S304,IF(U304&gt;#REF!,ROUNDDOWN(T304*#REF!,0),IF(U304&lt;#REF!,ROUNDUP(T304*#REF!,0),S304)))</f>
        <v>#REF!</v>
      </c>
      <c r="X304" s="7" t="e">
        <f t="shared" si="35"/>
        <v>#REF!</v>
      </c>
      <c r="Y304" s="7" t="e">
        <f t="shared" si="36"/>
        <v>#REF!</v>
      </c>
      <c r="Z304" s="7" t="e">
        <f t="shared" si="37"/>
        <v>#REF!</v>
      </c>
      <c r="AA304" s="7" t="e">
        <f t="shared" si="38"/>
        <v>#REF!</v>
      </c>
      <c r="AB304" s="8" t="e">
        <f t="shared" si="39"/>
        <v>#REF!</v>
      </c>
      <c r="AC304" s="9" t="e">
        <f>IF(T304&lt;=0,"Output &lt;= 0, cek manual",IF(OR(Z304&lt;0,Y304&lt;0),"Biaya negatif",IF(AND(AB304&gt;=#REF!,AB304&lt;=#REF!),"OK","Di luar rentang")))</f>
        <v>#REF!</v>
      </c>
    </row>
    <row r="305" ht="114" spans="1:29">
      <c r="A305" s="2" t="s">
        <v>30</v>
      </c>
      <c r="B305" s="2" t="s">
        <v>31</v>
      </c>
      <c r="C305" s="3" t="s">
        <v>1370</v>
      </c>
      <c r="D305" s="3" t="s">
        <v>228</v>
      </c>
      <c r="E305" s="3" t="s">
        <v>242</v>
      </c>
      <c r="F305" s="4">
        <v>0</v>
      </c>
      <c r="G305" s="4">
        <v>250000000</v>
      </c>
      <c r="H305" s="4">
        <v>2500000</v>
      </c>
      <c r="I305" s="4">
        <v>1500000</v>
      </c>
      <c r="J305" s="2" t="s">
        <v>1371</v>
      </c>
      <c r="K305" s="4">
        <v>480000000</v>
      </c>
      <c r="L305" s="4">
        <v>0</v>
      </c>
      <c r="M305" s="4">
        <v>227500000</v>
      </c>
      <c r="N305" s="4">
        <v>8000000</v>
      </c>
      <c r="O305" s="4">
        <v>230000000</v>
      </c>
      <c r="P305" s="5">
        <v>0.520833</v>
      </c>
      <c r="Q305" s="6">
        <v>0.98913</v>
      </c>
      <c r="R305" s="2" t="s">
        <v>1372</v>
      </c>
      <c r="S305" s="7">
        <f t="shared" si="32"/>
        <v>227500000</v>
      </c>
      <c r="T305" s="7">
        <f t="shared" si="33"/>
        <v>230000000</v>
      </c>
      <c r="U305" s="8">
        <f t="shared" si="34"/>
        <v>0.989130434782609</v>
      </c>
      <c r="V305" s="9" t="e">
        <f>IF(T305&lt;=0,"Output &lt;= 0",IF(U305&gt;#REF!,"Terlalu tinggi",IF(U305&lt;#REF!,"Terlalu rendah","Sesuai")))</f>
        <v>#REF!</v>
      </c>
      <c r="W305" s="7" t="e">
        <f>IF(T305&lt;=0,S305,IF(U305&gt;#REF!,ROUNDDOWN(T305*#REF!,0),IF(U305&lt;#REF!,ROUNDUP(T305*#REF!,0),S305)))</f>
        <v>#REF!</v>
      </c>
      <c r="X305" s="7" t="e">
        <f t="shared" si="35"/>
        <v>#REF!</v>
      </c>
      <c r="Y305" s="7" t="e">
        <f t="shared" si="36"/>
        <v>#REF!</v>
      </c>
      <c r="Z305" s="7" t="e">
        <f t="shared" si="37"/>
        <v>#REF!</v>
      </c>
      <c r="AA305" s="7" t="e">
        <f t="shared" si="38"/>
        <v>#REF!</v>
      </c>
      <c r="AB305" s="8" t="e">
        <f t="shared" si="39"/>
        <v>#REF!</v>
      </c>
      <c r="AC305" s="9" t="e">
        <f>IF(T305&lt;=0,"Output &lt;= 0, cek manual",IF(OR(Z305&lt;0,Y305&lt;0),"Biaya negatif",IF(AND(AB305&gt;=#REF!,AB305&lt;=#REF!),"OK","Di luar rentang")))</f>
        <v>#REF!</v>
      </c>
    </row>
    <row r="306" ht="71.25" spans="1:29">
      <c r="A306" s="2" t="s">
        <v>30</v>
      </c>
      <c r="B306" s="2" t="s">
        <v>31</v>
      </c>
      <c r="C306" s="3" t="s">
        <v>1373</v>
      </c>
      <c r="D306" s="3" t="s">
        <v>1374</v>
      </c>
      <c r="E306" s="3" t="s">
        <v>1375</v>
      </c>
      <c r="F306" s="4">
        <v>250000</v>
      </c>
      <c r="G306" s="4">
        <v>10000000</v>
      </c>
      <c r="H306" s="4">
        <v>800000</v>
      </c>
      <c r="I306" s="4">
        <v>0</v>
      </c>
      <c r="J306" s="2" t="s">
        <v>1376</v>
      </c>
      <c r="K306" s="4">
        <v>30000000</v>
      </c>
      <c r="L306" s="4">
        <v>0</v>
      </c>
      <c r="M306" s="4">
        <v>18950000</v>
      </c>
      <c r="N306" s="4">
        <v>60000000</v>
      </c>
      <c r="O306" s="4">
        <v>20000000</v>
      </c>
      <c r="P306" s="5">
        <v>0.333333</v>
      </c>
      <c r="Q306" s="13">
        <v>0.9475</v>
      </c>
      <c r="R306" s="2" t="s">
        <v>1377</v>
      </c>
      <c r="S306" s="7">
        <f t="shared" si="32"/>
        <v>18950000</v>
      </c>
      <c r="T306" s="7">
        <f t="shared" si="33"/>
        <v>20000000</v>
      </c>
      <c r="U306" s="8">
        <f t="shared" si="34"/>
        <v>0.9475</v>
      </c>
      <c r="V306" s="9" t="e">
        <f>IF(T306&lt;=0,"Output &lt;= 0",IF(U306&gt;#REF!,"Terlalu tinggi",IF(U306&lt;#REF!,"Terlalu rendah","Sesuai")))</f>
        <v>#REF!</v>
      </c>
      <c r="W306" s="7" t="e">
        <f>IF(T306&lt;=0,S306,IF(U306&gt;#REF!,ROUNDDOWN(T306*#REF!,0),IF(U306&lt;#REF!,ROUNDUP(T306*#REF!,0),S306)))</f>
        <v>#REF!</v>
      </c>
      <c r="X306" s="7" t="e">
        <f t="shared" si="35"/>
        <v>#REF!</v>
      </c>
      <c r="Y306" s="7" t="e">
        <f t="shared" si="36"/>
        <v>#REF!</v>
      </c>
      <c r="Z306" s="7" t="e">
        <f t="shared" si="37"/>
        <v>#REF!</v>
      </c>
      <c r="AA306" s="7" t="e">
        <f t="shared" si="38"/>
        <v>#REF!</v>
      </c>
      <c r="AB306" s="8" t="e">
        <f t="shared" si="39"/>
        <v>#REF!</v>
      </c>
      <c r="AC306" s="9" t="e">
        <f>IF(T306&lt;=0,"Output &lt;= 0, cek manual",IF(OR(Z306&lt;0,Y306&lt;0),"Biaya negatif",IF(AND(AB306&gt;=#REF!,AB306&lt;=#REF!),"OK","Di luar rentang")))</f>
        <v>#REF!</v>
      </c>
    </row>
    <row r="307" ht="71.25" spans="1:29">
      <c r="A307" s="2" t="s">
        <v>30</v>
      </c>
      <c r="B307" s="2" t="s">
        <v>31</v>
      </c>
      <c r="C307" s="3" t="s">
        <v>1378</v>
      </c>
      <c r="D307" s="3" t="s">
        <v>338</v>
      </c>
      <c r="E307" s="3" t="s">
        <v>1379</v>
      </c>
      <c r="F307" s="4">
        <v>200000</v>
      </c>
      <c r="G307" s="4">
        <v>4000000</v>
      </c>
      <c r="H307" s="4">
        <v>0</v>
      </c>
      <c r="I307" s="4">
        <v>500000</v>
      </c>
      <c r="J307" s="2" t="s">
        <v>1026</v>
      </c>
      <c r="K307" s="4">
        <v>6000000</v>
      </c>
      <c r="L307" s="4">
        <v>0</v>
      </c>
      <c r="M307" s="4">
        <v>1800000</v>
      </c>
      <c r="N307" s="4">
        <v>0</v>
      </c>
      <c r="O307" s="4">
        <v>2000000</v>
      </c>
      <c r="P307" s="5">
        <v>0.666667</v>
      </c>
      <c r="Q307" s="12">
        <v>0.9</v>
      </c>
      <c r="R307" s="2" t="s">
        <v>1380</v>
      </c>
      <c r="S307" s="7">
        <f t="shared" si="32"/>
        <v>1800000</v>
      </c>
      <c r="T307" s="7">
        <f t="shared" si="33"/>
        <v>2000000</v>
      </c>
      <c r="U307" s="8">
        <f t="shared" si="34"/>
        <v>0.9</v>
      </c>
      <c r="V307" s="9" t="e">
        <f>IF(T307&lt;=0,"Output &lt;= 0",IF(U307&gt;#REF!,"Terlalu tinggi",IF(U307&lt;#REF!,"Terlalu rendah","Sesuai")))</f>
        <v>#REF!</v>
      </c>
      <c r="W307" s="7" t="e">
        <f>IF(T307&lt;=0,S307,IF(U307&gt;#REF!,ROUNDDOWN(T307*#REF!,0),IF(U307&lt;#REF!,ROUNDUP(T307*#REF!,0),S307)))</f>
        <v>#REF!</v>
      </c>
      <c r="X307" s="7" t="e">
        <f t="shared" si="35"/>
        <v>#REF!</v>
      </c>
      <c r="Y307" s="7" t="e">
        <f t="shared" si="36"/>
        <v>#REF!</v>
      </c>
      <c r="Z307" s="7" t="e">
        <f t="shared" si="37"/>
        <v>#REF!</v>
      </c>
      <c r="AA307" s="7" t="e">
        <f t="shared" si="38"/>
        <v>#REF!</v>
      </c>
      <c r="AB307" s="8" t="e">
        <f t="shared" si="39"/>
        <v>#REF!</v>
      </c>
      <c r="AC307" s="9" t="e">
        <f>IF(T307&lt;=0,"Output &lt;= 0, cek manual",IF(OR(Z307&lt;0,Y307&lt;0),"Biaya negatif",IF(AND(AB307&gt;=#REF!,AB307&lt;=#REF!),"OK","Di luar rentang")))</f>
        <v>#REF!</v>
      </c>
    </row>
    <row r="308" ht="71.25" spans="1:29">
      <c r="A308" s="2" t="s">
        <v>30</v>
      </c>
      <c r="B308" s="2" t="s">
        <v>31</v>
      </c>
      <c r="C308" s="3" t="s">
        <v>1381</v>
      </c>
      <c r="D308" s="3" t="s">
        <v>224</v>
      </c>
      <c r="E308" s="3" t="s">
        <v>225</v>
      </c>
      <c r="F308" s="4">
        <v>600000</v>
      </c>
      <c r="G308" s="4">
        <v>48000000</v>
      </c>
      <c r="H308" s="4">
        <v>5000</v>
      </c>
      <c r="I308" s="4">
        <v>10000</v>
      </c>
      <c r="J308" s="2" t="s">
        <v>40</v>
      </c>
      <c r="K308" s="4">
        <v>66000000</v>
      </c>
      <c r="L308" s="4">
        <v>0</v>
      </c>
      <c r="M308" s="4">
        <v>17395000</v>
      </c>
      <c r="N308" s="4">
        <v>78500000</v>
      </c>
      <c r="O308" s="4">
        <v>18000000</v>
      </c>
      <c r="P308" s="5">
        <v>0.727273</v>
      </c>
      <c r="Q308" s="5">
        <v>0.966389</v>
      </c>
      <c r="R308" s="2" t="s">
        <v>1382</v>
      </c>
      <c r="S308" s="7">
        <f t="shared" si="32"/>
        <v>17395000</v>
      </c>
      <c r="T308" s="7">
        <f t="shared" si="33"/>
        <v>18000000</v>
      </c>
      <c r="U308" s="8">
        <f t="shared" si="34"/>
        <v>0.966388888888889</v>
      </c>
      <c r="V308" s="9" t="e">
        <f>IF(T308&lt;=0,"Output &lt;= 0",IF(U308&gt;#REF!,"Terlalu tinggi",IF(U308&lt;#REF!,"Terlalu rendah","Sesuai")))</f>
        <v>#REF!</v>
      </c>
      <c r="W308" s="7" t="e">
        <f>IF(T308&lt;=0,S308,IF(U308&gt;#REF!,ROUNDDOWN(T308*#REF!,0),IF(U308&lt;#REF!,ROUNDUP(T308*#REF!,0),S308)))</f>
        <v>#REF!</v>
      </c>
      <c r="X308" s="7" t="e">
        <f t="shared" si="35"/>
        <v>#REF!</v>
      </c>
      <c r="Y308" s="7" t="e">
        <f t="shared" si="36"/>
        <v>#REF!</v>
      </c>
      <c r="Z308" s="7" t="e">
        <f t="shared" si="37"/>
        <v>#REF!</v>
      </c>
      <c r="AA308" s="7" t="e">
        <f t="shared" si="38"/>
        <v>#REF!</v>
      </c>
      <c r="AB308" s="8" t="e">
        <f t="shared" si="39"/>
        <v>#REF!</v>
      </c>
      <c r="AC308" s="9" t="e">
        <f>IF(T308&lt;=0,"Output &lt;= 0, cek manual",IF(OR(Z308&lt;0,Y308&lt;0),"Biaya negatif",IF(AND(AB308&gt;=#REF!,AB308&lt;=#REF!),"OK","Di luar rentang")))</f>
        <v>#REF!</v>
      </c>
    </row>
    <row r="309" ht="71.25" spans="1:29">
      <c r="A309" s="2" t="s">
        <v>30</v>
      </c>
      <c r="B309" s="2" t="s">
        <v>31</v>
      </c>
      <c r="C309" s="3" t="s">
        <v>1383</v>
      </c>
      <c r="D309" s="3" t="s">
        <v>1384</v>
      </c>
      <c r="E309" s="3" t="s">
        <v>1385</v>
      </c>
      <c r="F309" s="4">
        <v>500000</v>
      </c>
      <c r="G309" s="4">
        <v>24000000</v>
      </c>
      <c r="H309" s="4">
        <v>2000000</v>
      </c>
      <c r="I309" s="4">
        <v>0</v>
      </c>
      <c r="J309" s="2" t="s">
        <v>1386</v>
      </c>
      <c r="K309" s="4">
        <v>54000000</v>
      </c>
      <c r="L309" s="4">
        <v>0</v>
      </c>
      <c r="M309" s="4">
        <v>27500000</v>
      </c>
      <c r="N309" s="4">
        <v>32000000</v>
      </c>
      <c r="O309" s="4">
        <v>30000000</v>
      </c>
      <c r="P309" s="5">
        <v>0.444444</v>
      </c>
      <c r="Q309" s="5">
        <v>0.916667</v>
      </c>
      <c r="R309" s="2" t="s">
        <v>1387</v>
      </c>
      <c r="S309" s="7">
        <f t="shared" si="32"/>
        <v>27500000</v>
      </c>
      <c r="T309" s="7">
        <f t="shared" si="33"/>
        <v>30000000</v>
      </c>
      <c r="U309" s="8">
        <f t="shared" si="34"/>
        <v>0.916666666666667</v>
      </c>
      <c r="V309" s="9" t="e">
        <f>IF(T309&lt;=0,"Output &lt;= 0",IF(U309&gt;#REF!,"Terlalu tinggi",IF(U309&lt;#REF!,"Terlalu rendah","Sesuai")))</f>
        <v>#REF!</v>
      </c>
      <c r="W309" s="7" t="e">
        <f>IF(T309&lt;=0,S309,IF(U309&gt;#REF!,ROUNDDOWN(T309*#REF!,0),IF(U309&lt;#REF!,ROUNDUP(T309*#REF!,0),S309)))</f>
        <v>#REF!</v>
      </c>
      <c r="X309" s="7" t="e">
        <f t="shared" si="35"/>
        <v>#REF!</v>
      </c>
      <c r="Y309" s="7" t="e">
        <f t="shared" si="36"/>
        <v>#REF!</v>
      </c>
      <c r="Z309" s="7" t="e">
        <f t="shared" si="37"/>
        <v>#REF!</v>
      </c>
      <c r="AA309" s="7" t="e">
        <f t="shared" si="38"/>
        <v>#REF!</v>
      </c>
      <c r="AB309" s="8" t="e">
        <f t="shared" si="39"/>
        <v>#REF!</v>
      </c>
      <c r="AC309" s="9" t="e">
        <f>IF(T309&lt;=0,"Output &lt;= 0, cek manual",IF(OR(Z309&lt;0,Y309&lt;0),"Biaya negatif",IF(AND(AB309&gt;=#REF!,AB309&lt;=#REF!),"OK","Di luar rentang")))</f>
        <v>#REF!</v>
      </c>
    </row>
    <row r="310" ht="42.75" spans="1:29">
      <c r="A310" s="2" t="s">
        <v>30</v>
      </c>
      <c r="B310" s="2" t="s">
        <v>31</v>
      </c>
      <c r="C310" s="3" t="s">
        <v>1388</v>
      </c>
      <c r="D310" s="3" t="s">
        <v>228</v>
      </c>
      <c r="E310" s="3" t="s">
        <v>39</v>
      </c>
      <c r="F310" s="4">
        <v>8750000</v>
      </c>
      <c r="G310" s="4">
        <v>7750000</v>
      </c>
      <c r="H310" s="4">
        <v>1000000</v>
      </c>
      <c r="I310" s="4">
        <v>350000</v>
      </c>
      <c r="J310" s="2" t="s">
        <v>1389</v>
      </c>
      <c r="K310" s="4">
        <v>21670000</v>
      </c>
      <c r="L310" s="4">
        <v>0</v>
      </c>
      <c r="M310" s="4">
        <v>4170000</v>
      </c>
      <c r="N310" s="4">
        <v>7200001</v>
      </c>
      <c r="O310" s="4">
        <v>13920000</v>
      </c>
      <c r="P310" s="5">
        <v>0.357637</v>
      </c>
      <c r="Q310" s="5">
        <v>0.299569</v>
      </c>
      <c r="R310" s="2" t="s">
        <v>1390</v>
      </c>
      <c r="S310" s="7">
        <f t="shared" si="32"/>
        <v>4170000</v>
      </c>
      <c r="T310" s="7">
        <f t="shared" si="33"/>
        <v>13920000</v>
      </c>
      <c r="U310" s="8">
        <f t="shared" si="34"/>
        <v>0.299568965517241</v>
      </c>
      <c r="V310" s="9" t="e">
        <f>IF(T310&lt;=0,"Output &lt;= 0",IF(U310&gt;#REF!,"Terlalu tinggi",IF(U310&lt;#REF!,"Terlalu rendah","Sesuai")))</f>
        <v>#REF!</v>
      </c>
      <c r="W310" s="7" t="e">
        <f>IF(T310&lt;=0,S310,IF(U310&gt;#REF!,ROUNDDOWN(T310*#REF!,0),IF(U310&lt;#REF!,ROUNDUP(T310*#REF!,0),S310)))</f>
        <v>#REF!</v>
      </c>
      <c r="X310" s="7" t="e">
        <f t="shared" si="35"/>
        <v>#REF!</v>
      </c>
      <c r="Y310" s="7" t="e">
        <f t="shared" si="36"/>
        <v>#REF!</v>
      </c>
      <c r="Z310" s="7" t="e">
        <f t="shared" si="37"/>
        <v>#REF!</v>
      </c>
      <c r="AA310" s="7" t="e">
        <f t="shared" si="38"/>
        <v>#REF!</v>
      </c>
      <c r="AB310" s="8" t="e">
        <f t="shared" si="39"/>
        <v>#REF!</v>
      </c>
      <c r="AC310" s="9" t="e">
        <f>IF(T310&lt;=0,"Output &lt;= 0, cek manual",IF(OR(Z310&lt;0,Y310&lt;0),"Biaya negatif",IF(AND(AB310&gt;=#REF!,AB310&lt;=#REF!),"OK","Di luar rentang")))</f>
        <v>#REF!</v>
      </c>
    </row>
    <row r="311" ht="57" spans="1:29">
      <c r="A311" s="2" t="s">
        <v>30</v>
      </c>
      <c r="B311" s="2" t="s">
        <v>31</v>
      </c>
      <c r="C311" s="3" t="s">
        <v>1391</v>
      </c>
      <c r="D311" s="3" t="s">
        <v>228</v>
      </c>
      <c r="E311" s="3" t="s">
        <v>1392</v>
      </c>
      <c r="F311" s="4">
        <v>0</v>
      </c>
      <c r="G311" s="4">
        <v>36000000</v>
      </c>
      <c r="H311" s="4">
        <v>1000000</v>
      </c>
      <c r="I311" s="4">
        <v>30000000</v>
      </c>
      <c r="J311" s="2" t="s">
        <v>1393</v>
      </c>
      <c r="K311" s="4">
        <v>108000000</v>
      </c>
      <c r="L311" s="4">
        <v>0</v>
      </c>
      <c r="M311" s="4">
        <v>71000000</v>
      </c>
      <c r="N311" s="4">
        <v>15000000</v>
      </c>
      <c r="O311" s="4">
        <v>72000000</v>
      </c>
      <c r="P311" s="5">
        <v>0.333333</v>
      </c>
      <c r="Q311" s="5">
        <v>0.986111</v>
      </c>
      <c r="R311" s="2" t="s">
        <v>1394</v>
      </c>
      <c r="S311" s="7">
        <f t="shared" si="32"/>
        <v>71000000</v>
      </c>
      <c r="T311" s="7">
        <f t="shared" si="33"/>
        <v>72000000</v>
      </c>
      <c r="U311" s="8">
        <f t="shared" si="34"/>
        <v>0.986111111111111</v>
      </c>
      <c r="V311" s="9" t="e">
        <f>IF(T311&lt;=0,"Output &lt;= 0",IF(U311&gt;#REF!,"Terlalu tinggi",IF(U311&lt;#REF!,"Terlalu rendah","Sesuai")))</f>
        <v>#REF!</v>
      </c>
      <c r="W311" s="7" t="e">
        <f>IF(T311&lt;=0,S311,IF(U311&gt;#REF!,ROUNDDOWN(T311*#REF!,0),IF(U311&lt;#REF!,ROUNDUP(T311*#REF!,0),S311)))</f>
        <v>#REF!</v>
      </c>
      <c r="X311" s="7" t="e">
        <f t="shared" si="35"/>
        <v>#REF!</v>
      </c>
      <c r="Y311" s="7" t="e">
        <f t="shared" si="36"/>
        <v>#REF!</v>
      </c>
      <c r="Z311" s="7" t="e">
        <f t="shared" si="37"/>
        <v>#REF!</v>
      </c>
      <c r="AA311" s="7" t="e">
        <f t="shared" si="38"/>
        <v>#REF!</v>
      </c>
      <c r="AB311" s="8" t="e">
        <f t="shared" si="39"/>
        <v>#REF!</v>
      </c>
      <c r="AC311" s="9" t="e">
        <f>IF(T311&lt;=0,"Output &lt;= 0, cek manual",IF(OR(Z311&lt;0,Y311&lt;0),"Biaya negatif",IF(AND(AB311&gt;=#REF!,AB311&lt;=#REF!),"OK","Di luar rentang")))</f>
        <v>#REF!</v>
      </c>
    </row>
    <row r="312" ht="142.5" spans="1:29">
      <c r="A312" s="2" t="s">
        <v>30</v>
      </c>
      <c r="B312" s="2" t="s">
        <v>31</v>
      </c>
      <c r="C312" s="3" t="s">
        <v>1395</v>
      </c>
      <c r="D312" s="3" t="s">
        <v>1396</v>
      </c>
      <c r="E312" s="3" t="s">
        <v>1397</v>
      </c>
      <c r="F312" s="4">
        <v>360000</v>
      </c>
      <c r="G312" s="4">
        <v>130000000</v>
      </c>
      <c r="H312" s="4">
        <v>360000</v>
      </c>
      <c r="I312" s="4">
        <v>5000</v>
      </c>
      <c r="J312" s="2" t="s">
        <v>1398</v>
      </c>
      <c r="K312" s="4">
        <v>156000000</v>
      </c>
      <c r="L312" s="4">
        <v>0</v>
      </c>
      <c r="M312" s="4">
        <v>25280000</v>
      </c>
      <c r="N312" s="4">
        <v>55000000</v>
      </c>
      <c r="O312" s="4">
        <v>26000000</v>
      </c>
      <c r="P312" s="5">
        <v>0.833333</v>
      </c>
      <c r="Q312" s="5">
        <v>0.972308</v>
      </c>
      <c r="R312" s="2" t="s">
        <v>1399</v>
      </c>
      <c r="S312" s="7">
        <f t="shared" si="32"/>
        <v>25280000</v>
      </c>
      <c r="T312" s="7">
        <f t="shared" si="33"/>
        <v>26000000</v>
      </c>
      <c r="U312" s="8">
        <f t="shared" si="34"/>
        <v>0.972307692307692</v>
      </c>
      <c r="V312" s="9" t="e">
        <f>IF(T312&lt;=0,"Output &lt;= 0",IF(U312&gt;#REF!,"Terlalu tinggi",IF(U312&lt;#REF!,"Terlalu rendah","Sesuai")))</f>
        <v>#REF!</v>
      </c>
      <c r="W312" s="7" t="e">
        <f>IF(T312&lt;=0,S312,IF(U312&gt;#REF!,ROUNDDOWN(T312*#REF!,0),IF(U312&lt;#REF!,ROUNDUP(T312*#REF!,0),S312)))</f>
        <v>#REF!</v>
      </c>
      <c r="X312" s="7" t="e">
        <f t="shared" si="35"/>
        <v>#REF!</v>
      </c>
      <c r="Y312" s="7" t="e">
        <f t="shared" si="36"/>
        <v>#REF!</v>
      </c>
      <c r="Z312" s="7" t="e">
        <f t="shared" si="37"/>
        <v>#REF!</v>
      </c>
      <c r="AA312" s="7" t="e">
        <f t="shared" si="38"/>
        <v>#REF!</v>
      </c>
      <c r="AB312" s="8" t="e">
        <f t="shared" si="39"/>
        <v>#REF!</v>
      </c>
      <c r="AC312" s="9" t="e">
        <f>IF(T312&lt;=0,"Output &lt;= 0, cek manual",IF(OR(Z312&lt;0,Y312&lt;0),"Biaya negatif",IF(AND(AB312&gt;=#REF!,AB312&lt;=#REF!),"OK","Di luar rentang")))</f>
        <v>#REF!</v>
      </c>
    </row>
    <row r="313" ht="242.25" spans="1:29">
      <c r="A313" s="2" t="s">
        <v>30</v>
      </c>
      <c r="B313" s="2" t="s">
        <v>31</v>
      </c>
      <c r="C313" s="3" t="s">
        <v>1400</v>
      </c>
      <c r="D313" s="3" t="s">
        <v>1401</v>
      </c>
      <c r="E313" s="3" t="s">
        <v>1402</v>
      </c>
      <c r="F313" s="4">
        <v>0</v>
      </c>
      <c r="G313" s="4">
        <v>192000000</v>
      </c>
      <c r="H313" s="4">
        <v>10200000</v>
      </c>
      <c r="I313" s="4">
        <v>0</v>
      </c>
      <c r="J313" s="2" t="s">
        <v>1403</v>
      </c>
      <c r="K313" s="4">
        <v>288000000</v>
      </c>
      <c r="L313" s="4">
        <v>0</v>
      </c>
      <c r="M313" s="4">
        <v>85800000</v>
      </c>
      <c r="N313" s="4">
        <v>0</v>
      </c>
      <c r="O313" s="4">
        <v>96000000</v>
      </c>
      <c r="P313" s="5">
        <v>0.666667</v>
      </c>
      <c r="Q313" s="6">
        <v>0.89375</v>
      </c>
      <c r="R313" s="2" t="s">
        <v>1404</v>
      </c>
      <c r="S313" s="7">
        <f t="shared" si="32"/>
        <v>85800000</v>
      </c>
      <c r="T313" s="7">
        <f t="shared" si="33"/>
        <v>96000000</v>
      </c>
      <c r="U313" s="8">
        <f t="shared" si="34"/>
        <v>0.89375</v>
      </c>
      <c r="V313" s="9" t="e">
        <f>IF(T313&lt;=0,"Output &lt;= 0",IF(U313&gt;#REF!,"Terlalu tinggi",IF(U313&lt;#REF!,"Terlalu rendah","Sesuai")))</f>
        <v>#REF!</v>
      </c>
      <c r="W313" s="7" t="e">
        <f>IF(T313&lt;=0,S313,IF(U313&gt;#REF!,ROUNDDOWN(T313*#REF!,0),IF(U313&lt;#REF!,ROUNDUP(T313*#REF!,0),S313)))</f>
        <v>#REF!</v>
      </c>
      <c r="X313" s="7" t="e">
        <f t="shared" si="35"/>
        <v>#REF!</v>
      </c>
      <c r="Y313" s="7" t="e">
        <f t="shared" si="36"/>
        <v>#REF!</v>
      </c>
      <c r="Z313" s="7" t="e">
        <f t="shared" si="37"/>
        <v>#REF!</v>
      </c>
      <c r="AA313" s="7" t="e">
        <f t="shared" si="38"/>
        <v>#REF!</v>
      </c>
      <c r="AB313" s="8" t="e">
        <f t="shared" si="39"/>
        <v>#REF!</v>
      </c>
      <c r="AC313" s="9" t="e">
        <f>IF(T313&lt;=0,"Output &lt;= 0, cek manual",IF(OR(Z313&lt;0,Y313&lt;0),"Biaya negatif",IF(AND(AB313&gt;=#REF!,AB313&lt;=#REF!),"OK","Di luar rentang")))</f>
        <v>#REF!</v>
      </c>
    </row>
    <row r="314" ht="114" spans="1:29">
      <c r="A314" s="2" t="s">
        <v>30</v>
      </c>
      <c r="B314" s="2" t="s">
        <v>31</v>
      </c>
      <c r="C314" s="3" t="s">
        <v>1405</v>
      </c>
      <c r="D314" s="3" t="s">
        <v>1406</v>
      </c>
      <c r="E314" s="3" t="s">
        <v>1407</v>
      </c>
      <c r="F314" s="4">
        <v>0</v>
      </c>
      <c r="G314" s="4">
        <v>198000000</v>
      </c>
      <c r="H314" s="4">
        <v>4200000</v>
      </c>
      <c r="I314" s="4">
        <v>1200000</v>
      </c>
      <c r="J314" s="2" t="s">
        <v>1408</v>
      </c>
      <c r="K314" s="4">
        <v>264000000</v>
      </c>
      <c r="L314" s="4">
        <v>0</v>
      </c>
      <c r="M314" s="4">
        <v>61800000</v>
      </c>
      <c r="N314" s="4">
        <v>4000000</v>
      </c>
      <c r="O314" s="4">
        <v>66000000</v>
      </c>
      <c r="P314" s="11">
        <v>0.75</v>
      </c>
      <c r="Q314" s="5">
        <v>0.936364</v>
      </c>
      <c r="R314" s="2" t="s">
        <v>1409</v>
      </c>
      <c r="S314" s="7">
        <f t="shared" si="32"/>
        <v>61800000</v>
      </c>
      <c r="T314" s="7">
        <f t="shared" si="33"/>
        <v>66000000</v>
      </c>
      <c r="U314" s="8">
        <f t="shared" si="34"/>
        <v>0.936363636363636</v>
      </c>
      <c r="V314" s="9" t="e">
        <f>IF(T314&lt;=0,"Output &lt;= 0",IF(U314&gt;#REF!,"Terlalu tinggi",IF(U314&lt;#REF!,"Terlalu rendah","Sesuai")))</f>
        <v>#REF!</v>
      </c>
      <c r="W314" s="7" t="e">
        <f>IF(T314&lt;=0,S314,IF(U314&gt;#REF!,ROUNDDOWN(T314*#REF!,0),IF(U314&lt;#REF!,ROUNDUP(T314*#REF!,0),S314)))</f>
        <v>#REF!</v>
      </c>
      <c r="X314" s="7" t="e">
        <f t="shared" si="35"/>
        <v>#REF!</v>
      </c>
      <c r="Y314" s="7" t="e">
        <f t="shared" si="36"/>
        <v>#REF!</v>
      </c>
      <c r="Z314" s="7" t="e">
        <f t="shared" si="37"/>
        <v>#REF!</v>
      </c>
      <c r="AA314" s="7" t="e">
        <f t="shared" si="38"/>
        <v>#REF!</v>
      </c>
      <c r="AB314" s="8" t="e">
        <f t="shared" si="39"/>
        <v>#REF!</v>
      </c>
      <c r="AC314" s="9" t="e">
        <f>IF(T314&lt;=0,"Output &lt;= 0, cek manual",IF(OR(Z314&lt;0,Y314&lt;0),"Biaya negatif",IF(AND(AB314&gt;=#REF!,AB314&lt;=#REF!),"OK","Di luar rentang")))</f>
        <v>#REF!</v>
      </c>
    </row>
    <row r="315" ht="85.5" spans="1:29">
      <c r="A315" s="2" t="s">
        <v>30</v>
      </c>
      <c r="B315" s="2" t="s">
        <v>31</v>
      </c>
      <c r="C315" s="3" t="s">
        <v>1410</v>
      </c>
      <c r="D315" s="3" t="s">
        <v>1411</v>
      </c>
      <c r="E315" s="3" t="s">
        <v>198</v>
      </c>
      <c r="F315" s="4">
        <v>0</v>
      </c>
      <c r="G315" s="4">
        <v>1300000</v>
      </c>
      <c r="H315" s="4">
        <v>70000</v>
      </c>
      <c r="I315" s="4">
        <v>0</v>
      </c>
      <c r="J315" s="2" t="s">
        <v>1412</v>
      </c>
      <c r="K315" s="4">
        <v>2650000</v>
      </c>
      <c r="L315" s="4">
        <v>0</v>
      </c>
      <c r="M315" s="4">
        <v>1280000</v>
      </c>
      <c r="N315" s="4">
        <v>0</v>
      </c>
      <c r="O315" s="4">
        <v>1350000</v>
      </c>
      <c r="P315" s="5">
        <v>0.490566</v>
      </c>
      <c r="Q315" s="5">
        <v>0.948148</v>
      </c>
      <c r="R315" s="2" t="s">
        <v>1413</v>
      </c>
      <c r="S315" s="7">
        <f t="shared" si="32"/>
        <v>1280000</v>
      </c>
      <c r="T315" s="7">
        <f t="shared" si="33"/>
        <v>1350000</v>
      </c>
      <c r="U315" s="8">
        <f t="shared" si="34"/>
        <v>0.948148148148148</v>
      </c>
      <c r="V315" s="9" t="e">
        <f>IF(T315&lt;=0,"Output &lt;= 0",IF(U315&gt;#REF!,"Terlalu tinggi",IF(U315&lt;#REF!,"Terlalu rendah","Sesuai")))</f>
        <v>#REF!</v>
      </c>
      <c r="W315" s="7" t="e">
        <f>IF(T315&lt;=0,S315,IF(U315&gt;#REF!,ROUNDDOWN(T315*#REF!,0),IF(U315&lt;#REF!,ROUNDUP(T315*#REF!,0),S315)))</f>
        <v>#REF!</v>
      </c>
      <c r="X315" s="7" t="e">
        <f t="shared" si="35"/>
        <v>#REF!</v>
      </c>
      <c r="Y315" s="7" t="e">
        <f t="shared" si="36"/>
        <v>#REF!</v>
      </c>
      <c r="Z315" s="7" t="e">
        <f t="shared" si="37"/>
        <v>#REF!</v>
      </c>
      <c r="AA315" s="7" t="e">
        <f t="shared" si="38"/>
        <v>#REF!</v>
      </c>
      <c r="AB315" s="8" t="e">
        <f t="shared" si="39"/>
        <v>#REF!</v>
      </c>
      <c r="AC315" s="9" t="e">
        <f>IF(T315&lt;=0,"Output &lt;= 0, cek manual",IF(OR(Z315&lt;0,Y315&lt;0),"Biaya negatif",IF(AND(AB315&gt;=#REF!,AB315&lt;=#REF!),"OK","Di luar rentang")))</f>
        <v>#REF!</v>
      </c>
    </row>
    <row r="316" ht="85.5" spans="1:29">
      <c r="A316" s="2" t="s">
        <v>30</v>
      </c>
      <c r="B316" s="2" t="s">
        <v>31</v>
      </c>
      <c r="C316" s="3" t="s">
        <v>1414</v>
      </c>
      <c r="D316" s="3" t="s">
        <v>1415</v>
      </c>
      <c r="E316" s="3" t="s">
        <v>39</v>
      </c>
      <c r="F316" s="4">
        <v>0</v>
      </c>
      <c r="G316" s="4">
        <v>5000000</v>
      </c>
      <c r="H316" s="4">
        <v>150000</v>
      </c>
      <c r="I316" s="4">
        <v>0</v>
      </c>
      <c r="J316" s="2" t="s">
        <v>656</v>
      </c>
      <c r="K316" s="4">
        <v>10000000</v>
      </c>
      <c r="L316" s="4">
        <v>0</v>
      </c>
      <c r="M316" s="4">
        <v>4850000</v>
      </c>
      <c r="N316" s="4">
        <v>1800000</v>
      </c>
      <c r="O316" s="4">
        <v>5000000</v>
      </c>
      <c r="P316" s="12">
        <v>0.5</v>
      </c>
      <c r="Q316" s="11">
        <v>0.97</v>
      </c>
      <c r="R316" s="2" t="s">
        <v>1416</v>
      </c>
      <c r="S316" s="7">
        <f t="shared" si="32"/>
        <v>4850000</v>
      </c>
      <c r="T316" s="7">
        <f t="shared" si="33"/>
        <v>5000000</v>
      </c>
      <c r="U316" s="8">
        <f t="shared" si="34"/>
        <v>0.97</v>
      </c>
      <c r="V316" s="9" t="e">
        <f>IF(T316&lt;=0,"Output &lt;= 0",IF(U316&gt;#REF!,"Terlalu tinggi",IF(U316&lt;#REF!,"Terlalu rendah","Sesuai")))</f>
        <v>#REF!</v>
      </c>
      <c r="W316" s="7" t="e">
        <f>IF(T316&lt;=0,S316,IF(U316&gt;#REF!,ROUNDDOWN(T316*#REF!,0),IF(U316&lt;#REF!,ROUNDUP(T316*#REF!,0),S316)))</f>
        <v>#REF!</v>
      </c>
      <c r="X316" s="7" t="e">
        <f t="shared" si="35"/>
        <v>#REF!</v>
      </c>
      <c r="Y316" s="7" t="e">
        <f t="shared" si="36"/>
        <v>#REF!</v>
      </c>
      <c r="Z316" s="7" t="e">
        <f t="shared" si="37"/>
        <v>#REF!</v>
      </c>
      <c r="AA316" s="7" t="e">
        <f t="shared" si="38"/>
        <v>#REF!</v>
      </c>
      <c r="AB316" s="8" t="e">
        <f t="shared" si="39"/>
        <v>#REF!</v>
      </c>
      <c r="AC316" s="9" t="e">
        <f>IF(T316&lt;=0,"Output &lt;= 0, cek manual",IF(OR(Z316&lt;0,Y316&lt;0),"Biaya negatif",IF(AND(AB316&gt;=#REF!,AB316&lt;=#REF!),"OK","Di luar rentang")))</f>
        <v>#REF!</v>
      </c>
    </row>
    <row r="317" ht="57" spans="1:29">
      <c r="A317" s="2" t="s">
        <v>30</v>
      </c>
      <c r="B317" s="2" t="s">
        <v>31</v>
      </c>
      <c r="C317" s="3" t="s">
        <v>1417</v>
      </c>
      <c r="D317" s="3" t="s">
        <v>381</v>
      </c>
      <c r="E317" s="3" t="s">
        <v>588</v>
      </c>
      <c r="F317" s="4">
        <v>0</v>
      </c>
      <c r="G317" s="4">
        <v>3500000</v>
      </c>
      <c r="H317" s="4">
        <v>310000</v>
      </c>
      <c r="I317" s="4">
        <v>0</v>
      </c>
      <c r="J317" s="2" t="s">
        <v>1418</v>
      </c>
      <c r="K317" s="4">
        <v>12500000</v>
      </c>
      <c r="L317" s="4">
        <v>0</v>
      </c>
      <c r="M317" s="4">
        <v>8690000</v>
      </c>
      <c r="N317" s="4">
        <v>5150000</v>
      </c>
      <c r="O317" s="4">
        <v>9000000</v>
      </c>
      <c r="P317" s="11">
        <v>0.28</v>
      </c>
      <c r="Q317" s="5">
        <v>0.965556</v>
      </c>
      <c r="R317" s="2" t="s">
        <v>1419</v>
      </c>
      <c r="S317" s="7">
        <f t="shared" si="32"/>
        <v>8690000</v>
      </c>
      <c r="T317" s="7">
        <f t="shared" si="33"/>
        <v>9000000</v>
      </c>
      <c r="U317" s="8">
        <f t="shared" si="34"/>
        <v>0.965555555555555</v>
      </c>
      <c r="V317" s="9" t="e">
        <f>IF(T317&lt;=0,"Output &lt;= 0",IF(U317&gt;#REF!,"Terlalu tinggi",IF(U317&lt;#REF!,"Terlalu rendah","Sesuai")))</f>
        <v>#REF!</v>
      </c>
      <c r="W317" s="7" t="e">
        <f>IF(T317&lt;=0,S317,IF(U317&gt;#REF!,ROUNDDOWN(T317*#REF!,0),IF(U317&lt;#REF!,ROUNDUP(T317*#REF!,0),S317)))</f>
        <v>#REF!</v>
      </c>
      <c r="X317" s="7" t="e">
        <f t="shared" si="35"/>
        <v>#REF!</v>
      </c>
      <c r="Y317" s="7" t="e">
        <f t="shared" si="36"/>
        <v>#REF!</v>
      </c>
      <c r="Z317" s="7" t="e">
        <f t="shared" si="37"/>
        <v>#REF!</v>
      </c>
      <c r="AA317" s="7" t="e">
        <f t="shared" si="38"/>
        <v>#REF!</v>
      </c>
      <c r="AB317" s="8" t="e">
        <f t="shared" si="39"/>
        <v>#REF!</v>
      </c>
      <c r="AC317" s="9" t="e">
        <f>IF(T317&lt;=0,"Output &lt;= 0, cek manual",IF(OR(Z317&lt;0,Y317&lt;0),"Biaya negatif",IF(AND(AB317&gt;=#REF!,AB317&lt;=#REF!),"OK","Di luar rentang")))</f>
        <v>#REF!</v>
      </c>
    </row>
    <row r="318" ht="85.5" spans="1:29">
      <c r="A318" s="2" t="s">
        <v>30</v>
      </c>
      <c r="B318" s="2" t="s">
        <v>31</v>
      </c>
      <c r="C318" s="3" t="s">
        <v>1420</v>
      </c>
      <c r="D318" s="3" t="s">
        <v>1421</v>
      </c>
      <c r="E318" s="3" t="s">
        <v>1117</v>
      </c>
      <c r="F318" s="4">
        <v>0</v>
      </c>
      <c r="G318" s="4">
        <v>500000</v>
      </c>
      <c r="H318" s="4">
        <v>100000</v>
      </c>
      <c r="I318" s="4">
        <v>0</v>
      </c>
      <c r="J318" s="2" t="s">
        <v>162</v>
      </c>
      <c r="K318" s="4">
        <v>1000000</v>
      </c>
      <c r="L318" s="4">
        <v>0</v>
      </c>
      <c r="M318" s="4">
        <v>400000</v>
      </c>
      <c r="N318" s="4">
        <v>75000000</v>
      </c>
      <c r="O318" s="4">
        <v>500000</v>
      </c>
      <c r="P318" s="12">
        <v>0.5</v>
      </c>
      <c r="Q318" s="12">
        <v>0.8</v>
      </c>
      <c r="R318" s="2" t="s">
        <v>1422</v>
      </c>
      <c r="S318" s="7">
        <f t="shared" si="32"/>
        <v>400000</v>
      </c>
      <c r="T318" s="7">
        <f t="shared" si="33"/>
        <v>500000</v>
      </c>
      <c r="U318" s="8">
        <f t="shared" si="34"/>
        <v>0.8</v>
      </c>
      <c r="V318" s="9" t="e">
        <f>IF(T318&lt;=0,"Output &lt;= 0",IF(U318&gt;#REF!,"Terlalu tinggi",IF(U318&lt;#REF!,"Terlalu rendah","Sesuai")))</f>
        <v>#REF!</v>
      </c>
      <c r="W318" s="7" t="e">
        <f>IF(T318&lt;=0,S318,IF(U318&gt;#REF!,ROUNDDOWN(T318*#REF!,0),IF(U318&lt;#REF!,ROUNDUP(T318*#REF!,0),S318)))</f>
        <v>#REF!</v>
      </c>
      <c r="X318" s="7" t="e">
        <f t="shared" si="35"/>
        <v>#REF!</v>
      </c>
      <c r="Y318" s="7" t="e">
        <f t="shared" si="36"/>
        <v>#REF!</v>
      </c>
      <c r="Z318" s="7" t="e">
        <f t="shared" si="37"/>
        <v>#REF!</v>
      </c>
      <c r="AA318" s="7" t="e">
        <f t="shared" si="38"/>
        <v>#REF!</v>
      </c>
      <c r="AB318" s="8" t="e">
        <f t="shared" si="39"/>
        <v>#REF!</v>
      </c>
      <c r="AC318" s="9" t="e">
        <f>IF(T318&lt;=0,"Output &lt;= 0, cek manual",IF(OR(Z318&lt;0,Y318&lt;0),"Biaya negatif",IF(AND(AB318&gt;=#REF!,AB318&lt;=#REF!),"OK","Di luar rentang")))</f>
        <v>#REF!</v>
      </c>
    </row>
    <row r="319" ht="71.25" spans="1:29">
      <c r="A319" s="2" t="s">
        <v>30</v>
      </c>
      <c r="B319" s="2" t="s">
        <v>31</v>
      </c>
      <c r="C319" s="3" t="s">
        <v>1423</v>
      </c>
      <c r="D319" s="3" t="s">
        <v>1424</v>
      </c>
      <c r="E319" s="3" t="s">
        <v>1425</v>
      </c>
      <c r="F319" s="4">
        <v>42000000</v>
      </c>
      <c r="G319" s="4">
        <v>0</v>
      </c>
      <c r="H319" s="4">
        <v>2400000</v>
      </c>
      <c r="I319" s="4">
        <v>0</v>
      </c>
      <c r="J319" s="2" t="s">
        <v>1426</v>
      </c>
      <c r="K319" s="4">
        <v>110000000</v>
      </c>
      <c r="L319" s="4">
        <v>0</v>
      </c>
      <c r="M319" s="4">
        <v>65600000</v>
      </c>
      <c r="N319" s="4">
        <v>15000000</v>
      </c>
      <c r="O319" s="4">
        <v>110000000</v>
      </c>
      <c r="P319" s="4">
        <v>0</v>
      </c>
      <c r="Q319" s="5">
        <v>0.596364</v>
      </c>
      <c r="R319" s="2" t="s">
        <v>1427</v>
      </c>
      <c r="S319" s="7">
        <f t="shared" si="32"/>
        <v>65600000</v>
      </c>
      <c r="T319" s="7">
        <f t="shared" si="33"/>
        <v>110000000</v>
      </c>
      <c r="U319" s="8">
        <f t="shared" si="34"/>
        <v>0.596363636363636</v>
      </c>
      <c r="V319" s="9" t="e">
        <f>IF(T319&lt;=0,"Output &lt;= 0",IF(U319&gt;#REF!,"Terlalu tinggi",IF(U319&lt;#REF!,"Terlalu rendah","Sesuai")))</f>
        <v>#REF!</v>
      </c>
      <c r="W319" s="7" t="e">
        <f>IF(T319&lt;=0,S319,IF(U319&gt;#REF!,ROUNDDOWN(T319*#REF!,0),IF(U319&lt;#REF!,ROUNDUP(T319*#REF!,0),S319)))</f>
        <v>#REF!</v>
      </c>
      <c r="X319" s="7" t="e">
        <f t="shared" si="35"/>
        <v>#REF!</v>
      </c>
      <c r="Y319" s="7" t="e">
        <f t="shared" si="36"/>
        <v>#REF!</v>
      </c>
      <c r="Z319" s="7" t="e">
        <f t="shared" si="37"/>
        <v>#REF!</v>
      </c>
      <c r="AA319" s="7" t="e">
        <f t="shared" si="38"/>
        <v>#REF!</v>
      </c>
      <c r="AB319" s="8" t="e">
        <f t="shared" si="39"/>
        <v>#REF!</v>
      </c>
      <c r="AC319" s="9" t="e">
        <f>IF(T319&lt;=0,"Output &lt;= 0, cek manual",IF(OR(Z319&lt;0,Y319&lt;0),"Biaya negatif",IF(AND(AB319&gt;=#REF!,AB319&lt;=#REF!),"OK","Di luar rentang")))</f>
        <v>#REF!</v>
      </c>
    </row>
    <row r="320" ht="71.25" spans="1:29">
      <c r="A320" s="2" t="s">
        <v>30</v>
      </c>
      <c r="B320" s="2" t="s">
        <v>31</v>
      </c>
      <c r="C320" s="3" t="s">
        <v>215</v>
      </c>
      <c r="D320" s="3" t="s">
        <v>1428</v>
      </c>
      <c r="E320" s="3" t="s">
        <v>1429</v>
      </c>
      <c r="F320" s="4">
        <v>150000</v>
      </c>
      <c r="G320" s="4">
        <v>2000000</v>
      </c>
      <c r="H320" s="4">
        <v>300000</v>
      </c>
      <c r="I320" s="4">
        <v>0</v>
      </c>
      <c r="J320" s="2" t="s">
        <v>1430</v>
      </c>
      <c r="K320" s="4">
        <v>4600000</v>
      </c>
      <c r="L320" s="4">
        <v>0</v>
      </c>
      <c r="M320" s="4">
        <v>2150000</v>
      </c>
      <c r="N320" s="4">
        <v>1600000</v>
      </c>
      <c r="O320" s="4">
        <v>2600000</v>
      </c>
      <c r="P320" s="5">
        <v>0.434783</v>
      </c>
      <c r="Q320" s="5">
        <v>0.826923</v>
      </c>
      <c r="R320" s="2" t="s">
        <v>1431</v>
      </c>
      <c r="S320" s="7">
        <f t="shared" si="32"/>
        <v>2150000</v>
      </c>
      <c r="T320" s="7">
        <f t="shared" si="33"/>
        <v>2600000</v>
      </c>
      <c r="U320" s="8">
        <f t="shared" si="34"/>
        <v>0.826923076923077</v>
      </c>
      <c r="V320" s="9" t="e">
        <f>IF(T320&lt;=0,"Output &lt;= 0",IF(U320&gt;#REF!,"Terlalu tinggi",IF(U320&lt;#REF!,"Terlalu rendah","Sesuai")))</f>
        <v>#REF!</v>
      </c>
      <c r="W320" s="7" t="e">
        <f>IF(T320&lt;=0,S320,IF(U320&gt;#REF!,ROUNDDOWN(T320*#REF!,0),IF(U320&lt;#REF!,ROUNDUP(T320*#REF!,0),S320)))</f>
        <v>#REF!</v>
      </c>
      <c r="X320" s="7" t="e">
        <f t="shared" si="35"/>
        <v>#REF!</v>
      </c>
      <c r="Y320" s="7" t="e">
        <f t="shared" si="36"/>
        <v>#REF!</v>
      </c>
      <c r="Z320" s="7" t="e">
        <f t="shared" si="37"/>
        <v>#REF!</v>
      </c>
      <c r="AA320" s="7" t="e">
        <f t="shared" si="38"/>
        <v>#REF!</v>
      </c>
      <c r="AB320" s="8" t="e">
        <f t="shared" si="39"/>
        <v>#REF!</v>
      </c>
      <c r="AC320" s="9" t="e">
        <f>IF(T320&lt;=0,"Output &lt;= 0, cek manual",IF(OR(Z320&lt;0,Y320&lt;0),"Biaya negatif",IF(AND(AB320&gt;=#REF!,AB320&lt;=#REF!),"OK","Di luar rentang")))</f>
        <v>#REF!</v>
      </c>
    </row>
    <row r="321" ht="99.75" spans="1:29">
      <c r="A321" s="2" t="s">
        <v>30</v>
      </c>
      <c r="B321" s="2" t="s">
        <v>31</v>
      </c>
      <c r="C321" s="3" t="s">
        <v>1432</v>
      </c>
      <c r="D321" s="3" t="s">
        <v>1433</v>
      </c>
      <c r="E321" s="3" t="s">
        <v>1434</v>
      </c>
      <c r="F321" s="4">
        <v>0</v>
      </c>
      <c r="G321" s="4">
        <v>8800000</v>
      </c>
      <c r="H321" s="4">
        <v>1300000</v>
      </c>
      <c r="I321" s="4">
        <v>0</v>
      </c>
      <c r="J321" s="2" t="s">
        <v>162</v>
      </c>
      <c r="K321" s="4">
        <v>16000000</v>
      </c>
      <c r="L321" s="4">
        <v>0</v>
      </c>
      <c r="M321" s="4">
        <v>5900000</v>
      </c>
      <c r="N321" s="4">
        <v>1500999</v>
      </c>
      <c r="O321" s="4">
        <v>7200000</v>
      </c>
      <c r="P321" s="11">
        <v>0.55</v>
      </c>
      <c r="Q321" s="5">
        <v>0.819444</v>
      </c>
      <c r="R321" s="2" t="s">
        <v>1435</v>
      </c>
      <c r="S321" s="7">
        <f t="shared" si="32"/>
        <v>5900000</v>
      </c>
      <c r="T321" s="7">
        <f t="shared" si="33"/>
        <v>7200000</v>
      </c>
      <c r="U321" s="8">
        <f t="shared" si="34"/>
        <v>0.819444444444444</v>
      </c>
      <c r="V321" s="9" t="e">
        <f>IF(T321&lt;=0,"Output &lt;= 0",IF(U321&gt;#REF!,"Terlalu tinggi",IF(U321&lt;#REF!,"Terlalu rendah","Sesuai")))</f>
        <v>#REF!</v>
      </c>
      <c r="W321" s="7" t="e">
        <f>IF(T321&lt;=0,S321,IF(U321&gt;#REF!,ROUNDDOWN(T321*#REF!,0),IF(U321&lt;#REF!,ROUNDUP(T321*#REF!,0),S321)))</f>
        <v>#REF!</v>
      </c>
      <c r="X321" s="7" t="e">
        <f t="shared" si="35"/>
        <v>#REF!</v>
      </c>
      <c r="Y321" s="7" t="e">
        <f t="shared" si="36"/>
        <v>#REF!</v>
      </c>
      <c r="Z321" s="7" t="e">
        <f t="shared" si="37"/>
        <v>#REF!</v>
      </c>
      <c r="AA321" s="7" t="e">
        <f t="shared" si="38"/>
        <v>#REF!</v>
      </c>
      <c r="AB321" s="8" t="e">
        <f t="shared" si="39"/>
        <v>#REF!</v>
      </c>
      <c r="AC321" s="9" t="e">
        <f>IF(T321&lt;=0,"Output &lt;= 0, cek manual",IF(OR(Z321&lt;0,Y321&lt;0),"Biaya negatif",IF(AND(AB321&gt;=#REF!,AB321&lt;=#REF!),"OK","Di luar rentang")))</f>
        <v>#REF!</v>
      </c>
    </row>
    <row r="322" ht="142.5" spans="1:29">
      <c r="A322" s="2" t="s">
        <v>30</v>
      </c>
      <c r="B322" s="2" t="s">
        <v>31</v>
      </c>
      <c r="C322" s="3" t="s">
        <v>1436</v>
      </c>
      <c r="D322" s="3" t="s">
        <v>1437</v>
      </c>
      <c r="E322" s="3" t="s">
        <v>1437</v>
      </c>
      <c r="F322" s="4">
        <v>0</v>
      </c>
      <c r="G322" s="4">
        <v>8500000</v>
      </c>
      <c r="H322" s="4">
        <v>1200000</v>
      </c>
      <c r="I322" s="4">
        <v>0</v>
      </c>
      <c r="J322" s="2" t="s">
        <v>1438</v>
      </c>
      <c r="K322" s="4">
        <v>16000000</v>
      </c>
      <c r="L322" s="4">
        <v>0</v>
      </c>
      <c r="M322" s="4">
        <v>6300000</v>
      </c>
      <c r="N322" s="4">
        <v>20000000</v>
      </c>
      <c r="O322" s="4">
        <v>7500000</v>
      </c>
      <c r="P322" s="6">
        <v>0.53125</v>
      </c>
      <c r="Q322" s="11">
        <v>0.84</v>
      </c>
      <c r="R322" s="2" t="s">
        <v>1439</v>
      </c>
      <c r="S322" s="7">
        <f t="shared" ref="S322:S385" si="40">K322-F322-G322-H322</f>
        <v>6300000</v>
      </c>
      <c r="T322" s="7">
        <f t="shared" ref="T322:T385" si="41">K322-G322</f>
        <v>7500000</v>
      </c>
      <c r="U322" s="8">
        <f t="shared" ref="U322:U385" si="42">IF(T322&lt;=0,"",S322/T322)</f>
        <v>0.84</v>
      </c>
      <c r="V322" s="9" t="e">
        <f>IF(T322&lt;=0,"Output &lt;= 0",IF(U322&gt;#REF!,"Terlalu tinggi",IF(U322&lt;#REF!,"Terlalu rendah","Sesuai")))</f>
        <v>#REF!</v>
      </c>
      <c r="W322" s="7" t="e">
        <f>IF(T322&lt;=0,S322,IF(U322&gt;#REF!,ROUNDDOWN(T322*#REF!,0),IF(U322&lt;#REF!,ROUNDUP(T322*#REF!,0),S322)))</f>
        <v>#REF!</v>
      </c>
      <c r="X322" s="7" t="e">
        <f t="shared" ref="X322:X385" si="43">W322-S322</f>
        <v>#REF!</v>
      </c>
      <c r="Y322" s="7" t="e">
        <f t="shared" ref="Y322:Y385" si="44">IF(F322+H322&gt;0,ROUND((T322-W322)*H322/(F322+H322),0),T322-W322)</f>
        <v>#REF!</v>
      </c>
      <c r="Z322" s="7" t="e">
        <f t="shared" ref="Z322:Z385" si="45">(T322-W322)-Y322</f>
        <v>#REF!</v>
      </c>
      <c r="AA322" s="7" t="e">
        <f t="shared" ref="AA322:AA385" si="46">K322-Z322-G322-Y322</f>
        <v>#REF!</v>
      </c>
      <c r="AB322" s="8" t="e">
        <f t="shared" ref="AB322:AB385" si="47">IF(T322&lt;=0,"",AA322/T322)</f>
        <v>#REF!</v>
      </c>
      <c r="AC322" s="9" t="e">
        <f>IF(T322&lt;=0,"Output &lt;= 0, cek manual",IF(OR(Z322&lt;0,Y322&lt;0),"Biaya negatif",IF(AND(AB322&gt;=#REF!,AB322&lt;=#REF!),"OK","Di luar rentang")))</f>
        <v>#REF!</v>
      </c>
    </row>
    <row r="323" ht="85.5" spans="1:29">
      <c r="A323" s="2" t="s">
        <v>30</v>
      </c>
      <c r="B323" s="2" t="s">
        <v>31</v>
      </c>
      <c r="C323" s="3" t="s">
        <v>1440</v>
      </c>
      <c r="D323" s="3" t="s">
        <v>377</v>
      </c>
      <c r="E323" s="3" t="s">
        <v>1441</v>
      </c>
      <c r="F323" s="4">
        <v>0</v>
      </c>
      <c r="G323" s="4">
        <v>6000000</v>
      </c>
      <c r="H323" s="4">
        <v>0</v>
      </c>
      <c r="I323" s="4">
        <v>0</v>
      </c>
      <c r="J323" s="2" t="s">
        <v>124</v>
      </c>
      <c r="K323" s="4">
        <v>9600000</v>
      </c>
      <c r="L323" s="4">
        <v>0</v>
      </c>
      <c r="M323" s="4">
        <v>3600000</v>
      </c>
      <c r="N323" s="4">
        <v>10300000</v>
      </c>
      <c r="O323" s="4">
        <v>3600000</v>
      </c>
      <c r="P323" s="10">
        <v>0.625</v>
      </c>
      <c r="Q323" s="4">
        <v>1</v>
      </c>
      <c r="R323" s="2" t="s">
        <v>1442</v>
      </c>
      <c r="S323" s="7">
        <f t="shared" si="40"/>
        <v>3600000</v>
      </c>
      <c r="T323" s="7">
        <f t="shared" si="41"/>
        <v>3600000</v>
      </c>
      <c r="U323" s="8">
        <f t="shared" si="42"/>
        <v>1</v>
      </c>
      <c r="V323" s="9" t="e">
        <f>IF(T323&lt;=0,"Output &lt;= 0",IF(U323&gt;#REF!,"Terlalu tinggi",IF(U323&lt;#REF!,"Terlalu rendah","Sesuai")))</f>
        <v>#REF!</v>
      </c>
      <c r="W323" s="7" t="e">
        <f>IF(T323&lt;=0,S323,IF(U323&gt;#REF!,ROUNDDOWN(T323*#REF!,0),IF(U323&lt;#REF!,ROUNDUP(T323*#REF!,0),S323)))</f>
        <v>#REF!</v>
      </c>
      <c r="X323" s="7" t="e">
        <f t="shared" si="43"/>
        <v>#REF!</v>
      </c>
      <c r="Y323" s="7" t="e">
        <f t="shared" si="44"/>
        <v>#REF!</v>
      </c>
      <c r="Z323" s="7" t="e">
        <f t="shared" si="45"/>
        <v>#REF!</v>
      </c>
      <c r="AA323" s="7" t="e">
        <f t="shared" si="46"/>
        <v>#REF!</v>
      </c>
      <c r="AB323" s="8" t="e">
        <f t="shared" si="47"/>
        <v>#REF!</v>
      </c>
      <c r="AC323" s="9" t="e">
        <f>IF(T323&lt;=0,"Output &lt;= 0, cek manual",IF(OR(Z323&lt;0,Y323&lt;0),"Biaya negatif",IF(AND(AB323&gt;=#REF!,AB323&lt;=#REF!),"OK","Di luar rentang")))</f>
        <v>#REF!</v>
      </c>
    </row>
    <row r="324" ht="71.25" spans="1:29">
      <c r="A324" s="2" t="s">
        <v>30</v>
      </c>
      <c r="B324" s="2" t="s">
        <v>31</v>
      </c>
      <c r="C324" s="3" t="s">
        <v>1443</v>
      </c>
      <c r="D324" s="3" t="s">
        <v>264</v>
      </c>
      <c r="E324" s="3" t="s">
        <v>1444</v>
      </c>
      <c r="F324" s="4">
        <v>1000000</v>
      </c>
      <c r="G324" s="4">
        <v>72000000</v>
      </c>
      <c r="H324" s="4">
        <v>2000000</v>
      </c>
      <c r="I324" s="4">
        <v>0</v>
      </c>
      <c r="J324" s="2" t="s">
        <v>1445</v>
      </c>
      <c r="K324" s="4">
        <v>90000000</v>
      </c>
      <c r="L324" s="4">
        <v>0</v>
      </c>
      <c r="M324" s="4">
        <v>15000000</v>
      </c>
      <c r="N324" s="4">
        <v>10000000</v>
      </c>
      <c r="O324" s="4">
        <v>18000000</v>
      </c>
      <c r="P324" s="12">
        <v>0.8</v>
      </c>
      <c r="Q324" s="5">
        <v>0.833333</v>
      </c>
      <c r="R324" s="2" t="s">
        <v>1446</v>
      </c>
      <c r="S324" s="7">
        <f t="shared" si="40"/>
        <v>15000000</v>
      </c>
      <c r="T324" s="7">
        <f t="shared" si="41"/>
        <v>18000000</v>
      </c>
      <c r="U324" s="8">
        <f t="shared" si="42"/>
        <v>0.833333333333333</v>
      </c>
      <c r="V324" s="9" t="e">
        <f>IF(T324&lt;=0,"Output &lt;= 0",IF(U324&gt;#REF!,"Terlalu tinggi",IF(U324&lt;#REF!,"Terlalu rendah","Sesuai")))</f>
        <v>#REF!</v>
      </c>
      <c r="W324" s="7" t="e">
        <f>IF(T324&lt;=0,S324,IF(U324&gt;#REF!,ROUNDDOWN(T324*#REF!,0),IF(U324&lt;#REF!,ROUNDUP(T324*#REF!,0),S324)))</f>
        <v>#REF!</v>
      </c>
      <c r="X324" s="7" t="e">
        <f t="shared" si="43"/>
        <v>#REF!</v>
      </c>
      <c r="Y324" s="7" t="e">
        <f t="shared" si="44"/>
        <v>#REF!</v>
      </c>
      <c r="Z324" s="7" t="e">
        <f t="shared" si="45"/>
        <v>#REF!</v>
      </c>
      <c r="AA324" s="7" t="e">
        <f t="shared" si="46"/>
        <v>#REF!</v>
      </c>
      <c r="AB324" s="8" t="e">
        <f t="shared" si="47"/>
        <v>#REF!</v>
      </c>
      <c r="AC324" s="9" t="e">
        <f>IF(T324&lt;=0,"Output &lt;= 0, cek manual",IF(OR(Z324&lt;0,Y324&lt;0),"Biaya negatif",IF(AND(AB324&gt;=#REF!,AB324&lt;=#REF!),"OK","Di luar rentang")))</f>
        <v>#REF!</v>
      </c>
    </row>
    <row r="325" ht="199.5" spans="1:29">
      <c r="A325" s="2" t="s">
        <v>30</v>
      </c>
      <c r="B325" s="2" t="s">
        <v>31</v>
      </c>
      <c r="C325" s="3" t="s">
        <v>1447</v>
      </c>
      <c r="D325" s="3" t="s">
        <v>1448</v>
      </c>
      <c r="E325" s="3" t="s">
        <v>1449</v>
      </c>
      <c r="F325" s="4">
        <v>240000</v>
      </c>
      <c r="G325" s="4">
        <v>24000000</v>
      </c>
      <c r="H325" s="4">
        <v>0</v>
      </c>
      <c r="I325" s="4">
        <v>34000</v>
      </c>
      <c r="J325" s="2" t="s">
        <v>1450</v>
      </c>
      <c r="K325" s="4">
        <v>33600000</v>
      </c>
      <c r="L325" s="4">
        <v>0</v>
      </c>
      <c r="M325" s="4">
        <v>9360000</v>
      </c>
      <c r="N325" s="4">
        <v>2000000</v>
      </c>
      <c r="O325" s="4">
        <v>9600000</v>
      </c>
      <c r="P325" s="5">
        <v>0.714286</v>
      </c>
      <c r="Q325" s="10">
        <v>0.975</v>
      </c>
      <c r="R325" s="2" t="s">
        <v>1451</v>
      </c>
      <c r="S325" s="7">
        <f t="shared" si="40"/>
        <v>9360000</v>
      </c>
      <c r="T325" s="7">
        <f t="shared" si="41"/>
        <v>9600000</v>
      </c>
      <c r="U325" s="8">
        <f t="shared" si="42"/>
        <v>0.975</v>
      </c>
      <c r="V325" s="9" t="e">
        <f>IF(T325&lt;=0,"Output &lt;= 0",IF(U325&gt;#REF!,"Terlalu tinggi",IF(U325&lt;#REF!,"Terlalu rendah","Sesuai")))</f>
        <v>#REF!</v>
      </c>
      <c r="W325" s="7" t="e">
        <f>IF(T325&lt;=0,S325,IF(U325&gt;#REF!,ROUNDDOWN(T325*#REF!,0),IF(U325&lt;#REF!,ROUNDUP(T325*#REF!,0),S325)))</f>
        <v>#REF!</v>
      </c>
      <c r="X325" s="7" t="e">
        <f t="shared" si="43"/>
        <v>#REF!</v>
      </c>
      <c r="Y325" s="7" t="e">
        <f t="shared" si="44"/>
        <v>#REF!</v>
      </c>
      <c r="Z325" s="7" t="e">
        <f t="shared" si="45"/>
        <v>#REF!</v>
      </c>
      <c r="AA325" s="7" t="e">
        <f t="shared" si="46"/>
        <v>#REF!</v>
      </c>
      <c r="AB325" s="8" t="e">
        <f t="shared" si="47"/>
        <v>#REF!</v>
      </c>
      <c r="AC325" s="9" t="e">
        <f>IF(T325&lt;=0,"Output &lt;= 0, cek manual",IF(OR(Z325&lt;0,Y325&lt;0),"Biaya negatif",IF(AND(AB325&gt;=#REF!,AB325&lt;=#REF!),"OK","Di luar rentang")))</f>
        <v>#REF!</v>
      </c>
    </row>
    <row r="326" ht="85.5" spans="1:29">
      <c r="A326" s="2" t="s">
        <v>30</v>
      </c>
      <c r="B326" s="2" t="s">
        <v>31</v>
      </c>
      <c r="C326" s="3" t="s">
        <v>1452</v>
      </c>
      <c r="D326" s="3" t="s">
        <v>91</v>
      </c>
      <c r="E326" s="3" t="s">
        <v>1307</v>
      </c>
      <c r="F326" s="4">
        <v>200000</v>
      </c>
      <c r="G326" s="4">
        <v>8000000</v>
      </c>
      <c r="H326" s="4">
        <v>350000</v>
      </c>
      <c r="I326" s="4">
        <v>0</v>
      </c>
      <c r="J326" s="2" t="s">
        <v>1453</v>
      </c>
      <c r="K326" s="4">
        <v>12000000</v>
      </c>
      <c r="L326" s="4">
        <v>100000</v>
      </c>
      <c r="M326" s="4">
        <v>3450000</v>
      </c>
      <c r="N326" s="4">
        <v>1200000</v>
      </c>
      <c r="O326" s="4">
        <v>4000000</v>
      </c>
      <c r="P326" s="5">
        <v>0.666667</v>
      </c>
      <c r="Q326" s="13">
        <v>0.8625</v>
      </c>
      <c r="R326" s="2" t="s">
        <v>1454</v>
      </c>
      <c r="S326" s="7">
        <f t="shared" si="40"/>
        <v>3450000</v>
      </c>
      <c r="T326" s="7">
        <f t="shared" si="41"/>
        <v>4000000</v>
      </c>
      <c r="U326" s="8">
        <f t="shared" si="42"/>
        <v>0.8625</v>
      </c>
      <c r="V326" s="9" t="e">
        <f>IF(T326&lt;=0,"Output &lt;= 0",IF(U326&gt;#REF!,"Terlalu tinggi",IF(U326&lt;#REF!,"Terlalu rendah","Sesuai")))</f>
        <v>#REF!</v>
      </c>
      <c r="W326" s="7" t="e">
        <f>IF(T326&lt;=0,S326,IF(U326&gt;#REF!,ROUNDDOWN(T326*#REF!,0),IF(U326&lt;#REF!,ROUNDUP(T326*#REF!,0),S326)))</f>
        <v>#REF!</v>
      </c>
      <c r="X326" s="7" t="e">
        <f t="shared" si="43"/>
        <v>#REF!</v>
      </c>
      <c r="Y326" s="7" t="e">
        <f t="shared" si="44"/>
        <v>#REF!</v>
      </c>
      <c r="Z326" s="7" t="e">
        <f t="shared" si="45"/>
        <v>#REF!</v>
      </c>
      <c r="AA326" s="7" t="e">
        <f t="shared" si="46"/>
        <v>#REF!</v>
      </c>
      <c r="AB326" s="8" t="e">
        <f t="shared" si="47"/>
        <v>#REF!</v>
      </c>
      <c r="AC326" s="9" t="e">
        <f>IF(T326&lt;=0,"Output &lt;= 0, cek manual",IF(OR(Z326&lt;0,Y326&lt;0),"Biaya negatif",IF(AND(AB326&gt;=#REF!,AB326&lt;=#REF!),"OK","Di luar rentang")))</f>
        <v>#REF!</v>
      </c>
    </row>
    <row r="327" ht="213.75" spans="1:29">
      <c r="A327" s="2" t="s">
        <v>30</v>
      </c>
      <c r="B327" s="2" t="s">
        <v>31</v>
      </c>
      <c r="C327" s="3" t="s">
        <v>1455</v>
      </c>
      <c r="D327" s="3" t="s">
        <v>1456</v>
      </c>
      <c r="E327" s="3" t="s">
        <v>1457</v>
      </c>
      <c r="F327" s="4">
        <v>150000</v>
      </c>
      <c r="G327" s="4">
        <v>19200000</v>
      </c>
      <c r="H327" s="4">
        <v>5000000</v>
      </c>
      <c r="I327" s="4">
        <v>0</v>
      </c>
      <c r="J327" s="2" t="s">
        <v>1458</v>
      </c>
      <c r="K327" s="4">
        <v>31000000</v>
      </c>
      <c r="L327" s="4">
        <v>0</v>
      </c>
      <c r="M327" s="4">
        <v>6650000</v>
      </c>
      <c r="N327" s="4">
        <v>1200000</v>
      </c>
      <c r="O327" s="4">
        <v>11800000</v>
      </c>
      <c r="P327" s="5">
        <v>0.619355</v>
      </c>
      <c r="Q327" s="5">
        <v>0.563559</v>
      </c>
      <c r="R327" s="2" t="s">
        <v>1459</v>
      </c>
      <c r="S327" s="7">
        <f t="shared" si="40"/>
        <v>6650000</v>
      </c>
      <c r="T327" s="7">
        <f t="shared" si="41"/>
        <v>11800000</v>
      </c>
      <c r="U327" s="8">
        <f t="shared" si="42"/>
        <v>0.563559322033898</v>
      </c>
      <c r="V327" s="9" t="e">
        <f>IF(T327&lt;=0,"Output &lt;= 0",IF(U327&gt;#REF!,"Terlalu tinggi",IF(U327&lt;#REF!,"Terlalu rendah","Sesuai")))</f>
        <v>#REF!</v>
      </c>
      <c r="W327" s="7" t="e">
        <f>IF(T327&lt;=0,S327,IF(U327&gt;#REF!,ROUNDDOWN(T327*#REF!,0),IF(U327&lt;#REF!,ROUNDUP(T327*#REF!,0),S327)))</f>
        <v>#REF!</v>
      </c>
      <c r="X327" s="7" t="e">
        <f t="shared" si="43"/>
        <v>#REF!</v>
      </c>
      <c r="Y327" s="7" t="e">
        <f t="shared" si="44"/>
        <v>#REF!</v>
      </c>
      <c r="Z327" s="7" t="e">
        <f t="shared" si="45"/>
        <v>#REF!</v>
      </c>
      <c r="AA327" s="7" t="e">
        <f t="shared" si="46"/>
        <v>#REF!</v>
      </c>
      <c r="AB327" s="8" t="e">
        <f t="shared" si="47"/>
        <v>#REF!</v>
      </c>
      <c r="AC327" s="9" t="e">
        <f>IF(T327&lt;=0,"Output &lt;= 0, cek manual",IF(OR(Z327&lt;0,Y327&lt;0),"Biaya negatif",IF(AND(AB327&gt;=#REF!,AB327&lt;=#REF!),"OK","Di luar rentang")))</f>
        <v>#REF!</v>
      </c>
    </row>
    <row r="328" ht="99.75" spans="1:29">
      <c r="A328" s="2" t="s">
        <v>30</v>
      </c>
      <c r="B328" s="2" t="s">
        <v>31</v>
      </c>
      <c r="C328" s="3" t="s">
        <v>1460</v>
      </c>
      <c r="D328" s="3" t="s">
        <v>1461</v>
      </c>
      <c r="E328" s="3" t="s">
        <v>1462</v>
      </c>
      <c r="F328" s="4">
        <v>500000</v>
      </c>
      <c r="G328" s="4">
        <v>8500000</v>
      </c>
      <c r="H328" s="4">
        <v>500000</v>
      </c>
      <c r="I328" s="4">
        <v>10000</v>
      </c>
      <c r="J328" s="2" t="s">
        <v>1463</v>
      </c>
      <c r="K328" s="4">
        <v>15000000</v>
      </c>
      <c r="L328" s="4">
        <v>0</v>
      </c>
      <c r="M328" s="4">
        <v>5500000</v>
      </c>
      <c r="N328" s="4">
        <v>11500000</v>
      </c>
      <c r="O328" s="4">
        <v>6500000</v>
      </c>
      <c r="P328" s="5">
        <v>0.566667</v>
      </c>
      <c r="Q328" s="5">
        <v>0.846154</v>
      </c>
      <c r="R328" s="2" t="s">
        <v>1464</v>
      </c>
      <c r="S328" s="7">
        <f t="shared" si="40"/>
        <v>5500000</v>
      </c>
      <c r="T328" s="7">
        <f t="shared" si="41"/>
        <v>6500000</v>
      </c>
      <c r="U328" s="8">
        <f t="shared" si="42"/>
        <v>0.846153846153846</v>
      </c>
      <c r="V328" s="9" t="e">
        <f>IF(T328&lt;=0,"Output &lt;= 0",IF(U328&gt;#REF!,"Terlalu tinggi",IF(U328&lt;#REF!,"Terlalu rendah","Sesuai")))</f>
        <v>#REF!</v>
      </c>
      <c r="W328" s="7" t="e">
        <f>IF(T328&lt;=0,S328,IF(U328&gt;#REF!,ROUNDDOWN(T328*#REF!,0),IF(U328&lt;#REF!,ROUNDUP(T328*#REF!,0),S328)))</f>
        <v>#REF!</v>
      </c>
      <c r="X328" s="7" t="e">
        <f t="shared" si="43"/>
        <v>#REF!</v>
      </c>
      <c r="Y328" s="7" t="e">
        <f t="shared" si="44"/>
        <v>#REF!</v>
      </c>
      <c r="Z328" s="7" t="e">
        <f t="shared" si="45"/>
        <v>#REF!</v>
      </c>
      <c r="AA328" s="7" t="e">
        <f t="shared" si="46"/>
        <v>#REF!</v>
      </c>
      <c r="AB328" s="8" t="e">
        <f t="shared" si="47"/>
        <v>#REF!</v>
      </c>
      <c r="AC328" s="9" t="e">
        <f>IF(T328&lt;=0,"Output &lt;= 0, cek manual",IF(OR(Z328&lt;0,Y328&lt;0),"Biaya negatif",IF(AND(AB328&gt;=#REF!,AB328&lt;=#REF!),"OK","Di luar rentang")))</f>
        <v>#REF!</v>
      </c>
    </row>
    <row r="329" ht="99.75" spans="1:29">
      <c r="A329" s="2" t="s">
        <v>30</v>
      </c>
      <c r="B329" s="2" t="s">
        <v>31</v>
      </c>
      <c r="C329" s="3" t="s">
        <v>1465</v>
      </c>
      <c r="D329" s="3" t="s">
        <v>228</v>
      </c>
      <c r="E329" s="3" t="s">
        <v>1466</v>
      </c>
      <c r="F329" s="4">
        <v>0</v>
      </c>
      <c r="G329" s="4">
        <v>72000000</v>
      </c>
      <c r="H329" s="4">
        <v>3000000</v>
      </c>
      <c r="I329" s="4">
        <v>0</v>
      </c>
      <c r="J329" s="2" t="s">
        <v>1467</v>
      </c>
      <c r="K329" s="4">
        <v>120000000</v>
      </c>
      <c r="L329" s="4">
        <v>0</v>
      </c>
      <c r="M329" s="4">
        <v>45000000</v>
      </c>
      <c r="N329" s="4">
        <v>5000000</v>
      </c>
      <c r="O329" s="4">
        <v>48000000</v>
      </c>
      <c r="P329" s="12">
        <v>0.6</v>
      </c>
      <c r="Q329" s="13">
        <v>0.9375</v>
      </c>
      <c r="R329" s="2" t="s">
        <v>1468</v>
      </c>
      <c r="S329" s="7">
        <f t="shared" si="40"/>
        <v>45000000</v>
      </c>
      <c r="T329" s="7">
        <f t="shared" si="41"/>
        <v>48000000</v>
      </c>
      <c r="U329" s="8">
        <f t="shared" si="42"/>
        <v>0.9375</v>
      </c>
      <c r="V329" s="9" t="e">
        <f>IF(T329&lt;=0,"Output &lt;= 0",IF(U329&gt;#REF!,"Terlalu tinggi",IF(U329&lt;#REF!,"Terlalu rendah","Sesuai")))</f>
        <v>#REF!</v>
      </c>
      <c r="W329" s="7" t="e">
        <f>IF(T329&lt;=0,S329,IF(U329&gt;#REF!,ROUNDDOWN(T329*#REF!,0),IF(U329&lt;#REF!,ROUNDUP(T329*#REF!,0),S329)))</f>
        <v>#REF!</v>
      </c>
      <c r="X329" s="7" t="e">
        <f t="shared" si="43"/>
        <v>#REF!</v>
      </c>
      <c r="Y329" s="7" t="e">
        <f t="shared" si="44"/>
        <v>#REF!</v>
      </c>
      <c r="Z329" s="7" t="e">
        <f t="shared" si="45"/>
        <v>#REF!</v>
      </c>
      <c r="AA329" s="7" t="e">
        <f t="shared" si="46"/>
        <v>#REF!</v>
      </c>
      <c r="AB329" s="8" t="e">
        <f t="shared" si="47"/>
        <v>#REF!</v>
      </c>
      <c r="AC329" s="9" t="e">
        <f>IF(T329&lt;=0,"Output &lt;= 0, cek manual",IF(OR(Z329&lt;0,Y329&lt;0),"Biaya negatif",IF(AND(AB329&gt;=#REF!,AB329&lt;=#REF!),"OK","Di luar rentang")))</f>
        <v>#REF!</v>
      </c>
    </row>
    <row r="330" ht="199.5" spans="1:29">
      <c r="A330" s="2" t="s">
        <v>30</v>
      </c>
      <c r="B330" s="2" t="s">
        <v>31</v>
      </c>
      <c r="C330" s="3" t="s">
        <v>1469</v>
      </c>
      <c r="D330" s="3" t="s">
        <v>1470</v>
      </c>
      <c r="E330" s="3" t="s">
        <v>1471</v>
      </c>
      <c r="F330" s="4">
        <v>17999988</v>
      </c>
      <c r="G330" s="4">
        <v>11400000</v>
      </c>
      <c r="H330" s="4">
        <v>240000</v>
      </c>
      <c r="I330" s="4">
        <v>0</v>
      </c>
      <c r="J330" s="2" t="s">
        <v>1472</v>
      </c>
      <c r="K330" s="4">
        <v>52200000</v>
      </c>
      <c r="L330" s="4">
        <v>0</v>
      </c>
      <c r="M330" s="4">
        <v>22560012</v>
      </c>
      <c r="N330" s="4">
        <v>0</v>
      </c>
      <c r="O330" s="4">
        <v>40800000</v>
      </c>
      <c r="P330" s="5">
        <v>0.218391</v>
      </c>
      <c r="Q330" s="5">
        <v>0.552941</v>
      </c>
      <c r="R330" s="2" t="s">
        <v>1473</v>
      </c>
      <c r="S330" s="7">
        <f t="shared" si="40"/>
        <v>22560012</v>
      </c>
      <c r="T330" s="7">
        <f t="shared" si="41"/>
        <v>40800000</v>
      </c>
      <c r="U330" s="8">
        <f t="shared" si="42"/>
        <v>0.552941470588235</v>
      </c>
      <c r="V330" s="9" t="e">
        <f>IF(T330&lt;=0,"Output &lt;= 0",IF(U330&gt;#REF!,"Terlalu tinggi",IF(U330&lt;#REF!,"Terlalu rendah","Sesuai")))</f>
        <v>#REF!</v>
      </c>
      <c r="W330" s="7" t="e">
        <f>IF(T330&lt;=0,S330,IF(U330&gt;#REF!,ROUNDDOWN(T330*#REF!,0),IF(U330&lt;#REF!,ROUNDUP(T330*#REF!,0),S330)))</f>
        <v>#REF!</v>
      </c>
      <c r="X330" s="7" t="e">
        <f t="shared" si="43"/>
        <v>#REF!</v>
      </c>
      <c r="Y330" s="7" t="e">
        <f t="shared" si="44"/>
        <v>#REF!</v>
      </c>
      <c r="Z330" s="7" t="e">
        <f t="shared" si="45"/>
        <v>#REF!</v>
      </c>
      <c r="AA330" s="7" t="e">
        <f t="shared" si="46"/>
        <v>#REF!</v>
      </c>
      <c r="AB330" s="8" t="e">
        <f t="shared" si="47"/>
        <v>#REF!</v>
      </c>
      <c r="AC330" s="9" t="e">
        <f>IF(T330&lt;=0,"Output &lt;= 0, cek manual",IF(OR(Z330&lt;0,Y330&lt;0),"Biaya negatif",IF(AND(AB330&gt;=#REF!,AB330&lt;=#REF!),"OK","Di luar rentang")))</f>
        <v>#REF!</v>
      </c>
    </row>
    <row r="331" ht="99.75" spans="1:29">
      <c r="A331" s="2" t="s">
        <v>30</v>
      </c>
      <c r="B331" s="2" t="s">
        <v>31</v>
      </c>
      <c r="C331" s="3" t="s">
        <v>1474</v>
      </c>
      <c r="D331" s="3" t="s">
        <v>1475</v>
      </c>
      <c r="E331" s="3" t="s">
        <v>1476</v>
      </c>
      <c r="F331" s="4">
        <v>300000</v>
      </c>
      <c r="G331" s="4">
        <v>1000000</v>
      </c>
      <c r="H331" s="4">
        <v>190000</v>
      </c>
      <c r="I331" s="4">
        <v>10000</v>
      </c>
      <c r="J331" s="2" t="s">
        <v>40</v>
      </c>
      <c r="K331" s="4">
        <v>1850000</v>
      </c>
      <c r="L331" s="4">
        <v>250000</v>
      </c>
      <c r="M331" s="4">
        <v>360000</v>
      </c>
      <c r="N331" s="4">
        <v>2000000</v>
      </c>
      <c r="O331" s="4">
        <v>850000</v>
      </c>
      <c r="P331" s="5">
        <v>0.540541</v>
      </c>
      <c r="Q331" s="5">
        <v>0.423529</v>
      </c>
      <c r="R331" s="2" t="s">
        <v>1477</v>
      </c>
      <c r="S331" s="7">
        <f t="shared" si="40"/>
        <v>360000</v>
      </c>
      <c r="T331" s="7">
        <f t="shared" si="41"/>
        <v>850000</v>
      </c>
      <c r="U331" s="8">
        <f t="shared" si="42"/>
        <v>0.423529411764706</v>
      </c>
      <c r="V331" s="9" t="e">
        <f>IF(T331&lt;=0,"Output &lt;= 0",IF(U331&gt;#REF!,"Terlalu tinggi",IF(U331&lt;#REF!,"Terlalu rendah","Sesuai")))</f>
        <v>#REF!</v>
      </c>
      <c r="W331" s="7" t="e">
        <f>IF(T331&lt;=0,S331,IF(U331&gt;#REF!,ROUNDDOWN(T331*#REF!,0),IF(U331&lt;#REF!,ROUNDUP(T331*#REF!,0),S331)))</f>
        <v>#REF!</v>
      </c>
      <c r="X331" s="7" t="e">
        <f t="shared" si="43"/>
        <v>#REF!</v>
      </c>
      <c r="Y331" s="7" t="e">
        <f t="shared" si="44"/>
        <v>#REF!</v>
      </c>
      <c r="Z331" s="7" t="e">
        <f t="shared" si="45"/>
        <v>#REF!</v>
      </c>
      <c r="AA331" s="7" t="e">
        <f t="shared" si="46"/>
        <v>#REF!</v>
      </c>
      <c r="AB331" s="8" t="e">
        <f t="shared" si="47"/>
        <v>#REF!</v>
      </c>
      <c r="AC331" s="9" t="e">
        <f>IF(T331&lt;=0,"Output &lt;= 0, cek manual",IF(OR(Z331&lt;0,Y331&lt;0),"Biaya negatif",IF(AND(AB331&gt;=#REF!,AB331&lt;=#REF!),"OK","Di luar rentang")))</f>
        <v>#REF!</v>
      </c>
    </row>
    <row r="332" ht="85.5" spans="1:29">
      <c r="A332" s="2" t="s">
        <v>30</v>
      </c>
      <c r="B332" s="2" t="s">
        <v>31</v>
      </c>
      <c r="C332" s="3" t="s">
        <v>1478</v>
      </c>
      <c r="D332" s="3" t="s">
        <v>38</v>
      </c>
      <c r="E332" s="3" t="s">
        <v>1479</v>
      </c>
      <c r="F332" s="4">
        <v>50000</v>
      </c>
      <c r="G332" s="4">
        <v>1000000</v>
      </c>
      <c r="H332" s="4">
        <v>100000</v>
      </c>
      <c r="I332" s="4">
        <v>0</v>
      </c>
      <c r="J332" s="2" t="s">
        <v>919</v>
      </c>
      <c r="K332" s="4">
        <v>4800000</v>
      </c>
      <c r="L332" s="4">
        <v>0</v>
      </c>
      <c r="M332" s="4">
        <v>3650000</v>
      </c>
      <c r="N332" s="4">
        <v>0</v>
      </c>
      <c r="O332" s="4">
        <v>3800000</v>
      </c>
      <c r="P332" s="5">
        <v>0.208333</v>
      </c>
      <c r="Q332" s="5">
        <v>0.960526</v>
      </c>
      <c r="R332" s="2" t="s">
        <v>1480</v>
      </c>
      <c r="S332" s="7">
        <f t="shared" si="40"/>
        <v>3650000</v>
      </c>
      <c r="T332" s="7">
        <f t="shared" si="41"/>
        <v>3800000</v>
      </c>
      <c r="U332" s="8">
        <f t="shared" si="42"/>
        <v>0.960526315789474</v>
      </c>
      <c r="V332" s="9" t="e">
        <f>IF(T332&lt;=0,"Output &lt;= 0",IF(U332&gt;#REF!,"Terlalu tinggi",IF(U332&lt;#REF!,"Terlalu rendah","Sesuai")))</f>
        <v>#REF!</v>
      </c>
      <c r="W332" s="7" t="e">
        <f>IF(T332&lt;=0,S332,IF(U332&gt;#REF!,ROUNDDOWN(T332*#REF!,0),IF(U332&lt;#REF!,ROUNDUP(T332*#REF!,0),S332)))</f>
        <v>#REF!</v>
      </c>
      <c r="X332" s="7" t="e">
        <f t="shared" si="43"/>
        <v>#REF!</v>
      </c>
      <c r="Y332" s="7" t="e">
        <f t="shared" si="44"/>
        <v>#REF!</v>
      </c>
      <c r="Z332" s="7" t="e">
        <f t="shared" si="45"/>
        <v>#REF!</v>
      </c>
      <c r="AA332" s="7" t="e">
        <f t="shared" si="46"/>
        <v>#REF!</v>
      </c>
      <c r="AB332" s="8" t="e">
        <f t="shared" si="47"/>
        <v>#REF!</v>
      </c>
      <c r="AC332" s="9" t="e">
        <f>IF(T332&lt;=0,"Output &lt;= 0, cek manual",IF(OR(Z332&lt;0,Y332&lt;0),"Biaya negatif",IF(AND(AB332&gt;=#REF!,AB332&lt;=#REF!),"OK","Di luar rentang")))</f>
        <v>#REF!</v>
      </c>
    </row>
    <row r="333" ht="42.75" spans="1:29">
      <c r="A333" s="2" t="s">
        <v>30</v>
      </c>
      <c r="B333" s="2" t="s">
        <v>31</v>
      </c>
      <c r="C333" s="3" t="s">
        <v>32</v>
      </c>
      <c r="D333" s="3" t="s">
        <v>228</v>
      </c>
      <c r="E333" s="3" t="s">
        <v>1324</v>
      </c>
      <c r="F333" s="4">
        <v>1200000</v>
      </c>
      <c r="G333" s="4">
        <v>10000000</v>
      </c>
      <c r="H333" s="4">
        <v>1000000</v>
      </c>
      <c r="I333" s="4">
        <v>0</v>
      </c>
      <c r="J333" s="2" t="s">
        <v>1481</v>
      </c>
      <c r="K333" s="4">
        <v>7000000</v>
      </c>
      <c r="L333" s="4">
        <v>12000000</v>
      </c>
      <c r="M333" s="4">
        <v>-5200000</v>
      </c>
      <c r="N333" s="4">
        <v>5000000</v>
      </c>
      <c r="O333" s="4">
        <v>-3000000</v>
      </c>
      <c r="P333" s="5">
        <v>1.428571</v>
      </c>
      <c r="Q333" s="5">
        <v>1.733333</v>
      </c>
      <c r="R333" s="2" t="s">
        <v>1482</v>
      </c>
      <c r="S333" s="7">
        <f t="shared" si="40"/>
        <v>-5200000</v>
      </c>
      <c r="T333" s="7">
        <f t="shared" si="41"/>
        <v>-3000000</v>
      </c>
      <c r="U333" s="8" t="str">
        <f t="shared" si="42"/>
        <v/>
      </c>
      <c r="V333" s="9" t="str">
        <f>IF(T333&lt;=0,"Output &lt;= 0",IF(U333&gt;#REF!,"Terlalu tinggi",IF(U333&lt;#REF!,"Terlalu rendah","Sesuai")))</f>
        <v>Output &lt;= 0</v>
      </c>
      <c r="W333" s="7">
        <f>IF(T333&lt;=0,S333,IF(U333&gt;#REF!,ROUNDDOWN(T333*#REF!,0),IF(U333&lt;#REF!,ROUNDUP(T333*#REF!,0),S333)))</f>
        <v>-5200000</v>
      </c>
      <c r="X333" s="7">
        <f t="shared" si="43"/>
        <v>0</v>
      </c>
      <c r="Y333" s="7">
        <f t="shared" si="44"/>
        <v>1000000</v>
      </c>
      <c r="Z333" s="7">
        <f t="shared" si="45"/>
        <v>1200000</v>
      </c>
      <c r="AA333" s="7">
        <f t="shared" si="46"/>
        <v>-5200000</v>
      </c>
      <c r="AB333" s="8" t="str">
        <f t="shared" si="47"/>
        <v/>
      </c>
      <c r="AC333" s="9" t="str">
        <f>IF(T333&lt;=0,"Output &lt;= 0, cek manual",IF(OR(Z333&lt;0,Y333&lt;0),"Biaya negatif",IF(AND(AB333&gt;=#REF!,AB333&lt;=#REF!),"OK","Di luar rentang")))</f>
        <v>Output &lt;= 0, cek manual</v>
      </c>
    </row>
    <row r="334" ht="171" spans="1:29">
      <c r="A334" s="2" t="s">
        <v>30</v>
      </c>
      <c r="B334" s="2" t="s">
        <v>31</v>
      </c>
      <c r="C334" s="3" t="s">
        <v>215</v>
      </c>
      <c r="D334" s="3" t="s">
        <v>1483</v>
      </c>
      <c r="E334" s="3" t="s">
        <v>1484</v>
      </c>
      <c r="F334" s="4">
        <v>100000</v>
      </c>
      <c r="G334" s="4">
        <v>500000</v>
      </c>
      <c r="H334" s="4">
        <v>200000</v>
      </c>
      <c r="I334" s="4">
        <v>0</v>
      </c>
      <c r="J334" s="2" t="s">
        <v>213</v>
      </c>
      <c r="K334" s="4">
        <v>1300000</v>
      </c>
      <c r="L334" s="4">
        <v>0</v>
      </c>
      <c r="M334" s="4">
        <v>500000</v>
      </c>
      <c r="N334" s="4">
        <v>2100000</v>
      </c>
      <c r="O334" s="4">
        <v>800000</v>
      </c>
      <c r="P334" s="5">
        <v>0.384615</v>
      </c>
      <c r="Q334" s="10">
        <v>0.625</v>
      </c>
      <c r="R334" s="2" t="s">
        <v>1485</v>
      </c>
      <c r="S334" s="7">
        <f t="shared" si="40"/>
        <v>500000</v>
      </c>
      <c r="T334" s="7">
        <f t="shared" si="41"/>
        <v>800000</v>
      </c>
      <c r="U334" s="8">
        <f t="shared" si="42"/>
        <v>0.625</v>
      </c>
      <c r="V334" s="9" t="e">
        <f>IF(T334&lt;=0,"Output &lt;= 0",IF(U334&gt;#REF!,"Terlalu tinggi",IF(U334&lt;#REF!,"Terlalu rendah","Sesuai")))</f>
        <v>#REF!</v>
      </c>
      <c r="W334" s="7" t="e">
        <f>IF(T334&lt;=0,S334,IF(U334&gt;#REF!,ROUNDDOWN(T334*#REF!,0),IF(U334&lt;#REF!,ROUNDUP(T334*#REF!,0),S334)))</f>
        <v>#REF!</v>
      </c>
      <c r="X334" s="7" t="e">
        <f t="shared" si="43"/>
        <v>#REF!</v>
      </c>
      <c r="Y334" s="7" t="e">
        <f t="shared" si="44"/>
        <v>#REF!</v>
      </c>
      <c r="Z334" s="7" t="e">
        <f t="shared" si="45"/>
        <v>#REF!</v>
      </c>
      <c r="AA334" s="7" t="e">
        <f t="shared" si="46"/>
        <v>#REF!</v>
      </c>
      <c r="AB334" s="8" t="e">
        <f t="shared" si="47"/>
        <v>#REF!</v>
      </c>
      <c r="AC334" s="9" t="e">
        <f>IF(T334&lt;=0,"Output &lt;= 0, cek manual",IF(OR(Z334&lt;0,Y334&lt;0),"Biaya negatif",IF(AND(AB334&gt;=#REF!,AB334&lt;=#REF!),"OK","Di luar rentang")))</f>
        <v>#REF!</v>
      </c>
    </row>
    <row r="335" ht="71.25" spans="1:29">
      <c r="A335" s="2" t="s">
        <v>30</v>
      </c>
      <c r="B335" s="2" t="s">
        <v>31</v>
      </c>
      <c r="C335" s="3" t="s">
        <v>1486</v>
      </c>
      <c r="D335" s="3" t="s">
        <v>228</v>
      </c>
      <c r="E335" s="3" t="s">
        <v>959</v>
      </c>
      <c r="F335" s="4">
        <v>2000000</v>
      </c>
      <c r="G335" s="4">
        <v>1500000</v>
      </c>
      <c r="H335" s="4">
        <v>200000</v>
      </c>
      <c r="I335" s="4">
        <v>50000</v>
      </c>
      <c r="J335" s="2" t="s">
        <v>1487</v>
      </c>
      <c r="K335" s="4">
        <v>6000000</v>
      </c>
      <c r="L335" s="4">
        <v>250000</v>
      </c>
      <c r="M335" s="4">
        <v>2300000</v>
      </c>
      <c r="N335" s="4">
        <v>6000000</v>
      </c>
      <c r="O335" s="4">
        <v>4500000</v>
      </c>
      <c r="P335" s="11">
        <v>0.25</v>
      </c>
      <c r="Q335" s="5">
        <v>0.511111</v>
      </c>
      <c r="R335" s="2" t="s">
        <v>1488</v>
      </c>
      <c r="S335" s="7">
        <f t="shared" si="40"/>
        <v>2300000</v>
      </c>
      <c r="T335" s="7">
        <f t="shared" si="41"/>
        <v>4500000</v>
      </c>
      <c r="U335" s="8">
        <f t="shared" si="42"/>
        <v>0.511111111111111</v>
      </c>
      <c r="V335" s="9" t="e">
        <f>IF(T335&lt;=0,"Output &lt;= 0",IF(U335&gt;#REF!,"Terlalu tinggi",IF(U335&lt;#REF!,"Terlalu rendah","Sesuai")))</f>
        <v>#REF!</v>
      </c>
      <c r="W335" s="7" t="e">
        <f>IF(T335&lt;=0,S335,IF(U335&gt;#REF!,ROUNDDOWN(T335*#REF!,0),IF(U335&lt;#REF!,ROUNDUP(T335*#REF!,0),S335)))</f>
        <v>#REF!</v>
      </c>
      <c r="X335" s="7" t="e">
        <f t="shared" si="43"/>
        <v>#REF!</v>
      </c>
      <c r="Y335" s="7" t="e">
        <f t="shared" si="44"/>
        <v>#REF!</v>
      </c>
      <c r="Z335" s="7" t="e">
        <f t="shared" si="45"/>
        <v>#REF!</v>
      </c>
      <c r="AA335" s="7" t="e">
        <f t="shared" si="46"/>
        <v>#REF!</v>
      </c>
      <c r="AB335" s="8" t="e">
        <f t="shared" si="47"/>
        <v>#REF!</v>
      </c>
      <c r="AC335" s="9" t="e">
        <f>IF(T335&lt;=0,"Output &lt;= 0, cek manual",IF(OR(Z335&lt;0,Y335&lt;0),"Biaya negatif",IF(AND(AB335&gt;=#REF!,AB335&lt;=#REF!),"OK","Di luar rentang")))</f>
        <v>#REF!</v>
      </c>
    </row>
    <row r="336" ht="99.75" spans="1:29">
      <c r="A336" s="2" t="s">
        <v>30</v>
      </c>
      <c r="B336" s="2" t="s">
        <v>31</v>
      </c>
      <c r="C336" s="3" t="s">
        <v>1489</v>
      </c>
      <c r="D336" s="3" t="s">
        <v>1490</v>
      </c>
      <c r="E336" s="3" t="s">
        <v>1491</v>
      </c>
      <c r="F336" s="4">
        <v>5000000</v>
      </c>
      <c r="G336" s="4">
        <v>25000000</v>
      </c>
      <c r="H336" s="4">
        <v>3000000</v>
      </c>
      <c r="I336" s="4">
        <v>0</v>
      </c>
      <c r="J336" s="2" t="s">
        <v>1492</v>
      </c>
      <c r="K336" s="4">
        <v>38400000</v>
      </c>
      <c r="L336" s="4">
        <v>0</v>
      </c>
      <c r="M336" s="4">
        <v>5400000</v>
      </c>
      <c r="N336" s="4">
        <v>16000000</v>
      </c>
      <c r="O336" s="4">
        <v>13400000</v>
      </c>
      <c r="P336" s="5">
        <v>0.651042</v>
      </c>
      <c r="Q336" s="5">
        <v>0.402985</v>
      </c>
      <c r="R336" s="2" t="s">
        <v>1493</v>
      </c>
      <c r="S336" s="7">
        <f t="shared" si="40"/>
        <v>5400000</v>
      </c>
      <c r="T336" s="7">
        <f t="shared" si="41"/>
        <v>13400000</v>
      </c>
      <c r="U336" s="8">
        <f t="shared" si="42"/>
        <v>0.402985074626866</v>
      </c>
      <c r="V336" s="9" t="e">
        <f>IF(T336&lt;=0,"Output &lt;= 0",IF(U336&gt;#REF!,"Terlalu tinggi",IF(U336&lt;#REF!,"Terlalu rendah","Sesuai")))</f>
        <v>#REF!</v>
      </c>
      <c r="W336" s="7" t="e">
        <f>IF(T336&lt;=0,S336,IF(U336&gt;#REF!,ROUNDDOWN(T336*#REF!,0),IF(U336&lt;#REF!,ROUNDUP(T336*#REF!,0),S336)))</f>
        <v>#REF!</v>
      </c>
      <c r="X336" s="7" t="e">
        <f t="shared" si="43"/>
        <v>#REF!</v>
      </c>
      <c r="Y336" s="7" t="e">
        <f t="shared" si="44"/>
        <v>#REF!</v>
      </c>
      <c r="Z336" s="7" t="e">
        <f t="shared" si="45"/>
        <v>#REF!</v>
      </c>
      <c r="AA336" s="7" t="e">
        <f t="shared" si="46"/>
        <v>#REF!</v>
      </c>
      <c r="AB336" s="8" t="e">
        <f t="shared" si="47"/>
        <v>#REF!</v>
      </c>
      <c r="AC336" s="9" t="e">
        <f>IF(T336&lt;=0,"Output &lt;= 0, cek manual",IF(OR(Z336&lt;0,Y336&lt;0),"Biaya negatif",IF(AND(AB336&gt;=#REF!,AB336&lt;=#REF!),"OK","Di luar rentang")))</f>
        <v>#REF!</v>
      </c>
    </row>
    <row r="337" ht="114" spans="1:29">
      <c r="A337" s="2" t="s">
        <v>30</v>
      </c>
      <c r="B337" s="2" t="s">
        <v>31</v>
      </c>
      <c r="C337" s="3" t="s">
        <v>1494</v>
      </c>
      <c r="D337" s="3" t="s">
        <v>1495</v>
      </c>
      <c r="E337" s="3" t="s">
        <v>1496</v>
      </c>
      <c r="F337" s="4">
        <v>500000</v>
      </c>
      <c r="G337" s="4">
        <v>33600000</v>
      </c>
      <c r="H337" s="4">
        <v>10000</v>
      </c>
      <c r="I337" s="4">
        <v>0</v>
      </c>
      <c r="J337" s="2" t="s">
        <v>1497</v>
      </c>
      <c r="K337" s="4">
        <v>40640000</v>
      </c>
      <c r="L337" s="4">
        <v>0</v>
      </c>
      <c r="M337" s="4">
        <v>6530000</v>
      </c>
      <c r="N337" s="4">
        <v>2500000</v>
      </c>
      <c r="O337" s="4">
        <v>7040000</v>
      </c>
      <c r="P337" s="5">
        <v>0.826772</v>
      </c>
      <c r="Q337" s="5">
        <v>0.927557</v>
      </c>
      <c r="R337" s="2" t="s">
        <v>1498</v>
      </c>
      <c r="S337" s="7">
        <f t="shared" si="40"/>
        <v>6530000</v>
      </c>
      <c r="T337" s="7">
        <f t="shared" si="41"/>
        <v>7040000</v>
      </c>
      <c r="U337" s="8">
        <f t="shared" si="42"/>
        <v>0.927556818181818</v>
      </c>
      <c r="V337" s="9" t="e">
        <f>IF(T337&lt;=0,"Output &lt;= 0",IF(U337&gt;#REF!,"Terlalu tinggi",IF(U337&lt;#REF!,"Terlalu rendah","Sesuai")))</f>
        <v>#REF!</v>
      </c>
      <c r="W337" s="7" t="e">
        <f>IF(T337&lt;=0,S337,IF(U337&gt;#REF!,ROUNDDOWN(T337*#REF!,0),IF(U337&lt;#REF!,ROUNDUP(T337*#REF!,0),S337)))</f>
        <v>#REF!</v>
      </c>
      <c r="X337" s="7" t="e">
        <f t="shared" si="43"/>
        <v>#REF!</v>
      </c>
      <c r="Y337" s="7" t="e">
        <f t="shared" si="44"/>
        <v>#REF!</v>
      </c>
      <c r="Z337" s="7" t="e">
        <f t="shared" si="45"/>
        <v>#REF!</v>
      </c>
      <c r="AA337" s="7" t="e">
        <f t="shared" si="46"/>
        <v>#REF!</v>
      </c>
      <c r="AB337" s="8" t="e">
        <f t="shared" si="47"/>
        <v>#REF!</v>
      </c>
      <c r="AC337" s="9" t="e">
        <f>IF(T337&lt;=0,"Output &lt;= 0, cek manual",IF(OR(Z337&lt;0,Y337&lt;0),"Biaya negatif",IF(AND(AB337&gt;=#REF!,AB337&lt;=#REF!),"OK","Di luar rentang")))</f>
        <v>#REF!</v>
      </c>
    </row>
    <row r="338" ht="114" spans="1:29">
      <c r="A338" s="2" t="s">
        <v>30</v>
      </c>
      <c r="B338" s="2" t="s">
        <v>31</v>
      </c>
      <c r="C338" s="3" t="s">
        <v>1499</v>
      </c>
      <c r="D338" s="3" t="s">
        <v>1500</v>
      </c>
      <c r="E338" s="3" t="s">
        <v>1501</v>
      </c>
      <c r="F338" s="4">
        <v>300000</v>
      </c>
      <c r="G338" s="4">
        <v>500000</v>
      </c>
      <c r="H338" s="4">
        <v>100000</v>
      </c>
      <c r="I338" s="4">
        <v>50000</v>
      </c>
      <c r="J338" s="2" t="s">
        <v>1502</v>
      </c>
      <c r="K338" s="4">
        <v>0</v>
      </c>
      <c r="L338" s="4">
        <v>5000000</v>
      </c>
      <c r="M338" s="4">
        <v>-900000</v>
      </c>
      <c r="N338" s="4">
        <v>20350000</v>
      </c>
      <c r="O338" s="4">
        <v>-500000</v>
      </c>
      <c r="P338" s="4">
        <v>0</v>
      </c>
      <c r="Q338" s="12">
        <v>1.8</v>
      </c>
      <c r="R338" s="2" t="s">
        <v>1503</v>
      </c>
      <c r="S338" s="7">
        <f t="shared" si="40"/>
        <v>-900000</v>
      </c>
      <c r="T338" s="7">
        <f t="shared" si="41"/>
        <v>-500000</v>
      </c>
      <c r="U338" s="8" t="str">
        <f t="shared" si="42"/>
        <v/>
      </c>
      <c r="V338" s="9" t="str">
        <f>IF(T338&lt;=0,"Output &lt;= 0",IF(U338&gt;#REF!,"Terlalu tinggi",IF(U338&lt;#REF!,"Terlalu rendah","Sesuai")))</f>
        <v>Output &lt;= 0</v>
      </c>
      <c r="W338" s="7">
        <f>IF(T338&lt;=0,S338,IF(U338&gt;#REF!,ROUNDDOWN(T338*#REF!,0),IF(U338&lt;#REF!,ROUNDUP(T338*#REF!,0),S338)))</f>
        <v>-900000</v>
      </c>
      <c r="X338" s="7">
        <f t="shared" si="43"/>
        <v>0</v>
      </c>
      <c r="Y338" s="7">
        <f t="shared" si="44"/>
        <v>100000</v>
      </c>
      <c r="Z338" s="7">
        <f t="shared" si="45"/>
        <v>300000</v>
      </c>
      <c r="AA338" s="7">
        <f t="shared" si="46"/>
        <v>-900000</v>
      </c>
      <c r="AB338" s="8" t="str">
        <f t="shared" si="47"/>
        <v/>
      </c>
      <c r="AC338" s="9" t="str">
        <f>IF(T338&lt;=0,"Output &lt;= 0, cek manual",IF(OR(Z338&lt;0,Y338&lt;0),"Biaya negatif",IF(AND(AB338&gt;=#REF!,AB338&lt;=#REF!),"OK","Di luar rentang")))</f>
        <v>Output &lt;= 0, cek manual</v>
      </c>
    </row>
    <row r="339" ht="99.75" spans="1:29">
      <c r="A339" s="2" t="s">
        <v>30</v>
      </c>
      <c r="B339" s="2" t="s">
        <v>31</v>
      </c>
      <c r="C339" s="3" t="s">
        <v>1504</v>
      </c>
      <c r="D339" s="3" t="s">
        <v>301</v>
      </c>
      <c r="E339" s="3" t="s">
        <v>1505</v>
      </c>
      <c r="F339" s="4">
        <v>600000</v>
      </c>
      <c r="G339" s="4">
        <v>2500000</v>
      </c>
      <c r="H339" s="4">
        <v>700000</v>
      </c>
      <c r="I339" s="4">
        <v>0</v>
      </c>
      <c r="J339" s="2" t="s">
        <v>1430</v>
      </c>
      <c r="K339" s="4">
        <v>5000000</v>
      </c>
      <c r="L339" s="4">
        <v>0</v>
      </c>
      <c r="M339" s="4">
        <v>1200000</v>
      </c>
      <c r="N339" s="4">
        <v>0</v>
      </c>
      <c r="O339" s="4">
        <v>2500000</v>
      </c>
      <c r="P339" s="12">
        <v>0.5</v>
      </c>
      <c r="Q339" s="11">
        <v>0.48</v>
      </c>
      <c r="R339" s="2" t="s">
        <v>1506</v>
      </c>
      <c r="S339" s="7">
        <f t="shared" si="40"/>
        <v>1200000</v>
      </c>
      <c r="T339" s="7">
        <f t="shared" si="41"/>
        <v>2500000</v>
      </c>
      <c r="U339" s="8">
        <f t="shared" si="42"/>
        <v>0.48</v>
      </c>
      <c r="V339" s="9" t="e">
        <f>IF(T339&lt;=0,"Output &lt;= 0",IF(U339&gt;#REF!,"Terlalu tinggi",IF(U339&lt;#REF!,"Terlalu rendah","Sesuai")))</f>
        <v>#REF!</v>
      </c>
      <c r="W339" s="7" t="e">
        <f>IF(T339&lt;=0,S339,IF(U339&gt;#REF!,ROUNDDOWN(T339*#REF!,0),IF(U339&lt;#REF!,ROUNDUP(T339*#REF!,0),S339)))</f>
        <v>#REF!</v>
      </c>
      <c r="X339" s="7" t="e">
        <f t="shared" si="43"/>
        <v>#REF!</v>
      </c>
      <c r="Y339" s="7" t="e">
        <f t="shared" si="44"/>
        <v>#REF!</v>
      </c>
      <c r="Z339" s="7" t="e">
        <f t="shared" si="45"/>
        <v>#REF!</v>
      </c>
      <c r="AA339" s="7" t="e">
        <f t="shared" si="46"/>
        <v>#REF!</v>
      </c>
      <c r="AB339" s="8" t="e">
        <f t="shared" si="47"/>
        <v>#REF!</v>
      </c>
      <c r="AC339" s="9" t="e">
        <f>IF(T339&lt;=0,"Output &lt;= 0, cek manual",IF(OR(Z339&lt;0,Y339&lt;0),"Biaya negatif",IF(AND(AB339&gt;=#REF!,AB339&lt;=#REF!),"OK","Di luar rentang")))</f>
        <v>#REF!</v>
      </c>
    </row>
    <row r="340" ht="142.5" spans="1:29">
      <c r="A340" s="2" t="s">
        <v>30</v>
      </c>
      <c r="B340" s="2" t="s">
        <v>31</v>
      </c>
      <c r="C340" s="3" t="s">
        <v>1507</v>
      </c>
      <c r="D340" s="3" t="s">
        <v>1508</v>
      </c>
      <c r="E340" s="3" t="s">
        <v>1509</v>
      </c>
      <c r="F340" s="4">
        <v>200000</v>
      </c>
      <c r="G340" s="4">
        <v>10000000</v>
      </c>
      <c r="H340" s="4">
        <v>55000</v>
      </c>
      <c r="I340" s="4">
        <v>35000</v>
      </c>
      <c r="J340" s="2" t="s">
        <v>1510</v>
      </c>
      <c r="K340" s="4">
        <v>12200000</v>
      </c>
      <c r="L340" s="4">
        <v>0</v>
      </c>
      <c r="M340" s="4">
        <v>1945000</v>
      </c>
      <c r="N340" s="4">
        <v>85000000</v>
      </c>
      <c r="O340" s="4">
        <v>2200000</v>
      </c>
      <c r="P340" s="5">
        <v>0.819672</v>
      </c>
      <c r="Q340" s="5">
        <v>0.884091</v>
      </c>
      <c r="R340" s="14" t="s">
        <v>1511</v>
      </c>
      <c r="S340" s="7">
        <f t="shared" si="40"/>
        <v>1945000</v>
      </c>
      <c r="T340" s="7">
        <f t="shared" si="41"/>
        <v>2200000</v>
      </c>
      <c r="U340" s="8">
        <f t="shared" si="42"/>
        <v>0.884090909090909</v>
      </c>
      <c r="V340" s="9" t="e">
        <f>IF(T340&lt;=0,"Output &lt;= 0",IF(U340&gt;#REF!,"Terlalu tinggi",IF(U340&lt;#REF!,"Terlalu rendah","Sesuai")))</f>
        <v>#REF!</v>
      </c>
      <c r="W340" s="7" t="e">
        <f>IF(T340&lt;=0,S340,IF(U340&gt;#REF!,ROUNDDOWN(T340*#REF!,0),IF(U340&lt;#REF!,ROUNDUP(T340*#REF!,0),S340)))</f>
        <v>#REF!</v>
      </c>
      <c r="X340" s="7" t="e">
        <f t="shared" si="43"/>
        <v>#REF!</v>
      </c>
      <c r="Y340" s="7" t="e">
        <f t="shared" si="44"/>
        <v>#REF!</v>
      </c>
      <c r="Z340" s="7" t="e">
        <f t="shared" si="45"/>
        <v>#REF!</v>
      </c>
      <c r="AA340" s="7" t="e">
        <f t="shared" si="46"/>
        <v>#REF!</v>
      </c>
      <c r="AB340" s="8" t="e">
        <f t="shared" si="47"/>
        <v>#REF!</v>
      </c>
      <c r="AC340" s="9" t="e">
        <f>IF(T340&lt;=0,"Output &lt;= 0, cek manual",IF(OR(Z340&lt;0,Y340&lt;0),"Biaya negatif",IF(AND(AB340&gt;=#REF!,AB340&lt;=#REF!),"OK","Di luar rentang")))</f>
        <v>#REF!</v>
      </c>
    </row>
    <row r="341" ht="85.5" spans="1:29">
      <c r="A341" s="2" t="s">
        <v>30</v>
      </c>
      <c r="B341" s="2" t="s">
        <v>31</v>
      </c>
      <c r="C341" s="3" t="s">
        <v>1512</v>
      </c>
      <c r="D341" s="3" t="s">
        <v>32</v>
      </c>
      <c r="E341" s="3" t="s">
        <v>1513</v>
      </c>
      <c r="F341" s="4">
        <v>4000000</v>
      </c>
      <c r="G341" s="4">
        <v>3000000</v>
      </c>
      <c r="H341" s="4">
        <v>1000000</v>
      </c>
      <c r="I341" s="4">
        <v>0</v>
      </c>
      <c r="J341" s="2" t="s">
        <v>276</v>
      </c>
      <c r="K341" s="4">
        <v>8000000</v>
      </c>
      <c r="L341" s="4">
        <v>0</v>
      </c>
      <c r="M341" s="4">
        <v>0</v>
      </c>
      <c r="N341" s="4">
        <v>30500000</v>
      </c>
      <c r="O341" s="4">
        <v>5000000</v>
      </c>
      <c r="P341" s="10">
        <v>0.375</v>
      </c>
      <c r="Q341" s="4">
        <v>0</v>
      </c>
      <c r="R341" s="2" t="s">
        <v>1514</v>
      </c>
      <c r="S341" s="7">
        <f t="shared" si="40"/>
        <v>0</v>
      </c>
      <c r="T341" s="7">
        <f t="shared" si="41"/>
        <v>5000000</v>
      </c>
      <c r="U341" s="8">
        <f t="shared" si="42"/>
        <v>0</v>
      </c>
      <c r="V341" s="9" t="e">
        <f>IF(T341&lt;=0,"Output &lt;= 0",IF(U341&gt;#REF!,"Terlalu tinggi",IF(U341&lt;#REF!,"Terlalu rendah","Sesuai")))</f>
        <v>#REF!</v>
      </c>
      <c r="W341" s="7" t="e">
        <f>IF(T341&lt;=0,S341,IF(U341&gt;#REF!,ROUNDDOWN(T341*#REF!,0),IF(U341&lt;#REF!,ROUNDUP(T341*#REF!,0),S341)))</f>
        <v>#REF!</v>
      </c>
      <c r="X341" s="7" t="e">
        <f t="shared" si="43"/>
        <v>#REF!</v>
      </c>
      <c r="Y341" s="7" t="e">
        <f t="shared" si="44"/>
        <v>#REF!</v>
      </c>
      <c r="Z341" s="7" t="e">
        <f t="shared" si="45"/>
        <v>#REF!</v>
      </c>
      <c r="AA341" s="7" t="e">
        <f t="shared" si="46"/>
        <v>#REF!</v>
      </c>
      <c r="AB341" s="8" t="e">
        <f t="shared" si="47"/>
        <v>#REF!</v>
      </c>
      <c r="AC341" s="9" t="e">
        <f>IF(T341&lt;=0,"Output &lt;= 0, cek manual",IF(OR(Z341&lt;0,Y341&lt;0),"Biaya negatif",IF(AND(AB341&gt;=#REF!,AB341&lt;=#REF!),"OK","Di luar rentang")))</f>
        <v>#REF!</v>
      </c>
    </row>
    <row r="342" ht="128.25" spans="1:29">
      <c r="A342" s="2" t="s">
        <v>30</v>
      </c>
      <c r="B342" s="2" t="s">
        <v>31</v>
      </c>
      <c r="C342" s="3" t="s">
        <v>1515</v>
      </c>
      <c r="D342" s="3" t="s">
        <v>1516</v>
      </c>
      <c r="E342" s="3" t="s">
        <v>1517</v>
      </c>
      <c r="F342" s="4">
        <v>150000</v>
      </c>
      <c r="G342" s="4">
        <v>20000000</v>
      </c>
      <c r="H342" s="4">
        <v>2000000</v>
      </c>
      <c r="I342" s="4">
        <v>20000</v>
      </c>
      <c r="J342" s="2" t="s">
        <v>1518</v>
      </c>
      <c r="K342" s="4">
        <v>36000000</v>
      </c>
      <c r="L342" s="4">
        <v>0</v>
      </c>
      <c r="M342" s="4">
        <v>13850000</v>
      </c>
      <c r="N342" s="4">
        <v>42000000</v>
      </c>
      <c r="O342" s="4">
        <v>16000000</v>
      </c>
      <c r="P342" s="5">
        <v>0.555556</v>
      </c>
      <c r="Q342" s="5">
        <v>0.865625</v>
      </c>
      <c r="R342" s="2" t="s">
        <v>1519</v>
      </c>
      <c r="S342" s="7">
        <f t="shared" si="40"/>
        <v>13850000</v>
      </c>
      <c r="T342" s="7">
        <f t="shared" si="41"/>
        <v>16000000</v>
      </c>
      <c r="U342" s="8">
        <f t="shared" si="42"/>
        <v>0.865625</v>
      </c>
      <c r="V342" s="9" t="e">
        <f>IF(T342&lt;=0,"Output &lt;= 0",IF(U342&gt;#REF!,"Terlalu tinggi",IF(U342&lt;#REF!,"Terlalu rendah","Sesuai")))</f>
        <v>#REF!</v>
      </c>
      <c r="W342" s="7" t="e">
        <f>IF(T342&lt;=0,S342,IF(U342&gt;#REF!,ROUNDDOWN(T342*#REF!,0),IF(U342&lt;#REF!,ROUNDUP(T342*#REF!,0),S342)))</f>
        <v>#REF!</v>
      </c>
      <c r="X342" s="7" t="e">
        <f t="shared" si="43"/>
        <v>#REF!</v>
      </c>
      <c r="Y342" s="7" t="e">
        <f t="shared" si="44"/>
        <v>#REF!</v>
      </c>
      <c r="Z342" s="7" t="e">
        <f t="shared" si="45"/>
        <v>#REF!</v>
      </c>
      <c r="AA342" s="7" t="e">
        <f t="shared" si="46"/>
        <v>#REF!</v>
      </c>
      <c r="AB342" s="8" t="e">
        <f t="shared" si="47"/>
        <v>#REF!</v>
      </c>
      <c r="AC342" s="9" t="e">
        <f>IF(T342&lt;=0,"Output &lt;= 0, cek manual",IF(OR(Z342&lt;0,Y342&lt;0),"Biaya negatif",IF(AND(AB342&gt;=#REF!,AB342&lt;=#REF!),"OK","Di luar rentang")))</f>
        <v>#REF!</v>
      </c>
    </row>
    <row r="343" ht="57" spans="1:29">
      <c r="A343" s="2" t="s">
        <v>30</v>
      </c>
      <c r="B343" s="2" t="s">
        <v>31</v>
      </c>
      <c r="C343" s="3" t="s">
        <v>1520</v>
      </c>
      <c r="D343" s="3" t="s">
        <v>228</v>
      </c>
      <c r="E343" s="3" t="s">
        <v>1521</v>
      </c>
      <c r="F343" s="4">
        <v>0</v>
      </c>
      <c r="G343" s="4">
        <v>5000000</v>
      </c>
      <c r="H343" s="4">
        <v>200000</v>
      </c>
      <c r="I343" s="4">
        <v>0</v>
      </c>
      <c r="J343" s="2" t="s">
        <v>839</v>
      </c>
      <c r="K343" s="4">
        <v>10000000</v>
      </c>
      <c r="L343" s="4">
        <v>0</v>
      </c>
      <c r="M343" s="4">
        <v>4800000</v>
      </c>
      <c r="N343" s="4">
        <v>2000000</v>
      </c>
      <c r="O343" s="4">
        <v>5000000</v>
      </c>
      <c r="P343" s="12">
        <v>0.5</v>
      </c>
      <c r="Q343" s="11">
        <v>0.96</v>
      </c>
      <c r="R343" s="2" t="s">
        <v>1522</v>
      </c>
      <c r="S343" s="7">
        <f t="shared" si="40"/>
        <v>4800000</v>
      </c>
      <c r="T343" s="7">
        <f t="shared" si="41"/>
        <v>5000000</v>
      </c>
      <c r="U343" s="8">
        <f t="shared" si="42"/>
        <v>0.96</v>
      </c>
      <c r="V343" s="9" t="e">
        <f>IF(T343&lt;=0,"Output &lt;= 0",IF(U343&gt;#REF!,"Terlalu tinggi",IF(U343&lt;#REF!,"Terlalu rendah","Sesuai")))</f>
        <v>#REF!</v>
      </c>
      <c r="W343" s="7" t="e">
        <f>IF(T343&lt;=0,S343,IF(U343&gt;#REF!,ROUNDDOWN(T343*#REF!,0),IF(U343&lt;#REF!,ROUNDUP(T343*#REF!,0),S343)))</f>
        <v>#REF!</v>
      </c>
      <c r="X343" s="7" t="e">
        <f t="shared" si="43"/>
        <v>#REF!</v>
      </c>
      <c r="Y343" s="7" t="e">
        <f t="shared" si="44"/>
        <v>#REF!</v>
      </c>
      <c r="Z343" s="7" t="e">
        <f t="shared" si="45"/>
        <v>#REF!</v>
      </c>
      <c r="AA343" s="7" t="e">
        <f t="shared" si="46"/>
        <v>#REF!</v>
      </c>
      <c r="AB343" s="8" t="e">
        <f t="shared" si="47"/>
        <v>#REF!</v>
      </c>
      <c r="AC343" s="9" t="e">
        <f>IF(T343&lt;=0,"Output &lt;= 0, cek manual",IF(OR(Z343&lt;0,Y343&lt;0),"Biaya negatif",IF(AND(AB343&gt;=#REF!,AB343&lt;=#REF!),"OK","Di luar rentang")))</f>
        <v>#REF!</v>
      </c>
    </row>
    <row r="344" ht="114" spans="1:29">
      <c r="A344" s="2" t="s">
        <v>30</v>
      </c>
      <c r="B344" s="2" t="s">
        <v>31</v>
      </c>
      <c r="C344" s="3" t="s">
        <v>1523</v>
      </c>
      <c r="D344" s="3" t="s">
        <v>1524</v>
      </c>
      <c r="E344" s="3" t="s">
        <v>1525</v>
      </c>
      <c r="F344" s="4">
        <v>0</v>
      </c>
      <c r="G344" s="4">
        <v>53760000</v>
      </c>
      <c r="H344" s="4">
        <v>1200000</v>
      </c>
      <c r="I344" s="4">
        <v>0</v>
      </c>
      <c r="J344" s="2" t="s">
        <v>1526</v>
      </c>
      <c r="K344" s="4">
        <v>67200000</v>
      </c>
      <c r="L344" s="4">
        <v>0</v>
      </c>
      <c r="M344" s="4">
        <v>12240000</v>
      </c>
      <c r="N344" s="4">
        <v>0</v>
      </c>
      <c r="O344" s="4">
        <v>13440000</v>
      </c>
      <c r="P344" s="12">
        <v>0.8</v>
      </c>
      <c r="Q344" s="5">
        <v>0.910714</v>
      </c>
      <c r="R344" s="2" t="s">
        <v>1527</v>
      </c>
      <c r="S344" s="7">
        <f t="shared" si="40"/>
        <v>12240000</v>
      </c>
      <c r="T344" s="7">
        <f t="shared" si="41"/>
        <v>13440000</v>
      </c>
      <c r="U344" s="8">
        <f t="shared" si="42"/>
        <v>0.910714285714286</v>
      </c>
      <c r="V344" s="9" t="e">
        <f>IF(T344&lt;=0,"Output &lt;= 0",IF(U344&gt;#REF!,"Terlalu tinggi",IF(U344&lt;#REF!,"Terlalu rendah","Sesuai")))</f>
        <v>#REF!</v>
      </c>
      <c r="W344" s="7" t="e">
        <f>IF(T344&lt;=0,S344,IF(U344&gt;#REF!,ROUNDDOWN(T344*#REF!,0),IF(U344&lt;#REF!,ROUNDUP(T344*#REF!,0),S344)))</f>
        <v>#REF!</v>
      </c>
      <c r="X344" s="7" t="e">
        <f t="shared" si="43"/>
        <v>#REF!</v>
      </c>
      <c r="Y344" s="7" t="e">
        <f t="shared" si="44"/>
        <v>#REF!</v>
      </c>
      <c r="Z344" s="7" t="e">
        <f t="shared" si="45"/>
        <v>#REF!</v>
      </c>
      <c r="AA344" s="7" t="e">
        <f t="shared" si="46"/>
        <v>#REF!</v>
      </c>
      <c r="AB344" s="8" t="e">
        <f t="shared" si="47"/>
        <v>#REF!</v>
      </c>
      <c r="AC344" s="9" t="e">
        <f>IF(T344&lt;=0,"Output &lt;= 0, cek manual",IF(OR(Z344&lt;0,Y344&lt;0),"Biaya negatif",IF(AND(AB344&gt;=#REF!,AB344&lt;=#REF!),"OK","Di luar rentang")))</f>
        <v>#REF!</v>
      </c>
    </row>
    <row r="345" ht="128.25" spans="1:29">
      <c r="A345" s="2" t="s">
        <v>30</v>
      </c>
      <c r="B345" s="2" t="s">
        <v>31</v>
      </c>
      <c r="C345" s="3" t="s">
        <v>1528</v>
      </c>
      <c r="D345" s="3" t="s">
        <v>1529</v>
      </c>
      <c r="E345" s="3" t="s">
        <v>1530</v>
      </c>
      <c r="F345" s="4">
        <v>0</v>
      </c>
      <c r="G345" s="4">
        <v>1000000</v>
      </c>
      <c r="H345" s="4">
        <v>100000</v>
      </c>
      <c r="I345" s="4">
        <v>0</v>
      </c>
      <c r="J345" s="2" t="s">
        <v>74</v>
      </c>
      <c r="K345" s="4">
        <v>2000000</v>
      </c>
      <c r="L345" s="4">
        <v>0</v>
      </c>
      <c r="M345" s="4">
        <v>900000</v>
      </c>
      <c r="N345" s="4">
        <v>27000000</v>
      </c>
      <c r="O345" s="4">
        <v>1000000</v>
      </c>
      <c r="P345" s="12">
        <v>0.5</v>
      </c>
      <c r="Q345" s="12">
        <v>0.9</v>
      </c>
      <c r="R345" s="2" t="s">
        <v>1531</v>
      </c>
      <c r="S345" s="7">
        <f t="shared" si="40"/>
        <v>900000</v>
      </c>
      <c r="T345" s="7">
        <f t="shared" si="41"/>
        <v>1000000</v>
      </c>
      <c r="U345" s="8">
        <f t="shared" si="42"/>
        <v>0.9</v>
      </c>
      <c r="V345" s="9" t="e">
        <f>IF(T345&lt;=0,"Output &lt;= 0",IF(U345&gt;#REF!,"Terlalu tinggi",IF(U345&lt;#REF!,"Terlalu rendah","Sesuai")))</f>
        <v>#REF!</v>
      </c>
      <c r="W345" s="7" t="e">
        <f>IF(T345&lt;=0,S345,IF(U345&gt;#REF!,ROUNDDOWN(T345*#REF!,0),IF(U345&lt;#REF!,ROUNDUP(T345*#REF!,0),S345)))</f>
        <v>#REF!</v>
      </c>
      <c r="X345" s="7" t="e">
        <f t="shared" si="43"/>
        <v>#REF!</v>
      </c>
      <c r="Y345" s="7" t="e">
        <f t="shared" si="44"/>
        <v>#REF!</v>
      </c>
      <c r="Z345" s="7" t="e">
        <f t="shared" si="45"/>
        <v>#REF!</v>
      </c>
      <c r="AA345" s="7" t="e">
        <f t="shared" si="46"/>
        <v>#REF!</v>
      </c>
      <c r="AB345" s="8" t="e">
        <f t="shared" si="47"/>
        <v>#REF!</v>
      </c>
      <c r="AC345" s="9" t="e">
        <f>IF(T345&lt;=0,"Output &lt;= 0, cek manual",IF(OR(Z345&lt;0,Y345&lt;0),"Biaya negatif",IF(AND(AB345&gt;=#REF!,AB345&lt;=#REF!),"OK","Di luar rentang")))</f>
        <v>#REF!</v>
      </c>
    </row>
    <row r="346" ht="99.75" spans="1:29">
      <c r="A346" s="2" t="s">
        <v>30</v>
      </c>
      <c r="B346" s="2" t="s">
        <v>31</v>
      </c>
      <c r="C346" s="3" t="s">
        <v>1532</v>
      </c>
      <c r="D346" s="3" t="s">
        <v>224</v>
      </c>
      <c r="E346" s="3" t="s">
        <v>1533</v>
      </c>
      <c r="F346" s="4">
        <v>1500000</v>
      </c>
      <c r="G346" s="4">
        <v>894000</v>
      </c>
      <c r="H346" s="4">
        <v>100000</v>
      </c>
      <c r="I346" s="4">
        <v>0</v>
      </c>
      <c r="J346" s="2" t="s">
        <v>1534</v>
      </c>
      <c r="K346" s="4">
        <v>5000000</v>
      </c>
      <c r="L346" s="4">
        <v>500000</v>
      </c>
      <c r="M346" s="4">
        <v>2506000</v>
      </c>
      <c r="N346" s="4">
        <v>1500000</v>
      </c>
      <c r="O346" s="4">
        <v>4106000</v>
      </c>
      <c r="P346" s="13">
        <v>0.1788</v>
      </c>
      <c r="Q346" s="5">
        <v>0.610326</v>
      </c>
      <c r="R346" s="2" t="s">
        <v>1535</v>
      </c>
      <c r="S346" s="7">
        <f t="shared" si="40"/>
        <v>2506000</v>
      </c>
      <c r="T346" s="7">
        <f t="shared" si="41"/>
        <v>4106000</v>
      </c>
      <c r="U346" s="8">
        <f t="shared" si="42"/>
        <v>0.610326351680468</v>
      </c>
      <c r="V346" s="9" t="e">
        <f>IF(T346&lt;=0,"Output &lt;= 0",IF(U346&gt;#REF!,"Terlalu tinggi",IF(U346&lt;#REF!,"Terlalu rendah","Sesuai")))</f>
        <v>#REF!</v>
      </c>
      <c r="W346" s="7" t="e">
        <f>IF(T346&lt;=0,S346,IF(U346&gt;#REF!,ROUNDDOWN(T346*#REF!,0),IF(U346&lt;#REF!,ROUNDUP(T346*#REF!,0),S346)))</f>
        <v>#REF!</v>
      </c>
      <c r="X346" s="7" t="e">
        <f t="shared" si="43"/>
        <v>#REF!</v>
      </c>
      <c r="Y346" s="7" t="e">
        <f t="shared" si="44"/>
        <v>#REF!</v>
      </c>
      <c r="Z346" s="7" t="e">
        <f t="shared" si="45"/>
        <v>#REF!</v>
      </c>
      <c r="AA346" s="7" t="e">
        <f t="shared" si="46"/>
        <v>#REF!</v>
      </c>
      <c r="AB346" s="8" t="e">
        <f t="shared" si="47"/>
        <v>#REF!</v>
      </c>
      <c r="AC346" s="9" t="e">
        <f>IF(T346&lt;=0,"Output &lt;= 0, cek manual",IF(OR(Z346&lt;0,Y346&lt;0),"Biaya negatif",IF(AND(AB346&gt;=#REF!,AB346&lt;=#REF!),"OK","Di luar rentang")))</f>
        <v>#REF!</v>
      </c>
    </row>
    <row r="347" ht="114" spans="1:29">
      <c r="A347" s="2" t="s">
        <v>30</v>
      </c>
      <c r="B347" s="2" t="s">
        <v>31</v>
      </c>
      <c r="C347" s="3" t="s">
        <v>1536</v>
      </c>
      <c r="D347" s="3" t="s">
        <v>1537</v>
      </c>
      <c r="E347" s="3" t="s">
        <v>1538</v>
      </c>
      <c r="F347" s="4">
        <v>800000</v>
      </c>
      <c r="G347" s="4">
        <v>10000000</v>
      </c>
      <c r="H347" s="4">
        <v>400000</v>
      </c>
      <c r="I347" s="4">
        <v>0</v>
      </c>
      <c r="J347" s="2" t="s">
        <v>1539</v>
      </c>
      <c r="K347" s="4">
        <v>19500000</v>
      </c>
      <c r="L347" s="4">
        <v>0</v>
      </c>
      <c r="M347" s="4">
        <v>8300000</v>
      </c>
      <c r="N347" s="4">
        <v>2000000</v>
      </c>
      <c r="O347" s="4">
        <v>9500000</v>
      </c>
      <c r="P347" s="5">
        <v>0.512821</v>
      </c>
      <c r="Q347" s="5">
        <v>0.873684</v>
      </c>
      <c r="R347" s="2" t="s">
        <v>1540</v>
      </c>
      <c r="S347" s="7">
        <f t="shared" si="40"/>
        <v>8300000</v>
      </c>
      <c r="T347" s="7">
        <f t="shared" si="41"/>
        <v>9500000</v>
      </c>
      <c r="U347" s="8">
        <f t="shared" si="42"/>
        <v>0.873684210526316</v>
      </c>
      <c r="V347" s="9" t="e">
        <f>IF(T347&lt;=0,"Output &lt;= 0",IF(U347&gt;#REF!,"Terlalu tinggi",IF(U347&lt;#REF!,"Terlalu rendah","Sesuai")))</f>
        <v>#REF!</v>
      </c>
      <c r="W347" s="7" t="e">
        <f>IF(T347&lt;=0,S347,IF(U347&gt;#REF!,ROUNDDOWN(T347*#REF!,0),IF(U347&lt;#REF!,ROUNDUP(T347*#REF!,0),S347)))</f>
        <v>#REF!</v>
      </c>
      <c r="X347" s="7" t="e">
        <f t="shared" si="43"/>
        <v>#REF!</v>
      </c>
      <c r="Y347" s="7" t="e">
        <f t="shared" si="44"/>
        <v>#REF!</v>
      </c>
      <c r="Z347" s="7" t="e">
        <f t="shared" si="45"/>
        <v>#REF!</v>
      </c>
      <c r="AA347" s="7" t="e">
        <f t="shared" si="46"/>
        <v>#REF!</v>
      </c>
      <c r="AB347" s="8" t="e">
        <f t="shared" si="47"/>
        <v>#REF!</v>
      </c>
      <c r="AC347" s="9" t="e">
        <f>IF(T347&lt;=0,"Output &lt;= 0, cek manual",IF(OR(Z347&lt;0,Y347&lt;0),"Biaya negatif",IF(AND(AB347&gt;=#REF!,AB347&lt;=#REF!),"OK","Di luar rentang")))</f>
        <v>#REF!</v>
      </c>
    </row>
    <row r="348" ht="71.25" spans="1:29">
      <c r="A348" s="2" t="s">
        <v>30</v>
      </c>
      <c r="B348" s="2" t="s">
        <v>31</v>
      </c>
      <c r="C348" s="3" t="s">
        <v>1541</v>
      </c>
      <c r="D348" s="3" t="s">
        <v>1542</v>
      </c>
      <c r="E348" s="3" t="s">
        <v>1543</v>
      </c>
      <c r="F348" s="4">
        <v>200000</v>
      </c>
      <c r="G348" s="4">
        <v>10000000</v>
      </c>
      <c r="H348" s="4">
        <v>200000</v>
      </c>
      <c r="I348" s="4">
        <v>0</v>
      </c>
      <c r="J348" s="2" t="s">
        <v>1539</v>
      </c>
      <c r="K348" s="4">
        <v>12000000</v>
      </c>
      <c r="L348" s="4">
        <v>0</v>
      </c>
      <c r="M348" s="4">
        <v>1600000</v>
      </c>
      <c r="N348" s="4">
        <v>27000000</v>
      </c>
      <c r="O348" s="4">
        <v>2000000</v>
      </c>
      <c r="P348" s="5">
        <v>0.833333</v>
      </c>
      <c r="Q348" s="12">
        <v>0.8</v>
      </c>
      <c r="R348" s="2" t="s">
        <v>1544</v>
      </c>
      <c r="S348" s="7">
        <f t="shared" si="40"/>
        <v>1600000</v>
      </c>
      <c r="T348" s="7">
        <f t="shared" si="41"/>
        <v>2000000</v>
      </c>
      <c r="U348" s="8">
        <f t="shared" si="42"/>
        <v>0.8</v>
      </c>
      <c r="V348" s="9" t="e">
        <f>IF(T348&lt;=0,"Output &lt;= 0",IF(U348&gt;#REF!,"Terlalu tinggi",IF(U348&lt;#REF!,"Terlalu rendah","Sesuai")))</f>
        <v>#REF!</v>
      </c>
      <c r="W348" s="7" t="e">
        <f>IF(T348&lt;=0,S348,IF(U348&gt;#REF!,ROUNDDOWN(T348*#REF!,0),IF(U348&lt;#REF!,ROUNDUP(T348*#REF!,0),S348)))</f>
        <v>#REF!</v>
      </c>
      <c r="X348" s="7" t="e">
        <f t="shared" si="43"/>
        <v>#REF!</v>
      </c>
      <c r="Y348" s="7" t="e">
        <f t="shared" si="44"/>
        <v>#REF!</v>
      </c>
      <c r="Z348" s="7" t="e">
        <f t="shared" si="45"/>
        <v>#REF!</v>
      </c>
      <c r="AA348" s="7" t="e">
        <f t="shared" si="46"/>
        <v>#REF!</v>
      </c>
      <c r="AB348" s="8" t="e">
        <f t="shared" si="47"/>
        <v>#REF!</v>
      </c>
      <c r="AC348" s="9" t="e">
        <f>IF(T348&lt;=0,"Output &lt;= 0, cek manual",IF(OR(Z348&lt;0,Y348&lt;0),"Biaya negatif",IF(AND(AB348&gt;=#REF!,AB348&lt;=#REF!),"OK","Di luar rentang")))</f>
        <v>#REF!</v>
      </c>
    </row>
    <row r="349" ht="99.75" spans="1:29">
      <c r="A349" s="2" t="s">
        <v>30</v>
      </c>
      <c r="B349" s="2" t="s">
        <v>31</v>
      </c>
      <c r="C349" s="3" t="s">
        <v>1545</v>
      </c>
      <c r="D349" s="3" t="s">
        <v>228</v>
      </c>
      <c r="E349" s="3" t="s">
        <v>1375</v>
      </c>
      <c r="F349" s="4">
        <v>0</v>
      </c>
      <c r="G349" s="4">
        <v>80000000</v>
      </c>
      <c r="H349" s="4">
        <v>7500000</v>
      </c>
      <c r="I349" s="4">
        <v>0</v>
      </c>
      <c r="J349" s="2" t="s">
        <v>1546</v>
      </c>
      <c r="K349" s="4">
        <v>125000000</v>
      </c>
      <c r="L349" s="4">
        <v>0</v>
      </c>
      <c r="M349" s="4">
        <v>37500000</v>
      </c>
      <c r="N349" s="4">
        <v>9000000</v>
      </c>
      <c r="O349" s="4">
        <v>45000000</v>
      </c>
      <c r="P349" s="11">
        <v>0.64</v>
      </c>
      <c r="Q349" s="5">
        <v>0.833333</v>
      </c>
      <c r="R349" s="2" t="s">
        <v>1547</v>
      </c>
      <c r="S349" s="7">
        <f t="shared" si="40"/>
        <v>37500000</v>
      </c>
      <c r="T349" s="7">
        <f t="shared" si="41"/>
        <v>45000000</v>
      </c>
      <c r="U349" s="8">
        <f t="shared" si="42"/>
        <v>0.833333333333333</v>
      </c>
      <c r="V349" s="9" t="e">
        <f>IF(T349&lt;=0,"Output &lt;= 0",IF(U349&gt;#REF!,"Terlalu tinggi",IF(U349&lt;#REF!,"Terlalu rendah","Sesuai")))</f>
        <v>#REF!</v>
      </c>
      <c r="W349" s="7" t="e">
        <f>IF(T349&lt;=0,S349,IF(U349&gt;#REF!,ROUNDDOWN(T349*#REF!,0),IF(U349&lt;#REF!,ROUNDUP(T349*#REF!,0),S349)))</f>
        <v>#REF!</v>
      </c>
      <c r="X349" s="7" t="e">
        <f t="shared" si="43"/>
        <v>#REF!</v>
      </c>
      <c r="Y349" s="7" t="e">
        <f t="shared" si="44"/>
        <v>#REF!</v>
      </c>
      <c r="Z349" s="7" t="e">
        <f t="shared" si="45"/>
        <v>#REF!</v>
      </c>
      <c r="AA349" s="7" t="e">
        <f t="shared" si="46"/>
        <v>#REF!</v>
      </c>
      <c r="AB349" s="8" t="e">
        <f t="shared" si="47"/>
        <v>#REF!</v>
      </c>
      <c r="AC349" s="9" t="e">
        <f>IF(T349&lt;=0,"Output &lt;= 0, cek manual",IF(OR(Z349&lt;0,Y349&lt;0),"Biaya negatif",IF(AND(AB349&gt;=#REF!,AB349&lt;=#REF!),"OK","Di luar rentang")))</f>
        <v>#REF!</v>
      </c>
    </row>
    <row r="350" ht="85.5" spans="1:29">
      <c r="A350" s="2" t="s">
        <v>30</v>
      </c>
      <c r="B350" s="2" t="s">
        <v>31</v>
      </c>
      <c r="C350" s="3" t="s">
        <v>1548</v>
      </c>
      <c r="D350" s="3" t="s">
        <v>1549</v>
      </c>
      <c r="E350" s="3" t="s">
        <v>1550</v>
      </c>
      <c r="F350" s="4">
        <v>0</v>
      </c>
      <c r="G350" s="4">
        <v>6000000</v>
      </c>
      <c r="H350" s="4">
        <v>500000</v>
      </c>
      <c r="I350" s="4">
        <v>100000</v>
      </c>
      <c r="J350" s="2" t="s">
        <v>328</v>
      </c>
      <c r="K350" s="4">
        <v>10000000</v>
      </c>
      <c r="L350" s="4">
        <v>0</v>
      </c>
      <c r="M350" s="4">
        <v>3500000</v>
      </c>
      <c r="N350" s="4">
        <v>25000000</v>
      </c>
      <c r="O350" s="4">
        <v>4000000</v>
      </c>
      <c r="P350" s="12">
        <v>0.6</v>
      </c>
      <c r="Q350" s="10">
        <v>0.875</v>
      </c>
      <c r="R350" s="2" t="s">
        <v>1551</v>
      </c>
      <c r="S350" s="7">
        <f t="shared" si="40"/>
        <v>3500000</v>
      </c>
      <c r="T350" s="7">
        <f t="shared" si="41"/>
        <v>4000000</v>
      </c>
      <c r="U350" s="8">
        <f t="shared" si="42"/>
        <v>0.875</v>
      </c>
      <c r="V350" s="9" t="e">
        <f>IF(T350&lt;=0,"Output &lt;= 0",IF(U350&gt;#REF!,"Terlalu tinggi",IF(U350&lt;#REF!,"Terlalu rendah","Sesuai")))</f>
        <v>#REF!</v>
      </c>
      <c r="W350" s="7" t="e">
        <f>IF(T350&lt;=0,S350,IF(U350&gt;#REF!,ROUNDDOWN(T350*#REF!,0),IF(U350&lt;#REF!,ROUNDUP(T350*#REF!,0),S350)))</f>
        <v>#REF!</v>
      </c>
      <c r="X350" s="7" t="e">
        <f t="shared" si="43"/>
        <v>#REF!</v>
      </c>
      <c r="Y350" s="7" t="e">
        <f t="shared" si="44"/>
        <v>#REF!</v>
      </c>
      <c r="Z350" s="7" t="e">
        <f t="shared" si="45"/>
        <v>#REF!</v>
      </c>
      <c r="AA350" s="7" t="e">
        <f t="shared" si="46"/>
        <v>#REF!</v>
      </c>
      <c r="AB350" s="8" t="e">
        <f t="shared" si="47"/>
        <v>#REF!</v>
      </c>
      <c r="AC350" s="9" t="e">
        <f>IF(T350&lt;=0,"Output &lt;= 0, cek manual",IF(OR(Z350&lt;0,Y350&lt;0),"Biaya negatif",IF(AND(AB350&gt;=#REF!,AB350&lt;=#REF!),"OK","Di luar rentang")))</f>
        <v>#REF!</v>
      </c>
    </row>
    <row r="351" ht="128.25" spans="1:29">
      <c r="A351" s="2" t="s">
        <v>30</v>
      </c>
      <c r="B351" s="2" t="s">
        <v>31</v>
      </c>
      <c r="C351" s="3" t="s">
        <v>1552</v>
      </c>
      <c r="D351" s="3" t="s">
        <v>1553</v>
      </c>
      <c r="E351" s="3" t="s">
        <v>1554</v>
      </c>
      <c r="F351" s="4">
        <v>5000000</v>
      </c>
      <c r="G351" s="4">
        <v>0</v>
      </c>
      <c r="H351" s="4">
        <v>250000</v>
      </c>
      <c r="I351" s="4">
        <v>0</v>
      </c>
      <c r="J351" s="2" t="s">
        <v>1534</v>
      </c>
      <c r="K351" s="4">
        <v>9000000</v>
      </c>
      <c r="L351" s="4">
        <v>0</v>
      </c>
      <c r="M351" s="4">
        <v>3750000</v>
      </c>
      <c r="N351" s="4">
        <v>900000</v>
      </c>
      <c r="O351" s="4">
        <v>9000000</v>
      </c>
      <c r="P351" s="4">
        <v>0</v>
      </c>
      <c r="Q351" s="5">
        <v>0.416667</v>
      </c>
      <c r="R351" s="2" t="s">
        <v>1555</v>
      </c>
      <c r="S351" s="7">
        <f t="shared" si="40"/>
        <v>3750000</v>
      </c>
      <c r="T351" s="7">
        <f t="shared" si="41"/>
        <v>9000000</v>
      </c>
      <c r="U351" s="8">
        <f t="shared" si="42"/>
        <v>0.416666666666667</v>
      </c>
      <c r="V351" s="9" t="e">
        <f>IF(T351&lt;=0,"Output &lt;= 0",IF(U351&gt;#REF!,"Terlalu tinggi",IF(U351&lt;#REF!,"Terlalu rendah","Sesuai")))</f>
        <v>#REF!</v>
      </c>
      <c r="W351" s="7" t="e">
        <f>IF(T351&lt;=0,S351,IF(U351&gt;#REF!,ROUNDDOWN(T351*#REF!,0),IF(U351&lt;#REF!,ROUNDUP(T351*#REF!,0),S351)))</f>
        <v>#REF!</v>
      </c>
      <c r="X351" s="7" t="e">
        <f t="shared" si="43"/>
        <v>#REF!</v>
      </c>
      <c r="Y351" s="7" t="e">
        <f t="shared" si="44"/>
        <v>#REF!</v>
      </c>
      <c r="Z351" s="7" t="e">
        <f t="shared" si="45"/>
        <v>#REF!</v>
      </c>
      <c r="AA351" s="7" t="e">
        <f t="shared" si="46"/>
        <v>#REF!</v>
      </c>
      <c r="AB351" s="8" t="e">
        <f t="shared" si="47"/>
        <v>#REF!</v>
      </c>
      <c r="AC351" s="9" t="e">
        <f>IF(T351&lt;=0,"Output &lt;= 0, cek manual",IF(OR(Z351&lt;0,Y351&lt;0),"Biaya negatif",IF(AND(AB351&gt;=#REF!,AB351&lt;=#REF!),"OK","Di luar rentang")))</f>
        <v>#REF!</v>
      </c>
    </row>
    <row r="352" ht="114" spans="1:29">
      <c r="A352" s="2" t="s">
        <v>30</v>
      </c>
      <c r="B352" s="2" t="s">
        <v>31</v>
      </c>
      <c r="C352" s="3" t="s">
        <v>1556</v>
      </c>
      <c r="D352" s="3" t="s">
        <v>1557</v>
      </c>
      <c r="E352" s="3" t="s">
        <v>1558</v>
      </c>
      <c r="F352" s="4">
        <v>1200000</v>
      </c>
      <c r="G352" s="4">
        <v>12000000</v>
      </c>
      <c r="H352" s="4">
        <v>600000</v>
      </c>
      <c r="I352" s="4">
        <v>0</v>
      </c>
      <c r="J352" s="2" t="s">
        <v>1559</v>
      </c>
      <c r="K352" s="4">
        <v>15000000</v>
      </c>
      <c r="L352" s="4">
        <v>0</v>
      </c>
      <c r="M352" s="4">
        <v>1200000</v>
      </c>
      <c r="N352" s="4">
        <v>100000</v>
      </c>
      <c r="O352" s="4">
        <v>3000000</v>
      </c>
      <c r="P352" s="12">
        <v>0.8</v>
      </c>
      <c r="Q352" s="12">
        <v>0.4</v>
      </c>
      <c r="R352" s="2" t="s">
        <v>1560</v>
      </c>
      <c r="S352" s="7">
        <f t="shared" si="40"/>
        <v>1200000</v>
      </c>
      <c r="T352" s="7">
        <f t="shared" si="41"/>
        <v>3000000</v>
      </c>
      <c r="U352" s="8">
        <f t="shared" si="42"/>
        <v>0.4</v>
      </c>
      <c r="V352" s="9" t="e">
        <f>IF(T352&lt;=0,"Output &lt;= 0",IF(U352&gt;#REF!,"Terlalu tinggi",IF(U352&lt;#REF!,"Terlalu rendah","Sesuai")))</f>
        <v>#REF!</v>
      </c>
      <c r="W352" s="7" t="e">
        <f>IF(T352&lt;=0,S352,IF(U352&gt;#REF!,ROUNDDOWN(T352*#REF!,0),IF(U352&lt;#REF!,ROUNDUP(T352*#REF!,0),S352)))</f>
        <v>#REF!</v>
      </c>
      <c r="X352" s="7" t="e">
        <f t="shared" si="43"/>
        <v>#REF!</v>
      </c>
      <c r="Y352" s="7" t="e">
        <f t="shared" si="44"/>
        <v>#REF!</v>
      </c>
      <c r="Z352" s="7" t="e">
        <f t="shared" si="45"/>
        <v>#REF!</v>
      </c>
      <c r="AA352" s="7" t="e">
        <f t="shared" si="46"/>
        <v>#REF!</v>
      </c>
      <c r="AB352" s="8" t="e">
        <f t="shared" si="47"/>
        <v>#REF!</v>
      </c>
      <c r="AC352" s="9" t="e">
        <f>IF(T352&lt;=0,"Output &lt;= 0, cek manual",IF(OR(Z352&lt;0,Y352&lt;0),"Biaya negatif",IF(AND(AB352&gt;=#REF!,AB352&lt;=#REF!),"OK","Di luar rentang")))</f>
        <v>#REF!</v>
      </c>
    </row>
    <row r="353" ht="128.25" spans="1:29">
      <c r="A353" s="2" t="s">
        <v>30</v>
      </c>
      <c r="B353" s="2" t="s">
        <v>31</v>
      </c>
      <c r="C353" s="3" t="s">
        <v>1561</v>
      </c>
      <c r="D353" s="3" t="s">
        <v>91</v>
      </c>
      <c r="E353" s="3" t="s">
        <v>1353</v>
      </c>
      <c r="F353" s="4">
        <v>0</v>
      </c>
      <c r="G353" s="4">
        <v>1250000</v>
      </c>
      <c r="H353" s="4">
        <v>250000</v>
      </c>
      <c r="I353" s="4">
        <v>0</v>
      </c>
      <c r="J353" s="2" t="s">
        <v>40</v>
      </c>
      <c r="K353" s="4">
        <v>1750000</v>
      </c>
      <c r="L353" s="4">
        <v>750000</v>
      </c>
      <c r="M353" s="4">
        <v>250000</v>
      </c>
      <c r="N353" s="4">
        <v>29500000</v>
      </c>
      <c r="O353" s="4">
        <v>500000</v>
      </c>
      <c r="P353" s="5">
        <v>0.714286</v>
      </c>
      <c r="Q353" s="12">
        <v>0.5</v>
      </c>
      <c r="R353" s="2" t="s">
        <v>1562</v>
      </c>
      <c r="S353" s="7">
        <f t="shared" si="40"/>
        <v>250000</v>
      </c>
      <c r="T353" s="7">
        <f t="shared" si="41"/>
        <v>500000</v>
      </c>
      <c r="U353" s="8">
        <f t="shared" si="42"/>
        <v>0.5</v>
      </c>
      <c r="V353" s="9" t="e">
        <f>IF(T353&lt;=0,"Output &lt;= 0",IF(U353&gt;#REF!,"Terlalu tinggi",IF(U353&lt;#REF!,"Terlalu rendah","Sesuai")))</f>
        <v>#REF!</v>
      </c>
      <c r="W353" s="7" t="e">
        <f>IF(T353&lt;=0,S353,IF(U353&gt;#REF!,ROUNDDOWN(T353*#REF!,0),IF(U353&lt;#REF!,ROUNDUP(T353*#REF!,0),S353)))</f>
        <v>#REF!</v>
      </c>
      <c r="X353" s="7" t="e">
        <f t="shared" si="43"/>
        <v>#REF!</v>
      </c>
      <c r="Y353" s="7" t="e">
        <f t="shared" si="44"/>
        <v>#REF!</v>
      </c>
      <c r="Z353" s="7" t="e">
        <f t="shared" si="45"/>
        <v>#REF!</v>
      </c>
      <c r="AA353" s="7" t="e">
        <f t="shared" si="46"/>
        <v>#REF!</v>
      </c>
      <c r="AB353" s="8" t="e">
        <f t="shared" si="47"/>
        <v>#REF!</v>
      </c>
      <c r="AC353" s="9" t="e">
        <f>IF(T353&lt;=0,"Output &lt;= 0, cek manual",IF(OR(Z353&lt;0,Y353&lt;0),"Biaya negatif",IF(AND(AB353&gt;=#REF!,AB353&lt;=#REF!),"OK","Di luar rentang")))</f>
        <v>#REF!</v>
      </c>
    </row>
    <row r="354" ht="57" spans="1:29">
      <c r="A354" s="2" t="s">
        <v>30</v>
      </c>
      <c r="B354" s="2" t="s">
        <v>31</v>
      </c>
      <c r="C354" s="3" t="s">
        <v>1563</v>
      </c>
      <c r="D354" s="3" t="s">
        <v>1564</v>
      </c>
      <c r="E354" s="3" t="s">
        <v>1565</v>
      </c>
      <c r="F354" s="4">
        <v>250000</v>
      </c>
      <c r="G354" s="4">
        <v>2000000</v>
      </c>
      <c r="H354" s="4">
        <v>1000000</v>
      </c>
      <c r="I354" s="4">
        <v>0</v>
      </c>
      <c r="J354" s="2" t="s">
        <v>162</v>
      </c>
      <c r="K354" s="4">
        <v>10000000</v>
      </c>
      <c r="L354" s="4">
        <v>1000000</v>
      </c>
      <c r="M354" s="4">
        <v>6750000</v>
      </c>
      <c r="N354" s="4">
        <v>17000000</v>
      </c>
      <c r="O354" s="4">
        <v>8000000</v>
      </c>
      <c r="P354" s="12">
        <v>0.2</v>
      </c>
      <c r="Q354" s="6">
        <v>0.84375</v>
      </c>
      <c r="R354" s="2" t="s">
        <v>1566</v>
      </c>
      <c r="S354" s="7">
        <f t="shared" si="40"/>
        <v>6750000</v>
      </c>
      <c r="T354" s="7">
        <f t="shared" si="41"/>
        <v>8000000</v>
      </c>
      <c r="U354" s="8">
        <f t="shared" si="42"/>
        <v>0.84375</v>
      </c>
      <c r="V354" s="9" t="e">
        <f>IF(T354&lt;=0,"Output &lt;= 0",IF(U354&gt;#REF!,"Terlalu tinggi",IF(U354&lt;#REF!,"Terlalu rendah","Sesuai")))</f>
        <v>#REF!</v>
      </c>
      <c r="W354" s="7" t="e">
        <f>IF(T354&lt;=0,S354,IF(U354&gt;#REF!,ROUNDDOWN(T354*#REF!,0),IF(U354&lt;#REF!,ROUNDUP(T354*#REF!,0),S354)))</f>
        <v>#REF!</v>
      </c>
      <c r="X354" s="7" t="e">
        <f t="shared" si="43"/>
        <v>#REF!</v>
      </c>
      <c r="Y354" s="7" t="e">
        <f t="shared" si="44"/>
        <v>#REF!</v>
      </c>
      <c r="Z354" s="7" t="e">
        <f t="shared" si="45"/>
        <v>#REF!</v>
      </c>
      <c r="AA354" s="7" t="e">
        <f t="shared" si="46"/>
        <v>#REF!</v>
      </c>
      <c r="AB354" s="8" t="e">
        <f t="shared" si="47"/>
        <v>#REF!</v>
      </c>
      <c r="AC354" s="9" t="e">
        <f>IF(T354&lt;=0,"Output &lt;= 0, cek manual",IF(OR(Z354&lt;0,Y354&lt;0),"Biaya negatif",IF(AND(AB354&gt;=#REF!,AB354&lt;=#REF!),"OK","Di luar rentang")))</f>
        <v>#REF!</v>
      </c>
    </row>
    <row r="355" ht="57" spans="1:29">
      <c r="A355" s="2" t="s">
        <v>30</v>
      </c>
      <c r="B355" s="2" t="s">
        <v>31</v>
      </c>
      <c r="C355" s="3" t="s">
        <v>1567</v>
      </c>
      <c r="D355" s="3" t="s">
        <v>1568</v>
      </c>
      <c r="E355" s="3" t="s">
        <v>1569</v>
      </c>
      <c r="F355" s="4">
        <v>0</v>
      </c>
      <c r="G355" s="4">
        <v>30000000</v>
      </c>
      <c r="H355" s="4">
        <v>0</v>
      </c>
      <c r="I355" s="4">
        <v>1000000</v>
      </c>
      <c r="J355" s="2" t="s">
        <v>1534</v>
      </c>
      <c r="K355" s="4">
        <v>45000000</v>
      </c>
      <c r="L355" s="4">
        <v>0</v>
      </c>
      <c r="M355" s="4">
        <v>15000000</v>
      </c>
      <c r="N355" s="4">
        <v>9000000</v>
      </c>
      <c r="O355" s="4">
        <v>15000000</v>
      </c>
      <c r="P355" s="5">
        <v>0.666667</v>
      </c>
      <c r="Q355" s="4">
        <v>1</v>
      </c>
      <c r="R355" s="2" t="s">
        <v>1570</v>
      </c>
      <c r="S355" s="7">
        <f t="shared" si="40"/>
        <v>15000000</v>
      </c>
      <c r="T355" s="7">
        <f t="shared" si="41"/>
        <v>15000000</v>
      </c>
      <c r="U355" s="8">
        <f t="shared" si="42"/>
        <v>1</v>
      </c>
      <c r="V355" s="9" t="e">
        <f>IF(T355&lt;=0,"Output &lt;= 0",IF(U355&gt;#REF!,"Terlalu tinggi",IF(U355&lt;#REF!,"Terlalu rendah","Sesuai")))</f>
        <v>#REF!</v>
      </c>
      <c r="W355" s="7" t="e">
        <f>IF(T355&lt;=0,S355,IF(U355&gt;#REF!,ROUNDDOWN(T355*#REF!,0),IF(U355&lt;#REF!,ROUNDUP(T355*#REF!,0),S355)))</f>
        <v>#REF!</v>
      </c>
      <c r="X355" s="7" t="e">
        <f t="shared" si="43"/>
        <v>#REF!</v>
      </c>
      <c r="Y355" s="7" t="e">
        <f t="shared" si="44"/>
        <v>#REF!</v>
      </c>
      <c r="Z355" s="7" t="e">
        <f t="shared" si="45"/>
        <v>#REF!</v>
      </c>
      <c r="AA355" s="7" t="e">
        <f t="shared" si="46"/>
        <v>#REF!</v>
      </c>
      <c r="AB355" s="8" t="e">
        <f t="shared" si="47"/>
        <v>#REF!</v>
      </c>
      <c r="AC355" s="9" t="e">
        <f>IF(T355&lt;=0,"Output &lt;= 0, cek manual",IF(OR(Z355&lt;0,Y355&lt;0),"Biaya negatif",IF(AND(AB355&gt;=#REF!,AB355&lt;=#REF!),"OK","Di luar rentang")))</f>
        <v>#REF!</v>
      </c>
    </row>
    <row r="356" ht="85.5" spans="1:29">
      <c r="A356" s="2" t="s">
        <v>30</v>
      </c>
      <c r="B356" s="2" t="s">
        <v>31</v>
      </c>
      <c r="C356" s="3" t="s">
        <v>1571</v>
      </c>
      <c r="D356" s="3" t="s">
        <v>966</v>
      </c>
      <c r="E356" s="3" t="s">
        <v>53</v>
      </c>
      <c r="F356" s="4">
        <v>1000000</v>
      </c>
      <c r="G356" s="4">
        <v>1000000</v>
      </c>
      <c r="H356" s="4">
        <v>1000000</v>
      </c>
      <c r="I356" s="4">
        <v>0</v>
      </c>
      <c r="J356" s="2" t="s">
        <v>281</v>
      </c>
      <c r="K356" s="4">
        <v>5000000</v>
      </c>
      <c r="L356" s="4">
        <v>2000000</v>
      </c>
      <c r="M356" s="4">
        <v>2000000</v>
      </c>
      <c r="N356" s="4">
        <v>1800000</v>
      </c>
      <c r="O356" s="4">
        <v>4000000</v>
      </c>
      <c r="P356" s="12">
        <v>0.2</v>
      </c>
      <c r="Q356" s="12">
        <v>0.5</v>
      </c>
      <c r="R356" s="2" t="s">
        <v>1572</v>
      </c>
      <c r="S356" s="7">
        <f t="shared" si="40"/>
        <v>2000000</v>
      </c>
      <c r="T356" s="7">
        <f t="shared" si="41"/>
        <v>4000000</v>
      </c>
      <c r="U356" s="8">
        <f t="shared" si="42"/>
        <v>0.5</v>
      </c>
      <c r="V356" s="9" t="e">
        <f>IF(T356&lt;=0,"Output &lt;= 0",IF(U356&gt;#REF!,"Terlalu tinggi",IF(U356&lt;#REF!,"Terlalu rendah","Sesuai")))</f>
        <v>#REF!</v>
      </c>
      <c r="W356" s="7" t="e">
        <f>IF(T356&lt;=0,S356,IF(U356&gt;#REF!,ROUNDDOWN(T356*#REF!,0),IF(U356&lt;#REF!,ROUNDUP(T356*#REF!,0),S356)))</f>
        <v>#REF!</v>
      </c>
      <c r="X356" s="7" t="e">
        <f t="shared" si="43"/>
        <v>#REF!</v>
      </c>
      <c r="Y356" s="7" t="e">
        <f t="shared" si="44"/>
        <v>#REF!</v>
      </c>
      <c r="Z356" s="7" t="e">
        <f t="shared" si="45"/>
        <v>#REF!</v>
      </c>
      <c r="AA356" s="7" t="e">
        <f t="shared" si="46"/>
        <v>#REF!</v>
      </c>
      <c r="AB356" s="8" t="e">
        <f t="shared" si="47"/>
        <v>#REF!</v>
      </c>
      <c r="AC356" s="9" t="e">
        <f>IF(T356&lt;=0,"Output &lt;= 0, cek manual",IF(OR(Z356&lt;0,Y356&lt;0),"Biaya negatif",IF(AND(AB356&gt;=#REF!,AB356&lt;=#REF!),"OK","Di luar rentang")))</f>
        <v>#REF!</v>
      </c>
    </row>
    <row r="357" ht="71.25" spans="1:29">
      <c r="A357" s="2" t="s">
        <v>30</v>
      </c>
      <c r="B357" s="2" t="s">
        <v>31</v>
      </c>
      <c r="C357" s="3" t="s">
        <v>1573</v>
      </c>
      <c r="D357" s="3" t="s">
        <v>1574</v>
      </c>
      <c r="E357" s="3" t="s">
        <v>896</v>
      </c>
      <c r="F357" s="4">
        <v>3000000</v>
      </c>
      <c r="G357" s="4">
        <v>720000000</v>
      </c>
      <c r="H357" s="4">
        <v>5000000</v>
      </c>
      <c r="I357" s="4">
        <v>0</v>
      </c>
      <c r="J357" s="2" t="s">
        <v>1575</v>
      </c>
      <c r="K357" s="4">
        <v>2520000000</v>
      </c>
      <c r="L357" s="4">
        <v>0</v>
      </c>
      <c r="M357" s="4">
        <v>1792000000</v>
      </c>
      <c r="N357" s="4">
        <v>7000000</v>
      </c>
      <c r="O357" s="4">
        <v>1800000000</v>
      </c>
      <c r="P357" s="5">
        <v>0.285714</v>
      </c>
      <c r="Q357" s="5">
        <v>0.995556</v>
      </c>
      <c r="R357" s="2" t="s">
        <v>1576</v>
      </c>
      <c r="S357" s="7">
        <f t="shared" si="40"/>
        <v>1792000000</v>
      </c>
      <c r="T357" s="7">
        <f t="shared" si="41"/>
        <v>1800000000</v>
      </c>
      <c r="U357" s="8">
        <f t="shared" si="42"/>
        <v>0.995555555555556</v>
      </c>
      <c r="V357" s="9" t="e">
        <f>IF(T357&lt;=0,"Output &lt;= 0",IF(U357&gt;#REF!,"Terlalu tinggi",IF(U357&lt;#REF!,"Terlalu rendah","Sesuai")))</f>
        <v>#REF!</v>
      </c>
      <c r="W357" s="7" t="e">
        <f>IF(T357&lt;=0,S357,IF(U357&gt;#REF!,ROUNDDOWN(T357*#REF!,0),IF(U357&lt;#REF!,ROUNDUP(T357*#REF!,0),S357)))</f>
        <v>#REF!</v>
      </c>
      <c r="X357" s="7" t="e">
        <f t="shared" si="43"/>
        <v>#REF!</v>
      </c>
      <c r="Y357" s="7" t="e">
        <f t="shared" si="44"/>
        <v>#REF!</v>
      </c>
      <c r="Z357" s="7" t="e">
        <f t="shared" si="45"/>
        <v>#REF!</v>
      </c>
      <c r="AA357" s="7" t="e">
        <f t="shared" si="46"/>
        <v>#REF!</v>
      </c>
      <c r="AB357" s="8" t="e">
        <f t="shared" si="47"/>
        <v>#REF!</v>
      </c>
      <c r="AC357" s="9" t="e">
        <f>IF(T357&lt;=0,"Output &lt;= 0, cek manual",IF(OR(Z357&lt;0,Y357&lt;0),"Biaya negatif",IF(AND(AB357&gt;=#REF!,AB357&lt;=#REF!),"OK","Di luar rentang")))</f>
        <v>#REF!</v>
      </c>
    </row>
    <row r="358" ht="128.25" spans="1:29">
      <c r="A358" s="2" t="s">
        <v>30</v>
      </c>
      <c r="B358" s="2" t="s">
        <v>31</v>
      </c>
      <c r="C358" s="3" t="s">
        <v>1577</v>
      </c>
      <c r="D358" s="3" t="s">
        <v>1578</v>
      </c>
      <c r="E358" s="3" t="s">
        <v>1579</v>
      </c>
      <c r="F358" s="4">
        <v>0</v>
      </c>
      <c r="G358" s="4">
        <v>5000000</v>
      </c>
      <c r="H358" s="4">
        <v>300000</v>
      </c>
      <c r="I358" s="4">
        <v>0</v>
      </c>
      <c r="J358" s="2" t="s">
        <v>261</v>
      </c>
      <c r="K358" s="4">
        <v>7580000</v>
      </c>
      <c r="L358" s="4">
        <v>0</v>
      </c>
      <c r="M358" s="4">
        <v>2280000</v>
      </c>
      <c r="N358" s="4">
        <v>0</v>
      </c>
      <c r="O358" s="4">
        <v>2580000</v>
      </c>
      <c r="P358" s="5">
        <v>0.659631</v>
      </c>
      <c r="Q358" s="5">
        <v>0.883721</v>
      </c>
      <c r="R358" s="2" t="s">
        <v>1580</v>
      </c>
      <c r="S358" s="7">
        <f t="shared" si="40"/>
        <v>2280000</v>
      </c>
      <c r="T358" s="7">
        <f t="shared" si="41"/>
        <v>2580000</v>
      </c>
      <c r="U358" s="8">
        <f t="shared" si="42"/>
        <v>0.883720930232558</v>
      </c>
      <c r="V358" s="9" t="e">
        <f>IF(T358&lt;=0,"Output &lt;= 0",IF(U358&gt;#REF!,"Terlalu tinggi",IF(U358&lt;#REF!,"Terlalu rendah","Sesuai")))</f>
        <v>#REF!</v>
      </c>
      <c r="W358" s="7" t="e">
        <f>IF(T358&lt;=0,S358,IF(U358&gt;#REF!,ROUNDDOWN(T358*#REF!,0),IF(U358&lt;#REF!,ROUNDUP(T358*#REF!,0),S358)))</f>
        <v>#REF!</v>
      </c>
      <c r="X358" s="7" t="e">
        <f t="shared" si="43"/>
        <v>#REF!</v>
      </c>
      <c r="Y358" s="7" t="e">
        <f t="shared" si="44"/>
        <v>#REF!</v>
      </c>
      <c r="Z358" s="7" t="e">
        <f t="shared" si="45"/>
        <v>#REF!</v>
      </c>
      <c r="AA358" s="7" t="e">
        <f t="shared" si="46"/>
        <v>#REF!</v>
      </c>
      <c r="AB358" s="8" t="e">
        <f t="shared" si="47"/>
        <v>#REF!</v>
      </c>
      <c r="AC358" s="9" t="e">
        <f>IF(T358&lt;=0,"Output &lt;= 0, cek manual",IF(OR(Z358&lt;0,Y358&lt;0),"Biaya negatif",IF(AND(AB358&gt;=#REF!,AB358&lt;=#REF!),"OK","Di luar rentang")))</f>
        <v>#REF!</v>
      </c>
    </row>
    <row r="359" ht="114" spans="1:29">
      <c r="A359" s="2" t="s">
        <v>30</v>
      </c>
      <c r="B359" s="2" t="s">
        <v>31</v>
      </c>
      <c r="C359" s="3" t="s">
        <v>1581</v>
      </c>
      <c r="D359" s="3" t="s">
        <v>1582</v>
      </c>
      <c r="E359" s="3" t="s">
        <v>1583</v>
      </c>
      <c r="F359" s="4">
        <v>0</v>
      </c>
      <c r="G359" s="4">
        <v>30000000</v>
      </c>
      <c r="H359" s="4">
        <v>2000000</v>
      </c>
      <c r="I359" s="4">
        <v>0</v>
      </c>
      <c r="J359" s="2" t="s">
        <v>1584</v>
      </c>
      <c r="K359" s="4">
        <v>57000000</v>
      </c>
      <c r="L359" s="4">
        <v>0</v>
      </c>
      <c r="M359" s="4">
        <v>25000000</v>
      </c>
      <c r="N359" s="4">
        <v>0</v>
      </c>
      <c r="O359" s="4">
        <v>27000000</v>
      </c>
      <c r="P359" s="5">
        <v>0.526316</v>
      </c>
      <c r="Q359" s="5">
        <v>0.925926</v>
      </c>
      <c r="R359" s="2" t="s">
        <v>1585</v>
      </c>
      <c r="S359" s="7">
        <f t="shared" si="40"/>
        <v>25000000</v>
      </c>
      <c r="T359" s="7">
        <f t="shared" si="41"/>
        <v>27000000</v>
      </c>
      <c r="U359" s="8">
        <f t="shared" si="42"/>
        <v>0.925925925925926</v>
      </c>
      <c r="V359" s="9" t="e">
        <f>IF(T359&lt;=0,"Output &lt;= 0",IF(U359&gt;#REF!,"Terlalu tinggi",IF(U359&lt;#REF!,"Terlalu rendah","Sesuai")))</f>
        <v>#REF!</v>
      </c>
      <c r="W359" s="7" t="e">
        <f>IF(T359&lt;=0,S359,IF(U359&gt;#REF!,ROUNDDOWN(T359*#REF!,0),IF(U359&lt;#REF!,ROUNDUP(T359*#REF!,0),S359)))</f>
        <v>#REF!</v>
      </c>
      <c r="X359" s="7" t="e">
        <f t="shared" si="43"/>
        <v>#REF!</v>
      </c>
      <c r="Y359" s="7" t="e">
        <f t="shared" si="44"/>
        <v>#REF!</v>
      </c>
      <c r="Z359" s="7" t="e">
        <f t="shared" si="45"/>
        <v>#REF!</v>
      </c>
      <c r="AA359" s="7" t="e">
        <f t="shared" si="46"/>
        <v>#REF!</v>
      </c>
      <c r="AB359" s="8" t="e">
        <f t="shared" si="47"/>
        <v>#REF!</v>
      </c>
      <c r="AC359" s="9" t="e">
        <f>IF(T359&lt;=0,"Output &lt;= 0, cek manual",IF(OR(Z359&lt;0,Y359&lt;0),"Biaya negatif",IF(AND(AB359&gt;=#REF!,AB359&lt;=#REF!),"OK","Di luar rentang")))</f>
        <v>#REF!</v>
      </c>
    </row>
    <row r="360" ht="71.25" spans="1:29">
      <c r="A360" s="2" t="s">
        <v>30</v>
      </c>
      <c r="B360" s="2" t="s">
        <v>235</v>
      </c>
      <c r="C360" s="3" t="s">
        <v>1586</v>
      </c>
      <c r="D360" s="3" t="s">
        <v>1587</v>
      </c>
      <c r="E360" s="3" t="s">
        <v>1588</v>
      </c>
      <c r="F360" s="4">
        <v>200000</v>
      </c>
      <c r="G360" s="4">
        <v>9000000</v>
      </c>
      <c r="H360" s="4">
        <v>1500000</v>
      </c>
      <c r="I360" s="4">
        <v>10000</v>
      </c>
      <c r="J360" s="2" t="s">
        <v>1589</v>
      </c>
      <c r="K360" s="4">
        <v>22000000</v>
      </c>
      <c r="L360" s="4">
        <v>0</v>
      </c>
      <c r="M360" s="4">
        <v>11300000</v>
      </c>
      <c r="N360" s="4">
        <v>5000000</v>
      </c>
      <c r="O360" s="4">
        <v>13000000</v>
      </c>
      <c r="P360" s="5">
        <v>0.409091</v>
      </c>
      <c r="Q360" s="5">
        <v>0.869231</v>
      </c>
      <c r="R360" s="2" t="s">
        <v>1590</v>
      </c>
      <c r="S360" s="7">
        <f t="shared" si="40"/>
        <v>11300000</v>
      </c>
      <c r="T360" s="7">
        <f t="shared" si="41"/>
        <v>13000000</v>
      </c>
      <c r="U360" s="8">
        <f t="shared" si="42"/>
        <v>0.869230769230769</v>
      </c>
      <c r="V360" s="9" t="e">
        <f>IF(T360&lt;=0,"Output &lt;= 0",IF(U360&gt;#REF!,"Terlalu tinggi",IF(U360&lt;#REF!,"Terlalu rendah","Sesuai")))</f>
        <v>#REF!</v>
      </c>
      <c r="W360" s="7" t="e">
        <f>IF(T360&lt;=0,S360,IF(U360&gt;#REF!,ROUNDDOWN(T360*#REF!,0),IF(U360&lt;#REF!,ROUNDUP(T360*#REF!,0),S360)))</f>
        <v>#REF!</v>
      </c>
      <c r="X360" s="7" t="e">
        <f t="shared" si="43"/>
        <v>#REF!</v>
      </c>
      <c r="Y360" s="7" t="e">
        <f t="shared" si="44"/>
        <v>#REF!</v>
      </c>
      <c r="Z360" s="7" t="e">
        <f t="shared" si="45"/>
        <v>#REF!</v>
      </c>
      <c r="AA360" s="7" t="e">
        <f t="shared" si="46"/>
        <v>#REF!</v>
      </c>
      <c r="AB360" s="8" t="e">
        <f t="shared" si="47"/>
        <v>#REF!</v>
      </c>
      <c r="AC360" s="9" t="e">
        <f>IF(T360&lt;=0,"Output &lt;= 0, cek manual",IF(OR(Z360&lt;0,Y360&lt;0),"Biaya negatif",IF(AND(AB360&gt;=#REF!,AB360&lt;=#REF!),"OK","Di luar rentang")))</f>
        <v>#REF!</v>
      </c>
    </row>
    <row r="361" ht="57" spans="1:29">
      <c r="A361" s="2" t="s">
        <v>30</v>
      </c>
      <c r="B361" s="2" t="s">
        <v>235</v>
      </c>
      <c r="C361" s="3" t="s">
        <v>1591</v>
      </c>
      <c r="D361" s="3" t="s">
        <v>228</v>
      </c>
      <c r="E361" s="3" t="s">
        <v>39</v>
      </c>
      <c r="F361" s="4">
        <v>18000000</v>
      </c>
      <c r="G361" s="4">
        <v>0</v>
      </c>
      <c r="H361" s="4">
        <v>1000000</v>
      </c>
      <c r="I361" s="4">
        <v>500000</v>
      </c>
      <c r="J361" s="2" t="s">
        <v>1592</v>
      </c>
      <c r="K361" s="4">
        <v>36000000</v>
      </c>
      <c r="L361" s="4">
        <v>0</v>
      </c>
      <c r="M361" s="4">
        <v>17000000</v>
      </c>
      <c r="N361" s="4">
        <v>0</v>
      </c>
      <c r="O361" s="4">
        <v>36000000</v>
      </c>
      <c r="P361" s="4">
        <v>0</v>
      </c>
      <c r="Q361" s="5">
        <v>0.472222</v>
      </c>
      <c r="R361" s="2" t="s">
        <v>1593</v>
      </c>
      <c r="S361" s="7">
        <f t="shared" si="40"/>
        <v>17000000</v>
      </c>
      <c r="T361" s="7">
        <f t="shared" si="41"/>
        <v>36000000</v>
      </c>
      <c r="U361" s="8">
        <f t="shared" si="42"/>
        <v>0.472222222222222</v>
      </c>
      <c r="V361" s="9" t="e">
        <f>IF(T361&lt;=0,"Output &lt;= 0",IF(U361&gt;#REF!,"Terlalu tinggi",IF(U361&lt;#REF!,"Terlalu rendah","Sesuai")))</f>
        <v>#REF!</v>
      </c>
      <c r="W361" s="7" t="e">
        <f>IF(T361&lt;=0,S361,IF(U361&gt;#REF!,ROUNDDOWN(T361*#REF!,0),IF(U361&lt;#REF!,ROUNDUP(T361*#REF!,0),S361)))</f>
        <v>#REF!</v>
      </c>
      <c r="X361" s="7" t="e">
        <f t="shared" si="43"/>
        <v>#REF!</v>
      </c>
      <c r="Y361" s="7" t="e">
        <f t="shared" si="44"/>
        <v>#REF!</v>
      </c>
      <c r="Z361" s="7" t="e">
        <f t="shared" si="45"/>
        <v>#REF!</v>
      </c>
      <c r="AA361" s="7" t="e">
        <f t="shared" si="46"/>
        <v>#REF!</v>
      </c>
      <c r="AB361" s="8" t="e">
        <f t="shared" si="47"/>
        <v>#REF!</v>
      </c>
      <c r="AC361" s="9" t="e">
        <f>IF(T361&lt;=0,"Output &lt;= 0, cek manual",IF(OR(Z361&lt;0,Y361&lt;0),"Biaya negatif",IF(AND(AB361&gt;=#REF!,AB361&lt;=#REF!),"OK","Di luar rentang")))</f>
        <v>#REF!</v>
      </c>
    </row>
    <row r="362" ht="71.25" spans="1:29">
      <c r="A362" s="2" t="s">
        <v>30</v>
      </c>
      <c r="B362" s="2" t="s">
        <v>245</v>
      </c>
      <c r="C362" s="3" t="s">
        <v>611</v>
      </c>
      <c r="D362" s="3" t="s">
        <v>264</v>
      </c>
      <c r="E362" s="3" t="s">
        <v>265</v>
      </c>
      <c r="F362" s="4">
        <v>0</v>
      </c>
      <c r="G362" s="4">
        <v>0</v>
      </c>
      <c r="H362" s="4">
        <v>50000</v>
      </c>
      <c r="I362" s="4">
        <v>50000</v>
      </c>
      <c r="J362" s="2" t="s">
        <v>74</v>
      </c>
      <c r="K362" s="4">
        <v>1300000</v>
      </c>
      <c r="L362" s="4">
        <v>0</v>
      </c>
      <c r="M362" s="4">
        <v>1250000</v>
      </c>
      <c r="N362" s="4">
        <v>15000000</v>
      </c>
      <c r="O362" s="4">
        <v>1300000</v>
      </c>
      <c r="P362" s="4">
        <v>0</v>
      </c>
      <c r="Q362" s="5">
        <v>0.961538</v>
      </c>
      <c r="R362" s="2" t="s">
        <v>1594</v>
      </c>
      <c r="S362" s="7">
        <f t="shared" si="40"/>
        <v>1250000</v>
      </c>
      <c r="T362" s="7">
        <f t="shared" si="41"/>
        <v>1300000</v>
      </c>
      <c r="U362" s="8">
        <f t="shared" si="42"/>
        <v>0.961538461538462</v>
      </c>
      <c r="V362" s="9" t="e">
        <f>IF(T362&lt;=0,"Output &lt;= 0",IF(U362&gt;#REF!,"Terlalu tinggi",IF(U362&lt;#REF!,"Terlalu rendah","Sesuai")))</f>
        <v>#REF!</v>
      </c>
      <c r="W362" s="7" t="e">
        <f>IF(T362&lt;=0,S362,IF(U362&gt;#REF!,ROUNDDOWN(T362*#REF!,0),IF(U362&lt;#REF!,ROUNDUP(T362*#REF!,0),S362)))</f>
        <v>#REF!</v>
      </c>
      <c r="X362" s="7" t="e">
        <f t="shared" si="43"/>
        <v>#REF!</v>
      </c>
      <c r="Y362" s="7" t="e">
        <f t="shared" si="44"/>
        <v>#REF!</v>
      </c>
      <c r="Z362" s="7" t="e">
        <f t="shared" si="45"/>
        <v>#REF!</v>
      </c>
      <c r="AA362" s="7" t="e">
        <f t="shared" si="46"/>
        <v>#REF!</v>
      </c>
      <c r="AB362" s="8" t="e">
        <f t="shared" si="47"/>
        <v>#REF!</v>
      </c>
      <c r="AC362" s="9" t="e">
        <f>IF(T362&lt;=0,"Output &lt;= 0, cek manual",IF(OR(Z362&lt;0,Y362&lt;0),"Biaya negatif",IF(AND(AB362&gt;=#REF!,AB362&lt;=#REF!),"OK","Di luar rentang")))</f>
        <v>#REF!</v>
      </c>
    </row>
    <row r="363" ht="114" spans="1:29">
      <c r="A363" s="2" t="s">
        <v>30</v>
      </c>
      <c r="B363" s="2" t="s">
        <v>245</v>
      </c>
      <c r="C363" s="3" t="s">
        <v>1595</v>
      </c>
      <c r="D363" s="3" t="s">
        <v>1596</v>
      </c>
      <c r="E363" s="3" t="s">
        <v>1597</v>
      </c>
      <c r="F363" s="4">
        <v>0</v>
      </c>
      <c r="G363" s="4">
        <v>200000</v>
      </c>
      <c r="H363" s="4">
        <v>40000</v>
      </c>
      <c r="I363" s="4">
        <v>0</v>
      </c>
      <c r="J363" s="2" t="s">
        <v>1598</v>
      </c>
      <c r="K363" s="4">
        <v>420000</v>
      </c>
      <c r="L363" s="4">
        <v>0</v>
      </c>
      <c r="M363" s="4">
        <v>180000</v>
      </c>
      <c r="N363" s="4">
        <v>0</v>
      </c>
      <c r="O363" s="4">
        <v>220000</v>
      </c>
      <c r="P363" s="6">
        <v>0.47619</v>
      </c>
      <c r="Q363" s="5">
        <v>0.818182</v>
      </c>
      <c r="R363" s="2" t="s">
        <v>1599</v>
      </c>
      <c r="S363" s="7">
        <f t="shared" si="40"/>
        <v>180000</v>
      </c>
      <c r="T363" s="7">
        <f t="shared" si="41"/>
        <v>220000</v>
      </c>
      <c r="U363" s="8">
        <f t="shared" si="42"/>
        <v>0.818181818181818</v>
      </c>
      <c r="V363" s="9" t="e">
        <f>IF(T363&lt;=0,"Output &lt;= 0",IF(U363&gt;#REF!,"Terlalu tinggi",IF(U363&lt;#REF!,"Terlalu rendah","Sesuai")))</f>
        <v>#REF!</v>
      </c>
      <c r="W363" s="7" t="e">
        <f>IF(T363&lt;=0,S363,IF(U363&gt;#REF!,ROUNDDOWN(T363*#REF!,0),IF(U363&lt;#REF!,ROUNDUP(T363*#REF!,0),S363)))</f>
        <v>#REF!</v>
      </c>
      <c r="X363" s="7" t="e">
        <f t="shared" si="43"/>
        <v>#REF!</v>
      </c>
      <c r="Y363" s="7" t="e">
        <f t="shared" si="44"/>
        <v>#REF!</v>
      </c>
      <c r="Z363" s="7" t="e">
        <f t="shared" si="45"/>
        <v>#REF!</v>
      </c>
      <c r="AA363" s="7" t="e">
        <f t="shared" si="46"/>
        <v>#REF!</v>
      </c>
      <c r="AB363" s="8" t="e">
        <f t="shared" si="47"/>
        <v>#REF!</v>
      </c>
      <c r="AC363" s="9" t="e">
        <f>IF(T363&lt;=0,"Output &lt;= 0, cek manual",IF(OR(Z363&lt;0,Y363&lt;0),"Biaya negatif",IF(AND(AB363&gt;=#REF!,AB363&lt;=#REF!),"OK","Di luar rentang")))</f>
        <v>#REF!</v>
      </c>
    </row>
    <row r="364" ht="99.75" spans="1:29">
      <c r="A364" s="2" t="s">
        <v>30</v>
      </c>
      <c r="B364" s="2" t="s">
        <v>272</v>
      </c>
      <c r="C364" s="3" t="s">
        <v>1600</v>
      </c>
      <c r="D364" s="3" t="s">
        <v>1185</v>
      </c>
      <c r="E364" s="3" t="s">
        <v>1601</v>
      </c>
      <c r="F364" s="4">
        <v>0</v>
      </c>
      <c r="G364" s="4">
        <v>0</v>
      </c>
      <c r="H364" s="4">
        <v>100000</v>
      </c>
      <c r="I364" s="4">
        <v>0</v>
      </c>
      <c r="J364" s="2" t="s">
        <v>261</v>
      </c>
      <c r="K364" s="4">
        <v>500000</v>
      </c>
      <c r="L364" s="4">
        <v>0</v>
      </c>
      <c r="M364" s="4">
        <v>400000</v>
      </c>
      <c r="N364" s="4">
        <v>6500000</v>
      </c>
      <c r="O364" s="4">
        <v>500000</v>
      </c>
      <c r="P364" s="4">
        <v>0</v>
      </c>
      <c r="Q364" s="12">
        <v>0.8</v>
      </c>
      <c r="R364" s="2" t="s">
        <v>1602</v>
      </c>
      <c r="S364" s="7">
        <f t="shared" si="40"/>
        <v>400000</v>
      </c>
      <c r="T364" s="7">
        <f t="shared" si="41"/>
        <v>500000</v>
      </c>
      <c r="U364" s="8">
        <f t="shared" si="42"/>
        <v>0.8</v>
      </c>
      <c r="V364" s="9" t="e">
        <f>IF(T364&lt;=0,"Output &lt;= 0",IF(U364&gt;#REF!,"Terlalu tinggi",IF(U364&lt;#REF!,"Terlalu rendah","Sesuai")))</f>
        <v>#REF!</v>
      </c>
      <c r="W364" s="7" t="e">
        <f>IF(T364&lt;=0,S364,IF(U364&gt;#REF!,ROUNDDOWN(T364*#REF!,0),IF(U364&lt;#REF!,ROUNDUP(T364*#REF!,0),S364)))</f>
        <v>#REF!</v>
      </c>
      <c r="X364" s="7" t="e">
        <f t="shared" si="43"/>
        <v>#REF!</v>
      </c>
      <c r="Y364" s="7" t="e">
        <f t="shared" si="44"/>
        <v>#REF!</v>
      </c>
      <c r="Z364" s="7" t="e">
        <f t="shared" si="45"/>
        <v>#REF!</v>
      </c>
      <c r="AA364" s="7" t="e">
        <f t="shared" si="46"/>
        <v>#REF!</v>
      </c>
      <c r="AB364" s="8" t="e">
        <f t="shared" si="47"/>
        <v>#REF!</v>
      </c>
      <c r="AC364" s="9" t="e">
        <f>IF(T364&lt;=0,"Output &lt;= 0, cek manual",IF(OR(Z364&lt;0,Y364&lt;0),"Biaya negatif",IF(AND(AB364&gt;=#REF!,AB364&lt;=#REF!),"OK","Di luar rentang")))</f>
        <v>#REF!</v>
      </c>
    </row>
    <row r="365" ht="85.5" spans="1:29">
      <c r="A365" s="2" t="s">
        <v>30</v>
      </c>
      <c r="B365" s="2" t="s">
        <v>272</v>
      </c>
      <c r="C365" s="3" t="s">
        <v>1603</v>
      </c>
      <c r="D365" s="3" t="s">
        <v>983</v>
      </c>
      <c r="E365" s="3" t="s">
        <v>1604</v>
      </c>
      <c r="F365" s="4">
        <v>0</v>
      </c>
      <c r="G365" s="4">
        <v>0</v>
      </c>
      <c r="H365" s="4">
        <v>100000</v>
      </c>
      <c r="I365" s="4">
        <v>0</v>
      </c>
      <c r="J365" s="2" t="s">
        <v>261</v>
      </c>
      <c r="K365" s="4">
        <v>2400000</v>
      </c>
      <c r="L365" s="4">
        <v>0</v>
      </c>
      <c r="M365" s="4">
        <v>2300000</v>
      </c>
      <c r="N365" s="4">
        <v>0</v>
      </c>
      <c r="O365" s="4">
        <v>2400000</v>
      </c>
      <c r="P365" s="4">
        <v>0</v>
      </c>
      <c r="Q365" s="5">
        <v>0.958333</v>
      </c>
      <c r="R365" s="2" t="s">
        <v>1605</v>
      </c>
      <c r="S365" s="7">
        <f t="shared" si="40"/>
        <v>2300000</v>
      </c>
      <c r="T365" s="7">
        <f t="shared" si="41"/>
        <v>2400000</v>
      </c>
      <c r="U365" s="8">
        <f t="shared" si="42"/>
        <v>0.958333333333333</v>
      </c>
      <c r="V365" s="9" t="e">
        <f>IF(T365&lt;=0,"Output &lt;= 0",IF(U365&gt;#REF!,"Terlalu tinggi",IF(U365&lt;#REF!,"Terlalu rendah","Sesuai")))</f>
        <v>#REF!</v>
      </c>
      <c r="W365" s="7" t="e">
        <f>IF(T365&lt;=0,S365,IF(U365&gt;#REF!,ROUNDDOWN(T365*#REF!,0),IF(U365&lt;#REF!,ROUNDUP(T365*#REF!,0),S365)))</f>
        <v>#REF!</v>
      </c>
      <c r="X365" s="7" t="e">
        <f t="shared" si="43"/>
        <v>#REF!</v>
      </c>
      <c r="Y365" s="7" t="e">
        <f t="shared" si="44"/>
        <v>#REF!</v>
      </c>
      <c r="Z365" s="7" t="e">
        <f t="shared" si="45"/>
        <v>#REF!</v>
      </c>
      <c r="AA365" s="7" t="e">
        <f t="shared" si="46"/>
        <v>#REF!</v>
      </c>
      <c r="AB365" s="8" t="e">
        <f t="shared" si="47"/>
        <v>#REF!</v>
      </c>
      <c r="AC365" s="9" t="e">
        <f>IF(T365&lt;=0,"Output &lt;= 0, cek manual",IF(OR(Z365&lt;0,Y365&lt;0),"Biaya negatif",IF(AND(AB365&gt;=#REF!,AB365&lt;=#REF!),"OK","Di luar rentang")))</f>
        <v>#REF!</v>
      </c>
    </row>
    <row r="366" ht="85.5" spans="1:29">
      <c r="A366" s="2" t="s">
        <v>30</v>
      </c>
      <c r="B366" s="2" t="s">
        <v>272</v>
      </c>
      <c r="C366" s="3" t="s">
        <v>1606</v>
      </c>
      <c r="D366" s="3" t="s">
        <v>546</v>
      </c>
      <c r="E366" s="3" t="s">
        <v>1607</v>
      </c>
      <c r="F366" s="4">
        <v>1500000</v>
      </c>
      <c r="G366" s="4">
        <v>2300000</v>
      </c>
      <c r="H366" s="4">
        <v>200000</v>
      </c>
      <c r="I366" s="4">
        <v>0</v>
      </c>
      <c r="J366" s="2" t="s">
        <v>152</v>
      </c>
      <c r="K366" s="4">
        <v>5800000</v>
      </c>
      <c r="L366" s="4">
        <v>0</v>
      </c>
      <c r="M366" s="4">
        <v>1800000</v>
      </c>
      <c r="N366" s="4">
        <v>2400000</v>
      </c>
      <c r="O366" s="4">
        <v>3500000</v>
      </c>
      <c r="P366" s="5">
        <v>0.396552</v>
      </c>
      <c r="Q366" s="5">
        <v>0.514286</v>
      </c>
      <c r="R366" s="2" t="s">
        <v>1608</v>
      </c>
      <c r="S366" s="7">
        <f t="shared" si="40"/>
        <v>1800000</v>
      </c>
      <c r="T366" s="7">
        <f t="shared" si="41"/>
        <v>3500000</v>
      </c>
      <c r="U366" s="8">
        <f t="shared" si="42"/>
        <v>0.514285714285714</v>
      </c>
      <c r="V366" s="9" t="e">
        <f>IF(T366&lt;=0,"Output &lt;= 0",IF(U366&gt;#REF!,"Terlalu tinggi",IF(U366&lt;#REF!,"Terlalu rendah","Sesuai")))</f>
        <v>#REF!</v>
      </c>
      <c r="W366" s="7" t="e">
        <f>IF(T366&lt;=0,S366,IF(U366&gt;#REF!,ROUNDDOWN(T366*#REF!,0),IF(U366&lt;#REF!,ROUNDUP(T366*#REF!,0),S366)))</f>
        <v>#REF!</v>
      </c>
      <c r="X366" s="7" t="e">
        <f t="shared" si="43"/>
        <v>#REF!</v>
      </c>
      <c r="Y366" s="7" t="e">
        <f t="shared" si="44"/>
        <v>#REF!</v>
      </c>
      <c r="Z366" s="7" t="e">
        <f t="shared" si="45"/>
        <v>#REF!</v>
      </c>
      <c r="AA366" s="7" t="e">
        <f t="shared" si="46"/>
        <v>#REF!</v>
      </c>
      <c r="AB366" s="8" t="e">
        <f t="shared" si="47"/>
        <v>#REF!</v>
      </c>
      <c r="AC366" s="9" t="e">
        <f>IF(T366&lt;=0,"Output &lt;= 0, cek manual",IF(OR(Z366&lt;0,Y366&lt;0),"Biaya negatif",IF(AND(AB366&gt;=#REF!,AB366&lt;=#REF!),"OK","Di luar rentang")))</f>
        <v>#REF!</v>
      </c>
    </row>
    <row r="367" ht="142.5" spans="1:29">
      <c r="A367" s="2" t="s">
        <v>30</v>
      </c>
      <c r="B367" s="2" t="s">
        <v>293</v>
      </c>
      <c r="C367" s="3" t="s">
        <v>1609</v>
      </c>
      <c r="D367" s="3" t="s">
        <v>1610</v>
      </c>
      <c r="E367" s="3" t="s">
        <v>1611</v>
      </c>
      <c r="F367" s="4">
        <v>2500000</v>
      </c>
      <c r="G367" s="4">
        <v>1500000</v>
      </c>
      <c r="H367" s="4">
        <v>380000</v>
      </c>
      <c r="I367" s="4">
        <v>0</v>
      </c>
      <c r="J367" s="2" t="s">
        <v>1612</v>
      </c>
      <c r="K367" s="4">
        <v>6780000</v>
      </c>
      <c r="L367" s="4">
        <v>0</v>
      </c>
      <c r="M367" s="4">
        <v>2400000</v>
      </c>
      <c r="N367" s="4">
        <v>0</v>
      </c>
      <c r="O367" s="4">
        <v>5280000</v>
      </c>
      <c r="P367" s="5">
        <v>0.221239</v>
      </c>
      <c r="Q367" s="5">
        <v>0.454545</v>
      </c>
      <c r="R367" s="2" t="s">
        <v>1613</v>
      </c>
      <c r="S367" s="7">
        <f t="shared" si="40"/>
        <v>2400000</v>
      </c>
      <c r="T367" s="7">
        <f t="shared" si="41"/>
        <v>5280000</v>
      </c>
      <c r="U367" s="8">
        <f t="shared" si="42"/>
        <v>0.454545454545455</v>
      </c>
      <c r="V367" s="9" t="e">
        <f>IF(T367&lt;=0,"Output &lt;= 0",IF(U367&gt;#REF!,"Terlalu tinggi",IF(U367&lt;#REF!,"Terlalu rendah","Sesuai")))</f>
        <v>#REF!</v>
      </c>
      <c r="W367" s="7" t="e">
        <f>IF(T367&lt;=0,S367,IF(U367&gt;#REF!,ROUNDDOWN(T367*#REF!,0),IF(U367&lt;#REF!,ROUNDUP(T367*#REF!,0),S367)))</f>
        <v>#REF!</v>
      </c>
      <c r="X367" s="7" t="e">
        <f t="shared" si="43"/>
        <v>#REF!</v>
      </c>
      <c r="Y367" s="7" t="e">
        <f t="shared" si="44"/>
        <v>#REF!</v>
      </c>
      <c r="Z367" s="7" t="e">
        <f t="shared" si="45"/>
        <v>#REF!</v>
      </c>
      <c r="AA367" s="7" t="e">
        <f t="shared" si="46"/>
        <v>#REF!</v>
      </c>
      <c r="AB367" s="8" t="e">
        <f t="shared" si="47"/>
        <v>#REF!</v>
      </c>
      <c r="AC367" s="9" t="e">
        <f>IF(T367&lt;=0,"Output &lt;= 0, cek manual",IF(OR(Z367&lt;0,Y367&lt;0),"Biaya negatif",IF(AND(AB367&gt;=#REF!,AB367&lt;=#REF!),"OK","Di luar rentang")))</f>
        <v>#REF!</v>
      </c>
    </row>
    <row r="368" ht="71.25" spans="1:29">
      <c r="A368" s="2" t="s">
        <v>30</v>
      </c>
      <c r="B368" s="2" t="s">
        <v>305</v>
      </c>
      <c r="C368" s="3" t="s">
        <v>1614</v>
      </c>
      <c r="D368" s="3" t="s">
        <v>1615</v>
      </c>
      <c r="E368" s="3" t="s">
        <v>1616</v>
      </c>
      <c r="F368" s="4">
        <v>350000</v>
      </c>
      <c r="G368" s="4">
        <v>0</v>
      </c>
      <c r="H368" s="4">
        <v>200000</v>
      </c>
      <c r="I368" s="4">
        <v>0</v>
      </c>
      <c r="J368" s="2" t="s">
        <v>914</v>
      </c>
      <c r="K368" s="4">
        <v>4000000</v>
      </c>
      <c r="L368" s="4">
        <v>0</v>
      </c>
      <c r="M368" s="4">
        <v>3450000</v>
      </c>
      <c r="N368" s="4">
        <v>500000</v>
      </c>
      <c r="O368" s="4">
        <v>4000000</v>
      </c>
      <c r="P368" s="4">
        <v>0</v>
      </c>
      <c r="Q368" s="13">
        <v>0.8625</v>
      </c>
      <c r="R368" s="2" t="s">
        <v>1617</v>
      </c>
      <c r="S368" s="7">
        <f t="shared" si="40"/>
        <v>3450000</v>
      </c>
      <c r="T368" s="7">
        <f t="shared" si="41"/>
        <v>4000000</v>
      </c>
      <c r="U368" s="8">
        <f t="shared" si="42"/>
        <v>0.8625</v>
      </c>
      <c r="V368" s="9" t="e">
        <f>IF(T368&lt;=0,"Output &lt;= 0",IF(U368&gt;#REF!,"Terlalu tinggi",IF(U368&lt;#REF!,"Terlalu rendah","Sesuai")))</f>
        <v>#REF!</v>
      </c>
      <c r="W368" s="7" t="e">
        <f>IF(T368&lt;=0,S368,IF(U368&gt;#REF!,ROUNDDOWN(T368*#REF!,0),IF(U368&lt;#REF!,ROUNDUP(T368*#REF!,0),S368)))</f>
        <v>#REF!</v>
      </c>
      <c r="X368" s="7" t="e">
        <f t="shared" si="43"/>
        <v>#REF!</v>
      </c>
      <c r="Y368" s="7" t="e">
        <f t="shared" si="44"/>
        <v>#REF!</v>
      </c>
      <c r="Z368" s="7" t="e">
        <f t="shared" si="45"/>
        <v>#REF!</v>
      </c>
      <c r="AA368" s="7" t="e">
        <f t="shared" si="46"/>
        <v>#REF!</v>
      </c>
      <c r="AB368" s="8" t="e">
        <f t="shared" si="47"/>
        <v>#REF!</v>
      </c>
      <c r="AC368" s="9" t="e">
        <f>IF(T368&lt;=0,"Output &lt;= 0, cek manual",IF(OR(Z368&lt;0,Y368&lt;0),"Biaya negatif",IF(AND(AB368&gt;=#REF!,AB368&lt;=#REF!),"OK","Di luar rentang")))</f>
        <v>#REF!</v>
      </c>
    </row>
    <row r="369" ht="57" spans="1:29">
      <c r="A369" s="2" t="s">
        <v>30</v>
      </c>
      <c r="B369" s="2" t="s">
        <v>320</v>
      </c>
      <c r="C369" s="3" t="s">
        <v>1618</v>
      </c>
      <c r="D369" s="3" t="s">
        <v>1619</v>
      </c>
      <c r="E369" s="3" t="s">
        <v>1620</v>
      </c>
      <c r="F369" s="4">
        <v>12000000</v>
      </c>
      <c r="G369" s="4">
        <v>0</v>
      </c>
      <c r="H369" s="4">
        <v>800000</v>
      </c>
      <c r="I369" s="4">
        <v>0</v>
      </c>
      <c r="J369" s="2" t="s">
        <v>1621</v>
      </c>
      <c r="K369" s="4">
        <v>22000000</v>
      </c>
      <c r="L369" s="4">
        <v>0</v>
      </c>
      <c r="M369" s="4">
        <v>9200000</v>
      </c>
      <c r="N369" s="4">
        <v>35000000</v>
      </c>
      <c r="O369" s="4">
        <v>22000000</v>
      </c>
      <c r="P369" s="4">
        <v>0</v>
      </c>
      <c r="Q369" s="5">
        <v>0.418182</v>
      </c>
      <c r="R369" s="2" t="s">
        <v>1622</v>
      </c>
      <c r="S369" s="7">
        <f t="shared" si="40"/>
        <v>9200000</v>
      </c>
      <c r="T369" s="7">
        <f t="shared" si="41"/>
        <v>22000000</v>
      </c>
      <c r="U369" s="8">
        <f t="shared" si="42"/>
        <v>0.418181818181818</v>
      </c>
      <c r="V369" s="9" t="e">
        <f>IF(T369&lt;=0,"Output &lt;= 0",IF(U369&gt;#REF!,"Terlalu tinggi",IF(U369&lt;#REF!,"Terlalu rendah","Sesuai")))</f>
        <v>#REF!</v>
      </c>
      <c r="W369" s="7" t="e">
        <f>IF(T369&lt;=0,S369,IF(U369&gt;#REF!,ROUNDDOWN(T369*#REF!,0),IF(U369&lt;#REF!,ROUNDUP(T369*#REF!,0),S369)))</f>
        <v>#REF!</v>
      </c>
      <c r="X369" s="7" t="e">
        <f t="shared" si="43"/>
        <v>#REF!</v>
      </c>
      <c r="Y369" s="7" t="e">
        <f t="shared" si="44"/>
        <v>#REF!</v>
      </c>
      <c r="Z369" s="7" t="e">
        <f t="shared" si="45"/>
        <v>#REF!</v>
      </c>
      <c r="AA369" s="7" t="e">
        <f t="shared" si="46"/>
        <v>#REF!</v>
      </c>
      <c r="AB369" s="8" t="e">
        <f t="shared" si="47"/>
        <v>#REF!</v>
      </c>
      <c r="AC369" s="9" t="e">
        <f>IF(T369&lt;=0,"Output &lt;= 0, cek manual",IF(OR(Z369&lt;0,Y369&lt;0),"Biaya negatif",IF(AND(AB369&gt;=#REF!,AB369&lt;=#REF!),"OK","Di luar rentang")))</f>
        <v>#REF!</v>
      </c>
    </row>
    <row r="370" ht="71.25" spans="1:29">
      <c r="A370" s="2" t="s">
        <v>30</v>
      </c>
      <c r="B370" s="2" t="s">
        <v>336</v>
      </c>
      <c r="C370" s="3" t="s">
        <v>1623</v>
      </c>
      <c r="D370" s="3" t="s">
        <v>1624</v>
      </c>
      <c r="E370" s="3" t="s">
        <v>1625</v>
      </c>
      <c r="F370" s="4">
        <v>5000000</v>
      </c>
      <c r="G370" s="4">
        <v>168000</v>
      </c>
      <c r="H370" s="4">
        <v>1000000</v>
      </c>
      <c r="I370" s="4">
        <v>0</v>
      </c>
      <c r="J370" s="2" t="s">
        <v>1626</v>
      </c>
      <c r="K370" s="4">
        <v>12000000</v>
      </c>
      <c r="L370" s="4">
        <v>0</v>
      </c>
      <c r="M370" s="4">
        <v>5832000</v>
      </c>
      <c r="N370" s="4">
        <v>8650000</v>
      </c>
      <c r="O370" s="4">
        <v>11832000</v>
      </c>
      <c r="P370" s="10">
        <v>0.014</v>
      </c>
      <c r="Q370" s="5">
        <v>0.492901</v>
      </c>
      <c r="R370" s="2" t="s">
        <v>1627</v>
      </c>
      <c r="S370" s="7">
        <f t="shared" si="40"/>
        <v>5832000</v>
      </c>
      <c r="T370" s="7">
        <f t="shared" si="41"/>
        <v>11832000</v>
      </c>
      <c r="U370" s="8">
        <f t="shared" si="42"/>
        <v>0.49290060851927</v>
      </c>
      <c r="V370" s="9" t="e">
        <f>IF(T370&lt;=0,"Output &lt;= 0",IF(U370&gt;#REF!,"Terlalu tinggi",IF(U370&lt;#REF!,"Terlalu rendah","Sesuai")))</f>
        <v>#REF!</v>
      </c>
      <c r="W370" s="7" t="e">
        <f>IF(T370&lt;=0,S370,IF(U370&gt;#REF!,ROUNDDOWN(T370*#REF!,0),IF(U370&lt;#REF!,ROUNDUP(T370*#REF!,0),S370)))</f>
        <v>#REF!</v>
      </c>
      <c r="X370" s="7" t="e">
        <f t="shared" si="43"/>
        <v>#REF!</v>
      </c>
      <c r="Y370" s="7" t="e">
        <f t="shared" si="44"/>
        <v>#REF!</v>
      </c>
      <c r="Z370" s="7" t="e">
        <f t="shared" si="45"/>
        <v>#REF!</v>
      </c>
      <c r="AA370" s="7" t="e">
        <f t="shared" si="46"/>
        <v>#REF!</v>
      </c>
      <c r="AB370" s="8" t="e">
        <f t="shared" si="47"/>
        <v>#REF!</v>
      </c>
      <c r="AC370" s="9" t="e">
        <f>IF(T370&lt;=0,"Output &lt;= 0, cek manual",IF(OR(Z370&lt;0,Y370&lt;0),"Biaya negatif",IF(AND(AB370&gt;=#REF!,AB370&lt;=#REF!),"OK","Di luar rentang")))</f>
        <v>#REF!</v>
      </c>
    </row>
    <row r="371" ht="71.25" spans="1:29">
      <c r="A371" s="2" t="s">
        <v>30</v>
      </c>
      <c r="B371" s="2" t="s">
        <v>336</v>
      </c>
      <c r="C371" s="3" t="s">
        <v>1628</v>
      </c>
      <c r="D371" s="3" t="s">
        <v>1629</v>
      </c>
      <c r="E371" s="3" t="s">
        <v>1630</v>
      </c>
      <c r="F371" s="4">
        <v>250000</v>
      </c>
      <c r="G371" s="4">
        <v>100000</v>
      </c>
      <c r="H371" s="4">
        <v>0</v>
      </c>
      <c r="I371" s="4">
        <v>0</v>
      </c>
      <c r="J371" s="2" t="s">
        <v>1631</v>
      </c>
      <c r="K371" s="4">
        <v>1500000</v>
      </c>
      <c r="L371" s="4">
        <v>100000</v>
      </c>
      <c r="M371" s="4">
        <v>1150000</v>
      </c>
      <c r="N371" s="4">
        <v>51500000</v>
      </c>
      <c r="O371" s="4">
        <v>1400000</v>
      </c>
      <c r="P371" s="5">
        <v>0.066667</v>
      </c>
      <c r="Q371" s="5">
        <v>0.821429</v>
      </c>
      <c r="R371" s="2" t="s">
        <v>1632</v>
      </c>
      <c r="S371" s="7">
        <f t="shared" si="40"/>
        <v>1150000</v>
      </c>
      <c r="T371" s="7">
        <f t="shared" si="41"/>
        <v>1400000</v>
      </c>
      <c r="U371" s="8">
        <f t="shared" si="42"/>
        <v>0.821428571428571</v>
      </c>
      <c r="V371" s="9" t="e">
        <f>IF(T371&lt;=0,"Output &lt;= 0",IF(U371&gt;#REF!,"Terlalu tinggi",IF(U371&lt;#REF!,"Terlalu rendah","Sesuai")))</f>
        <v>#REF!</v>
      </c>
      <c r="W371" s="7" t="e">
        <f>IF(T371&lt;=0,S371,IF(U371&gt;#REF!,ROUNDDOWN(T371*#REF!,0),IF(U371&lt;#REF!,ROUNDUP(T371*#REF!,0),S371)))</f>
        <v>#REF!</v>
      </c>
      <c r="X371" s="7" t="e">
        <f t="shared" si="43"/>
        <v>#REF!</v>
      </c>
      <c r="Y371" s="7" t="e">
        <f t="shared" si="44"/>
        <v>#REF!</v>
      </c>
      <c r="Z371" s="7" t="e">
        <f t="shared" si="45"/>
        <v>#REF!</v>
      </c>
      <c r="AA371" s="7" t="e">
        <f t="shared" si="46"/>
        <v>#REF!</v>
      </c>
      <c r="AB371" s="8" t="e">
        <f t="shared" si="47"/>
        <v>#REF!</v>
      </c>
      <c r="AC371" s="9" t="e">
        <f>IF(T371&lt;=0,"Output &lt;= 0, cek manual",IF(OR(Z371&lt;0,Y371&lt;0),"Biaya negatif",IF(AND(AB371&gt;=#REF!,AB371&lt;=#REF!),"OK","Di luar rentang")))</f>
        <v>#REF!</v>
      </c>
    </row>
    <row r="372" ht="114" spans="1:29">
      <c r="A372" s="2" t="s">
        <v>30</v>
      </c>
      <c r="B372" s="2" t="s">
        <v>336</v>
      </c>
      <c r="C372" s="3" t="s">
        <v>1633</v>
      </c>
      <c r="D372" s="3" t="s">
        <v>1634</v>
      </c>
      <c r="E372" s="3" t="s">
        <v>1635</v>
      </c>
      <c r="F372" s="4">
        <v>100000</v>
      </c>
      <c r="G372" s="4">
        <v>36000000</v>
      </c>
      <c r="H372" s="4">
        <v>3552000</v>
      </c>
      <c r="I372" s="4">
        <v>196000</v>
      </c>
      <c r="J372" s="2" t="s">
        <v>1636</v>
      </c>
      <c r="K372" s="4">
        <v>76800000</v>
      </c>
      <c r="L372" s="4">
        <v>0</v>
      </c>
      <c r="M372" s="4">
        <v>37148000</v>
      </c>
      <c r="N372" s="4">
        <v>2900000</v>
      </c>
      <c r="O372" s="4">
        <v>40800000</v>
      </c>
      <c r="P372" s="6">
        <v>0.46875</v>
      </c>
      <c r="Q372" s="6">
        <v>0.91049</v>
      </c>
      <c r="R372" s="2" t="s">
        <v>1637</v>
      </c>
      <c r="S372" s="7">
        <f t="shared" si="40"/>
        <v>37148000</v>
      </c>
      <c r="T372" s="7">
        <f t="shared" si="41"/>
        <v>40800000</v>
      </c>
      <c r="U372" s="8">
        <f t="shared" si="42"/>
        <v>0.910490196078431</v>
      </c>
      <c r="V372" s="9" t="e">
        <f>IF(T372&lt;=0,"Output &lt;= 0",IF(U372&gt;#REF!,"Terlalu tinggi",IF(U372&lt;#REF!,"Terlalu rendah","Sesuai")))</f>
        <v>#REF!</v>
      </c>
      <c r="W372" s="7" t="e">
        <f>IF(T372&lt;=0,S372,IF(U372&gt;#REF!,ROUNDDOWN(T372*#REF!,0),IF(U372&lt;#REF!,ROUNDUP(T372*#REF!,0),S372)))</f>
        <v>#REF!</v>
      </c>
      <c r="X372" s="7" t="e">
        <f t="shared" si="43"/>
        <v>#REF!</v>
      </c>
      <c r="Y372" s="7" t="e">
        <f t="shared" si="44"/>
        <v>#REF!</v>
      </c>
      <c r="Z372" s="7" t="e">
        <f t="shared" si="45"/>
        <v>#REF!</v>
      </c>
      <c r="AA372" s="7" t="e">
        <f t="shared" si="46"/>
        <v>#REF!</v>
      </c>
      <c r="AB372" s="8" t="e">
        <f t="shared" si="47"/>
        <v>#REF!</v>
      </c>
      <c r="AC372" s="9" t="e">
        <f>IF(T372&lt;=0,"Output &lt;= 0, cek manual",IF(OR(Z372&lt;0,Y372&lt;0),"Biaya negatif",IF(AND(AB372&gt;=#REF!,AB372&lt;=#REF!),"OK","Di luar rentang")))</f>
        <v>#REF!</v>
      </c>
    </row>
    <row r="373" ht="57" spans="1:29">
      <c r="A373" s="2" t="s">
        <v>30</v>
      </c>
      <c r="B373" s="2" t="s">
        <v>336</v>
      </c>
      <c r="C373" s="3" t="s">
        <v>1638</v>
      </c>
      <c r="D373" s="3" t="s">
        <v>1639</v>
      </c>
      <c r="E373" s="3" t="s">
        <v>1640</v>
      </c>
      <c r="F373" s="4">
        <v>650000</v>
      </c>
      <c r="G373" s="4">
        <v>500000</v>
      </c>
      <c r="H373" s="4">
        <v>55000</v>
      </c>
      <c r="I373" s="4">
        <v>0</v>
      </c>
      <c r="J373" s="2" t="s">
        <v>1641</v>
      </c>
      <c r="K373" s="4">
        <v>15000000</v>
      </c>
      <c r="L373" s="4">
        <v>0</v>
      </c>
      <c r="M373" s="4">
        <v>13795000</v>
      </c>
      <c r="N373" s="4">
        <v>4000000</v>
      </c>
      <c r="O373" s="4">
        <v>14500000</v>
      </c>
      <c r="P373" s="5">
        <v>0.033333</v>
      </c>
      <c r="Q373" s="5">
        <v>0.951379</v>
      </c>
      <c r="R373" s="2" t="s">
        <v>1642</v>
      </c>
      <c r="S373" s="7">
        <f t="shared" si="40"/>
        <v>13795000</v>
      </c>
      <c r="T373" s="7">
        <f t="shared" si="41"/>
        <v>14500000</v>
      </c>
      <c r="U373" s="8">
        <f t="shared" si="42"/>
        <v>0.951379310344828</v>
      </c>
      <c r="V373" s="9" t="e">
        <f>IF(T373&lt;=0,"Output &lt;= 0",IF(U373&gt;#REF!,"Terlalu tinggi",IF(U373&lt;#REF!,"Terlalu rendah","Sesuai")))</f>
        <v>#REF!</v>
      </c>
      <c r="W373" s="7" t="e">
        <f>IF(T373&lt;=0,S373,IF(U373&gt;#REF!,ROUNDDOWN(T373*#REF!,0),IF(U373&lt;#REF!,ROUNDUP(T373*#REF!,0),S373)))</f>
        <v>#REF!</v>
      </c>
      <c r="X373" s="7" t="e">
        <f t="shared" si="43"/>
        <v>#REF!</v>
      </c>
      <c r="Y373" s="7" t="e">
        <f t="shared" si="44"/>
        <v>#REF!</v>
      </c>
      <c r="Z373" s="7" t="e">
        <f t="shared" si="45"/>
        <v>#REF!</v>
      </c>
      <c r="AA373" s="7" t="e">
        <f t="shared" si="46"/>
        <v>#REF!</v>
      </c>
      <c r="AB373" s="8" t="e">
        <f t="shared" si="47"/>
        <v>#REF!</v>
      </c>
      <c r="AC373" s="9" t="e">
        <f>IF(T373&lt;=0,"Output &lt;= 0, cek manual",IF(OR(Z373&lt;0,Y373&lt;0),"Biaya negatif",IF(AND(AB373&gt;=#REF!,AB373&lt;=#REF!),"OK","Di luar rentang")))</f>
        <v>#REF!</v>
      </c>
    </row>
    <row r="374" ht="57" spans="1:29">
      <c r="A374" s="2" t="s">
        <v>30</v>
      </c>
      <c r="B374" s="2" t="s">
        <v>336</v>
      </c>
      <c r="C374" s="3" t="s">
        <v>1643</v>
      </c>
      <c r="D374" s="3" t="s">
        <v>1644</v>
      </c>
      <c r="E374" s="3" t="s">
        <v>1645</v>
      </c>
      <c r="F374" s="4">
        <v>0</v>
      </c>
      <c r="G374" s="4">
        <v>6000000</v>
      </c>
      <c r="H374" s="4">
        <v>6000000</v>
      </c>
      <c r="I374" s="4">
        <v>0</v>
      </c>
      <c r="J374" s="2" t="s">
        <v>186</v>
      </c>
      <c r="K374" s="4">
        <v>480000000</v>
      </c>
      <c r="L374" s="4">
        <v>0</v>
      </c>
      <c r="M374" s="4">
        <v>468000000</v>
      </c>
      <c r="N374" s="4">
        <v>0</v>
      </c>
      <c r="O374" s="4">
        <v>474000000</v>
      </c>
      <c r="P374" s="13">
        <v>0.0125</v>
      </c>
      <c r="Q374" s="5">
        <v>0.987342</v>
      </c>
      <c r="R374" s="2" t="s">
        <v>1646</v>
      </c>
      <c r="S374" s="7">
        <f t="shared" si="40"/>
        <v>468000000</v>
      </c>
      <c r="T374" s="7">
        <f t="shared" si="41"/>
        <v>474000000</v>
      </c>
      <c r="U374" s="8">
        <f t="shared" si="42"/>
        <v>0.987341772151899</v>
      </c>
      <c r="V374" s="9" t="e">
        <f>IF(T374&lt;=0,"Output &lt;= 0",IF(U374&gt;#REF!,"Terlalu tinggi",IF(U374&lt;#REF!,"Terlalu rendah","Sesuai")))</f>
        <v>#REF!</v>
      </c>
      <c r="W374" s="7" t="e">
        <f>IF(T374&lt;=0,S374,IF(U374&gt;#REF!,ROUNDDOWN(T374*#REF!,0),IF(U374&lt;#REF!,ROUNDUP(T374*#REF!,0),S374)))</f>
        <v>#REF!</v>
      </c>
      <c r="X374" s="7" t="e">
        <f t="shared" si="43"/>
        <v>#REF!</v>
      </c>
      <c r="Y374" s="7" t="e">
        <f t="shared" si="44"/>
        <v>#REF!</v>
      </c>
      <c r="Z374" s="7" t="e">
        <f t="shared" si="45"/>
        <v>#REF!</v>
      </c>
      <c r="AA374" s="7" t="e">
        <f t="shared" si="46"/>
        <v>#REF!</v>
      </c>
      <c r="AB374" s="8" t="e">
        <f t="shared" si="47"/>
        <v>#REF!</v>
      </c>
      <c r="AC374" s="9" t="e">
        <f>IF(T374&lt;=0,"Output &lt;= 0, cek manual",IF(OR(Z374&lt;0,Y374&lt;0),"Biaya negatif",IF(AND(AB374&gt;=#REF!,AB374&lt;=#REF!),"OK","Di luar rentang")))</f>
        <v>#REF!</v>
      </c>
    </row>
    <row r="375" ht="270.75" spans="1:29">
      <c r="A375" s="2" t="s">
        <v>30</v>
      </c>
      <c r="B375" s="2" t="s">
        <v>363</v>
      </c>
      <c r="C375" s="3" t="s">
        <v>1647</v>
      </c>
      <c r="D375" s="3" t="s">
        <v>1648</v>
      </c>
      <c r="E375" s="3" t="s">
        <v>1649</v>
      </c>
      <c r="F375" s="4">
        <v>300000</v>
      </c>
      <c r="G375" s="4">
        <v>2000000</v>
      </c>
      <c r="H375" s="4">
        <v>200000</v>
      </c>
      <c r="I375" s="4">
        <v>0</v>
      </c>
      <c r="J375" s="2" t="s">
        <v>1650</v>
      </c>
      <c r="K375" s="4">
        <v>3000000</v>
      </c>
      <c r="L375" s="4">
        <v>0</v>
      </c>
      <c r="M375" s="4">
        <v>500000</v>
      </c>
      <c r="N375" s="4">
        <v>2500000</v>
      </c>
      <c r="O375" s="4">
        <v>1000000</v>
      </c>
      <c r="P375" s="5">
        <v>0.666667</v>
      </c>
      <c r="Q375" s="12">
        <v>0.5</v>
      </c>
      <c r="R375" s="2" t="s">
        <v>1651</v>
      </c>
      <c r="S375" s="7">
        <f t="shared" si="40"/>
        <v>500000</v>
      </c>
      <c r="T375" s="7">
        <f t="shared" si="41"/>
        <v>1000000</v>
      </c>
      <c r="U375" s="8">
        <f t="shared" si="42"/>
        <v>0.5</v>
      </c>
      <c r="V375" s="9" t="e">
        <f>IF(T375&lt;=0,"Output &lt;= 0",IF(U375&gt;#REF!,"Terlalu tinggi",IF(U375&lt;#REF!,"Terlalu rendah","Sesuai")))</f>
        <v>#REF!</v>
      </c>
      <c r="W375" s="7" t="e">
        <f>IF(T375&lt;=0,S375,IF(U375&gt;#REF!,ROUNDDOWN(T375*#REF!,0),IF(U375&lt;#REF!,ROUNDUP(T375*#REF!,0),S375)))</f>
        <v>#REF!</v>
      </c>
      <c r="X375" s="7" t="e">
        <f t="shared" si="43"/>
        <v>#REF!</v>
      </c>
      <c r="Y375" s="7" t="e">
        <f t="shared" si="44"/>
        <v>#REF!</v>
      </c>
      <c r="Z375" s="7" t="e">
        <f t="shared" si="45"/>
        <v>#REF!</v>
      </c>
      <c r="AA375" s="7" t="e">
        <f t="shared" si="46"/>
        <v>#REF!</v>
      </c>
      <c r="AB375" s="8" t="e">
        <f t="shared" si="47"/>
        <v>#REF!</v>
      </c>
      <c r="AC375" s="9" t="e">
        <f>IF(T375&lt;=0,"Output &lt;= 0, cek manual",IF(OR(Z375&lt;0,Y375&lt;0),"Biaya negatif",IF(AND(AB375&gt;=#REF!,AB375&lt;=#REF!),"OK","Di luar rentang")))</f>
        <v>#REF!</v>
      </c>
    </row>
    <row r="376" ht="71.25" spans="1:29">
      <c r="A376" s="2" t="s">
        <v>30</v>
      </c>
      <c r="B376" s="2" t="s">
        <v>363</v>
      </c>
      <c r="C376" s="3" t="s">
        <v>1652</v>
      </c>
      <c r="D376" s="3" t="s">
        <v>1653</v>
      </c>
      <c r="E376" s="3" t="s">
        <v>1654</v>
      </c>
      <c r="F376" s="4">
        <v>0</v>
      </c>
      <c r="G376" s="4">
        <v>2000000</v>
      </c>
      <c r="H376" s="4">
        <v>150000</v>
      </c>
      <c r="I376" s="4">
        <v>0</v>
      </c>
      <c r="J376" s="2" t="s">
        <v>859</v>
      </c>
      <c r="K376" s="4">
        <v>3000000</v>
      </c>
      <c r="L376" s="4">
        <v>0</v>
      </c>
      <c r="M376" s="4">
        <v>850000</v>
      </c>
      <c r="N376" s="4">
        <v>12000000</v>
      </c>
      <c r="O376" s="4">
        <v>1000000</v>
      </c>
      <c r="P376" s="5">
        <v>0.666667</v>
      </c>
      <c r="Q376" s="11">
        <v>0.85</v>
      </c>
      <c r="R376" s="2" t="s">
        <v>1655</v>
      </c>
      <c r="S376" s="7">
        <f t="shared" si="40"/>
        <v>850000</v>
      </c>
      <c r="T376" s="7">
        <f t="shared" si="41"/>
        <v>1000000</v>
      </c>
      <c r="U376" s="8">
        <f t="shared" si="42"/>
        <v>0.85</v>
      </c>
      <c r="V376" s="9" t="e">
        <f>IF(T376&lt;=0,"Output &lt;= 0",IF(U376&gt;#REF!,"Terlalu tinggi",IF(U376&lt;#REF!,"Terlalu rendah","Sesuai")))</f>
        <v>#REF!</v>
      </c>
      <c r="W376" s="7" t="e">
        <f>IF(T376&lt;=0,S376,IF(U376&gt;#REF!,ROUNDDOWN(T376*#REF!,0),IF(U376&lt;#REF!,ROUNDUP(T376*#REF!,0),S376)))</f>
        <v>#REF!</v>
      </c>
      <c r="X376" s="7" t="e">
        <f t="shared" si="43"/>
        <v>#REF!</v>
      </c>
      <c r="Y376" s="7" t="e">
        <f t="shared" si="44"/>
        <v>#REF!</v>
      </c>
      <c r="Z376" s="7" t="e">
        <f t="shared" si="45"/>
        <v>#REF!</v>
      </c>
      <c r="AA376" s="7" t="e">
        <f t="shared" si="46"/>
        <v>#REF!</v>
      </c>
      <c r="AB376" s="8" t="e">
        <f t="shared" si="47"/>
        <v>#REF!</v>
      </c>
      <c r="AC376" s="9" t="e">
        <f>IF(T376&lt;=0,"Output &lt;= 0, cek manual",IF(OR(Z376&lt;0,Y376&lt;0),"Biaya negatif",IF(AND(AB376&gt;=#REF!,AB376&lt;=#REF!),"OK","Di luar rentang")))</f>
        <v>#REF!</v>
      </c>
    </row>
    <row r="377" ht="114" spans="1:29">
      <c r="A377" s="2" t="s">
        <v>30</v>
      </c>
      <c r="B377" s="2" t="s">
        <v>363</v>
      </c>
      <c r="C377" s="3" t="s">
        <v>1656</v>
      </c>
      <c r="D377" s="3" t="s">
        <v>91</v>
      </c>
      <c r="E377" s="3" t="s">
        <v>198</v>
      </c>
      <c r="F377" s="4">
        <v>3000000</v>
      </c>
      <c r="G377" s="4">
        <v>0</v>
      </c>
      <c r="H377" s="4">
        <v>200000</v>
      </c>
      <c r="I377" s="4">
        <v>0</v>
      </c>
      <c r="J377" s="2" t="s">
        <v>1657</v>
      </c>
      <c r="K377" s="4">
        <v>7500000</v>
      </c>
      <c r="L377" s="4">
        <v>0</v>
      </c>
      <c r="M377" s="4">
        <v>4300000</v>
      </c>
      <c r="N377" s="4">
        <v>45500000</v>
      </c>
      <c r="O377" s="4">
        <v>7500000</v>
      </c>
      <c r="P377" s="4">
        <v>0</v>
      </c>
      <c r="Q377" s="5">
        <v>0.573333</v>
      </c>
      <c r="R377" s="2" t="s">
        <v>1658</v>
      </c>
      <c r="S377" s="7">
        <f t="shared" si="40"/>
        <v>4300000</v>
      </c>
      <c r="T377" s="7">
        <f t="shared" si="41"/>
        <v>7500000</v>
      </c>
      <c r="U377" s="8">
        <f t="shared" si="42"/>
        <v>0.573333333333333</v>
      </c>
      <c r="V377" s="9" t="e">
        <f>IF(T377&lt;=0,"Output &lt;= 0",IF(U377&gt;#REF!,"Terlalu tinggi",IF(U377&lt;#REF!,"Terlalu rendah","Sesuai")))</f>
        <v>#REF!</v>
      </c>
      <c r="W377" s="7" t="e">
        <f>IF(T377&lt;=0,S377,IF(U377&gt;#REF!,ROUNDDOWN(T377*#REF!,0),IF(U377&lt;#REF!,ROUNDUP(T377*#REF!,0),S377)))</f>
        <v>#REF!</v>
      </c>
      <c r="X377" s="7" t="e">
        <f t="shared" si="43"/>
        <v>#REF!</v>
      </c>
      <c r="Y377" s="7" t="e">
        <f t="shared" si="44"/>
        <v>#REF!</v>
      </c>
      <c r="Z377" s="7" t="e">
        <f t="shared" si="45"/>
        <v>#REF!</v>
      </c>
      <c r="AA377" s="7" t="e">
        <f t="shared" si="46"/>
        <v>#REF!</v>
      </c>
      <c r="AB377" s="8" t="e">
        <f t="shared" si="47"/>
        <v>#REF!</v>
      </c>
      <c r="AC377" s="9" t="e">
        <f>IF(T377&lt;=0,"Output &lt;= 0, cek manual",IF(OR(Z377&lt;0,Y377&lt;0),"Biaya negatif",IF(AND(AB377&gt;=#REF!,AB377&lt;=#REF!),"OK","Di luar rentang")))</f>
        <v>#REF!</v>
      </c>
    </row>
    <row r="378" ht="114" spans="1:29">
      <c r="A378" s="2" t="s">
        <v>30</v>
      </c>
      <c r="B378" s="2" t="s">
        <v>363</v>
      </c>
      <c r="C378" s="3" t="s">
        <v>1659</v>
      </c>
      <c r="D378" s="3" t="s">
        <v>1660</v>
      </c>
      <c r="E378" s="3" t="s">
        <v>1661</v>
      </c>
      <c r="F378" s="4">
        <v>2500000</v>
      </c>
      <c r="G378" s="4">
        <v>1000000</v>
      </c>
      <c r="H378" s="4">
        <v>100000</v>
      </c>
      <c r="I378" s="4">
        <v>0</v>
      </c>
      <c r="J378" s="2" t="s">
        <v>1662</v>
      </c>
      <c r="K378" s="4">
        <v>5000000</v>
      </c>
      <c r="L378" s="4">
        <v>0</v>
      </c>
      <c r="M378" s="4">
        <v>1400000</v>
      </c>
      <c r="N378" s="4">
        <v>30000000</v>
      </c>
      <c r="O378" s="4">
        <v>4000000</v>
      </c>
      <c r="P378" s="12">
        <v>0.2</v>
      </c>
      <c r="Q378" s="11">
        <v>0.35</v>
      </c>
      <c r="R378" s="2" t="s">
        <v>1663</v>
      </c>
      <c r="S378" s="7">
        <f t="shared" si="40"/>
        <v>1400000</v>
      </c>
      <c r="T378" s="7">
        <f t="shared" si="41"/>
        <v>4000000</v>
      </c>
      <c r="U378" s="8">
        <f t="shared" si="42"/>
        <v>0.35</v>
      </c>
      <c r="V378" s="9" t="e">
        <f>IF(T378&lt;=0,"Output &lt;= 0",IF(U378&gt;#REF!,"Terlalu tinggi",IF(U378&lt;#REF!,"Terlalu rendah","Sesuai")))</f>
        <v>#REF!</v>
      </c>
      <c r="W378" s="7" t="e">
        <f>IF(T378&lt;=0,S378,IF(U378&gt;#REF!,ROUNDDOWN(T378*#REF!,0),IF(U378&lt;#REF!,ROUNDUP(T378*#REF!,0),S378)))</f>
        <v>#REF!</v>
      </c>
      <c r="X378" s="7" t="e">
        <f t="shared" si="43"/>
        <v>#REF!</v>
      </c>
      <c r="Y378" s="7" t="e">
        <f t="shared" si="44"/>
        <v>#REF!</v>
      </c>
      <c r="Z378" s="7" t="e">
        <f t="shared" si="45"/>
        <v>#REF!</v>
      </c>
      <c r="AA378" s="7" t="e">
        <f t="shared" si="46"/>
        <v>#REF!</v>
      </c>
      <c r="AB378" s="8" t="e">
        <f t="shared" si="47"/>
        <v>#REF!</v>
      </c>
      <c r="AC378" s="9" t="e">
        <f>IF(T378&lt;=0,"Output &lt;= 0, cek manual",IF(OR(Z378&lt;0,Y378&lt;0),"Biaya negatif",IF(AND(AB378&gt;=#REF!,AB378&lt;=#REF!),"OK","Di luar rentang")))</f>
        <v>#REF!</v>
      </c>
    </row>
    <row r="379" ht="85.5" spans="1:29">
      <c r="A379" s="2" t="s">
        <v>30</v>
      </c>
      <c r="B379" s="2" t="s">
        <v>363</v>
      </c>
      <c r="C379" s="3" t="s">
        <v>1664</v>
      </c>
      <c r="D379" s="3" t="s">
        <v>1665</v>
      </c>
      <c r="E379" s="3" t="s">
        <v>1666</v>
      </c>
      <c r="F379" s="4">
        <v>100000</v>
      </c>
      <c r="G379" s="4">
        <v>200000</v>
      </c>
      <c r="H379" s="4">
        <v>0</v>
      </c>
      <c r="I379" s="4">
        <v>0</v>
      </c>
      <c r="J379" s="2" t="s">
        <v>124</v>
      </c>
      <c r="K379" s="4">
        <v>900000</v>
      </c>
      <c r="L379" s="4">
        <v>0</v>
      </c>
      <c r="M379" s="4">
        <v>600000</v>
      </c>
      <c r="N379" s="4">
        <v>500000</v>
      </c>
      <c r="O379" s="4">
        <v>700000</v>
      </c>
      <c r="P379" s="5">
        <v>0.222222</v>
      </c>
      <c r="Q379" s="5">
        <v>0.857143</v>
      </c>
      <c r="R379" s="2" t="s">
        <v>1667</v>
      </c>
      <c r="S379" s="7">
        <f t="shared" si="40"/>
        <v>600000</v>
      </c>
      <c r="T379" s="7">
        <f t="shared" si="41"/>
        <v>700000</v>
      </c>
      <c r="U379" s="8">
        <f t="shared" si="42"/>
        <v>0.857142857142857</v>
      </c>
      <c r="V379" s="9" t="e">
        <f>IF(T379&lt;=0,"Output &lt;= 0",IF(U379&gt;#REF!,"Terlalu tinggi",IF(U379&lt;#REF!,"Terlalu rendah","Sesuai")))</f>
        <v>#REF!</v>
      </c>
      <c r="W379" s="7" t="e">
        <f>IF(T379&lt;=0,S379,IF(U379&gt;#REF!,ROUNDDOWN(T379*#REF!,0),IF(U379&lt;#REF!,ROUNDUP(T379*#REF!,0),S379)))</f>
        <v>#REF!</v>
      </c>
      <c r="X379" s="7" t="e">
        <f t="shared" si="43"/>
        <v>#REF!</v>
      </c>
      <c r="Y379" s="7" t="e">
        <f t="shared" si="44"/>
        <v>#REF!</v>
      </c>
      <c r="Z379" s="7" t="e">
        <f t="shared" si="45"/>
        <v>#REF!</v>
      </c>
      <c r="AA379" s="7" t="e">
        <f t="shared" si="46"/>
        <v>#REF!</v>
      </c>
      <c r="AB379" s="8" t="e">
        <f t="shared" si="47"/>
        <v>#REF!</v>
      </c>
      <c r="AC379" s="9" t="e">
        <f>IF(T379&lt;=0,"Output &lt;= 0, cek manual",IF(OR(Z379&lt;0,Y379&lt;0),"Biaya negatif",IF(AND(AB379&gt;=#REF!,AB379&lt;=#REF!),"OK","Di luar rentang")))</f>
        <v>#REF!</v>
      </c>
    </row>
    <row r="380" ht="71.25" spans="1:29">
      <c r="A380" s="2" t="s">
        <v>30</v>
      </c>
      <c r="B380" s="2" t="s">
        <v>372</v>
      </c>
      <c r="C380" s="3" t="s">
        <v>1668</v>
      </c>
      <c r="D380" s="3" t="s">
        <v>1669</v>
      </c>
      <c r="E380" s="3" t="s">
        <v>1670</v>
      </c>
      <c r="F380" s="4">
        <v>1900000</v>
      </c>
      <c r="G380" s="4">
        <v>28000000</v>
      </c>
      <c r="H380" s="4">
        <v>2500000</v>
      </c>
      <c r="I380" s="4">
        <v>150000</v>
      </c>
      <c r="J380" s="2" t="s">
        <v>1671</v>
      </c>
      <c r="K380" s="4">
        <v>34560000</v>
      </c>
      <c r="L380" s="4">
        <v>0</v>
      </c>
      <c r="M380" s="4">
        <v>2160000</v>
      </c>
      <c r="N380" s="4">
        <v>0</v>
      </c>
      <c r="O380" s="4">
        <v>6560000</v>
      </c>
      <c r="P380" s="5">
        <v>0.810185</v>
      </c>
      <c r="Q380" s="5">
        <v>0.329268</v>
      </c>
      <c r="R380" s="2" t="s">
        <v>1672</v>
      </c>
      <c r="S380" s="7">
        <f t="shared" si="40"/>
        <v>2160000</v>
      </c>
      <c r="T380" s="7">
        <f t="shared" si="41"/>
        <v>6560000</v>
      </c>
      <c r="U380" s="8">
        <f t="shared" si="42"/>
        <v>0.329268292682927</v>
      </c>
      <c r="V380" s="9" t="e">
        <f>IF(T380&lt;=0,"Output &lt;= 0",IF(U380&gt;#REF!,"Terlalu tinggi",IF(U380&lt;#REF!,"Terlalu rendah","Sesuai")))</f>
        <v>#REF!</v>
      </c>
      <c r="W380" s="7" t="e">
        <f>IF(T380&lt;=0,S380,IF(U380&gt;#REF!,ROUNDDOWN(T380*#REF!,0),IF(U380&lt;#REF!,ROUNDUP(T380*#REF!,0),S380)))</f>
        <v>#REF!</v>
      </c>
      <c r="X380" s="7" t="e">
        <f t="shared" si="43"/>
        <v>#REF!</v>
      </c>
      <c r="Y380" s="7" t="e">
        <f t="shared" si="44"/>
        <v>#REF!</v>
      </c>
      <c r="Z380" s="7" t="e">
        <f t="shared" si="45"/>
        <v>#REF!</v>
      </c>
      <c r="AA380" s="7" t="e">
        <f t="shared" si="46"/>
        <v>#REF!</v>
      </c>
      <c r="AB380" s="8" t="e">
        <f t="shared" si="47"/>
        <v>#REF!</v>
      </c>
      <c r="AC380" s="9" t="e">
        <f>IF(T380&lt;=0,"Output &lt;= 0, cek manual",IF(OR(Z380&lt;0,Y380&lt;0),"Biaya negatif",IF(AND(AB380&gt;=#REF!,AB380&lt;=#REF!),"OK","Di luar rentang")))</f>
        <v>#REF!</v>
      </c>
    </row>
    <row r="381" ht="85.5" spans="1:29">
      <c r="A381" s="2" t="s">
        <v>30</v>
      </c>
      <c r="B381" s="2" t="s">
        <v>372</v>
      </c>
      <c r="C381" s="3" t="s">
        <v>1673</v>
      </c>
      <c r="D381" s="3" t="s">
        <v>1674</v>
      </c>
      <c r="E381" s="3" t="s">
        <v>1674</v>
      </c>
      <c r="F381" s="4">
        <v>3300000</v>
      </c>
      <c r="G381" s="4">
        <v>0</v>
      </c>
      <c r="H381" s="4">
        <v>0</v>
      </c>
      <c r="I381" s="4">
        <v>0</v>
      </c>
      <c r="J381" s="2" t="s">
        <v>1675</v>
      </c>
      <c r="K381" s="4">
        <v>5050000</v>
      </c>
      <c r="L381" s="4">
        <v>0</v>
      </c>
      <c r="M381" s="4">
        <v>1750000</v>
      </c>
      <c r="N381" s="4">
        <v>150000</v>
      </c>
      <c r="O381" s="4">
        <v>5050000</v>
      </c>
      <c r="P381" s="4">
        <v>0</v>
      </c>
      <c r="Q381" s="5">
        <v>0.346535</v>
      </c>
      <c r="R381" s="2" t="s">
        <v>1676</v>
      </c>
      <c r="S381" s="7">
        <f t="shared" si="40"/>
        <v>1750000</v>
      </c>
      <c r="T381" s="7">
        <f t="shared" si="41"/>
        <v>5050000</v>
      </c>
      <c r="U381" s="8">
        <f t="shared" si="42"/>
        <v>0.346534653465347</v>
      </c>
      <c r="V381" s="9" t="e">
        <f>IF(T381&lt;=0,"Output &lt;= 0",IF(U381&gt;#REF!,"Terlalu tinggi",IF(U381&lt;#REF!,"Terlalu rendah","Sesuai")))</f>
        <v>#REF!</v>
      </c>
      <c r="W381" s="7" t="e">
        <f>IF(T381&lt;=0,S381,IF(U381&gt;#REF!,ROUNDDOWN(T381*#REF!,0),IF(U381&lt;#REF!,ROUNDUP(T381*#REF!,0),S381)))</f>
        <v>#REF!</v>
      </c>
      <c r="X381" s="7" t="e">
        <f t="shared" si="43"/>
        <v>#REF!</v>
      </c>
      <c r="Y381" s="7" t="e">
        <f t="shared" si="44"/>
        <v>#REF!</v>
      </c>
      <c r="Z381" s="7" t="e">
        <f t="shared" si="45"/>
        <v>#REF!</v>
      </c>
      <c r="AA381" s="7" t="e">
        <f t="shared" si="46"/>
        <v>#REF!</v>
      </c>
      <c r="AB381" s="8" t="e">
        <f t="shared" si="47"/>
        <v>#REF!</v>
      </c>
      <c r="AC381" s="9" t="e">
        <f>IF(T381&lt;=0,"Output &lt;= 0, cek manual",IF(OR(Z381&lt;0,Y381&lt;0),"Biaya negatif",IF(AND(AB381&gt;=#REF!,AB381&lt;=#REF!),"OK","Di luar rentang")))</f>
        <v>#REF!</v>
      </c>
    </row>
    <row r="382" ht="71.25" spans="1:29">
      <c r="A382" s="2" t="s">
        <v>30</v>
      </c>
      <c r="B382" s="2" t="s">
        <v>372</v>
      </c>
      <c r="C382" s="3" t="s">
        <v>1677</v>
      </c>
      <c r="D382" s="3" t="s">
        <v>1669</v>
      </c>
      <c r="E382" s="3" t="s">
        <v>1670</v>
      </c>
      <c r="F382" s="4">
        <v>5500000</v>
      </c>
      <c r="G382" s="4">
        <v>1000000</v>
      </c>
      <c r="H382" s="4">
        <v>350000</v>
      </c>
      <c r="I382" s="4">
        <v>0</v>
      </c>
      <c r="J382" s="2" t="s">
        <v>1678</v>
      </c>
      <c r="K382" s="4">
        <v>7500000</v>
      </c>
      <c r="L382" s="4">
        <v>0</v>
      </c>
      <c r="M382" s="4">
        <v>650000</v>
      </c>
      <c r="N382" s="4">
        <v>85000000</v>
      </c>
      <c r="O382" s="4">
        <v>6500000</v>
      </c>
      <c r="P382" s="5">
        <v>0.133333</v>
      </c>
      <c r="Q382" s="12">
        <v>0.1</v>
      </c>
      <c r="R382" s="2" t="s">
        <v>1679</v>
      </c>
      <c r="S382" s="7">
        <f t="shared" si="40"/>
        <v>650000</v>
      </c>
      <c r="T382" s="7">
        <f t="shared" si="41"/>
        <v>6500000</v>
      </c>
      <c r="U382" s="8">
        <f t="shared" si="42"/>
        <v>0.1</v>
      </c>
      <c r="V382" s="9" t="e">
        <f>IF(T382&lt;=0,"Output &lt;= 0",IF(U382&gt;#REF!,"Terlalu tinggi",IF(U382&lt;#REF!,"Terlalu rendah","Sesuai")))</f>
        <v>#REF!</v>
      </c>
      <c r="W382" s="7" t="e">
        <f>IF(T382&lt;=0,S382,IF(U382&gt;#REF!,ROUNDDOWN(T382*#REF!,0),IF(U382&lt;#REF!,ROUNDUP(T382*#REF!,0),S382)))</f>
        <v>#REF!</v>
      </c>
      <c r="X382" s="7" t="e">
        <f t="shared" si="43"/>
        <v>#REF!</v>
      </c>
      <c r="Y382" s="7" t="e">
        <f t="shared" si="44"/>
        <v>#REF!</v>
      </c>
      <c r="Z382" s="7" t="e">
        <f t="shared" si="45"/>
        <v>#REF!</v>
      </c>
      <c r="AA382" s="7" t="e">
        <f t="shared" si="46"/>
        <v>#REF!</v>
      </c>
      <c r="AB382" s="8" t="e">
        <f t="shared" si="47"/>
        <v>#REF!</v>
      </c>
      <c r="AC382" s="9" t="e">
        <f>IF(T382&lt;=0,"Output &lt;= 0, cek manual",IF(OR(Z382&lt;0,Y382&lt;0),"Biaya negatif",IF(AND(AB382&gt;=#REF!,AB382&lt;=#REF!),"OK","Di luar rentang")))</f>
        <v>#REF!</v>
      </c>
    </row>
    <row r="383" ht="99.75" spans="1:29">
      <c r="A383" s="2" t="s">
        <v>30</v>
      </c>
      <c r="B383" s="2" t="s">
        <v>372</v>
      </c>
      <c r="C383" s="3" t="s">
        <v>1680</v>
      </c>
      <c r="D383" s="3" t="s">
        <v>1681</v>
      </c>
      <c r="E383" s="3" t="s">
        <v>1682</v>
      </c>
      <c r="F383" s="4">
        <v>0</v>
      </c>
      <c r="G383" s="4">
        <v>13200000</v>
      </c>
      <c r="H383" s="4">
        <v>264000</v>
      </c>
      <c r="I383" s="4">
        <v>0</v>
      </c>
      <c r="J383" s="2" t="s">
        <v>1683</v>
      </c>
      <c r="K383" s="4">
        <v>24000000</v>
      </c>
      <c r="L383" s="4">
        <v>0</v>
      </c>
      <c r="M383" s="4">
        <v>10536000</v>
      </c>
      <c r="N383" s="4">
        <v>18000000</v>
      </c>
      <c r="O383" s="4">
        <v>10800000</v>
      </c>
      <c r="P383" s="11">
        <v>0.55</v>
      </c>
      <c r="Q383" s="5">
        <v>0.975556</v>
      </c>
      <c r="R383" s="2" t="s">
        <v>1684</v>
      </c>
      <c r="S383" s="7">
        <f t="shared" si="40"/>
        <v>10536000</v>
      </c>
      <c r="T383" s="7">
        <f t="shared" si="41"/>
        <v>10800000</v>
      </c>
      <c r="U383" s="8">
        <f t="shared" si="42"/>
        <v>0.975555555555556</v>
      </c>
      <c r="V383" s="9" t="e">
        <f>IF(T383&lt;=0,"Output &lt;= 0",IF(U383&gt;#REF!,"Terlalu tinggi",IF(U383&lt;#REF!,"Terlalu rendah","Sesuai")))</f>
        <v>#REF!</v>
      </c>
      <c r="W383" s="7" t="e">
        <f>IF(T383&lt;=0,S383,IF(U383&gt;#REF!,ROUNDDOWN(T383*#REF!,0),IF(U383&lt;#REF!,ROUNDUP(T383*#REF!,0),S383)))</f>
        <v>#REF!</v>
      </c>
      <c r="X383" s="7" t="e">
        <f t="shared" si="43"/>
        <v>#REF!</v>
      </c>
      <c r="Y383" s="7" t="e">
        <f t="shared" si="44"/>
        <v>#REF!</v>
      </c>
      <c r="Z383" s="7" t="e">
        <f t="shared" si="45"/>
        <v>#REF!</v>
      </c>
      <c r="AA383" s="7" t="e">
        <f t="shared" si="46"/>
        <v>#REF!</v>
      </c>
      <c r="AB383" s="8" t="e">
        <f t="shared" si="47"/>
        <v>#REF!</v>
      </c>
      <c r="AC383" s="9" t="e">
        <f>IF(T383&lt;=0,"Output &lt;= 0, cek manual",IF(OR(Z383&lt;0,Y383&lt;0),"Biaya negatif",IF(AND(AB383&gt;=#REF!,AB383&lt;=#REF!),"OK","Di luar rentang")))</f>
        <v>#REF!</v>
      </c>
    </row>
    <row r="384" ht="128.25" spans="1:29">
      <c r="A384" s="2" t="s">
        <v>30</v>
      </c>
      <c r="B384" s="2" t="s">
        <v>391</v>
      </c>
      <c r="C384" s="3" t="s">
        <v>1685</v>
      </c>
      <c r="D384" s="3" t="s">
        <v>1686</v>
      </c>
      <c r="E384" s="3" t="s">
        <v>1687</v>
      </c>
      <c r="F384" s="4">
        <v>100000</v>
      </c>
      <c r="G384" s="4">
        <v>36480000</v>
      </c>
      <c r="H384" s="4">
        <v>500000</v>
      </c>
      <c r="I384" s="4">
        <v>0</v>
      </c>
      <c r="J384" s="2" t="s">
        <v>1688</v>
      </c>
      <c r="K384" s="4">
        <v>44160000</v>
      </c>
      <c r="L384" s="4">
        <v>0</v>
      </c>
      <c r="M384" s="4">
        <v>7080000</v>
      </c>
      <c r="N384" s="4">
        <v>400000</v>
      </c>
      <c r="O384" s="4">
        <v>7680000</v>
      </c>
      <c r="P384" s="5">
        <v>0.826087</v>
      </c>
      <c r="Q384" s="5">
        <v>0.921875</v>
      </c>
      <c r="R384" s="2" t="s">
        <v>1689</v>
      </c>
      <c r="S384" s="7">
        <f t="shared" si="40"/>
        <v>7080000</v>
      </c>
      <c r="T384" s="7">
        <f t="shared" si="41"/>
        <v>7680000</v>
      </c>
      <c r="U384" s="8">
        <f t="shared" si="42"/>
        <v>0.921875</v>
      </c>
      <c r="V384" s="9" t="e">
        <f>IF(T384&lt;=0,"Output &lt;= 0",IF(U384&gt;#REF!,"Terlalu tinggi",IF(U384&lt;#REF!,"Terlalu rendah","Sesuai")))</f>
        <v>#REF!</v>
      </c>
      <c r="W384" s="7" t="e">
        <f>IF(T384&lt;=0,S384,IF(U384&gt;#REF!,ROUNDDOWN(T384*#REF!,0),IF(U384&lt;#REF!,ROUNDUP(T384*#REF!,0),S384)))</f>
        <v>#REF!</v>
      </c>
      <c r="X384" s="7" t="e">
        <f t="shared" si="43"/>
        <v>#REF!</v>
      </c>
      <c r="Y384" s="7" t="e">
        <f t="shared" si="44"/>
        <v>#REF!</v>
      </c>
      <c r="Z384" s="7" t="e">
        <f t="shared" si="45"/>
        <v>#REF!</v>
      </c>
      <c r="AA384" s="7" t="e">
        <f t="shared" si="46"/>
        <v>#REF!</v>
      </c>
      <c r="AB384" s="8" t="e">
        <f t="shared" si="47"/>
        <v>#REF!</v>
      </c>
      <c r="AC384" s="9" t="e">
        <f>IF(T384&lt;=0,"Output &lt;= 0, cek manual",IF(OR(Z384&lt;0,Y384&lt;0),"Biaya negatif",IF(AND(AB384&gt;=#REF!,AB384&lt;=#REF!),"OK","Di luar rentang")))</f>
        <v>#REF!</v>
      </c>
    </row>
    <row r="385" ht="85.5" spans="1:29">
      <c r="A385" s="2" t="s">
        <v>30</v>
      </c>
      <c r="B385" s="2" t="s">
        <v>391</v>
      </c>
      <c r="C385" s="3" t="s">
        <v>1690</v>
      </c>
      <c r="D385" s="3" t="s">
        <v>1691</v>
      </c>
      <c r="E385" s="3" t="s">
        <v>1692</v>
      </c>
      <c r="F385" s="4">
        <v>0</v>
      </c>
      <c r="G385" s="4">
        <v>2000000</v>
      </c>
      <c r="H385" s="4">
        <v>200000</v>
      </c>
      <c r="I385" s="4">
        <v>0</v>
      </c>
      <c r="J385" s="2" t="s">
        <v>1693</v>
      </c>
      <c r="K385" s="4">
        <v>3000000</v>
      </c>
      <c r="L385" s="4">
        <v>0</v>
      </c>
      <c r="M385" s="4">
        <v>800000</v>
      </c>
      <c r="N385" s="4">
        <v>50000</v>
      </c>
      <c r="O385" s="4">
        <v>1000000</v>
      </c>
      <c r="P385" s="5">
        <v>0.666667</v>
      </c>
      <c r="Q385" s="12">
        <v>0.8</v>
      </c>
      <c r="R385" s="2" t="s">
        <v>1694</v>
      </c>
      <c r="S385" s="7">
        <f t="shared" si="40"/>
        <v>800000</v>
      </c>
      <c r="T385" s="7">
        <f t="shared" si="41"/>
        <v>1000000</v>
      </c>
      <c r="U385" s="8">
        <f t="shared" si="42"/>
        <v>0.8</v>
      </c>
      <c r="V385" s="9" t="e">
        <f>IF(T385&lt;=0,"Output &lt;= 0",IF(U385&gt;#REF!,"Terlalu tinggi",IF(U385&lt;#REF!,"Terlalu rendah","Sesuai")))</f>
        <v>#REF!</v>
      </c>
      <c r="W385" s="7" t="e">
        <f>IF(T385&lt;=0,S385,IF(U385&gt;#REF!,ROUNDDOWN(T385*#REF!,0),IF(U385&lt;#REF!,ROUNDUP(T385*#REF!,0),S385)))</f>
        <v>#REF!</v>
      </c>
      <c r="X385" s="7" t="e">
        <f t="shared" si="43"/>
        <v>#REF!</v>
      </c>
      <c r="Y385" s="7" t="e">
        <f t="shared" si="44"/>
        <v>#REF!</v>
      </c>
      <c r="Z385" s="7" t="e">
        <f t="shared" si="45"/>
        <v>#REF!</v>
      </c>
      <c r="AA385" s="7" t="e">
        <f t="shared" si="46"/>
        <v>#REF!</v>
      </c>
      <c r="AB385" s="8" t="e">
        <f t="shared" si="47"/>
        <v>#REF!</v>
      </c>
      <c r="AC385" s="9" t="e">
        <f>IF(T385&lt;=0,"Output &lt;= 0, cek manual",IF(OR(Z385&lt;0,Y385&lt;0),"Biaya negatif",IF(AND(AB385&gt;=#REF!,AB385&lt;=#REF!),"OK","Di luar rentang")))</f>
        <v>#REF!</v>
      </c>
    </row>
    <row r="386" ht="71.25" spans="1:29">
      <c r="A386" s="2" t="s">
        <v>30</v>
      </c>
      <c r="B386" s="2" t="s">
        <v>391</v>
      </c>
      <c r="C386" s="3" t="s">
        <v>1695</v>
      </c>
      <c r="D386" s="3" t="s">
        <v>381</v>
      </c>
      <c r="E386" s="3" t="s">
        <v>1696</v>
      </c>
      <c r="F386" s="4">
        <v>0</v>
      </c>
      <c r="G386" s="4">
        <v>32680000</v>
      </c>
      <c r="H386" s="4">
        <v>7200000</v>
      </c>
      <c r="I386" s="4">
        <v>2000000</v>
      </c>
      <c r="J386" s="2" t="s">
        <v>1697</v>
      </c>
      <c r="K386" s="4">
        <v>50000000</v>
      </c>
      <c r="L386" s="4">
        <v>0</v>
      </c>
      <c r="M386" s="4">
        <v>10120000</v>
      </c>
      <c r="N386" s="4">
        <v>1500000</v>
      </c>
      <c r="O386" s="4">
        <v>17320000</v>
      </c>
      <c r="P386" s="13">
        <v>0.6536</v>
      </c>
      <c r="Q386" s="5">
        <v>0.584296</v>
      </c>
      <c r="R386" s="2" t="s">
        <v>1698</v>
      </c>
      <c r="S386" s="7">
        <f t="shared" ref="S386:S449" si="48">K386-F386-G386-H386</f>
        <v>10120000</v>
      </c>
      <c r="T386" s="7">
        <f t="shared" ref="T386:T449" si="49">K386-G386</f>
        <v>17320000</v>
      </c>
      <c r="U386" s="8">
        <f t="shared" ref="U386:U449" si="50">IF(T386&lt;=0,"",S386/T386)</f>
        <v>0.584295612009238</v>
      </c>
      <c r="V386" s="9" t="e">
        <f>IF(T386&lt;=0,"Output &lt;= 0",IF(U386&gt;#REF!,"Terlalu tinggi",IF(U386&lt;#REF!,"Terlalu rendah","Sesuai")))</f>
        <v>#REF!</v>
      </c>
      <c r="W386" s="7" t="e">
        <f>IF(T386&lt;=0,S386,IF(U386&gt;#REF!,ROUNDDOWN(T386*#REF!,0),IF(U386&lt;#REF!,ROUNDUP(T386*#REF!,0),S386)))</f>
        <v>#REF!</v>
      </c>
      <c r="X386" s="7" t="e">
        <f t="shared" ref="X386:X449" si="51">W386-S386</f>
        <v>#REF!</v>
      </c>
      <c r="Y386" s="7" t="e">
        <f t="shared" ref="Y386:Y449" si="52">IF(F386+H386&gt;0,ROUND((T386-W386)*H386/(F386+H386),0),T386-W386)</f>
        <v>#REF!</v>
      </c>
      <c r="Z386" s="7" t="e">
        <f t="shared" ref="Z386:Z449" si="53">(T386-W386)-Y386</f>
        <v>#REF!</v>
      </c>
      <c r="AA386" s="7" t="e">
        <f t="shared" ref="AA386:AA449" si="54">K386-Z386-G386-Y386</f>
        <v>#REF!</v>
      </c>
      <c r="AB386" s="8" t="e">
        <f t="shared" ref="AB386:AB449" si="55">IF(T386&lt;=0,"",AA386/T386)</f>
        <v>#REF!</v>
      </c>
      <c r="AC386" s="9" t="e">
        <f>IF(T386&lt;=0,"Output &lt;= 0, cek manual",IF(OR(Z386&lt;0,Y386&lt;0),"Biaya negatif",IF(AND(AB386&gt;=#REF!,AB386&lt;=#REF!),"OK","Di luar rentang")))</f>
        <v>#REF!</v>
      </c>
    </row>
    <row r="387" ht="99.75" spans="1:29">
      <c r="A387" s="2" t="s">
        <v>30</v>
      </c>
      <c r="B387" s="2" t="s">
        <v>391</v>
      </c>
      <c r="C387" s="3" t="s">
        <v>1699</v>
      </c>
      <c r="D387" s="3" t="s">
        <v>1700</v>
      </c>
      <c r="E387" s="3" t="s">
        <v>1701</v>
      </c>
      <c r="F387" s="4">
        <v>0</v>
      </c>
      <c r="G387" s="4">
        <v>8800000</v>
      </c>
      <c r="H387" s="4">
        <v>25000</v>
      </c>
      <c r="I387" s="4">
        <v>0</v>
      </c>
      <c r="J387" s="2" t="s">
        <v>1702</v>
      </c>
      <c r="K387" s="4">
        <v>10670000</v>
      </c>
      <c r="L387" s="4">
        <v>0</v>
      </c>
      <c r="M387" s="4">
        <v>1845000</v>
      </c>
      <c r="N387" s="4">
        <v>1100000</v>
      </c>
      <c r="O387" s="4">
        <v>1870000</v>
      </c>
      <c r="P387" s="5">
        <v>0.824742</v>
      </c>
      <c r="Q387" s="5">
        <v>0.986631</v>
      </c>
      <c r="R387" s="2" t="s">
        <v>1703</v>
      </c>
      <c r="S387" s="7">
        <f t="shared" si="48"/>
        <v>1845000</v>
      </c>
      <c r="T387" s="7">
        <f t="shared" si="49"/>
        <v>1870000</v>
      </c>
      <c r="U387" s="8">
        <f t="shared" si="50"/>
        <v>0.986631016042781</v>
      </c>
      <c r="V387" s="9" t="e">
        <f>IF(T387&lt;=0,"Output &lt;= 0",IF(U387&gt;#REF!,"Terlalu tinggi",IF(U387&lt;#REF!,"Terlalu rendah","Sesuai")))</f>
        <v>#REF!</v>
      </c>
      <c r="W387" s="7" t="e">
        <f>IF(T387&lt;=0,S387,IF(U387&gt;#REF!,ROUNDDOWN(T387*#REF!,0),IF(U387&lt;#REF!,ROUNDUP(T387*#REF!,0),S387)))</f>
        <v>#REF!</v>
      </c>
      <c r="X387" s="7" t="e">
        <f t="shared" si="51"/>
        <v>#REF!</v>
      </c>
      <c r="Y387" s="7" t="e">
        <f t="shared" si="52"/>
        <v>#REF!</v>
      </c>
      <c r="Z387" s="7" t="e">
        <f t="shared" si="53"/>
        <v>#REF!</v>
      </c>
      <c r="AA387" s="7" t="e">
        <f t="shared" si="54"/>
        <v>#REF!</v>
      </c>
      <c r="AB387" s="8" t="e">
        <f t="shared" si="55"/>
        <v>#REF!</v>
      </c>
      <c r="AC387" s="9" t="e">
        <f>IF(T387&lt;=0,"Output &lt;= 0, cek manual",IF(OR(Z387&lt;0,Y387&lt;0),"Biaya negatif",IF(AND(AB387&gt;=#REF!,AB387&lt;=#REF!),"OK","Di luar rentang")))</f>
        <v>#REF!</v>
      </c>
    </row>
    <row r="388" ht="71.25" spans="1:29">
      <c r="A388" s="2" t="s">
        <v>30</v>
      </c>
      <c r="B388" s="2" t="s">
        <v>1704</v>
      </c>
      <c r="C388" s="3" t="s">
        <v>1705</v>
      </c>
      <c r="D388" s="3" t="s">
        <v>1433</v>
      </c>
      <c r="E388" s="3" t="s">
        <v>1706</v>
      </c>
      <c r="F388" s="4">
        <v>0</v>
      </c>
      <c r="G388" s="4">
        <v>5000000</v>
      </c>
      <c r="H388" s="4">
        <v>200000</v>
      </c>
      <c r="I388" s="4">
        <v>0</v>
      </c>
      <c r="J388" s="2" t="s">
        <v>124</v>
      </c>
      <c r="K388" s="4">
        <v>6000000</v>
      </c>
      <c r="L388" s="4">
        <v>0</v>
      </c>
      <c r="M388" s="4">
        <v>800000</v>
      </c>
      <c r="N388" s="4">
        <v>400000</v>
      </c>
      <c r="O388" s="4">
        <v>1000000</v>
      </c>
      <c r="P388" s="5">
        <v>0.833333</v>
      </c>
      <c r="Q388" s="12">
        <v>0.8</v>
      </c>
      <c r="R388" s="2" t="s">
        <v>1707</v>
      </c>
      <c r="S388" s="7">
        <f t="shared" si="48"/>
        <v>800000</v>
      </c>
      <c r="T388" s="7">
        <f t="shared" si="49"/>
        <v>1000000</v>
      </c>
      <c r="U388" s="8">
        <f t="shared" si="50"/>
        <v>0.8</v>
      </c>
      <c r="V388" s="9" t="e">
        <f>IF(T388&lt;=0,"Output &lt;= 0",IF(U388&gt;#REF!,"Terlalu tinggi",IF(U388&lt;#REF!,"Terlalu rendah","Sesuai")))</f>
        <v>#REF!</v>
      </c>
      <c r="W388" s="7" t="e">
        <f>IF(T388&lt;=0,S388,IF(U388&gt;#REF!,ROUNDDOWN(T388*#REF!,0),IF(U388&lt;#REF!,ROUNDUP(T388*#REF!,0),S388)))</f>
        <v>#REF!</v>
      </c>
      <c r="X388" s="7" t="e">
        <f t="shared" si="51"/>
        <v>#REF!</v>
      </c>
      <c r="Y388" s="7" t="e">
        <f t="shared" si="52"/>
        <v>#REF!</v>
      </c>
      <c r="Z388" s="7" t="e">
        <f t="shared" si="53"/>
        <v>#REF!</v>
      </c>
      <c r="AA388" s="7" t="e">
        <f t="shared" si="54"/>
        <v>#REF!</v>
      </c>
      <c r="AB388" s="8" t="e">
        <f t="shared" si="55"/>
        <v>#REF!</v>
      </c>
      <c r="AC388" s="9" t="e">
        <f>IF(T388&lt;=0,"Output &lt;= 0, cek manual",IF(OR(Z388&lt;0,Y388&lt;0),"Biaya negatif",IF(AND(AB388&gt;=#REF!,AB388&lt;=#REF!),"OK","Di luar rentang")))</f>
        <v>#REF!</v>
      </c>
    </row>
    <row r="389" ht="114" spans="1:29">
      <c r="A389" s="2" t="s">
        <v>30</v>
      </c>
      <c r="B389" s="2" t="s">
        <v>428</v>
      </c>
      <c r="C389" s="3" t="s">
        <v>1708</v>
      </c>
      <c r="D389" s="3" t="s">
        <v>1709</v>
      </c>
      <c r="E389" s="3" t="s">
        <v>1710</v>
      </c>
      <c r="F389" s="4">
        <v>0</v>
      </c>
      <c r="G389" s="4">
        <v>350000000</v>
      </c>
      <c r="H389" s="4">
        <v>12400000</v>
      </c>
      <c r="I389" s="4">
        <v>9000000</v>
      </c>
      <c r="J389" s="2" t="s">
        <v>1711</v>
      </c>
      <c r="K389" s="4">
        <v>510600000</v>
      </c>
      <c r="L389" s="4">
        <v>0</v>
      </c>
      <c r="M389" s="4">
        <v>148200000</v>
      </c>
      <c r="N389" s="4">
        <v>25000000</v>
      </c>
      <c r="O389" s="4">
        <v>160600000</v>
      </c>
      <c r="P389" s="5">
        <v>0.685468</v>
      </c>
      <c r="Q389" s="6">
        <v>0.92279</v>
      </c>
      <c r="R389" s="2" t="s">
        <v>1712</v>
      </c>
      <c r="S389" s="7">
        <f t="shared" si="48"/>
        <v>148200000</v>
      </c>
      <c r="T389" s="7">
        <f t="shared" si="49"/>
        <v>160600000</v>
      </c>
      <c r="U389" s="8">
        <f t="shared" si="50"/>
        <v>0.922789539227895</v>
      </c>
      <c r="V389" s="9" t="e">
        <f>IF(T389&lt;=0,"Output &lt;= 0",IF(U389&gt;#REF!,"Terlalu tinggi",IF(U389&lt;#REF!,"Terlalu rendah","Sesuai")))</f>
        <v>#REF!</v>
      </c>
      <c r="W389" s="7" t="e">
        <f>IF(T389&lt;=0,S389,IF(U389&gt;#REF!,ROUNDDOWN(T389*#REF!,0),IF(U389&lt;#REF!,ROUNDUP(T389*#REF!,0),S389)))</f>
        <v>#REF!</v>
      </c>
      <c r="X389" s="7" t="e">
        <f t="shared" si="51"/>
        <v>#REF!</v>
      </c>
      <c r="Y389" s="7" t="e">
        <f t="shared" si="52"/>
        <v>#REF!</v>
      </c>
      <c r="Z389" s="7" t="e">
        <f t="shared" si="53"/>
        <v>#REF!</v>
      </c>
      <c r="AA389" s="7" t="e">
        <f t="shared" si="54"/>
        <v>#REF!</v>
      </c>
      <c r="AB389" s="8" t="e">
        <f t="shared" si="55"/>
        <v>#REF!</v>
      </c>
      <c r="AC389" s="9" t="e">
        <f>IF(T389&lt;=0,"Output &lt;= 0, cek manual",IF(OR(Z389&lt;0,Y389&lt;0),"Biaya negatif",IF(AND(AB389&gt;=#REF!,AB389&lt;=#REF!),"OK","Di luar rentang")))</f>
        <v>#REF!</v>
      </c>
    </row>
    <row r="390" ht="85.5" spans="1:29">
      <c r="A390" s="2" t="s">
        <v>30</v>
      </c>
      <c r="B390" s="2" t="s">
        <v>428</v>
      </c>
      <c r="C390" s="3" t="s">
        <v>1713</v>
      </c>
      <c r="D390" s="3" t="s">
        <v>1709</v>
      </c>
      <c r="E390" s="3" t="s">
        <v>1714</v>
      </c>
      <c r="F390" s="4">
        <v>0</v>
      </c>
      <c r="G390" s="4">
        <v>350000000</v>
      </c>
      <c r="H390" s="4">
        <v>12400000</v>
      </c>
      <c r="I390" s="4">
        <v>5000000</v>
      </c>
      <c r="J390" s="2" t="s">
        <v>1715</v>
      </c>
      <c r="K390" s="4">
        <v>510600000</v>
      </c>
      <c r="L390" s="4">
        <v>0</v>
      </c>
      <c r="M390" s="4">
        <v>148200000</v>
      </c>
      <c r="N390" s="4">
        <v>20000000</v>
      </c>
      <c r="O390" s="4">
        <v>160600000</v>
      </c>
      <c r="P390" s="5">
        <v>0.685468</v>
      </c>
      <c r="Q390" s="6">
        <v>0.92279</v>
      </c>
      <c r="R390" s="2" t="s">
        <v>1716</v>
      </c>
      <c r="S390" s="7">
        <f t="shared" si="48"/>
        <v>148200000</v>
      </c>
      <c r="T390" s="7">
        <f t="shared" si="49"/>
        <v>160600000</v>
      </c>
      <c r="U390" s="8">
        <f t="shared" si="50"/>
        <v>0.922789539227895</v>
      </c>
      <c r="V390" s="9" t="e">
        <f>IF(T390&lt;=0,"Output &lt;= 0",IF(U390&gt;#REF!,"Terlalu tinggi",IF(U390&lt;#REF!,"Terlalu rendah","Sesuai")))</f>
        <v>#REF!</v>
      </c>
      <c r="W390" s="7" t="e">
        <f>IF(T390&lt;=0,S390,IF(U390&gt;#REF!,ROUNDDOWN(T390*#REF!,0),IF(U390&lt;#REF!,ROUNDUP(T390*#REF!,0),S390)))</f>
        <v>#REF!</v>
      </c>
      <c r="X390" s="7" t="e">
        <f t="shared" si="51"/>
        <v>#REF!</v>
      </c>
      <c r="Y390" s="7" t="e">
        <f t="shared" si="52"/>
        <v>#REF!</v>
      </c>
      <c r="Z390" s="7" t="e">
        <f t="shared" si="53"/>
        <v>#REF!</v>
      </c>
      <c r="AA390" s="7" t="e">
        <f t="shared" si="54"/>
        <v>#REF!</v>
      </c>
      <c r="AB390" s="8" t="e">
        <f t="shared" si="55"/>
        <v>#REF!</v>
      </c>
      <c r="AC390" s="9" t="e">
        <f>IF(T390&lt;=0,"Output &lt;= 0, cek manual",IF(OR(Z390&lt;0,Y390&lt;0),"Biaya negatif",IF(AND(AB390&gt;=#REF!,AB390&lt;=#REF!),"OK","Di luar rentang")))</f>
        <v>#REF!</v>
      </c>
    </row>
    <row r="391" ht="156.75" spans="1:29">
      <c r="A391" s="2" t="s">
        <v>30</v>
      </c>
      <c r="B391" s="2" t="s">
        <v>433</v>
      </c>
      <c r="C391" s="3" t="s">
        <v>1717</v>
      </c>
      <c r="D391" s="3" t="s">
        <v>1718</v>
      </c>
      <c r="E391" s="3" t="s">
        <v>1719</v>
      </c>
      <c r="F391" s="4">
        <v>0</v>
      </c>
      <c r="G391" s="4">
        <v>36000000</v>
      </c>
      <c r="H391" s="4">
        <v>1200000</v>
      </c>
      <c r="I391" s="4">
        <v>0</v>
      </c>
      <c r="J391" s="2" t="s">
        <v>1720</v>
      </c>
      <c r="K391" s="4">
        <v>48000000</v>
      </c>
      <c r="L391" s="4">
        <v>0</v>
      </c>
      <c r="M391" s="4">
        <v>10800000</v>
      </c>
      <c r="N391" s="4">
        <v>10000000</v>
      </c>
      <c r="O391" s="4">
        <v>12000000</v>
      </c>
      <c r="P391" s="11">
        <v>0.75</v>
      </c>
      <c r="Q391" s="12">
        <v>0.9</v>
      </c>
      <c r="R391" s="2" t="s">
        <v>1721</v>
      </c>
      <c r="S391" s="7">
        <f t="shared" si="48"/>
        <v>10800000</v>
      </c>
      <c r="T391" s="7">
        <f t="shared" si="49"/>
        <v>12000000</v>
      </c>
      <c r="U391" s="8">
        <f t="shared" si="50"/>
        <v>0.9</v>
      </c>
      <c r="V391" s="9" t="e">
        <f>IF(T391&lt;=0,"Output &lt;= 0",IF(U391&gt;#REF!,"Terlalu tinggi",IF(U391&lt;#REF!,"Terlalu rendah","Sesuai")))</f>
        <v>#REF!</v>
      </c>
      <c r="W391" s="7" t="e">
        <f>IF(T391&lt;=0,S391,IF(U391&gt;#REF!,ROUNDDOWN(T391*#REF!,0),IF(U391&lt;#REF!,ROUNDUP(T391*#REF!,0),S391)))</f>
        <v>#REF!</v>
      </c>
      <c r="X391" s="7" t="e">
        <f t="shared" si="51"/>
        <v>#REF!</v>
      </c>
      <c r="Y391" s="7" t="e">
        <f t="shared" si="52"/>
        <v>#REF!</v>
      </c>
      <c r="Z391" s="7" t="e">
        <f t="shared" si="53"/>
        <v>#REF!</v>
      </c>
      <c r="AA391" s="7" t="e">
        <f t="shared" si="54"/>
        <v>#REF!</v>
      </c>
      <c r="AB391" s="8" t="e">
        <f t="shared" si="55"/>
        <v>#REF!</v>
      </c>
      <c r="AC391" s="9" t="e">
        <f>IF(T391&lt;=0,"Output &lt;= 0, cek manual",IF(OR(Z391&lt;0,Y391&lt;0),"Biaya negatif",IF(AND(AB391&gt;=#REF!,AB391&lt;=#REF!),"OK","Di luar rentang")))</f>
        <v>#REF!</v>
      </c>
    </row>
    <row r="392" ht="57" spans="1:29">
      <c r="A392" s="2" t="s">
        <v>30</v>
      </c>
      <c r="B392" s="2" t="s">
        <v>1722</v>
      </c>
      <c r="C392" s="3" t="s">
        <v>1723</v>
      </c>
      <c r="D392" s="3" t="s">
        <v>1724</v>
      </c>
      <c r="E392" s="3" t="s">
        <v>1725</v>
      </c>
      <c r="F392" s="4">
        <v>0</v>
      </c>
      <c r="G392" s="4">
        <v>5000000</v>
      </c>
      <c r="H392" s="4">
        <v>0</v>
      </c>
      <c r="I392" s="4">
        <v>0</v>
      </c>
      <c r="J392" s="2" t="s">
        <v>1726</v>
      </c>
      <c r="K392" s="4">
        <v>5500000</v>
      </c>
      <c r="L392" s="4">
        <v>0</v>
      </c>
      <c r="M392" s="4">
        <v>500000</v>
      </c>
      <c r="N392" s="4">
        <v>20000000</v>
      </c>
      <c r="O392" s="4">
        <v>500000</v>
      </c>
      <c r="P392" s="5">
        <v>0.909091</v>
      </c>
      <c r="Q392" s="4">
        <v>1</v>
      </c>
      <c r="R392" s="2" t="s">
        <v>1727</v>
      </c>
      <c r="S392" s="7">
        <f t="shared" si="48"/>
        <v>500000</v>
      </c>
      <c r="T392" s="7">
        <f t="shared" si="49"/>
        <v>500000</v>
      </c>
      <c r="U392" s="8">
        <f t="shared" si="50"/>
        <v>1</v>
      </c>
      <c r="V392" s="9" t="e">
        <f>IF(T392&lt;=0,"Output &lt;= 0",IF(U392&gt;#REF!,"Terlalu tinggi",IF(U392&lt;#REF!,"Terlalu rendah","Sesuai")))</f>
        <v>#REF!</v>
      </c>
      <c r="W392" s="7" t="e">
        <f>IF(T392&lt;=0,S392,IF(U392&gt;#REF!,ROUNDDOWN(T392*#REF!,0),IF(U392&lt;#REF!,ROUNDUP(T392*#REF!,0),S392)))</f>
        <v>#REF!</v>
      </c>
      <c r="X392" s="7" t="e">
        <f t="shared" si="51"/>
        <v>#REF!</v>
      </c>
      <c r="Y392" s="7" t="e">
        <f t="shared" si="52"/>
        <v>#REF!</v>
      </c>
      <c r="Z392" s="7" t="e">
        <f t="shared" si="53"/>
        <v>#REF!</v>
      </c>
      <c r="AA392" s="7" t="e">
        <f t="shared" si="54"/>
        <v>#REF!</v>
      </c>
      <c r="AB392" s="8" t="e">
        <f t="shared" si="55"/>
        <v>#REF!</v>
      </c>
      <c r="AC392" s="9" t="e">
        <f>IF(T392&lt;=0,"Output &lt;= 0, cek manual",IF(OR(Z392&lt;0,Y392&lt;0),"Biaya negatif",IF(AND(AB392&gt;=#REF!,AB392&lt;=#REF!),"OK","Di luar rentang")))</f>
        <v>#REF!</v>
      </c>
    </row>
    <row r="393" ht="85.5" spans="1:29">
      <c r="A393" s="2" t="s">
        <v>30</v>
      </c>
      <c r="B393" s="2" t="s">
        <v>1722</v>
      </c>
      <c r="C393" s="3" t="s">
        <v>1728</v>
      </c>
      <c r="D393" s="3" t="s">
        <v>1729</v>
      </c>
      <c r="E393" s="3" t="s">
        <v>1730</v>
      </c>
      <c r="F393" s="4">
        <v>1000000</v>
      </c>
      <c r="G393" s="4">
        <v>1200000</v>
      </c>
      <c r="H393" s="4">
        <v>0</v>
      </c>
      <c r="I393" s="4">
        <v>0</v>
      </c>
      <c r="J393" s="2" t="s">
        <v>1693</v>
      </c>
      <c r="K393" s="4">
        <v>6300000</v>
      </c>
      <c r="L393" s="4">
        <v>0</v>
      </c>
      <c r="M393" s="4">
        <v>4100000</v>
      </c>
      <c r="N393" s="4">
        <v>100000001</v>
      </c>
      <c r="O393" s="4">
        <v>5100000</v>
      </c>
      <c r="P393" s="5">
        <v>0.190476</v>
      </c>
      <c r="Q393" s="5">
        <v>0.803922</v>
      </c>
      <c r="R393" s="2" t="s">
        <v>1731</v>
      </c>
      <c r="S393" s="7">
        <f t="shared" si="48"/>
        <v>4100000</v>
      </c>
      <c r="T393" s="7">
        <f t="shared" si="49"/>
        <v>5100000</v>
      </c>
      <c r="U393" s="8">
        <f t="shared" si="50"/>
        <v>0.803921568627451</v>
      </c>
      <c r="V393" s="9" t="e">
        <f>IF(T393&lt;=0,"Output &lt;= 0",IF(U393&gt;#REF!,"Terlalu tinggi",IF(U393&lt;#REF!,"Terlalu rendah","Sesuai")))</f>
        <v>#REF!</v>
      </c>
      <c r="W393" s="7" t="e">
        <f>IF(T393&lt;=0,S393,IF(U393&gt;#REF!,ROUNDDOWN(T393*#REF!,0),IF(U393&lt;#REF!,ROUNDUP(T393*#REF!,0),S393)))</f>
        <v>#REF!</v>
      </c>
      <c r="X393" s="7" t="e">
        <f t="shared" si="51"/>
        <v>#REF!</v>
      </c>
      <c r="Y393" s="7" t="e">
        <f t="shared" si="52"/>
        <v>#REF!</v>
      </c>
      <c r="Z393" s="7" t="e">
        <f t="shared" si="53"/>
        <v>#REF!</v>
      </c>
      <c r="AA393" s="7" t="e">
        <f t="shared" si="54"/>
        <v>#REF!</v>
      </c>
      <c r="AB393" s="8" t="e">
        <f t="shared" si="55"/>
        <v>#REF!</v>
      </c>
      <c r="AC393" s="9" t="e">
        <f>IF(T393&lt;=0,"Output &lt;= 0, cek manual",IF(OR(Z393&lt;0,Y393&lt;0),"Biaya negatif",IF(AND(AB393&gt;=#REF!,AB393&lt;=#REF!),"OK","Di luar rentang")))</f>
        <v>#REF!</v>
      </c>
    </row>
    <row r="394" ht="71.25" spans="1:29">
      <c r="A394" s="2" t="s">
        <v>30</v>
      </c>
      <c r="B394" s="2" t="s">
        <v>444</v>
      </c>
      <c r="C394" s="3" t="s">
        <v>1732</v>
      </c>
      <c r="D394" s="3" t="s">
        <v>338</v>
      </c>
      <c r="E394" s="3" t="s">
        <v>1733</v>
      </c>
      <c r="F394" s="4">
        <v>500000</v>
      </c>
      <c r="G394" s="4">
        <v>0</v>
      </c>
      <c r="H394" s="4">
        <v>0</v>
      </c>
      <c r="I394" s="4">
        <v>250000</v>
      </c>
      <c r="J394" s="2" t="s">
        <v>1734</v>
      </c>
      <c r="K394" s="4">
        <v>7000000</v>
      </c>
      <c r="L394" s="4">
        <v>0</v>
      </c>
      <c r="M394" s="4">
        <v>6500000</v>
      </c>
      <c r="N394" s="4">
        <v>0</v>
      </c>
      <c r="O394" s="4">
        <v>7000000</v>
      </c>
      <c r="P394" s="4">
        <v>0</v>
      </c>
      <c r="Q394" s="5">
        <v>0.928571</v>
      </c>
      <c r="R394" s="2" t="s">
        <v>1735</v>
      </c>
      <c r="S394" s="7">
        <f t="shared" si="48"/>
        <v>6500000</v>
      </c>
      <c r="T394" s="7">
        <f t="shared" si="49"/>
        <v>7000000</v>
      </c>
      <c r="U394" s="8">
        <f t="shared" si="50"/>
        <v>0.928571428571429</v>
      </c>
      <c r="V394" s="9" t="e">
        <f>IF(T394&lt;=0,"Output &lt;= 0",IF(U394&gt;#REF!,"Terlalu tinggi",IF(U394&lt;#REF!,"Terlalu rendah","Sesuai")))</f>
        <v>#REF!</v>
      </c>
      <c r="W394" s="7" t="e">
        <f>IF(T394&lt;=0,S394,IF(U394&gt;#REF!,ROUNDDOWN(T394*#REF!,0),IF(U394&lt;#REF!,ROUNDUP(T394*#REF!,0),S394)))</f>
        <v>#REF!</v>
      </c>
      <c r="X394" s="7" t="e">
        <f t="shared" si="51"/>
        <v>#REF!</v>
      </c>
      <c r="Y394" s="7" t="e">
        <f t="shared" si="52"/>
        <v>#REF!</v>
      </c>
      <c r="Z394" s="7" t="e">
        <f t="shared" si="53"/>
        <v>#REF!</v>
      </c>
      <c r="AA394" s="7" t="e">
        <f t="shared" si="54"/>
        <v>#REF!</v>
      </c>
      <c r="AB394" s="8" t="e">
        <f t="shared" si="55"/>
        <v>#REF!</v>
      </c>
      <c r="AC394" s="9" t="e">
        <f>IF(T394&lt;=0,"Output &lt;= 0, cek manual",IF(OR(Z394&lt;0,Y394&lt;0),"Biaya negatif",IF(AND(AB394&gt;=#REF!,AB394&lt;=#REF!),"OK","Di luar rentang")))</f>
        <v>#REF!</v>
      </c>
    </row>
    <row r="395" ht="142.5" spans="1:29">
      <c r="A395" s="2" t="s">
        <v>30</v>
      </c>
      <c r="B395" s="2" t="s">
        <v>444</v>
      </c>
      <c r="C395" s="3" t="s">
        <v>1736</v>
      </c>
      <c r="D395" s="3" t="s">
        <v>279</v>
      </c>
      <c r="E395" s="3" t="s">
        <v>1737</v>
      </c>
      <c r="F395" s="4">
        <v>100000</v>
      </c>
      <c r="G395" s="4">
        <v>8000000</v>
      </c>
      <c r="H395" s="4">
        <v>1000000</v>
      </c>
      <c r="I395" s="4">
        <v>0</v>
      </c>
      <c r="J395" s="2" t="s">
        <v>919</v>
      </c>
      <c r="K395" s="4">
        <v>20000000</v>
      </c>
      <c r="L395" s="4">
        <v>0</v>
      </c>
      <c r="M395" s="4">
        <v>10900000</v>
      </c>
      <c r="N395" s="4">
        <v>1200000</v>
      </c>
      <c r="O395" s="4">
        <v>12000000</v>
      </c>
      <c r="P395" s="12">
        <v>0.4</v>
      </c>
      <c r="Q395" s="5">
        <v>0.908333</v>
      </c>
      <c r="R395" s="2" t="s">
        <v>1738</v>
      </c>
      <c r="S395" s="7">
        <f t="shared" si="48"/>
        <v>10900000</v>
      </c>
      <c r="T395" s="7">
        <f t="shared" si="49"/>
        <v>12000000</v>
      </c>
      <c r="U395" s="8">
        <f t="shared" si="50"/>
        <v>0.908333333333333</v>
      </c>
      <c r="V395" s="9" t="e">
        <f>IF(T395&lt;=0,"Output &lt;= 0",IF(U395&gt;#REF!,"Terlalu tinggi",IF(U395&lt;#REF!,"Terlalu rendah","Sesuai")))</f>
        <v>#REF!</v>
      </c>
      <c r="W395" s="7" t="e">
        <f>IF(T395&lt;=0,S395,IF(U395&gt;#REF!,ROUNDDOWN(T395*#REF!,0),IF(U395&lt;#REF!,ROUNDUP(T395*#REF!,0),S395)))</f>
        <v>#REF!</v>
      </c>
      <c r="X395" s="7" t="e">
        <f t="shared" si="51"/>
        <v>#REF!</v>
      </c>
      <c r="Y395" s="7" t="e">
        <f t="shared" si="52"/>
        <v>#REF!</v>
      </c>
      <c r="Z395" s="7" t="e">
        <f t="shared" si="53"/>
        <v>#REF!</v>
      </c>
      <c r="AA395" s="7" t="e">
        <f t="shared" si="54"/>
        <v>#REF!</v>
      </c>
      <c r="AB395" s="8" t="e">
        <f t="shared" si="55"/>
        <v>#REF!</v>
      </c>
      <c r="AC395" s="9" t="e">
        <f>IF(T395&lt;=0,"Output &lt;= 0, cek manual",IF(OR(Z395&lt;0,Y395&lt;0),"Biaya negatif",IF(AND(AB395&gt;=#REF!,AB395&lt;=#REF!),"OK","Di luar rentang")))</f>
        <v>#REF!</v>
      </c>
    </row>
    <row r="396" ht="114" spans="1:29">
      <c r="A396" s="2" t="s">
        <v>30</v>
      </c>
      <c r="B396" s="2" t="s">
        <v>1133</v>
      </c>
      <c r="C396" s="3" t="s">
        <v>1739</v>
      </c>
      <c r="D396" s="3" t="s">
        <v>1740</v>
      </c>
      <c r="E396" s="3" t="s">
        <v>1741</v>
      </c>
      <c r="F396" s="4">
        <v>0</v>
      </c>
      <c r="G396" s="4">
        <v>0</v>
      </c>
      <c r="H396" s="4">
        <v>450000</v>
      </c>
      <c r="I396" s="4">
        <v>0</v>
      </c>
      <c r="J396" s="2" t="s">
        <v>266</v>
      </c>
      <c r="K396" s="4">
        <v>3200000</v>
      </c>
      <c r="L396" s="4">
        <v>0</v>
      </c>
      <c r="M396" s="4">
        <v>2750000</v>
      </c>
      <c r="N396" s="4">
        <v>9200000</v>
      </c>
      <c r="O396" s="4">
        <v>3200000</v>
      </c>
      <c r="P396" s="4">
        <v>0</v>
      </c>
      <c r="Q396" s="5">
        <v>0.859375</v>
      </c>
      <c r="R396" s="2" t="s">
        <v>1742</v>
      </c>
      <c r="S396" s="7">
        <f t="shared" si="48"/>
        <v>2750000</v>
      </c>
      <c r="T396" s="7">
        <f t="shared" si="49"/>
        <v>3200000</v>
      </c>
      <c r="U396" s="8">
        <f t="shared" si="50"/>
        <v>0.859375</v>
      </c>
      <c r="V396" s="9" t="e">
        <f>IF(T396&lt;=0,"Output &lt;= 0",IF(U396&gt;#REF!,"Terlalu tinggi",IF(U396&lt;#REF!,"Terlalu rendah","Sesuai")))</f>
        <v>#REF!</v>
      </c>
      <c r="W396" s="7" t="e">
        <f>IF(T396&lt;=0,S396,IF(U396&gt;#REF!,ROUNDDOWN(T396*#REF!,0),IF(U396&lt;#REF!,ROUNDUP(T396*#REF!,0),S396)))</f>
        <v>#REF!</v>
      </c>
      <c r="X396" s="7" t="e">
        <f t="shared" si="51"/>
        <v>#REF!</v>
      </c>
      <c r="Y396" s="7" t="e">
        <f t="shared" si="52"/>
        <v>#REF!</v>
      </c>
      <c r="Z396" s="7" t="e">
        <f t="shared" si="53"/>
        <v>#REF!</v>
      </c>
      <c r="AA396" s="7" t="e">
        <f t="shared" si="54"/>
        <v>#REF!</v>
      </c>
      <c r="AB396" s="8" t="e">
        <f t="shared" si="55"/>
        <v>#REF!</v>
      </c>
      <c r="AC396" s="9" t="e">
        <f>IF(T396&lt;=0,"Output &lt;= 0, cek manual",IF(OR(Z396&lt;0,Y396&lt;0),"Biaya negatif",IF(AND(AB396&gt;=#REF!,AB396&lt;=#REF!),"OK","Di luar rentang")))</f>
        <v>#REF!</v>
      </c>
    </row>
    <row r="397" ht="128.25" spans="1:29">
      <c r="A397" s="2" t="s">
        <v>30</v>
      </c>
      <c r="B397" s="2" t="s">
        <v>1139</v>
      </c>
      <c r="C397" s="3" t="s">
        <v>1743</v>
      </c>
      <c r="D397" s="3" t="s">
        <v>1744</v>
      </c>
      <c r="E397" s="3" t="s">
        <v>1745</v>
      </c>
      <c r="F397" s="4">
        <v>0</v>
      </c>
      <c r="G397" s="4">
        <v>36000000</v>
      </c>
      <c r="H397" s="4">
        <v>1000000</v>
      </c>
      <c r="I397" s="4">
        <v>0</v>
      </c>
      <c r="J397" s="2" t="s">
        <v>1584</v>
      </c>
      <c r="K397" s="4">
        <v>54000000</v>
      </c>
      <c r="L397" s="4">
        <v>0</v>
      </c>
      <c r="M397" s="4">
        <v>17000000</v>
      </c>
      <c r="N397" s="4">
        <v>1500000</v>
      </c>
      <c r="O397" s="4">
        <v>18000000</v>
      </c>
      <c r="P397" s="5">
        <v>0.666667</v>
      </c>
      <c r="Q397" s="5">
        <v>0.944444</v>
      </c>
      <c r="R397" s="2" t="s">
        <v>1746</v>
      </c>
      <c r="S397" s="7">
        <f t="shared" si="48"/>
        <v>17000000</v>
      </c>
      <c r="T397" s="7">
        <f t="shared" si="49"/>
        <v>18000000</v>
      </c>
      <c r="U397" s="8">
        <f t="shared" si="50"/>
        <v>0.944444444444444</v>
      </c>
      <c r="V397" s="9" t="e">
        <f>IF(T397&lt;=0,"Output &lt;= 0",IF(U397&gt;#REF!,"Terlalu tinggi",IF(U397&lt;#REF!,"Terlalu rendah","Sesuai")))</f>
        <v>#REF!</v>
      </c>
      <c r="W397" s="7" t="e">
        <f>IF(T397&lt;=0,S397,IF(U397&gt;#REF!,ROUNDDOWN(T397*#REF!,0),IF(U397&lt;#REF!,ROUNDUP(T397*#REF!,0),S397)))</f>
        <v>#REF!</v>
      </c>
      <c r="X397" s="7" t="e">
        <f t="shared" si="51"/>
        <v>#REF!</v>
      </c>
      <c r="Y397" s="7" t="e">
        <f t="shared" si="52"/>
        <v>#REF!</v>
      </c>
      <c r="Z397" s="7" t="e">
        <f t="shared" si="53"/>
        <v>#REF!</v>
      </c>
      <c r="AA397" s="7" t="e">
        <f t="shared" si="54"/>
        <v>#REF!</v>
      </c>
      <c r="AB397" s="8" t="e">
        <f t="shared" si="55"/>
        <v>#REF!</v>
      </c>
      <c r="AC397" s="9" t="e">
        <f>IF(T397&lt;=0,"Output &lt;= 0, cek manual",IF(OR(Z397&lt;0,Y397&lt;0),"Biaya negatif",IF(AND(AB397&gt;=#REF!,AB397&lt;=#REF!),"OK","Di luar rentang")))</f>
        <v>#REF!</v>
      </c>
    </row>
    <row r="398" ht="99.75" spans="1:29">
      <c r="A398" s="2" t="s">
        <v>30</v>
      </c>
      <c r="B398" s="2" t="s">
        <v>1139</v>
      </c>
      <c r="C398" s="3" t="s">
        <v>1747</v>
      </c>
      <c r="D398" s="3" t="s">
        <v>1748</v>
      </c>
      <c r="E398" s="3" t="s">
        <v>1749</v>
      </c>
      <c r="F398" s="4">
        <v>100000</v>
      </c>
      <c r="G398" s="4">
        <v>15000000</v>
      </c>
      <c r="H398" s="4">
        <v>1000000</v>
      </c>
      <c r="I398" s="4">
        <v>0</v>
      </c>
      <c r="J398" s="2" t="s">
        <v>1750</v>
      </c>
      <c r="K398" s="4">
        <v>18000000</v>
      </c>
      <c r="L398" s="4">
        <v>0</v>
      </c>
      <c r="M398" s="4">
        <v>1900000</v>
      </c>
      <c r="N398" s="4">
        <v>5000000</v>
      </c>
      <c r="O398" s="4">
        <v>3000000</v>
      </c>
      <c r="P398" s="5">
        <v>0.833333</v>
      </c>
      <c r="Q398" s="5">
        <v>0.633333</v>
      </c>
      <c r="R398" s="2" t="s">
        <v>1751</v>
      </c>
      <c r="S398" s="7">
        <f t="shared" si="48"/>
        <v>1900000</v>
      </c>
      <c r="T398" s="7">
        <f t="shared" si="49"/>
        <v>3000000</v>
      </c>
      <c r="U398" s="8">
        <f t="shared" si="50"/>
        <v>0.633333333333333</v>
      </c>
      <c r="V398" s="9" t="e">
        <f>IF(T398&lt;=0,"Output &lt;= 0",IF(U398&gt;#REF!,"Terlalu tinggi",IF(U398&lt;#REF!,"Terlalu rendah","Sesuai")))</f>
        <v>#REF!</v>
      </c>
      <c r="W398" s="7" t="e">
        <f>IF(T398&lt;=0,S398,IF(U398&gt;#REF!,ROUNDDOWN(T398*#REF!,0),IF(U398&lt;#REF!,ROUNDUP(T398*#REF!,0),S398)))</f>
        <v>#REF!</v>
      </c>
      <c r="X398" s="7" t="e">
        <f t="shared" si="51"/>
        <v>#REF!</v>
      </c>
      <c r="Y398" s="7" t="e">
        <f t="shared" si="52"/>
        <v>#REF!</v>
      </c>
      <c r="Z398" s="7" t="e">
        <f t="shared" si="53"/>
        <v>#REF!</v>
      </c>
      <c r="AA398" s="7" t="e">
        <f t="shared" si="54"/>
        <v>#REF!</v>
      </c>
      <c r="AB398" s="8" t="e">
        <f t="shared" si="55"/>
        <v>#REF!</v>
      </c>
      <c r="AC398" s="9" t="e">
        <f>IF(T398&lt;=0,"Output &lt;= 0, cek manual",IF(OR(Z398&lt;0,Y398&lt;0),"Biaya negatif",IF(AND(AB398&gt;=#REF!,AB398&lt;=#REF!),"OK","Di luar rentang")))</f>
        <v>#REF!</v>
      </c>
    </row>
    <row r="399" ht="57" spans="1:29">
      <c r="A399" s="2" t="s">
        <v>30</v>
      </c>
      <c r="B399" s="2" t="s">
        <v>460</v>
      </c>
      <c r="C399" s="3" t="s">
        <v>1752</v>
      </c>
      <c r="D399" s="3" t="s">
        <v>1753</v>
      </c>
      <c r="E399" s="3" t="s">
        <v>1753</v>
      </c>
      <c r="F399" s="4">
        <v>168000</v>
      </c>
      <c r="G399" s="4">
        <v>10000000</v>
      </c>
      <c r="H399" s="4">
        <v>1500000</v>
      </c>
      <c r="I399" s="4">
        <v>1080000</v>
      </c>
      <c r="J399" s="2" t="s">
        <v>1754</v>
      </c>
      <c r="K399" s="4">
        <v>40000000</v>
      </c>
      <c r="L399" s="4">
        <v>0</v>
      </c>
      <c r="M399" s="4">
        <v>28332000</v>
      </c>
      <c r="N399" s="4">
        <v>20000000</v>
      </c>
      <c r="O399" s="4">
        <v>30000000</v>
      </c>
      <c r="P399" s="11">
        <v>0.25</v>
      </c>
      <c r="Q399" s="13">
        <v>0.9444</v>
      </c>
      <c r="R399" s="2" t="s">
        <v>1755</v>
      </c>
      <c r="S399" s="7">
        <f t="shared" si="48"/>
        <v>28332000</v>
      </c>
      <c r="T399" s="7">
        <f t="shared" si="49"/>
        <v>30000000</v>
      </c>
      <c r="U399" s="8">
        <f t="shared" si="50"/>
        <v>0.9444</v>
      </c>
      <c r="V399" s="9" t="e">
        <f>IF(T399&lt;=0,"Output &lt;= 0",IF(U399&gt;#REF!,"Terlalu tinggi",IF(U399&lt;#REF!,"Terlalu rendah","Sesuai")))</f>
        <v>#REF!</v>
      </c>
      <c r="W399" s="7" t="e">
        <f>IF(T399&lt;=0,S399,IF(U399&gt;#REF!,ROUNDDOWN(T399*#REF!,0),IF(U399&lt;#REF!,ROUNDUP(T399*#REF!,0),S399)))</f>
        <v>#REF!</v>
      </c>
      <c r="X399" s="7" t="e">
        <f t="shared" si="51"/>
        <v>#REF!</v>
      </c>
      <c r="Y399" s="7" t="e">
        <f t="shared" si="52"/>
        <v>#REF!</v>
      </c>
      <c r="Z399" s="7" t="e">
        <f t="shared" si="53"/>
        <v>#REF!</v>
      </c>
      <c r="AA399" s="7" t="e">
        <f t="shared" si="54"/>
        <v>#REF!</v>
      </c>
      <c r="AB399" s="8" t="e">
        <f t="shared" si="55"/>
        <v>#REF!</v>
      </c>
      <c r="AC399" s="9" t="e">
        <f>IF(T399&lt;=0,"Output &lt;= 0, cek manual",IF(OR(Z399&lt;0,Y399&lt;0),"Biaya negatif",IF(AND(AB399&gt;=#REF!,AB399&lt;=#REF!),"OK","Di luar rentang")))</f>
        <v>#REF!</v>
      </c>
    </row>
    <row r="400" ht="99.75" spans="1:29">
      <c r="A400" s="2" t="s">
        <v>30</v>
      </c>
      <c r="B400" s="2" t="s">
        <v>460</v>
      </c>
      <c r="C400" s="3" t="s">
        <v>1756</v>
      </c>
      <c r="D400" s="3" t="s">
        <v>1757</v>
      </c>
      <c r="E400" s="3" t="s">
        <v>1758</v>
      </c>
      <c r="F400" s="4">
        <v>0</v>
      </c>
      <c r="G400" s="4">
        <v>100000000</v>
      </c>
      <c r="H400" s="4">
        <v>5000000</v>
      </c>
      <c r="I400" s="4">
        <v>0</v>
      </c>
      <c r="J400" s="2" t="s">
        <v>488</v>
      </c>
      <c r="K400" s="4">
        <v>280000000</v>
      </c>
      <c r="L400" s="4">
        <v>0</v>
      </c>
      <c r="M400" s="4">
        <v>175000000</v>
      </c>
      <c r="N400" s="4">
        <v>25000000</v>
      </c>
      <c r="O400" s="4">
        <v>180000000</v>
      </c>
      <c r="P400" s="5">
        <v>0.357143</v>
      </c>
      <c r="Q400" s="5">
        <v>0.972222</v>
      </c>
      <c r="R400" s="2" t="s">
        <v>1759</v>
      </c>
      <c r="S400" s="7">
        <f t="shared" si="48"/>
        <v>175000000</v>
      </c>
      <c r="T400" s="7">
        <f t="shared" si="49"/>
        <v>180000000</v>
      </c>
      <c r="U400" s="8">
        <f t="shared" si="50"/>
        <v>0.972222222222222</v>
      </c>
      <c r="V400" s="9" t="e">
        <f>IF(T400&lt;=0,"Output &lt;= 0",IF(U400&gt;#REF!,"Terlalu tinggi",IF(U400&lt;#REF!,"Terlalu rendah","Sesuai")))</f>
        <v>#REF!</v>
      </c>
      <c r="W400" s="7" t="e">
        <f>IF(T400&lt;=0,S400,IF(U400&gt;#REF!,ROUNDDOWN(T400*#REF!,0),IF(U400&lt;#REF!,ROUNDUP(T400*#REF!,0),S400)))</f>
        <v>#REF!</v>
      </c>
      <c r="X400" s="7" t="e">
        <f t="shared" si="51"/>
        <v>#REF!</v>
      </c>
      <c r="Y400" s="7" t="e">
        <f t="shared" si="52"/>
        <v>#REF!</v>
      </c>
      <c r="Z400" s="7" t="e">
        <f t="shared" si="53"/>
        <v>#REF!</v>
      </c>
      <c r="AA400" s="7" t="e">
        <f t="shared" si="54"/>
        <v>#REF!</v>
      </c>
      <c r="AB400" s="8" t="e">
        <f t="shared" si="55"/>
        <v>#REF!</v>
      </c>
      <c r="AC400" s="9" t="e">
        <f>IF(T400&lt;=0,"Output &lt;= 0, cek manual",IF(OR(Z400&lt;0,Y400&lt;0),"Biaya negatif",IF(AND(AB400&gt;=#REF!,AB400&lt;=#REF!),"OK","Di luar rentang")))</f>
        <v>#REF!</v>
      </c>
    </row>
    <row r="401" ht="99.75" spans="1:29">
      <c r="A401" s="2" t="s">
        <v>30</v>
      </c>
      <c r="B401" s="2" t="s">
        <v>460</v>
      </c>
      <c r="C401" s="3" t="s">
        <v>1760</v>
      </c>
      <c r="D401" s="3" t="s">
        <v>1761</v>
      </c>
      <c r="E401" s="3" t="s">
        <v>1761</v>
      </c>
      <c r="F401" s="4">
        <v>0</v>
      </c>
      <c r="G401" s="4">
        <v>500000</v>
      </c>
      <c r="H401" s="4">
        <v>1080000</v>
      </c>
      <c r="I401" s="4">
        <v>0</v>
      </c>
      <c r="J401" s="2" t="s">
        <v>1762</v>
      </c>
      <c r="K401" s="4">
        <v>1000000</v>
      </c>
      <c r="L401" s="4">
        <v>0</v>
      </c>
      <c r="M401" s="4">
        <v>-580000</v>
      </c>
      <c r="N401" s="4">
        <v>30000000</v>
      </c>
      <c r="O401" s="4">
        <v>500000</v>
      </c>
      <c r="P401" s="12">
        <v>0.5</v>
      </c>
      <c r="Q401" s="11">
        <v>-1.16</v>
      </c>
      <c r="R401" s="2" t="s">
        <v>1763</v>
      </c>
      <c r="S401" s="7">
        <f t="shared" si="48"/>
        <v>-580000</v>
      </c>
      <c r="T401" s="7">
        <f t="shared" si="49"/>
        <v>500000</v>
      </c>
      <c r="U401" s="8">
        <f t="shared" si="50"/>
        <v>-1.16</v>
      </c>
      <c r="V401" s="9" t="e">
        <f>IF(T401&lt;=0,"Output &lt;= 0",IF(U401&gt;#REF!,"Terlalu tinggi",IF(U401&lt;#REF!,"Terlalu rendah","Sesuai")))</f>
        <v>#REF!</v>
      </c>
      <c r="W401" s="7" t="e">
        <f>IF(T401&lt;=0,S401,IF(U401&gt;#REF!,ROUNDDOWN(T401*#REF!,0),IF(U401&lt;#REF!,ROUNDUP(T401*#REF!,0),S401)))</f>
        <v>#REF!</v>
      </c>
      <c r="X401" s="7" t="e">
        <f t="shared" si="51"/>
        <v>#REF!</v>
      </c>
      <c r="Y401" s="7" t="e">
        <f t="shared" si="52"/>
        <v>#REF!</v>
      </c>
      <c r="Z401" s="7" t="e">
        <f t="shared" si="53"/>
        <v>#REF!</v>
      </c>
      <c r="AA401" s="7" t="e">
        <f t="shared" si="54"/>
        <v>#REF!</v>
      </c>
      <c r="AB401" s="8" t="e">
        <f t="shared" si="55"/>
        <v>#REF!</v>
      </c>
      <c r="AC401" s="9" t="e">
        <f>IF(T401&lt;=0,"Output &lt;= 0, cek manual",IF(OR(Z401&lt;0,Y401&lt;0),"Biaya negatif",IF(AND(AB401&gt;=#REF!,AB401&lt;=#REF!),"OK","Di luar rentang")))</f>
        <v>#REF!</v>
      </c>
    </row>
    <row r="402" ht="71.25" spans="1:29">
      <c r="A402" s="2" t="s">
        <v>30</v>
      </c>
      <c r="B402" s="2" t="s">
        <v>466</v>
      </c>
      <c r="C402" s="3" t="s">
        <v>1764</v>
      </c>
      <c r="D402" s="3" t="s">
        <v>301</v>
      </c>
      <c r="E402" s="3" t="s">
        <v>302</v>
      </c>
      <c r="F402" s="4">
        <v>300000</v>
      </c>
      <c r="G402" s="4">
        <v>10000000</v>
      </c>
      <c r="H402" s="4">
        <v>200000</v>
      </c>
      <c r="I402" s="4">
        <v>0</v>
      </c>
      <c r="J402" s="2" t="s">
        <v>370</v>
      </c>
      <c r="K402" s="4">
        <v>25000000</v>
      </c>
      <c r="L402" s="4">
        <v>0</v>
      </c>
      <c r="M402" s="4">
        <v>14500000</v>
      </c>
      <c r="N402" s="4">
        <v>2300000</v>
      </c>
      <c r="O402" s="4">
        <v>15000000</v>
      </c>
      <c r="P402" s="12">
        <v>0.4</v>
      </c>
      <c r="Q402" s="5">
        <v>0.966667</v>
      </c>
      <c r="R402" s="2" t="s">
        <v>1765</v>
      </c>
      <c r="S402" s="7">
        <f t="shared" si="48"/>
        <v>14500000</v>
      </c>
      <c r="T402" s="7">
        <f t="shared" si="49"/>
        <v>15000000</v>
      </c>
      <c r="U402" s="8">
        <f t="shared" si="50"/>
        <v>0.966666666666667</v>
      </c>
      <c r="V402" s="9" t="e">
        <f>IF(T402&lt;=0,"Output &lt;= 0",IF(U402&gt;#REF!,"Terlalu tinggi",IF(U402&lt;#REF!,"Terlalu rendah","Sesuai")))</f>
        <v>#REF!</v>
      </c>
      <c r="W402" s="7" t="e">
        <f>IF(T402&lt;=0,S402,IF(U402&gt;#REF!,ROUNDDOWN(T402*#REF!,0),IF(U402&lt;#REF!,ROUNDUP(T402*#REF!,0),S402)))</f>
        <v>#REF!</v>
      </c>
      <c r="X402" s="7" t="e">
        <f t="shared" si="51"/>
        <v>#REF!</v>
      </c>
      <c r="Y402" s="7" t="e">
        <f t="shared" si="52"/>
        <v>#REF!</v>
      </c>
      <c r="Z402" s="7" t="e">
        <f t="shared" si="53"/>
        <v>#REF!</v>
      </c>
      <c r="AA402" s="7" t="e">
        <f t="shared" si="54"/>
        <v>#REF!</v>
      </c>
      <c r="AB402" s="8" t="e">
        <f t="shared" si="55"/>
        <v>#REF!</v>
      </c>
      <c r="AC402" s="9" t="e">
        <f>IF(T402&lt;=0,"Output &lt;= 0, cek manual",IF(OR(Z402&lt;0,Y402&lt;0),"Biaya negatif",IF(AND(AB402&gt;=#REF!,AB402&lt;=#REF!),"OK","Di luar rentang")))</f>
        <v>#REF!</v>
      </c>
    </row>
    <row r="403" ht="114" spans="1:29">
      <c r="A403" s="2" t="s">
        <v>30</v>
      </c>
      <c r="B403" s="2" t="s">
        <v>466</v>
      </c>
      <c r="C403" s="3" t="s">
        <v>1766</v>
      </c>
      <c r="D403" s="3" t="s">
        <v>468</v>
      </c>
      <c r="E403" s="3" t="s">
        <v>1767</v>
      </c>
      <c r="F403" s="4">
        <v>200000</v>
      </c>
      <c r="G403" s="4">
        <v>36000000</v>
      </c>
      <c r="H403" s="4">
        <v>1200000</v>
      </c>
      <c r="I403" s="4">
        <v>0</v>
      </c>
      <c r="J403" s="2" t="s">
        <v>1768</v>
      </c>
      <c r="K403" s="4">
        <v>66000000</v>
      </c>
      <c r="L403" s="4">
        <v>0</v>
      </c>
      <c r="M403" s="4">
        <v>28600000</v>
      </c>
      <c r="N403" s="4">
        <v>4500000</v>
      </c>
      <c r="O403" s="4">
        <v>30000000</v>
      </c>
      <c r="P403" s="5">
        <v>0.545455</v>
      </c>
      <c r="Q403" s="5">
        <v>0.953333</v>
      </c>
      <c r="R403" s="2" t="s">
        <v>1769</v>
      </c>
      <c r="S403" s="7">
        <f t="shared" si="48"/>
        <v>28600000</v>
      </c>
      <c r="T403" s="7">
        <f t="shared" si="49"/>
        <v>30000000</v>
      </c>
      <c r="U403" s="8">
        <f t="shared" si="50"/>
        <v>0.953333333333333</v>
      </c>
      <c r="V403" s="9" t="e">
        <f>IF(T403&lt;=0,"Output &lt;= 0",IF(U403&gt;#REF!,"Terlalu tinggi",IF(U403&lt;#REF!,"Terlalu rendah","Sesuai")))</f>
        <v>#REF!</v>
      </c>
      <c r="W403" s="7" t="e">
        <f>IF(T403&lt;=0,S403,IF(U403&gt;#REF!,ROUNDDOWN(T403*#REF!,0),IF(U403&lt;#REF!,ROUNDUP(T403*#REF!,0),S403)))</f>
        <v>#REF!</v>
      </c>
      <c r="X403" s="7" t="e">
        <f t="shared" si="51"/>
        <v>#REF!</v>
      </c>
      <c r="Y403" s="7" t="e">
        <f t="shared" si="52"/>
        <v>#REF!</v>
      </c>
      <c r="Z403" s="7" t="e">
        <f t="shared" si="53"/>
        <v>#REF!</v>
      </c>
      <c r="AA403" s="7" t="e">
        <f t="shared" si="54"/>
        <v>#REF!</v>
      </c>
      <c r="AB403" s="8" t="e">
        <f t="shared" si="55"/>
        <v>#REF!</v>
      </c>
      <c r="AC403" s="9" t="e">
        <f>IF(T403&lt;=0,"Output &lt;= 0, cek manual",IF(OR(Z403&lt;0,Y403&lt;0),"Biaya negatif",IF(AND(AB403&gt;=#REF!,AB403&lt;=#REF!),"OK","Di luar rentang")))</f>
        <v>#REF!</v>
      </c>
    </row>
    <row r="404" ht="57" spans="1:29">
      <c r="A404" s="2" t="s">
        <v>30</v>
      </c>
      <c r="B404" s="2" t="s">
        <v>466</v>
      </c>
      <c r="C404" s="3" t="s">
        <v>1770</v>
      </c>
      <c r="D404" s="3" t="s">
        <v>478</v>
      </c>
      <c r="E404" s="3" t="s">
        <v>478</v>
      </c>
      <c r="F404" s="4">
        <v>360000</v>
      </c>
      <c r="G404" s="4">
        <v>240000000</v>
      </c>
      <c r="H404" s="4">
        <v>7800000</v>
      </c>
      <c r="I404" s="4">
        <v>2225000</v>
      </c>
      <c r="J404" s="2" t="s">
        <v>1771</v>
      </c>
      <c r="K404" s="4">
        <v>280000000</v>
      </c>
      <c r="L404" s="4">
        <v>0</v>
      </c>
      <c r="M404" s="4">
        <v>31840000</v>
      </c>
      <c r="N404" s="4">
        <v>100000000</v>
      </c>
      <c r="O404" s="4">
        <v>40000000</v>
      </c>
      <c r="P404" s="5">
        <v>0.857143</v>
      </c>
      <c r="Q404" s="10">
        <v>0.796</v>
      </c>
      <c r="R404" s="2" t="s">
        <v>1772</v>
      </c>
      <c r="S404" s="7">
        <f t="shared" si="48"/>
        <v>31840000</v>
      </c>
      <c r="T404" s="7">
        <f t="shared" si="49"/>
        <v>40000000</v>
      </c>
      <c r="U404" s="8">
        <f t="shared" si="50"/>
        <v>0.796</v>
      </c>
      <c r="V404" s="9" t="e">
        <f>IF(T404&lt;=0,"Output &lt;= 0",IF(U404&gt;#REF!,"Terlalu tinggi",IF(U404&lt;#REF!,"Terlalu rendah","Sesuai")))</f>
        <v>#REF!</v>
      </c>
      <c r="W404" s="7" t="e">
        <f>IF(T404&lt;=0,S404,IF(U404&gt;#REF!,ROUNDDOWN(T404*#REF!,0),IF(U404&lt;#REF!,ROUNDUP(T404*#REF!,0),S404)))</f>
        <v>#REF!</v>
      </c>
      <c r="X404" s="7" t="e">
        <f t="shared" si="51"/>
        <v>#REF!</v>
      </c>
      <c r="Y404" s="7" t="e">
        <f t="shared" si="52"/>
        <v>#REF!</v>
      </c>
      <c r="Z404" s="7" t="e">
        <f t="shared" si="53"/>
        <v>#REF!</v>
      </c>
      <c r="AA404" s="7" t="e">
        <f t="shared" si="54"/>
        <v>#REF!</v>
      </c>
      <c r="AB404" s="8" t="e">
        <f t="shared" si="55"/>
        <v>#REF!</v>
      </c>
      <c r="AC404" s="9" t="e">
        <f>IF(T404&lt;=0,"Output &lt;= 0, cek manual",IF(OR(Z404&lt;0,Y404&lt;0),"Biaya negatif",IF(AND(AB404&gt;=#REF!,AB404&lt;=#REF!),"OK","Di luar rentang")))</f>
        <v>#REF!</v>
      </c>
    </row>
    <row r="405" ht="71.25" spans="1:29">
      <c r="A405" s="2" t="s">
        <v>30</v>
      </c>
      <c r="B405" s="2" t="s">
        <v>466</v>
      </c>
      <c r="C405" s="3" t="s">
        <v>1773</v>
      </c>
      <c r="D405" s="3" t="s">
        <v>1162</v>
      </c>
      <c r="E405" s="3" t="s">
        <v>1774</v>
      </c>
      <c r="F405" s="4">
        <v>0</v>
      </c>
      <c r="G405" s="4">
        <v>30000000</v>
      </c>
      <c r="H405" s="4">
        <v>50000</v>
      </c>
      <c r="I405" s="4">
        <v>60000</v>
      </c>
      <c r="J405" s="2" t="s">
        <v>1775</v>
      </c>
      <c r="K405" s="4">
        <v>96000000</v>
      </c>
      <c r="L405" s="4">
        <v>0</v>
      </c>
      <c r="M405" s="4">
        <v>65950000</v>
      </c>
      <c r="N405" s="4">
        <v>600000</v>
      </c>
      <c r="O405" s="4">
        <v>66000000</v>
      </c>
      <c r="P405" s="13">
        <v>0.3125</v>
      </c>
      <c r="Q405" s="5">
        <v>0.999242</v>
      </c>
      <c r="R405" s="2" t="s">
        <v>1776</v>
      </c>
      <c r="S405" s="7">
        <f t="shared" si="48"/>
        <v>65950000</v>
      </c>
      <c r="T405" s="7">
        <f t="shared" si="49"/>
        <v>66000000</v>
      </c>
      <c r="U405" s="8">
        <f t="shared" si="50"/>
        <v>0.999242424242424</v>
      </c>
      <c r="V405" s="9" t="e">
        <f>IF(T405&lt;=0,"Output &lt;= 0",IF(U405&gt;#REF!,"Terlalu tinggi",IF(U405&lt;#REF!,"Terlalu rendah","Sesuai")))</f>
        <v>#REF!</v>
      </c>
      <c r="W405" s="7" t="e">
        <f>IF(T405&lt;=0,S405,IF(U405&gt;#REF!,ROUNDDOWN(T405*#REF!,0),IF(U405&lt;#REF!,ROUNDUP(T405*#REF!,0),S405)))</f>
        <v>#REF!</v>
      </c>
      <c r="X405" s="7" t="e">
        <f t="shared" si="51"/>
        <v>#REF!</v>
      </c>
      <c r="Y405" s="7" t="e">
        <f t="shared" si="52"/>
        <v>#REF!</v>
      </c>
      <c r="Z405" s="7" t="e">
        <f t="shared" si="53"/>
        <v>#REF!</v>
      </c>
      <c r="AA405" s="7" t="e">
        <f t="shared" si="54"/>
        <v>#REF!</v>
      </c>
      <c r="AB405" s="8" t="e">
        <f t="shared" si="55"/>
        <v>#REF!</v>
      </c>
      <c r="AC405" s="9" t="e">
        <f>IF(T405&lt;=0,"Output &lt;= 0, cek manual",IF(OR(Z405&lt;0,Y405&lt;0),"Biaya negatif",IF(AND(AB405&gt;=#REF!,AB405&lt;=#REF!),"OK","Di luar rentang")))</f>
        <v>#REF!</v>
      </c>
    </row>
    <row r="406" ht="71.25" spans="1:29">
      <c r="A406" s="2" t="s">
        <v>30</v>
      </c>
      <c r="B406" s="2" t="s">
        <v>466</v>
      </c>
      <c r="C406" s="3" t="s">
        <v>1777</v>
      </c>
      <c r="D406" s="3" t="s">
        <v>473</v>
      </c>
      <c r="E406" s="3" t="s">
        <v>473</v>
      </c>
      <c r="F406" s="4">
        <v>300000</v>
      </c>
      <c r="G406" s="4">
        <v>15000000</v>
      </c>
      <c r="H406" s="4">
        <v>200000</v>
      </c>
      <c r="I406" s="4">
        <v>1248000</v>
      </c>
      <c r="J406" s="2" t="s">
        <v>1778</v>
      </c>
      <c r="K406" s="4">
        <v>46800000</v>
      </c>
      <c r="L406" s="4">
        <v>0</v>
      </c>
      <c r="M406" s="4">
        <v>31300000</v>
      </c>
      <c r="N406" s="4">
        <v>30000000</v>
      </c>
      <c r="O406" s="4">
        <v>31800000</v>
      </c>
      <c r="P406" s="5">
        <v>0.320513</v>
      </c>
      <c r="Q406" s="5">
        <v>0.984277</v>
      </c>
      <c r="R406" s="2" t="s">
        <v>1779</v>
      </c>
      <c r="S406" s="7">
        <f t="shared" si="48"/>
        <v>31300000</v>
      </c>
      <c r="T406" s="7">
        <f t="shared" si="49"/>
        <v>31800000</v>
      </c>
      <c r="U406" s="8">
        <f t="shared" si="50"/>
        <v>0.984276729559748</v>
      </c>
      <c r="V406" s="9" t="e">
        <f>IF(T406&lt;=0,"Output &lt;= 0",IF(U406&gt;#REF!,"Terlalu tinggi",IF(U406&lt;#REF!,"Terlalu rendah","Sesuai")))</f>
        <v>#REF!</v>
      </c>
      <c r="W406" s="7" t="e">
        <f>IF(T406&lt;=0,S406,IF(U406&gt;#REF!,ROUNDDOWN(T406*#REF!,0),IF(U406&lt;#REF!,ROUNDUP(T406*#REF!,0),S406)))</f>
        <v>#REF!</v>
      </c>
      <c r="X406" s="7" t="e">
        <f t="shared" si="51"/>
        <v>#REF!</v>
      </c>
      <c r="Y406" s="7" t="e">
        <f t="shared" si="52"/>
        <v>#REF!</v>
      </c>
      <c r="Z406" s="7" t="e">
        <f t="shared" si="53"/>
        <v>#REF!</v>
      </c>
      <c r="AA406" s="7" t="e">
        <f t="shared" si="54"/>
        <v>#REF!</v>
      </c>
      <c r="AB406" s="8" t="e">
        <f t="shared" si="55"/>
        <v>#REF!</v>
      </c>
      <c r="AC406" s="9" t="e">
        <f>IF(T406&lt;=0,"Output &lt;= 0, cek manual",IF(OR(Z406&lt;0,Y406&lt;0),"Biaya negatif",IF(AND(AB406&gt;=#REF!,AB406&lt;=#REF!),"OK","Di luar rentang")))</f>
        <v>#REF!</v>
      </c>
    </row>
    <row r="407" ht="57" spans="1:29">
      <c r="A407" s="2" t="s">
        <v>30</v>
      </c>
      <c r="B407" s="2" t="s">
        <v>466</v>
      </c>
      <c r="C407" s="3" t="s">
        <v>1780</v>
      </c>
      <c r="D407" s="3" t="s">
        <v>1781</v>
      </c>
      <c r="E407" s="3" t="s">
        <v>1782</v>
      </c>
      <c r="F407" s="4">
        <v>0</v>
      </c>
      <c r="G407" s="4">
        <v>120000000</v>
      </c>
      <c r="H407" s="4">
        <v>1200000</v>
      </c>
      <c r="I407" s="4">
        <v>27000000</v>
      </c>
      <c r="J407" s="2" t="s">
        <v>1783</v>
      </c>
      <c r="K407" s="4">
        <v>203400000</v>
      </c>
      <c r="L407" s="4">
        <v>8</v>
      </c>
      <c r="M407" s="4">
        <v>82200000</v>
      </c>
      <c r="N407" s="4">
        <v>5000000</v>
      </c>
      <c r="O407" s="4">
        <v>83400000</v>
      </c>
      <c r="P407" s="5">
        <v>0.589971</v>
      </c>
      <c r="Q407" s="5">
        <v>0.985612</v>
      </c>
      <c r="R407" s="2" t="s">
        <v>1784</v>
      </c>
      <c r="S407" s="7">
        <f t="shared" si="48"/>
        <v>82200000</v>
      </c>
      <c r="T407" s="7">
        <f t="shared" si="49"/>
        <v>83400000</v>
      </c>
      <c r="U407" s="8">
        <f t="shared" si="50"/>
        <v>0.985611510791367</v>
      </c>
      <c r="V407" s="9" t="e">
        <f>IF(T407&lt;=0,"Output &lt;= 0",IF(U407&gt;#REF!,"Terlalu tinggi",IF(U407&lt;#REF!,"Terlalu rendah","Sesuai")))</f>
        <v>#REF!</v>
      </c>
      <c r="W407" s="7" t="e">
        <f>IF(T407&lt;=0,S407,IF(U407&gt;#REF!,ROUNDDOWN(T407*#REF!,0),IF(U407&lt;#REF!,ROUNDUP(T407*#REF!,0),S407)))</f>
        <v>#REF!</v>
      </c>
      <c r="X407" s="7" t="e">
        <f t="shared" si="51"/>
        <v>#REF!</v>
      </c>
      <c r="Y407" s="7" t="e">
        <f t="shared" si="52"/>
        <v>#REF!</v>
      </c>
      <c r="Z407" s="7" t="e">
        <f t="shared" si="53"/>
        <v>#REF!</v>
      </c>
      <c r="AA407" s="7" t="e">
        <f t="shared" si="54"/>
        <v>#REF!</v>
      </c>
      <c r="AB407" s="8" t="e">
        <f t="shared" si="55"/>
        <v>#REF!</v>
      </c>
      <c r="AC407" s="9" t="e">
        <f>IF(T407&lt;=0,"Output &lt;= 0, cek manual",IF(OR(Z407&lt;0,Y407&lt;0),"Biaya negatif",IF(AND(AB407&gt;=#REF!,AB407&lt;=#REF!),"OK","Di luar rentang")))</f>
        <v>#REF!</v>
      </c>
    </row>
    <row r="408" ht="114" spans="1:29">
      <c r="A408" s="2" t="s">
        <v>30</v>
      </c>
      <c r="B408" s="2" t="s">
        <v>466</v>
      </c>
      <c r="C408" s="3" t="s">
        <v>1785</v>
      </c>
      <c r="D408" s="3" t="s">
        <v>247</v>
      </c>
      <c r="E408" s="3" t="s">
        <v>1786</v>
      </c>
      <c r="F408" s="4">
        <v>100000</v>
      </c>
      <c r="G408" s="4">
        <v>5000000</v>
      </c>
      <c r="H408" s="4">
        <v>500000</v>
      </c>
      <c r="I408" s="4">
        <v>10000</v>
      </c>
      <c r="J408" s="2" t="s">
        <v>1787</v>
      </c>
      <c r="K408" s="4">
        <v>8000000</v>
      </c>
      <c r="L408" s="4">
        <v>0</v>
      </c>
      <c r="M408" s="4">
        <v>2400000</v>
      </c>
      <c r="N408" s="4">
        <v>500000</v>
      </c>
      <c r="O408" s="4">
        <v>3000000</v>
      </c>
      <c r="P408" s="10">
        <v>0.625</v>
      </c>
      <c r="Q408" s="12">
        <v>0.8</v>
      </c>
      <c r="R408" s="2" t="s">
        <v>1788</v>
      </c>
      <c r="S408" s="7">
        <f t="shared" si="48"/>
        <v>2400000</v>
      </c>
      <c r="T408" s="7">
        <f t="shared" si="49"/>
        <v>3000000</v>
      </c>
      <c r="U408" s="8">
        <f t="shared" si="50"/>
        <v>0.8</v>
      </c>
      <c r="V408" s="9" t="e">
        <f>IF(T408&lt;=0,"Output &lt;= 0",IF(U408&gt;#REF!,"Terlalu tinggi",IF(U408&lt;#REF!,"Terlalu rendah","Sesuai")))</f>
        <v>#REF!</v>
      </c>
      <c r="W408" s="7" t="e">
        <f>IF(T408&lt;=0,S408,IF(U408&gt;#REF!,ROUNDDOWN(T408*#REF!,0),IF(U408&lt;#REF!,ROUNDUP(T408*#REF!,0),S408)))</f>
        <v>#REF!</v>
      </c>
      <c r="X408" s="7" t="e">
        <f t="shared" si="51"/>
        <v>#REF!</v>
      </c>
      <c r="Y408" s="7" t="e">
        <f t="shared" si="52"/>
        <v>#REF!</v>
      </c>
      <c r="Z408" s="7" t="e">
        <f t="shared" si="53"/>
        <v>#REF!</v>
      </c>
      <c r="AA408" s="7" t="e">
        <f t="shared" si="54"/>
        <v>#REF!</v>
      </c>
      <c r="AB408" s="8" t="e">
        <f t="shared" si="55"/>
        <v>#REF!</v>
      </c>
      <c r="AC408" s="9" t="e">
        <f>IF(T408&lt;=0,"Output &lt;= 0, cek manual",IF(OR(Z408&lt;0,Y408&lt;0),"Biaya negatif",IF(AND(AB408&gt;=#REF!,AB408&lt;=#REF!),"OK","Di luar rentang")))</f>
        <v>#REF!</v>
      </c>
    </row>
    <row r="409" ht="128.25" spans="1:29">
      <c r="A409" s="2" t="s">
        <v>30</v>
      </c>
      <c r="B409" s="2" t="s">
        <v>493</v>
      </c>
      <c r="C409" s="3" t="s">
        <v>1789</v>
      </c>
      <c r="D409" s="3" t="s">
        <v>1790</v>
      </c>
      <c r="E409" s="3" t="s">
        <v>1791</v>
      </c>
      <c r="F409" s="4">
        <v>2000000</v>
      </c>
      <c r="G409" s="4">
        <v>16000000</v>
      </c>
      <c r="H409" s="4">
        <v>3000000</v>
      </c>
      <c r="I409" s="4">
        <v>400000</v>
      </c>
      <c r="J409" s="2" t="s">
        <v>1792</v>
      </c>
      <c r="K409" s="4">
        <v>24000000</v>
      </c>
      <c r="L409" s="4">
        <v>8000000</v>
      </c>
      <c r="M409" s="4">
        <v>3000000</v>
      </c>
      <c r="N409" s="4">
        <v>28000000</v>
      </c>
      <c r="O409" s="4">
        <v>8000000</v>
      </c>
      <c r="P409" s="5">
        <v>0.666667</v>
      </c>
      <c r="Q409" s="10">
        <v>0.375</v>
      </c>
      <c r="R409" s="2" t="s">
        <v>1793</v>
      </c>
      <c r="S409" s="7">
        <f t="shared" si="48"/>
        <v>3000000</v>
      </c>
      <c r="T409" s="7">
        <f t="shared" si="49"/>
        <v>8000000</v>
      </c>
      <c r="U409" s="8">
        <f t="shared" si="50"/>
        <v>0.375</v>
      </c>
      <c r="V409" s="9" t="e">
        <f>IF(T409&lt;=0,"Output &lt;= 0",IF(U409&gt;#REF!,"Terlalu tinggi",IF(U409&lt;#REF!,"Terlalu rendah","Sesuai")))</f>
        <v>#REF!</v>
      </c>
      <c r="W409" s="7" t="e">
        <f>IF(T409&lt;=0,S409,IF(U409&gt;#REF!,ROUNDDOWN(T409*#REF!,0),IF(U409&lt;#REF!,ROUNDUP(T409*#REF!,0),S409)))</f>
        <v>#REF!</v>
      </c>
      <c r="X409" s="7" t="e">
        <f t="shared" si="51"/>
        <v>#REF!</v>
      </c>
      <c r="Y409" s="7" t="e">
        <f t="shared" si="52"/>
        <v>#REF!</v>
      </c>
      <c r="Z409" s="7" t="e">
        <f t="shared" si="53"/>
        <v>#REF!</v>
      </c>
      <c r="AA409" s="7" t="e">
        <f t="shared" si="54"/>
        <v>#REF!</v>
      </c>
      <c r="AB409" s="8" t="e">
        <f t="shared" si="55"/>
        <v>#REF!</v>
      </c>
      <c r="AC409" s="9" t="e">
        <f>IF(T409&lt;=0,"Output &lt;= 0, cek manual",IF(OR(Z409&lt;0,Y409&lt;0),"Biaya negatif",IF(AND(AB409&gt;=#REF!,AB409&lt;=#REF!),"OK","Di luar rentang")))</f>
        <v>#REF!</v>
      </c>
    </row>
    <row r="410" ht="71.25" spans="1:29">
      <c r="A410" s="2" t="s">
        <v>30</v>
      </c>
      <c r="B410" s="2" t="s">
        <v>493</v>
      </c>
      <c r="C410" s="3" t="s">
        <v>1794</v>
      </c>
      <c r="D410" s="3" t="s">
        <v>495</v>
      </c>
      <c r="E410" s="3" t="s">
        <v>495</v>
      </c>
      <c r="F410" s="4">
        <v>108000</v>
      </c>
      <c r="G410" s="4">
        <v>40000000</v>
      </c>
      <c r="H410" s="4">
        <v>600000</v>
      </c>
      <c r="I410" s="4">
        <v>1080000</v>
      </c>
      <c r="J410" s="2" t="s">
        <v>1795</v>
      </c>
      <c r="K410" s="4">
        <v>62000000</v>
      </c>
      <c r="L410" s="4">
        <v>0</v>
      </c>
      <c r="M410" s="4">
        <v>21292000</v>
      </c>
      <c r="N410" s="4">
        <v>50000000</v>
      </c>
      <c r="O410" s="4">
        <v>22000000</v>
      </c>
      <c r="P410" s="5">
        <v>0.645161</v>
      </c>
      <c r="Q410" s="5">
        <v>0.967818</v>
      </c>
      <c r="R410" s="2" t="s">
        <v>1796</v>
      </c>
      <c r="S410" s="7">
        <f t="shared" si="48"/>
        <v>21292000</v>
      </c>
      <c r="T410" s="7">
        <f t="shared" si="49"/>
        <v>22000000</v>
      </c>
      <c r="U410" s="8">
        <f t="shared" si="50"/>
        <v>0.967818181818182</v>
      </c>
      <c r="V410" s="9" t="e">
        <f>IF(T410&lt;=0,"Output &lt;= 0",IF(U410&gt;#REF!,"Terlalu tinggi",IF(U410&lt;#REF!,"Terlalu rendah","Sesuai")))</f>
        <v>#REF!</v>
      </c>
      <c r="W410" s="7" t="e">
        <f>IF(T410&lt;=0,S410,IF(U410&gt;#REF!,ROUNDDOWN(T410*#REF!,0),IF(U410&lt;#REF!,ROUNDUP(T410*#REF!,0),S410)))</f>
        <v>#REF!</v>
      </c>
      <c r="X410" s="7" t="e">
        <f t="shared" si="51"/>
        <v>#REF!</v>
      </c>
      <c r="Y410" s="7" t="e">
        <f t="shared" si="52"/>
        <v>#REF!</v>
      </c>
      <c r="Z410" s="7" t="e">
        <f t="shared" si="53"/>
        <v>#REF!</v>
      </c>
      <c r="AA410" s="7" t="e">
        <f t="shared" si="54"/>
        <v>#REF!</v>
      </c>
      <c r="AB410" s="8" t="e">
        <f t="shared" si="55"/>
        <v>#REF!</v>
      </c>
      <c r="AC410" s="9" t="e">
        <f>IF(T410&lt;=0,"Output &lt;= 0, cek manual",IF(OR(Z410&lt;0,Y410&lt;0),"Biaya negatif",IF(AND(AB410&gt;=#REF!,AB410&lt;=#REF!),"OK","Di luar rentang")))</f>
        <v>#REF!</v>
      </c>
    </row>
    <row r="411" ht="71.25" spans="1:29">
      <c r="A411" s="2" t="s">
        <v>30</v>
      </c>
      <c r="B411" s="2" t="s">
        <v>493</v>
      </c>
      <c r="C411" s="3" t="s">
        <v>1797</v>
      </c>
      <c r="D411" s="3" t="s">
        <v>1798</v>
      </c>
      <c r="E411" s="3" t="s">
        <v>1799</v>
      </c>
      <c r="F411" s="4">
        <v>100000</v>
      </c>
      <c r="G411" s="4">
        <v>8000000</v>
      </c>
      <c r="H411" s="4">
        <v>4800000</v>
      </c>
      <c r="I411" s="4">
        <v>192000</v>
      </c>
      <c r="J411" s="2" t="s">
        <v>1800</v>
      </c>
      <c r="K411" s="4">
        <v>48000000</v>
      </c>
      <c r="L411" s="4">
        <v>0</v>
      </c>
      <c r="M411" s="4">
        <v>35100000</v>
      </c>
      <c r="N411" s="4">
        <v>600000</v>
      </c>
      <c r="O411" s="4">
        <v>40000000</v>
      </c>
      <c r="P411" s="5">
        <v>0.166667</v>
      </c>
      <c r="Q411" s="13">
        <v>0.8775</v>
      </c>
      <c r="R411" s="2" t="s">
        <v>1801</v>
      </c>
      <c r="S411" s="7">
        <f t="shared" si="48"/>
        <v>35100000</v>
      </c>
      <c r="T411" s="7">
        <f t="shared" si="49"/>
        <v>40000000</v>
      </c>
      <c r="U411" s="8">
        <f t="shared" si="50"/>
        <v>0.8775</v>
      </c>
      <c r="V411" s="9" t="e">
        <f>IF(T411&lt;=0,"Output &lt;= 0",IF(U411&gt;#REF!,"Terlalu tinggi",IF(U411&lt;#REF!,"Terlalu rendah","Sesuai")))</f>
        <v>#REF!</v>
      </c>
      <c r="W411" s="7" t="e">
        <f>IF(T411&lt;=0,S411,IF(U411&gt;#REF!,ROUNDDOWN(T411*#REF!,0),IF(U411&lt;#REF!,ROUNDUP(T411*#REF!,0),S411)))</f>
        <v>#REF!</v>
      </c>
      <c r="X411" s="7" t="e">
        <f t="shared" si="51"/>
        <v>#REF!</v>
      </c>
      <c r="Y411" s="7" t="e">
        <f t="shared" si="52"/>
        <v>#REF!</v>
      </c>
      <c r="Z411" s="7" t="e">
        <f t="shared" si="53"/>
        <v>#REF!</v>
      </c>
      <c r="AA411" s="7" t="e">
        <f t="shared" si="54"/>
        <v>#REF!</v>
      </c>
      <c r="AB411" s="8" t="e">
        <f t="shared" si="55"/>
        <v>#REF!</v>
      </c>
      <c r="AC411" s="9" t="e">
        <f>IF(T411&lt;=0,"Output &lt;= 0, cek manual",IF(OR(Z411&lt;0,Y411&lt;0),"Biaya negatif",IF(AND(AB411&gt;=#REF!,AB411&lt;=#REF!),"OK","Di luar rentang")))</f>
        <v>#REF!</v>
      </c>
    </row>
    <row r="412" ht="71.25" spans="1:29">
      <c r="A412" s="2" t="s">
        <v>30</v>
      </c>
      <c r="B412" s="2" t="s">
        <v>1802</v>
      </c>
      <c r="C412" s="3" t="s">
        <v>1803</v>
      </c>
      <c r="D412" s="3" t="s">
        <v>1804</v>
      </c>
      <c r="E412" s="3" t="s">
        <v>1805</v>
      </c>
      <c r="F412" s="4">
        <v>300000</v>
      </c>
      <c r="G412" s="4">
        <v>5000000</v>
      </c>
      <c r="H412" s="4">
        <v>500000</v>
      </c>
      <c r="I412" s="4">
        <v>0</v>
      </c>
      <c r="J412" s="2" t="s">
        <v>1806</v>
      </c>
      <c r="K412" s="4">
        <v>3500000</v>
      </c>
      <c r="L412" s="4">
        <v>0</v>
      </c>
      <c r="M412" s="4">
        <v>-2300000</v>
      </c>
      <c r="N412" s="4">
        <v>0</v>
      </c>
      <c r="O412" s="4">
        <v>-1500000</v>
      </c>
      <c r="P412" s="5">
        <v>1.428571</v>
      </c>
      <c r="Q412" s="5">
        <v>1.533333</v>
      </c>
      <c r="R412" s="2" t="s">
        <v>1807</v>
      </c>
      <c r="S412" s="7">
        <f t="shared" si="48"/>
        <v>-2300000</v>
      </c>
      <c r="T412" s="7">
        <f t="shared" si="49"/>
        <v>-1500000</v>
      </c>
      <c r="U412" s="8" t="str">
        <f t="shared" si="50"/>
        <v/>
      </c>
      <c r="V412" s="9" t="str">
        <f>IF(T412&lt;=0,"Output &lt;= 0",IF(U412&gt;#REF!,"Terlalu tinggi",IF(U412&lt;#REF!,"Terlalu rendah","Sesuai")))</f>
        <v>Output &lt;= 0</v>
      </c>
      <c r="W412" s="7">
        <f>IF(T412&lt;=0,S412,IF(U412&gt;#REF!,ROUNDDOWN(T412*#REF!,0),IF(U412&lt;#REF!,ROUNDUP(T412*#REF!,0),S412)))</f>
        <v>-2300000</v>
      </c>
      <c r="X412" s="7">
        <f t="shared" si="51"/>
        <v>0</v>
      </c>
      <c r="Y412" s="7">
        <f t="shared" si="52"/>
        <v>500000</v>
      </c>
      <c r="Z412" s="7">
        <f t="shared" si="53"/>
        <v>300000</v>
      </c>
      <c r="AA412" s="7">
        <f t="shared" si="54"/>
        <v>-2300000</v>
      </c>
      <c r="AB412" s="8" t="str">
        <f t="shared" si="55"/>
        <v/>
      </c>
      <c r="AC412" s="9" t="str">
        <f>IF(T412&lt;=0,"Output &lt;= 0, cek manual",IF(OR(Z412&lt;0,Y412&lt;0),"Biaya negatif",IF(AND(AB412&gt;=#REF!,AB412&lt;=#REF!),"OK","Di luar rentang")))</f>
        <v>Output &lt;= 0, cek manual</v>
      </c>
    </row>
    <row r="413" ht="128.25" spans="1:29">
      <c r="A413" s="2" t="s">
        <v>30</v>
      </c>
      <c r="B413" s="2" t="s">
        <v>1808</v>
      </c>
      <c r="C413" s="3" t="s">
        <v>1809</v>
      </c>
      <c r="D413" s="3" t="s">
        <v>1037</v>
      </c>
      <c r="E413" s="3" t="s">
        <v>1810</v>
      </c>
      <c r="F413" s="4">
        <v>800000</v>
      </c>
      <c r="G413" s="4">
        <v>500000</v>
      </c>
      <c r="H413" s="4">
        <v>240000</v>
      </c>
      <c r="I413" s="4">
        <v>0</v>
      </c>
      <c r="J413" s="2" t="s">
        <v>1811</v>
      </c>
      <c r="K413" s="4">
        <v>2000000</v>
      </c>
      <c r="L413" s="4">
        <v>0</v>
      </c>
      <c r="M413" s="4">
        <v>460000</v>
      </c>
      <c r="N413" s="4">
        <v>151000000</v>
      </c>
      <c r="O413" s="4">
        <v>1500000</v>
      </c>
      <c r="P413" s="11">
        <v>0.25</v>
      </c>
      <c r="Q413" s="5">
        <v>0.306667</v>
      </c>
      <c r="R413" s="2" t="s">
        <v>1812</v>
      </c>
      <c r="S413" s="7">
        <f t="shared" si="48"/>
        <v>460000</v>
      </c>
      <c r="T413" s="7">
        <f t="shared" si="49"/>
        <v>1500000</v>
      </c>
      <c r="U413" s="8">
        <f t="shared" si="50"/>
        <v>0.306666666666667</v>
      </c>
      <c r="V413" s="9" t="e">
        <f>IF(T413&lt;=0,"Output &lt;= 0",IF(U413&gt;#REF!,"Terlalu tinggi",IF(U413&lt;#REF!,"Terlalu rendah","Sesuai")))</f>
        <v>#REF!</v>
      </c>
      <c r="W413" s="7" t="e">
        <f>IF(T413&lt;=0,S413,IF(U413&gt;#REF!,ROUNDDOWN(T413*#REF!,0),IF(U413&lt;#REF!,ROUNDUP(T413*#REF!,0),S413)))</f>
        <v>#REF!</v>
      </c>
      <c r="X413" s="7" t="e">
        <f t="shared" si="51"/>
        <v>#REF!</v>
      </c>
      <c r="Y413" s="7" t="e">
        <f t="shared" si="52"/>
        <v>#REF!</v>
      </c>
      <c r="Z413" s="7" t="e">
        <f t="shared" si="53"/>
        <v>#REF!</v>
      </c>
      <c r="AA413" s="7" t="e">
        <f t="shared" si="54"/>
        <v>#REF!</v>
      </c>
      <c r="AB413" s="8" t="e">
        <f t="shared" si="55"/>
        <v>#REF!</v>
      </c>
      <c r="AC413" s="9" t="e">
        <f>IF(T413&lt;=0,"Output &lt;= 0, cek manual",IF(OR(Z413&lt;0,Y413&lt;0),"Biaya negatif",IF(AND(AB413&gt;=#REF!,AB413&lt;=#REF!),"OK","Di luar rentang")))</f>
        <v>#REF!</v>
      </c>
    </row>
    <row r="414" ht="71.25" spans="1:29">
      <c r="A414" s="2" t="s">
        <v>30</v>
      </c>
      <c r="B414" s="2" t="s">
        <v>503</v>
      </c>
      <c r="C414" s="3" t="s">
        <v>1813</v>
      </c>
      <c r="D414" s="3" t="s">
        <v>1814</v>
      </c>
      <c r="E414" s="3" t="s">
        <v>1815</v>
      </c>
      <c r="F414" s="4">
        <v>2000000</v>
      </c>
      <c r="G414" s="4">
        <v>100000000</v>
      </c>
      <c r="H414" s="4">
        <v>15000000</v>
      </c>
      <c r="I414" s="4">
        <v>0</v>
      </c>
      <c r="J414" s="2" t="s">
        <v>1816</v>
      </c>
      <c r="K414" s="4">
        <v>282000000</v>
      </c>
      <c r="L414" s="4">
        <v>0</v>
      </c>
      <c r="M414" s="4">
        <v>165000000</v>
      </c>
      <c r="N414" s="4">
        <v>165000000</v>
      </c>
      <c r="O414" s="4">
        <v>182000000</v>
      </c>
      <c r="P414" s="6">
        <v>0.35461</v>
      </c>
      <c r="Q414" s="5">
        <v>0.906593</v>
      </c>
      <c r="R414" s="2" t="s">
        <v>1817</v>
      </c>
      <c r="S414" s="7">
        <f t="shared" si="48"/>
        <v>165000000</v>
      </c>
      <c r="T414" s="7">
        <f t="shared" si="49"/>
        <v>182000000</v>
      </c>
      <c r="U414" s="8">
        <f t="shared" si="50"/>
        <v>0.906593406593407</v>
      </c>
      <c r="V414" s="9" t="e">
        <f>IF(T414&lt;=0,"Output &lt;= 0",IF(U414&gt;#REF!,"Terlalu tinggi",IF(U414&lt;#REF!,"Terlalu rendah","Sesuai")))</f>
        <v>#REF!</v>
      </c>
      <c r="W414" s="7" t="e">
        <f>IF(T414&lt;=0,S414,IF(U414&gt;#REF!,ROUNDDOWN(T414*#REF!,0),IF(U414&lt;#REF!,ROUNDUP(T414*#REF!,0),S414)))</f>
        <v>#REF!</v>
      </c>
      <c r="X414" s="7" t="e">
        <f t="shared" si="51"/>
        <v>#REF!</v>
      </c>
      <c r="Y414" s="7" t="e">
        <f t="shared" si="52"/>
        <v>#REF!</v>
      </c>
      <c r="Z414" s="7" t="e">
        <f t="shared" si="53"/>
        <v>#REF!</v>
      </c>
      <c r="AA414" s="7" t="e">
        <f t="shared" si="54"/>
        <v>#REF!</v>
      </c>
      <c r="AB414" s="8" t="e">
        <f t="shared" si="55"/>
        <v>#REF!</v>
      </c>
      <c r="AC414" s="9" t="e">
        <f>IF(T414&lt;=0,"Output &lt;= 0, cek manual",IF(OR(Z414&lt;0,Y414&lt;0),"Biaya negatif",IF(AND(AB414&gt;=#REF!,AB414&lt;=#REF!),"OK","Di luar rentang")))</f>
        <v>#REF!</v>
      </c>
    </row>
    <row r="415" ht="142.5" spans="1:29">
      <c r="A415" s="2" t="s">
        <v>30</v>
      </c>
      <c r="B415" s="2" t="s">
        <v>1818</v>
      </c>
      <c r="C415" s="3" t="s">
        <v>1819</v>
      </c>
      <c r="D415" s="3" t="s">
        <v>966</v>
      </c>
      <c r="E415" s="3" t="s">
        <v>1820</v>
      </c>
      <c r="F415" s="4">
        <v>0</v>
      </c>
      <c r="G415" s="4">
        <v>20000000</v>
      </c>
      <c r="H415" s="4">
        <v>3000000</v>
      </c>
      <c r="I415" s="4">
        <v>0</v>
      </c>
      <c r="J415" s="2" t="s">
        <v>713</v>
      </c>
      <c r="K415" s="4">
        <v>35000000</v>
      </c>
      <c r="L415" s="4">
        <v>0</v>
      </c>
      <c r="M415" s="4">
        <v>12000000</v>
      </c>
      <c r="N415" s="4">
        <v>1000000</v>
      </c>
      <c r="O415" s="4">
        <v>15000000</v>
      </c>
      <c r="P415" s="5">
        <v>0.571429</v>
      </c>
      <c r="Q415" s="12">
        <v>0.8</v>
      </c>
      <c r="R415" s="2" t="s">
        <v>1821</v>
      </c>
      <c r="S415" s="7">
        <f t="shared" si="48"/>
        <v>12000000</v>
      </c>
      <c r="T415" s="7">
        <f t="shared" si="49"/>
        <v>15000000</v>
      </c>
      <c r="U415" s="8">
        <f t="shared" si="50"/>
        <v>0.8</v>
      </c>
      <c r="V415" s="9" t="e">
        <f>IF(T415&lt;=0,"Output &lt;= 0",IF(U415&gt;#REF!,"Terlalu tinggi",IF(U415&lt;#REF!,"Terlalu rendah","Sesuai")))</f>
        <v>#REF!</v>
      </c>
      <c r="W415" s="7" t="e">
        <f>IF(T415&lt;=0,S415,IF(U415&gt;#REF!,ROUNDDOWN(T415*#REF!,0),IF(U415&lt;#REF!,ROUNDUP(T415*#REF!,0),S415)))</f>
        <v>#REF!</v>
      </c>
      <c r="X415" s="7" t="e">
        <f t="shared" si="51"/>
        <v>#REF!</v>
      </c>
      <c r="Y415" s="7" t="e">
        <f t="shared" si="52"/>
        <v>#REF!</v>
      </c>
      <c r="Z415" s="7" t="e">
        <f t="shared" si="53"/>
        <v>#REF!</v>
      </c>
      <c r="AA415" s="7" t="e">
        <f t="shared" si="54"/>
        <v>#REF!</v>
      </c>
      <c r="AB415" s="8" t="e">
        <f t="shared" si="55"/>
        <v>#REF!</v>
      </c>
      <c r="AC415" s="9" t="e">
        <f>IF(T415&lt;=0,"Output &lt;= 0, cek manual",IF(OR(Z415&lt;0,Y415&lt;0),"Biaya negatif",IF(AND(AB415&gt;=#REF!,AB415&lt;=#REF!),"OK","Di luar rentang")))</f>
        <v>#REF!</v>
      </c>
    </row>
    <row r="416" ht="57" spans="1:29">
      <c r="A416" s="2" t="s">
        <v>30</v>
      </c>
      <c r="B416" s="2" t="s">
        <v>534</v>
      </c>
      <c r="C416" s="3" t="s">
        <v>550</v>
      </c>
      <c r="D416" s="3" t="s">
        <v>381</v>
      </c>
      <c r="E416" s="3" t="s">
        <v>1822</v>
      </c>
      <c r="F416" s="4">
        <v>920000</v>
      </c>
      <c r="G416" s="4">
        <v>0</v>
      </c>
      <c r="H416" s="4">
        <v>0</v>
      </c>
      <c r="I416" s="4">
        <v>0</v>
      </c>
      <c r="J416" s="2" t="s">
        <v>1823</v>
      </c>
      <c r="K416" s="4">
        <v>1000000</v>
      </c>
      <c r="L416" s="4">
        <v>0</v>
      </c>
      <c r="M416" s="4">
        <v>80000</v>
      </c>
      <c r="N416" s="4">
        <v>200000</v>
      </c>
      <c r="O416" s="4">
        <v>1000000</v>
      </c>
      <c r="P416" s="4">
        <v>0</v>
      </c>
      <c r="Q416" s="11">
        <v>0.08</v>
      </c>
      <c r="R416" s="2" t="s">
        <v>1824</v>
      </c>
      <c r="S416" s="7">
        <f t="shared" si="48"/>
        <v>80000</v>
      </c>
      <c r="T416" s="7">
        <f t="shared" si="49"/>
        <v>1000000</v>
      </c>
      <c r="U416" s="8">
        <f t="shared" si="50"/>
        <v>0.08</v>
      </c>
      <c r="V416" s="9" t="e">
        <f>IF(T416&lt;=0,"Output &lt;= 0",IF(U416&gt;#REF!,"Terlalu tinggi",IF(U416&lt;#REF!,"Terlalu rendah","Sesuai")))</f>
        <v>#REF!</v>
      </c>
      <c r="W416" s="7" t="e">
        <f>IF(T416&lt;=0,S416,IF(U416&gt;#REF!,ROUNDDOWN(T416*#REF!,0),IF(U416&lt;#REF!,ROUNDUP(T416*#REF!,0),S416)))</f>
        <v>#REF!</v>
      </c>
      <c r="X416" s="7" t="e">
        <f t="shared" si="51"/>
        <v>#REF!</v>
      </c>
      <c r="Y416" s="7" t="e">
        <f t="shared" si="52"/>
        <v>#REF!</v>
      </c>
      <c r="Z416" s="7" t="e">
        <f t="shared" si="53"/>
        <v>#REF!</v>
      </c>
      <c r="AA416" s="7" t="e">
        <f t="shared" si="54"/>
        <v>#REF!</v>
      </c>
      <c r="AB416" s="8" t="e">
        <f t="shared" si="55"/>
        <v>#REF!</v>
      </c>
      <c r="AC416" s="9" t="e">
        <f>IF(T416&lt;=0,"Output &lt;= 0, cek manual",IF(OR(Z416&lt;0,Y416&lt;0),"Biaya negatif",IF(AND(AB416&gt;=#REF!,AB416&lt;=#REF!),"OK","Di luar rentang")))</f>
        <v>#REF!</v>
      </c>
    </row>
    <row r="417" ht="99.75" spans="1:29">
      <c r="A417" s="2" t="s">
        <v>30</v>
      </c>
      <c r="B417" s="2" t="s">
        <v>534</v>
      </c>
      <c r="C417" s="3" t="s">
        <v>1825</v>
      </c>
      <c r="D417" s="3" t="s">
        <v>560</v>
      </c>
      <c r="E417" s="3" t="s">
        <v>1826</v>
      </c>
      <c r="F417" s="4">
        <v>0</v>
      </c>
      <c r="G417" s="4">
        <v>49920000</v>
      </c>
      <c r="H417" s="4">
        <v>0</v>
      </c>
      <c r="I417" s="4">
        <v>0</v>
      </c>
      <c r="J417" s="2" t="s">
        <v>1827</v>
      </c>
      <c r="K417" s="4">
        <v>52800000</v>
      </c>
      <c r="L417" s="4">
        <v>0</v>
      </c>
      <c r="M417" s="4">
        <v>2880000</v>
      </c>
      <c r="N417" s="4">
        <v>1750000</v>
      </c>
      <c r="O417" s="4">
        <v>2880000</v>
      </c>
      <c r="P417" s="5">
        <v>0.945455</v>
      </c>
      <c r="Q417" s="4">
        <v>1</v>
      </c>
      <c r="R417" s="2" t="s">
        <v>1828</v>
      </c>
      <c r="S417" s="7">
        <f t="shared" si="48"/>
        <v>2880000</v>
      </c>
      <c r="T417" s="7">
        <f t="shared" si="49"/>
        <v>2880000</v>
      </c>
      <c r="U417" s="8">
        <f t="shared" si="50"/>
        <v>1</v>
      </c>
      <c r="V417" s="9" t="e">
        <f>IF(T417&lt;=0,"Output &lt;= 0",IF(U417&gt;#REF!,"Terlalu tinggi",IF(U417&lt;#REF!,"Terlalu rendah","Sesuai")))</f>
        <v>#REF!</v>
      </c>
      <c r="W417" s="7" t="e">
        <f>IF(T417&lt;=0,S417,IF(U417&gt;#REF!,ROUNDDOWN(T417*#REF!,0),IF(U417&lt;#REF!,ROUNDUP(T417*#REF!,0),S417)))</f>
        <v>#REF!</v>
      </c>
      <c r="X417" s="7" t="e">
        <f t="shared" si="51"/>
        <v>#REF!</v>
      </c>
      <c r="Y417" s="7" t="e">
        <f t="shared" si="52"/>
        <v>#REF!</v>
      </c>
      <c r="Z417" s="7" t="e">
        <f t="shared" si="53"/>
        <v>#REF!</v>
      </c>
      <c r="AA417" s="7" t="e">
        <f t="shared" si="54"/>
        <v>#REF!</v>
      </c>
      <c r="AB417" s="8" t="e">
        <f t="shared" si="55"/>
        <v>#REF!</v>
      </c>
      <c r="AC417" s="9" t="e">
        <f>IF(T417&lt;=0,"Output &lt;= 0, cek manual",IF(OR(Z417&lt;0,Y417&lt;0),"Biaya negatif",IF(AND(AB417&gt;=#REF!,AB417&lt;=#REF!),"OK","Di luar rentang")))</f>
        <v>#REF!</v>
      </c>
    </row>
    <row r="418" ht="128.25" spans="1:29">
      <c r="A418" s="2" t="s">
        <v>30</v>
      </c>
      <c r="B418" s="2" t="s">
        <v>534</v>
      </c>
      <c r="C418" s="3" t="s">
        <v>1829</v>
      </c>
      <c r="D418" s="3" t="s">
        <v>1830</v>
      </c>
      <c r="E418" s="3" t="s">
        <v>1831</v>
      </c>
      <c r="F418" s="4">
        <v>0</v>
      </c>
      <c r="G418" s="4">
        <v>55200000</v>
      </c>
      <c r="H418" s="4">
        <v>0</v>
      </c>
      <c r="I418" s="4">
        <v>0</v>
      </c>
      <c r="J418" s="2" t="s">
        <v>1832</v>
      </c>
      <c r="K418" s="4">
        <v>60000000</v>
      </c>
      <c r="L418" s="4">
        <v>0</v>
      </c>
      <c r="M418" s="4">
        <v>4800000</v>
      </c>
      <c r="N418" s="4">
        <v>4000000</v>
      </c>
      <c r="O418" s="4">
        <v>4800000</v>
      </c>
      <c r="P418" s="11">
        <v>0.92</v>
      </c>
      <c r="Q418" s="4">
        <v>1</v>
      </c>
      <c r="R418" s="2" t="s">
        <v>1833</v>
      </c>
      <c r="S418" s="7">
        <f t="shared" si="48"/>
        <v>4800000</v>
      </c>
      <c r="T418" s="7">
        <f t="shared" si="49"/>
        <v>4800000</v>
      </c>
      <c r="U418" s="8">
        <f t="shared" si="50"/>
        <v>1</v>
      </c>
      <c r="V418" s="9" t="e">
        <f>IF(T418&lt;=0,"Output &lt;= 0",IF(U418&gt;#REF!,"Terlalu tinggi",IF(U418&lt;#REF!,"Terlalu rendah","Sesuai")))</f>
        <v>#REF!</v>
      </c>
      <c r="W418" s="7" t="e">
        <f>IF(T418&lt;=0,S418,IF(U418&gt;#REF!,ROUNDDOWN(T418*#REF!,0),IF(U418&lt;#REF!,ROUNDUP(T418*#REF!,0),S418)))</f>
        <v>#REF!</v>
      </c>
      <c r="X418" s="7" t="e">
        <f t="shared" si="51"/>
        <v>#REF!</v>
      </c>
      <c r="Y418" s="7" t="e">
        <f t="shared" si="52"/>
        <v>#REF!</v>
      </c>
      <c r="Z418" s="7" t="e">
        <f t="shared" si="53"/>
        <v>#REF!</v>
      </c>
      <c r="AA418" s="7" t="e">
        <f t="shared" si="54"/>
        <v>#REF!</v>
      </c>
      <c r="AB418" s="8" t="e">
        <f t="shared" si="55"/>
        <v>#REF!</v>
      </c>
      <c r="AC418" s="9" t="e">
        <f>IF(T418&lt;=0,"Output &lt;= 0, cek manual",IF(OR(Z418&lt;0,Y418&lt;0),"Biaya negatif",IF(AND(AB418&gt;=#REF!,AB418&lt;=#REF!),"OK","Di luar rentang")))</f>
        <v>#REF!</v>
      </c>
    </row>
    <row r="419" ht="71.25" spans="1:29">
      <c r="A419" s="2" t="s">
        <v>30</v>
      </c>
      <c r="B419" s="2" t="s">
        <v>534</v>
      </c>
      <c r="C419" s="3" t="s">
        <v>1834</v>
      </c>
      <c r="D419" s="3" t="s">
        <v>381</v>
      </c>
      <c r="E419" s="3" t="s">
        <v>588</v>
      </c>
      <c r="F419" s="4">
        <v>37440000</v>
      </c>
      <c r="G419" s="4">
        <v>0</v>
      </c>
      <c r="H419" s="4">
        <v>0</v>
      </c>
      <c r="I419" s="4">
        <v>0</v>
      </c>
      <c r="J419" s="2" t="s">
        <v>1418</v>
      </c>
      <c r="K419" s="4">
        <v>43200000</v>
      </c>
      <c r="L419" s="4">
        <v>0</v>
      </c>
      <c r="M419" s="4">
        <v>5760000</v>
      </c>
      <c r="N419" s="4">
        <v>1850000</v>
      </c>
      <c r="O419" s="4">
        <v>43200000</v>
      </c>
      <c r="P419" s="4">
        <v>0</v>
      </c>
      <c r="Q419" s="5">
        <v>0.133333</v>
      </c>
      <c r="R419" s="2" t="s">
        <v>1419</v>
      </c>
      <c r="S419" s="7">
        <f t="shared" si="48"/>
        <v>5760000</v>
      </c>
      <c r="T419" s="7">
        <f t="shared" si="49"/>
        <v>43200000</v>
      </c>
      <c r="U419" s="8">
        <f t="shared" si="50"/>
        <v>0.133333333333333</v>
      </c>
      <c r="V419" s="9" t="e">
        <f>IF(T419&lt;=0,"Output &lt;= 0",IF(U419&gt;#REF!,"Terlalu tinggi",IF(U419&lt;#REF!,"Terlalu rendah","Sesuai")))</f>
        <v>#REF!</v>
      </c>
      <c r="W419" s="7" t="e">
        <f>IF(T419&lt;=0,S419,IF(U419&gt;#REF!,ROUNDDOWN(T419*#REF!,0),IF(U419&lt;#REF!,ROUNDUP(T419*#REF!,0),S419)))</f>
        <v>#REF!</v>
      </c>
      <c r="X419" s="7" t="e">
        <f t="shared" si="51"/>
        <v>#REF!</v>
      </c>
      <c r="Y419" s="7" t="e">
        <f t="shared" si="52"/>
        <v>#REF!</v>
      </c>
      <c r="Z419" s="7" t="e">
        <f t="shared" si="53"/>
        <v>#REF!</v>
      </c>
      <c r="AA419" s="7" t="e">
        <f t="shared" si="54"/>
        <v>#REF!</v>
      </c>
      <c r="AB419" s="8" t="e">
        <f t="shared" si="55"/>
        <v>#REF!</v>
      </c>
      <c r="AC419" s="9" t="e">
        <f>IF(T419&lt;=0,"Output &lt;= 0, cek manual",IF(OR(Z419&lt;0,Y419&lt;0),"Biaya negatif",IF(AND(AB419&gt;=#REF!,AB419&lt;=#REF!),"OK","Di luar rentang")))</f>
        <v>#REF!</v>
      </c>
    </row>
    <row r="420" ht="99.75" spans="1:29">
      <c r="A420" s="2" t="s">
        <v>30</v>
      </c>
      <c r="B420" s="2" t="s">
        <v>534</v>
      </c>
      <c r="C420" s="3" t="s">
        <v>1835</v>
      </c>
      <c r="D420" s="3" t="s">
        <v>541</v>
      </c>
      <c r="E420" s="3" t="s">
        <v>1836</v>
      </c>
      <c r="F420" s="4">
        <v>200000</v>
      </c>
      <c r="G420" s="4">
        <v>2000000</v>
      </c>
      <c r="H420" s="4">
        <v>50000</v>
      </c>
      <c r="I420" s="4">
        <v>0</v>
      </c>
      <c r="J420" s="2" t="s">
        <v>1837</v>
      </c>
      <c r="K420" s="4">
        <v>5000000</v>
      </c>
      <c r="L420" s="4">
        <v>0</v>
      </c>
      <c r="M420" s="4">
        <v>2750000</v>
      </c>
      <c r="N420" s="4">
        <v>800000</v>
      </c>
      <c r="O420" s="4">
        <v>3000000</v>
      </c>
      <c r="P420" s="12">
        <v>0.4</v>
      </c>
      <c r="Q420" s="5">
        <v>0.916667</v>
      </c>
      <c r="R420" s="2" t="s">
        <v>1838</v>
      </c>
      <c r="S420" s="7">
        <f t="shared" si="48"/>
        <v>2750000</v>
      </c>
      <c r="T420" s="7">
        <f t="shared" si="49"/>
        <v>3000000</v>
      </c>
      <c r="U420" s="8">
        <f t="shared" si="50"/>
        <v>0.916666666666667</v>
      </c>
      <c r="V420" s="9" t="e">
        <f>IF(T420&lt;=0,"Output &lt;= 0",IF(U420&gt;#REF!,"Terlalu tinggi",IF(U420&lt;#REF!,"Terlalu rendah","Sesuai")))</f>
        <v>#REF!</v>
      </c>
      <c r="W420" s="7" t="e">
        <f>IF(T420&lt;=0,S420,IF(U420&gt;#REF!,ROUNDDOWN(T420*#REF!,0),IF(U420&lt;#REF!,ROUNDUP(T420*#REF!,0),S420)))</f>
        <v>#REF!</v>
      </c>
      <c r="X420" s="7" t="e">
        <f t="shared" si="51"/>
        <v>#REF!</v>
      </c>
      <c r="Y420" s="7" t="e">
        <f t="shared" si="52"/>
        <v>#REF!</v>
      </c>
      <c r="Z420" s="7" t="e">
        <f t="shared" si="53"/>
        <v>#REF!</v>
      </c>
      <c r="AA420" s="7" t="e">
        <f t="shared" si="54"/>
        <v>#REF!</v>
      </c>
      <c r="AB420" s="8" t="e">
        <f t="shared" si="55"/>
        <v>#REF!</v>
      </c>
      <c r="AC420" s="9" t="e">
        <f>IF(T420&lt;=0,"Output &lt;= 0, cek manual",IF(OR(Z420&lt;0,Y420&lt;0),"Biaya negatif",IF(AND(AB420&gt;=#REF!,AB420&lt;=#REF!),"OK","Di luar rentang")))</f>
        <v>#REF!</v>
      </c>
    </row>
    <row r="421" ht="99.75" spans="1:29">
      <c r="A421" s="2" t="s">
        <v>30</v>
      </c>
      <c r="B421" s="2" t="s">
        <v>534</v>
      </c>
      <c r="C421" s="3" t="s">
        <v>1839</v>
      </c>
      <c r="D421" s="3" t="s">
        <v>381</v>
      </c>
      <c r="E421" s="3" t="s">
        <v>1696</v>
      </c>
      <c r="F421" s="4">
        <v>0</v>
      </c>
      <c r="G421" s="4">
        <v>24480000</v>
      </c>
      <c r="H421" s="4">
        <v>0</v>
      </c>
      <c r="I421" s="4">
        <v>200000</v>
      </c>
      <c r="J421" s="2" t="s">
        <v>1697</v>
      </c>
      <c r="K421" s="4">
        <v>27000000</v>
      </c>
      <c r="L421" s="4">
        <v>0</v>
      </c>
      <c r="M421" s="4">
        <v>2520000</v>
      </c>
      <c r="N421" s="4">
        <v>1000000</v>
      </c>
      <c r="O421" s="4">
        <v>2520000</v>
      </c>
      <c r="P421" s="5">
        <v>0.906667</v>
      </c>
      <c r="Q421" s="4">
        <v>1</v>
      </c>
      <c r="R421" s="2" t="s">
        <v>1698</v>
      </c>
      <c r="S421" s="7">
        <f t="shared" si="48"/>
        <v>2520000</v>
      </c>
      <c r="T421" s="7">
        <f t="shared" si="49"/>
        <v>2520000</v>
      </c>
      <c r="U421" s="8">
        <f t="shared" si="50"/>
        <v>1</v>
      </c>
      <c r="V421" s="9" t="e">
        <f>IF(T421&lt;=0,"Output &lt;= 0",IF(U421&gt;#REF!,"Terlalu tinggi",IF(U421&lt;#REF!,"Terlalu rendah","Sesuai")))</f>
        <v>#REF!</v>
      </c>
      <c r="W421" s="7" t="e">
        <f>IF(T421&lt;=0,S421,IF(U421&gt;#REF!,ROUNDDOWN(T421*#REF!,0),IF(U421&lt;#REF!,ROUNDUP(T421*#REF!,0),S421)))</f>
        <v>#REF!</v>
      </c>
      <c r="X421" s="7" t="e">
        <f t="shared" si="51"/>
        <v>#REF!</v>
      </c>
      <c r="Y421" s="7" t="e">
        <f t="shared" si="52"/>
        <v>#REF!</v>
      </c>
      <c r="Z421" s="7" t="e">
        <f t="shared" si="53"/>
        <v>#REF!</v>
      </c>
      <c r="AA421" s="7" t="e">
        <f t="shared" si="54"/>
        <v>#REF!</v>
      </c>
      <c r="AB421" s="8" t="e">
        <f t="shared" si="55"/>
        <v>#REF!</v>
      </c>
      <c r="AC421" s="9" t="e">
        <f>IF(T421&lt;=0,"Output &lt;= 0, cek manual",IF(OR(Z421&lt;0,Y421&lt;0),"Biaya negatif",IF(AND(AB421&gt;=#REF!,AB421&lt;=#REF!),"OK","Di luar rentang")))</f>
        <v>#REF!</v>
      </c>
    </row>
    <row r="422" ht="99.75" spans="1:29">
      <c r="A422" s="2" t="s">
        <v>30</v>
      </c>
      <c r="B422" s="2" t="s">
        <v>534</v>
      </c>
      <c r="C422" s="3" t="s">
        <v>1840</v>
      </c>
      <c r="D422" s="3" t="s">
        <v>381</v>
      </c>
      <c r="E422" s="3" t="s">
        <v>1841</v>
      </c>
      <c r="F422" s="4">
        <v>0</v>
      </c>
      <c r="G422" s="4">
        <v>66240000</v>
      </c>
      <c r="H422" s="4">
        <v>0</v>
      </c>
      <c r="I422" s="4">
        <v>0</v>
      </c>
      <c r="J422" s="2" t="s">
        <v>557</v>
      </c>
      <c r="K422" s="4">
        <v>72000000</v>
      </c>
      <c r="L422" s="4">
        <v>0</v>
      </c>
      <c r="M422" s="4">
        <v>5760000</v>
      </c>
      <c r="N422" s="4">
        <v>2000000</v>
      </c>
      <c r="O422" s="4">
        <v>5760000</v>
      </c>
      <c r="P422" s="11">
        <v>0.92</v>
      </c>
      <c r="Q422" s="4">
        <v>1</v>
      </c>
      <c r="R422" s="2" t="s">
        <v>1842</v>
      </c>
      <c r="S422" s="7">
        <f t="shared" si="48"/>
        <v>5760000</v>
      </c>
      <c r="T422" s="7">
        <f t="shared" si="49"/>
        <v>5760000</v>
      </c>
      <c r="U422" s="8">
        <f t="shared" si="50"/>
        <v>1</v>
      </c>
      <c r="V422" s="9" t="e">
        <f>IF(T422&lt;=0,"Output &lt;= 0",IF(U422&gt;#REF!,"Terlalu tinggi",IF(U422&lt;#REF!,"Terlalu rendah","Sesuai")))</f>
        <v>#REF!</v>
      </c>
      <c r="W422" s="7" t="e">
        <f>IF(T422&lt;=0,S422,IF(U422&gt;#REF!,ROUNDDOWN(T422*#REF!,0),IF(U422&lt;#REF!,ROUNDUP(T422*#REF!,0),S422)))</f>
        <v>#REF!</v>
      </c>
      <c r="X422" s="7" t="e">
        <f t="shared" si="51"/>
        <v>#REF!</v>
      </c>
      <c r="Y422" s="7" t="e">
        <f t="shared" si="52"/>
        <v>#REF!</v>
      </c>
      <c r="Z422" s="7" t="e">
        <f t="shared" si="53"/>
        <v>#REF!</v>
      </c>
      <c r="AA422" s="7" t="e">
        <f t="shared" si="54"/>
        <v>#REF!</v>
      </c>
      <c r="AB422" s="8" t="e">
        <f t="shared" si="55"/>
        <v>#REF!</v>
      </c>
      <c r="AC422" s="9" t="e">
        <f>IF(T422&lt;=0,"Output &lt;= 0, cek manual",IF(OR(Z422&lt;0,Y422&lt;0),"Biaya negatif",IF(AND(AB422&gt;=#REF!,AB422&lt;=#REF!),"OK","Di luar rentang")))</f>
        <v>#REF!</v>
      </c>
    </row>
    <row r="423" ht="85.5" spans="1:29">
      <c r="A423" s="2" t="s">
        <v>30</v>
      </c>
      <c r="B423" s="2" t="s">
        <v>534</v>
      </c>
      <c r="C423" s="3" t="s">
        <v>1843</v>
      </c>
      <c r="D423" s="3" t="s">
        <v>541</v>
      </c>
      <c r="E423" s="3" t="s">
        <v>1830</v>
      </c>
      <c r="F423" s="4">
        <v>0</v>
      </c>
      <c r="G423" s="4">
        <v>55200000</v>
      </c>
      <c r="H423" s="4">
        <v>0</v>
      </c>
      <c r="I423" s="4">
        <v>0</v>
      </c>
      <c r="J423" s="2" t="s">
        <v>1832</v>
      </c>
      <c r="K423" s="4">
        <v>60000000</v>
      </c>
      <c r="L423" s="4">
        <v>0</v>
      </c>
      <c r="M423" s="4">
        <v>4800000</v>
      </c>
      <c r="N423" s="4">
        <v>15000000</v>
      </c>
      <c r="O423" s="4">
        <v>4800000</v>
      </c>
      <c r="P423" s="11">
        <v>0.92</v>
      </c>
      <c r="Q423" s="4">
        <v>1</v>
      </c>
      <c r="R423" s="2" t="s">
        <v>1844</v>
      </c>
      <c r="S423" s="7">
        <f t="shared" si="48"/>
        <v>4800000</v>
      </c>
      <c r="T423" s="7">
        <f t="shared" si="49"/>
        <v>4800000</v>
      </c>
      <c r="U423" s="8">
        <f t="shared" si="50"/>
        <v>1</v>
      </c>
      <c r="V423" s="9" t="e">
        <f>IF(T423&lt;=0,"Output &lt;= 0",IF(U423&gt;#REF!,"Terlalu tinggi",IF(U423&lt;#REF!,"Terlalu rendah","Sesuai")))</f>
        <v>#REF!</v>
      </c>
      <c r="W423" s="7" t="e">
        <f>IF(T423&lt;=0,S423,IF(U423&gt;#REF!,ROUNDDOWN(T423*#REF!,0),IF(U423&lt;#REF!,ROUNDUP(T423*#REF!,0),S423)))</f>
        <v>#REF!</v>
      </c>
      <c r="X423" s="7" t="e">
        <f t="shared" si="51"/>
        <v>#REF!</v>
      </c>
      <c r="Y423" s="7" t="e">
        <f t="shared" si="52"/>
        <v>#REF!</v>
      </c>
      <c r="Z423" s="7" t="e">
        <f t="shared" si="53"/>
        <v>#REF!</v>
      </c>
      <c r="AA423" s="7" t="e">
        <f t="shared" si="54"/>
        <v>#REF!</v>
      </c>
      <c r="AB423" s="8" t="e">
        <f t="shared" si="55"/>
        <v>#REF!</v>
      </c>
      <c r="AC423" s="9" t="e">
        <f>IF(T423&lt;=0,"Output &lt;= 0, cek manual",IF(OR(Z423&lt;0,Y423&lt;0),"Biaya negatif",IF(AND(AB423&gt;=#REF!,AB423&lt;=#REF!),"OK","Di luar rentang")))</f>
        <v>#REF!</v>
      </c>
    </row>
    <row r="424" ht="128.25" spans="1:29">
      <c r="A424" s="2" t="s">
        <v>30</v>
      </c>
      <c r="B424" s="2" t="s">
        <v>534</v>
      </c>
      <c r="C424" s="3" t="s">
        <v>1845</v>
      </c>
      <c r="D424" s="3" t="s">
        <v>541</v>
      </c>
      <c r="E424" s="3" t="s">
        <v>1846</v>
      </c>
      <c r="F424" s="4">
        <v>0</v>
      </c>
      <c r="G424" s="4">
        <v>43200000</v>
      </c>
      <c r="H424" s="4">
        <v>500000</v>
      </c>
      <c r="I424" s="4">
        <v>0</v>
      </c>
      <c r="J424" s="2" t="s">
        <v>1847</v>
      </c>
      <c r="K424" s="4">
        <v>72000000</v>
      </c>
      <c r="L424" s="4">
        <v>0</v>
      </c>
      <c r="M424" s="4">
        <v>28300000</v>
      </c>
      <c r="N424" s="4">
        <v>6300000</v>
      </c>
      <c r="O424" s="4">
        <v>28800000</v>
      </c>
      <c r="P424" s="12">
        <v>0.6</v>
      </c>
      <c r="Q424" s="5">
        <v>0.982639</v>
      </c>
      <c r="R424" s="2" t="s">
        <v>1848</v>
      </c>
      <c r="S424" s="7">
        <f t="shared" si="48"/>
        <v>28300000</v>
      </c>
      <c r="T424" s="7">
        <f t="shared" si="49"/>
        <v>28800000</v>
      </c>
      <c r="U424" s="8">
        <f t="shared" si="50"/>
        <v>0.982638888888889</v>
      </c>
      <c r="V424" s="9" t="e">
        <f>IF(T424&lt;=0,"Output &lt;= 0",IF(U424&gt;#REF!,"Terlalu tinggi",IF(U424&lt;#REF!,"Terlalu rendah","Sesuai")))</f>
        <v>#REF!</v>
      </c>
      <c r="W424" s="7" t="e">
        <f>IF(T424&lt;=0,S424,IF(U424&gt;#REF!,ROUNDDOWN(T424*#REF!,0),IF(U424&lt;#REF!,ROUNDUP(T424*#REF!,0),S424)))</f>
        <v>#REF!</v>
      </c>
      <c r="X424" s="7" t="e">
        <f t="shared" si="51"/>
        <v>#REF!</v>
      </c>
      <c r="Y424" s="7" t="e">
        <f t="shared" si="52"/>
        <v>#REF!</v>
      </c>
      <c r="Z424" s="7" t="e">
        <f t="shared" si="53"/>
        <v>#REF!</v>
      </c>
      <c r="AA424" s="7" t="e">
        <f t="shared" si="54"/>
        <v>#REF!</v>
      </c>
      <c r="AB424" s="8" t="e">
        <f t="shared" si="55"/>
        <v>#REF!</v>
      </c>
      <c r="AC424" s="9" t="e">
        <f>IF(T424&lt;=0,"Output &lt;= 0, cek manual",IF(OR(Z424&lt;0,Y424&lt;0),"Biaya negatif",IF(AND(AB424&gt;=#REF!,AB424&lt;=#REF!),"OK","Di luar rentang")))</f>
        <v>#REF!</v>
      </c>
    </row>
    <row r="425" ht="71.25" spans="1:29">
      <c r="A425" s="2" t="s">
        <v>30</v>
      </c>
      <c r="B425" s="2" t="s">
        <v>534</v>
      </c>
      <c r="C425" s="3" t="s">
        <v>1849</v>
      </c>
      <c r="D425" s="3" t="s">
        <v>1850</v>
      </c>
      <c r="E425" s="3" t="s">
        <v>1851</v>
      </c>
      <c r="F425" s="4">
        <v>500000</v>
      </c>
      <c r="G425" s="4">
        <v>2080000</v>
      </c>
      <c r="H425" s="4">
        <v>0</v>
      </c>
      <c r="I425" s="4">
        <v>0</v>
      </c>
      <c r="J425" s="2" t="s">
        <v>59</v>
      </c>
      <c r="K425" s="4">
        <v>2200000</v>
      </c>
      <c r="L425" s="4">
        <v>0</v>
      </c>
      <c r="M425" s="4">
        <v>-380000</v>
      </c>
      <c r="N425" s="4">
        <v>3000000</v>
      </c>
      <c r="O425" s="4">
        <v>120000</v>
      </c>
      <c r="P425" s="5">
        <v>0.945455</v>
      </c>
      <c r="Q425" s="5">
        <v>-3.166667</v>
      </c>
      <c r="R425" s="2" t="s">
        <v>1852</v>
      </c>
      <c r="S425" s="7">
        <f t="shared" si="48"/>
        <v>-380000</v>
      </c>
      <c r="T425" s="7">
        <f t="shared" si="49"/>
        <v>120000</v>
      </c>
      <c r="U425" s="8">
        <f t="shared" si="50"/>
        <v>-3.16666666666667</v>
      </c>
      <c r="V425" s="9" t="e">
        <f>IF(T425&lt;=0,"Output &lt;= 0",IF(U425&gt;#REF!,"Terlalu tinggi",IF(U425&lt;#REF!,"Terlalu rendah","Sesuai")))</f>
        <v>#REF!</v>
      </c>
      <c r="W425" s="7" t="e">
        <f>IF(T425&lt;=0,S425,IF(U425&gt;#REF!,ROUNDDOWN(T425*#REF!,0),IF(U425&lt;#REF!,ROUNDUP(T425*#REF!,0),S425)))</f>
        <v>#REF!</v>
      </c>
      <c r="X425" s="7" t="e">
        <f t="shared" si="51"/>
        <v>#REF!</v>
      </c>
      <c r="Y425" s="7" t="e">
        <f t="shared" si="52"/>
        <v>#REF!</v>
      </c>
      <c r="Z425" s="7" t="e">
        <f t="shared" si="53"/>
        <v>#REF!</v>
      </c>
      <c r="AA425" s="7" t="e">
        <f t="shared" si="54"/>
        <v>#REF!</v>
      </c>
      <c r="AB425" s="8" t="e">
        <f t="shared" si="55"/>
        <v>#REF!</v>
      </c>
      <c r="AC425" s="9" t="e">
        <f>IF(T425&lt;=0,"Output &lt;= 0, cek manual",IF(OR(Z425&lt;0,Y425&lt;0),"Biaya negatif",IF(AND(AB425&gt;=#REF!,AB425&lt;=#REF!),"OK","Di luar rentang")))</f>
        <v>#REF!</v>
      </c>
    </row>
    <row r="426" ht="57" spans="1:29">
      <c r="A426" s="2" t="s">
        <v>30</v>
      </c>
      <c r="B426" s="2" t="s">
        <v>599</v>
      </c>
      <c r="C426" s="3" t="s">
        <v>1853</v>
      </c>
      <c r="D426" s="3" t="s">
        <v>1854</v>
      </c>
      <c r="E426" s="3" t="s">
        <v>1855</v>
      </c>
      <c r="F426" s="4">
        <v>4000000</v>
      </c>
      <c r="G426" s="4">
        <v>0</v>
      </c>
      <c r="H426" s="4">
        <v>660000</v>
      </c>
      <c r="I426" s="4">
        <v>0</v>
      </c>
      <c r="J426" s="2" t="s">
        <v>1148</v>
      </c>
      <c r="K426" s="4">
        <v>6000000</v>
      </c>
      <c r="L426" s="4">
        <v>0</v>
      </c>
      <c r="M426" s="4">
        <v>1340000</v>
      </c>
      <c r="N426" s="4">
        <v>2500000</v>
      </c>
      <c r="O426" s="4">
        <v>6000000</v>
      </c>
      <c r="P426" s="4">
        <v>0</v>
      </c>
      <c r="Q426" s="5">
        <v>0.223333</v>
      </c>
      <c r="R426" s="2" t="s">
        <v>1856</v>
      </c>
      <c r="S426" s="7">
        <f t="shared" si="48"/>
        <v>1340000</v>
      </c>
      <c r="T426" s="7">
        <f t="shared" si="49"/>
        <v>6000000</v>
      </c>
      <c r="U426" s="8">
        <f t="shared" si="50"/>
        <v>0.223333333333333</v>
      </c>
      <c r="V426" s="9" t="e">
        <f>IF(T426&lt;=0,"Output &lt;= 0",IF(U426&gt;#REF!,"Terlalu tinggi",IF(U426&lt;#REF!,"Terlalu rendah","Sesuai")))</f>
        <v>#REF!</v>
      </c>
      <c r="W426" s="7" t="e">
        <f>IF(T426&lt;=0,S426,IF(U426&gt;#REF!,ROUNDDOWN(T426*#REF!,0),IF(U426&lt;#REF!,ROUNDUP(T426*#REF!,0),S426)))</f>
        <v>#REF!</v>
      </c>
      <c r="X426" s="7" t="e">
        <f t="shared" si="51"/>
        <v>#REF!</v>
      </c>
      <c r="Y426" s="7" t="e">
        <f t="shared" si="52"/>
        <v>#REF!</v>
      </c>
      <c r="Z426" s="7" t="e">
        <f t="shared" si="53"/>
        <v>#REF!</v>
      </c>
      <c r="AA426" s="7" t="e">
        <f t="shared" si="54"/>
        <v>#REF!</v>
      </c>
      <c r="AB426" s="8" t="e">
        <f t="shared" si="55"/>
        <v>#REF!</v>
      </c>
      <c r="AC426" s="9" t="e">
        <f>IF(T426&lt;=0,"Output &lt;= 0, cek manual",IF(OR(Z426&lt;0,Y426&lt;0),"Biaya negatif",IF(AND(AB426&gt;=#REF!,AB426&lt;=#REF!),"OK","Di luar rentang")))</f>
        <v>#REF!</v>
      </c>
    </row>
    <row r="427" ht="57" spans="1:29">
      <c r="A427" s="2" t="s">
        <v>30</v>
      </c>
      <c r="B427" s="2" t="s">
        <v>1857</v>
      </c>
      <c r="C427" s="3" t="s">
        <v>1858</v>
      </c>
      <c r="D427" s="3" t="s">
        <v>1162</v>
      </c>
      <c r="E427" s="3" t="s">
        <v>1859</v>
      </c>
      <c r="F427" s="4">
        <v>7000000</v>
      </c>
      <c r="G427" s="4">
        <v>0</v>
      </c>
      <c r="H427" s="4">
        <v>1000000</v>
      </c>
      <c r="I427" s="4">
        <v>0</v>
      </c>
      <c r="J427" s="2" t="s">
        <v>276</v>
      </c>
      <c r="K427" s="4">
        <v>12000000</v>
      </c>
      <c r="L427" s="4">
        <v>0</v>
      </c>
      <c r="M427" s="4">
        <v>4000000</v>
      </c>
      <c r="N427" s="4">
        <v>0</v>
      </c>
      <c r="O427" s="4">
        <v>12000000</v>
      </c>
      <c r="P427" s="4">
        <v>0</v>
      </c>
      <c r="Q427" s="5">
        <v>0.333333</v>
      </c>
      <c r="R427" s="2" t="s">
        <v>1860</v>
      </c>
      <c r="S427" s="7">
        <f t="shared" si="48"/>
        <v>4000000</v>
      </c>
      <c r="T427" s="7">
        <f t="shared" si="49"/>
        <v>12000000</v>
      </c>
      <c r="U427" s="8">
        <f t="shared" si="50"/>
        <v>0.333333333333333</v>
      </c>
      <c r="V427" s="9" t="e">
        <f>IF(T427&lt;=0,"Output &lt;= 0",IF(U427&gt;#REF!,"Terlalu tinggi",IF(U427&lt;#REF!,"Terlalu rendah","Sesuai")))</f>
        <v>#REF!</v>
      </c>
      <c r="W427" s="7" t="e">
        <f>IF(T427&lt;=0,S427,IF(U427&gt;#REF!,ROUNDDOWN(T427*#REF!,0),IF(U427&lt;#REF!,ROUNDUP(T427*#REF!,0),S427)))</f>
        <v>#REF!</v>
      </c>
      <c r="X427" s="7" t="e">
        <f t="shared" si="51"/>
        <v>#REF!</v>
      </c>
      <c r="Y427" s="7" t="e">
        <f t="shared" si="52"/>
        <v>#REF!</v>
      </c>
      <c r="Z427" s="7" t="e">
        <f t="shared" si="53"/>
        <v>#REF!</v>
      </c>
      <c r="AA427" s="7" t="e">
        <f t="shared" si="54"/>
        <v>#REF!</v>
      </c>
      <c r="AB427" s="8" t="e">
        <f t="shared" si="55"/>
        <v>#REF!</v>
      </c>
      <c r="AC427" s="9" t="e">
        <f>IF(T427&lt;=0,"Output &lt;= 0, cek manual",IF(OR(Z427&lt;0,Y427&lt;0),"Biaya negatif",IF(AND(AB427&gt;=#REF!,AB427&lt;=#REF!),"OK","Di luar rentang")))</f>
        <v>#REF!</v>
      </c>
    </row>
    <row r="428" ht="85.5" spans="1:29">
      <c r="A428" s="2" t="s">
        <v>30</v>
      </c>
      <c r="B428" s="2" t="s">
        <v>31</v>
      </c>
      <c r="C428" s="3" t="s">
        <v>1861</v>
      </c>
      <c r="D428" s="3" t="s">
        <v>842</v>
      </c>
      <c r="E428" s="3" t="s">
        <v>842</v>
      </c>
      <c r="F428" s="4">
        <v>0</v>
      </c>
      <c r="G428" s="4">
        <v>12500000</v>
      </c>
      <c r="H428" s="4">
        <v>200000</v>
      </c>
      <c r="I428" s="4">
        <v>0</v>
      </c>
      <c r="J428" s="2" t="s">
        <v>1862</v>
      </c>
      <c r="K428" s="4">
        <v>15400000</v>
      </c>
      <c r="L428" s="4">
        <v>0</v>
      </c>
      <c r="M428" s="4">
        <v>2700000</v>
      </c>
      <c r="N428" s="4">
        <v>24000000</v>
      </c>
      <c r="O428" s="4">
        <v>2900000</v>
      </c>
      <c r="P428" s="5">
        <v>0.811688</v>
      </c>
      <c r="Q428" s="5">
        <v>0.931034</v>
      </c>
      <c r="R428" s="2" t="s">
        <v>1863</v>
      </c>
      <c r="S428" s="7">
        <f t="shared" si="48"/>
        <v>2700000</v>
      </c>
      <c r="T428" s="7">
        <f t="shared" si="49"/>
        <v>2900000</v>
      </c>
      <c r="U428" s="8">
        <f t="shared" si="50"/>
        <v>0.931034482758621</v>
      </c>
      <c r="V428" s="9" t="e">
        <f>IF(T428&lt;=0,"Output &lt;= 0",IF(U428&gt;#REF!,"Terlalu tinggi",IF(U428&lt;#REF!,"Terlalu rendah","Sesuai")))</f>
        <v>#REF!</v>
      </c>
      <c r="W428" s="7" t="e">
        <f>IF(T428&lt;=0,S428,IF(U428&gt;#REF!,ROUNDDOWN(T428*#REF!,0),IF(U428&lt;#REF!,ROUNDUP(T428*#REF!,0),S428)))</f>
        <v>#REF!</v>
      </c>
      <c r="X428" s="7" t="e">
        <f t="shared" si="51"/>
        <v>#REF!</v>
      </c>
      <c r="Y428" s="7" t="e">
        <f t="shared" si="52"/>
        <v>#REF!</v>
      </c>
      <c r="Z428" s="7" t="e">
        <f t="shared" si="53"/>
        <v>#REF!</v>
      </c>
      <c r="AA428" s="7" t="e">
        <f t="shared" si="54"/>
        <v>#REF!</v>
      </c>
      <c r="AB428" s="8" t="e">
        <f t="shared" si="55"/>
        <v>#REF!</v>
      </c>
      <c r="AC428" s="9" t="e">
        <f>IF(T428&lt;=0,"Output &lt;= 0, cek manual",IF(OR(Z428&lt;0,Y428&lt;0),"Biaya negatif",IF(AND(AB428&gt;=#REF!,AB428&lt;=#REF!),"OK","Di luar rentang")))</f>
        <v>#REF!</v>
      </c>
    </row>
    <row r="429" ht="85.5" spans="1:29">
      <c r="A429" s="2" t="s">
        <v>30</v>
      </c>
      <c r="B429" s="2" t="s">
        <v>1864</v>
      </c>
      <c r="C429" s="3" t="s">
        <v>1865</v>
      </c>
      <c r="D429" s="3" t="s">
        <v>57</v>
      </c>
      <c r="E429" s="3" t="s">
        <v>1866</v>
      </c>
      <c r="F429" s="4">
        <v>500000</v>
      </c>
      <c r="G429" s="4">
        <v>150000000</v>
      </c>
      <c r="H429" s="4">
        <v>1000000</v>
      </c>
      <c r="I429" s="4">
        <v>0</v>
      </c>
      <c r="J429" s="2" t="s">
        <v>261</v>
      </c>
      <c r="K429" s="4">
        <v>200000000</v>
      </c>
      <c r="L429" s="4">
        <v>0</v>
      </c>
      <c r="M429" s="4">
        <v>48500000</v>
      </c>
      <c r="N429" s="4">
        <v>600000</v>
      </c>
      <c r="O429" s="4">
        <v>50000000</v>
      </c>
      <c r="P429" s="11">
        <v>0.75</v>
      </c>
      <c r="Q429" s="11">
        <v>0.97</v>
      </c>
      <c r="R429" s="2" t="s">
        <v>1867</v>
      </c>
      <c r="S429" s="7">
        <f t="shared" si="48"/>
        <v>48500000</v>
      </c>
      <c r="T429" s="7">
        <f t="shared" si="49"/>
        <v>50000000</v>
      </c>
      <c r="U429" s="8">
        <f t="shared" si="50"/>
        <v>0.97</v>
      </c>
      <c r="V429" s="9" t="e">
        <f>IF(T429&lt;=0,"Output &lt;= 0",IF(U429&gt;#REF!,"Terlalu tinggi",IF(U429&lt;#REF!,"Terlalu rendah","Sesuai")))</f>
        <v>#REF!</v>
      </c>
      <c r="W429" s="7" t="e">
        <f>IF(T429&lt;=0,S429,IF(U429&gt;#REF!,ROUNDDOWN(T429*#REF!,0),IF(U429&lt;#REF!,ROUNDUP(T429*#REF!,0),S429)))</f>
        <v>#REF!</v>
      </c>
      <c r="X429" s="7" t="e">
        <f t="shared" si="51"/>
        <v>#REF!</v>
      </c>
      <c r="Y429" s="7" t="e">
        <f t="shared" si="52"/>
        <v>#REF!</v>
      </c>
      <c r="Z429" s="7" t="e">
        <f t="shared" si="53"/>
        <v>#REF!</v>
      </c>
      <c r="AA429" s="7" t="e">
        <f t="shared" si="54"/>
        <v>#REF!</v>
      </c>
      <c r="AB429" s="8" t="e">
        <f t="shared" si="55"/>
        <v>#REF!</v>
      </c>
      <c r="AC429" s="9" t="e">
        <f>IF(T429&lt;=0,"Output &lt;= 0, cek manual",IF(OR(Z429&lt;0,Y429&lt;0),"Biaya negatif",IF(AND(AB429&gt;=#REF!,AB429&lt;=#REF!),"OK","Di luar rentang")))</f>
        <v>#REF!</v>
      </c>
    </row>
    <row r="430" ht="71.25" spans="1:29">
      <c r="A430" s="2" t="s">
        <v>30</v>
      </c>
      <c r="B430" s="2" t="s">
        <v>1228</v>
      </c>
      <c r="C430" s="3" t="s">
        <v>1868</v>
      </c>
      <c r="D430" s="3" t="s">
        <v>1869</v>
      </c>
      <c r="E430" s="3" t="s">
        <v>1870</v>
      </c>
      <c r="F430" s="4">
        <v>200000</v>
      </c>
      <c r="G430" s="4">
        <v>500000</v>
      </c>
      <c r="H430" s="4">
        <v>100000</v>
      </c>
      <c r="I430" s="4">
        <v>0</v>
      </c>
      <c r="J430" s="2" t="s">
        <v>1871</v>
      </c>
      <c r="K430" s="4">
        <v>3000000</v>
      </c>
      <c r="L430" s="4">
        <v>0</v>
      </c>
      <c r="M430" s="4">
        <v>2200000</v>
      </c>
      <c r="N430" s="4">
        <v>0</v>
      </c>
      <c r="O430" s="4">
        <v>2500000</v>
      </c>
      <c r="P430" s="5">
        <v>0.166667</v>
      </c>
      <c r="Q430" s="11">
        <v>0.88</v>
      </c>
      <c r="R430" s="2" t="s">
        <v>1872</v>
      </c>
      <c r="S430" s="7">
        <f t="shared" si="48"/>
        <v>2200000</v>
      </c>
      <c r="T430" s="7">
        <f t="shared" si="49"/>
        <v>2500000</v>
      </c>
      <c r="U430" s="8">
        <f t="shared" si="50"/>
        <v>0.88</v>
      </c>
      <c r="V430" s="9" t="e">
        <f>IF(T430&lt;=0,"Output &lt;= 0",IF(U430&gt;#REF!,"Terlalu tinggi",IF(U430&lt;#REF!,"Terlalu rendah","Sesuai")))</f>
        <v>#REF!</v>
      </c>
      <c r="W430" s="7" t="e">
        <f>IF(T430&lt;=0,S430,IF(U430&gt;#REF!,ROUNDDOWN(T430*#REF!,0),IF(U430&lt;#REF!,ROUNDUP(T430*#REF!,0),S430)))</f>
        <v>#REF!</v>
      </c>
      <c r="X430" s="7" t="e">
        <f t="shared" si="51"/>
        <v>#REF!</v>
      </c>
      <c r="Y430" s="7" t="e">
        <f t="shared" si="52"/>
        <v>#REF!</v>
      </c>
      <c r="Z430" s="7" t="e">
        <f t="shared" si="53"/>
        <v>#REF!</v>
      </c>
      <c r="AA430" s="7" t="e">
        <f t="shared" si="54"/>
        <v>#REF!</v>
      </c>
      <c r="AB430" s="8" t="e">
        <f t="shared" si="55"/>
        <v>#REF!</v>
      </c>
      <c r="AC430" s="9" t="e">
        <f>IF(T430&lt;=0,"Output &lt;= 0, cek manual",IF(OR(Z430&lt;0,Y430&lt;0),"Biaya negatif",IF(AND(AB430&gt;=#REF!,AB430&lt;=#REF!),"OK","Di luar rentang")))</f>
        <v>#REF!</v>
      </c>
    </row>
    <row r="431" ht="142.5" spans="1:29">
      <c r="A431" s="2" t="s">
        <v>30</v>
      </c>
      <c r="B431" s="2" t="s">
        <v>621</v>
      </c>
      <c r="C431" s="3" t="s">
        <v>1873</v>
      </c>
      <c r="D431" s="3" t="s">
        <v>546</v>
      </c>
      <c r="E431" s="3" t="s">
        <v>1874</v>
      </c>
      <c r="F431" s="4">
        <v>0</v>
      </c>
      <c r="G431" s="4">
        <v>960000000</v>
      </c>
      <c r="H431" s="4">
        <v>33600000</v>
      </c>
      <c r="I431" s="4">
        <v>0</v>
      </c>
      <c r="J431" s="2" t="s">
        <v>1875</v>
      </c>
      <c r="K431" s="4">
        <v>1050000000</v>
      </c>
      <c r="L431" s="4">
        <v>0</v>
      </c>
      <c r="M431" s="4">
        <v>56400000</v>
      </c>
      <c r="N431" s="4">
        <v>60000000</v>
      </c>
      <c r="O431" s="4">
        <v>90000000</v>
      </c>
      <c r="P431" s="5">
        <v>0.914286</v>
      </c>
      <c r="Q431" s="5">
        <v>0.626667</v>
      </c>
      <c r="R431" s="2" t="s">
        <v>1876</v>
      </c>
      <c r="S431" s="7">
        <f t="shared" si="48"/>
        <v>56400000</v>
      </c>
      <c r="T431" s="7">
        <f t="shared" si="49"/>
        <v>90000000</v>
      </c>
      <c r="U431" s="8">
        <f t="shared" si="50"/>
        <v>0.626666666666667</v>
      </c>
      <c r="V431" s="9" t="e">
        <f>IF(T431&lt;=0,"Output &lt;= 0",IF(U431&gt;#REF!,"Terlalu tinggi",IF(U431&lt;#REF!,"Terlalu rendah","Sesuai")))</f>
        <v>#REF!</v>
      </c>
      <c r="W431" s="7" t="e">
        <f>IF(T431&lt;=0,S431,IF(U431&gt;#REF!,ROUNDDOWN(T431*#REF!,0),IF(U431&lt;#REF!,ROUNDUP(T431*#REF!,0),S431)))</f>
        <v>#REF!</v>
      </c>
      <c r="X431" s="7" t="e">
        <f t="shared" si="51"/>
        <v>#REF!</v>
      </c>
      <c r="Y431" s="7" t="e">
        <f t="shared" si="52"/>
        <v>#REF!</v>
      </c>
      <c r="Z431" s="7" t="e">
        <f t="shared" si="53"/>
        <v>#REF!</v>
      </c>
      <c r="AA431" s="7" t="e">
        <f t="shared" si="54"/>
        <v>#REF!</v>
      </c>
      <c r="AB431" s="8" t="e">
        <f t="shared" si="55"/>
        <v>#REF!</v>
      </c>
      <c r="AC431" s="9" t="e">
        <f>IF(T431&lt;=0,"Output &lt;= 0, cek manual",IF(OR(Z431&lt;0,Y431&lt;0),"Biaya negatif",IF(AND(AB431&gt;=#REF!,AB431&lt;=#REF!),"OK","Di luar rentang")))</f>
        <v>#REF!</v>
      </c>
    </row>
    <row r="432" ht="85.5" spans="1:29">
      <c r="A432" s="2" t="s">
        <v>30</v>
      </c>
      <c r="B432" s="2" t="s">
        <v>621</v>
      </c>
      <c r="C432" s="3" t="s">
        <v>1877</v>
      </c>
      <c r="D432" s="3" t="s">
        <v>1878</v>
      </c>
      <c r="E432" s="3" t="s">
        <v>1879</v>
      </c>
      <c r="F432" s="4">
        <v>0</v>
      </c>
      <c r="G432" s="4">
        <v>4000000</v>
      </c>
      <c r="H432" s="4">
        <v>350000</v>
      </c>
      <c r="I432" s="4">
        <v>0</v>
      </c>
      <c r="J432" s="2" t="s">
        <v>1880</v>
      </c>
      <c r="K432" s="4">
        <v>9000000</v>
      </c>
      <c r="L432" s="4">
        <v>0</v>
      </c>
      <c r="M432" s="4">
        <v>4650000</v>
      </c>
      <c r="N432" s="4">
        <v>0</v>
      </c>
      <c r="O432" s="4">
        <v>5000000</v>
      </c>
      <c r="P432" s="5">
        <v>0.444444</v>
      </c>
      <c r="Q432" s="11">
        <v>0.93</v>
      </c>
      <c r="R432" s="2" t="s">
        <v>1881</v>
      </c>
      <c r="S432" s="7">
        <f t="shared" si="48"/>
        <v>4650000</v>
      </c>
      <c r="T432" s="7">
        <f t="shared" si="49"/>
        <v>5000000</v>
      </c>
      <c r="U432" s="8">
        <f t="shared" si="50"/>
        <v>0.93</v>
      </c>
      <c r="V432" s="9" t="e">
        <f>IF(T432&lt;=0,"Output &lt;= 0",IF(U432&gt;#REF!,"Terlalu tinggi",IF(U432&lt;#REF!,"Terlalu rendah","Sesuai")))</f>
        <v>#REF!</v>
      </c>
      <c r="W432" s="7" t="e">
        <f>IF(T432&lt;=0,S432,IF(U432&gt;#REF!,ROUNDDOWN(T432*#REF!,0),IF(U432&lt;#REF!,ROUNDUP(T432*#REF!,0),S432)))</f>
        <v>#REF!</v>
      </c>
      <c r="X432" s="7" t="e">
        <f t="shared" si="51"/>
        <v>#REF!</v>
      </c>
      <c r="Y432" s="7" t="e">
        <f t="shared" si="52"/>
        <v>#REF!</v>
      </c>
      <c r="Z432" s="7" t="e">
        <f t="shared" si="53"/>
        <v>#REF!</v>
      </c>
      <c r="AA432" s="7" t="e">
        <f t="shared" si="54"/>
        <v>#REF!</v>
      </c>
      <c r="AB432" s="8" t="e">
        <f t="shared" si="55"/>
        <v>#REF!</v>
      </c>
      <c r="AC432" s="9" t="e">
        <f>IF(T432&lt;=0,"Output &lt;= 0, cek manual",IF(OR(Z432&lt;0,Y432&lt;0),"Biaya negatif",IF(AND(AB432&gt;=#REF!,AB432&lt;=#REF!),"OK","Di luar rentang")))</f>
        <v>#REF!</v>
      </c>
    </row>
    <row r="433" ht="270.75" spans="1:29">
      <c r="A433" s="2" t="s">
        <v>30</v>
      </c>
      <c r="B433" s="2" t="s">
        <v>621</v>
      </c>
      <c r="C433" s="3" t="s">
        <v>1882</v>
      </c>
      <c r="D433" s="3" t="s">
        <v>1883</v>
      </c>
      <c r="E433" s="3" t="s">
        <v>1884</v>
      </c>
      <c r="F433" s="4">
        <v>12500000</v>
      </c>
      <c r="G433" s="4">
        <v>50000000</v>
      </c>
      <c r="H433" s="4">
        <v>3500000</v>
      </c>
      <c r="I433" s="4">
        <v>2000000</v>
      </c>
      <c r="J433" s="2" t="s">
        <v>1885</v>
      </c>
      <c r="K433" s="4">
        <v>73000000</v>
      </c>
      <c r="L433" s="4">
        <v>2500000</v>
      </c>
      <c r="M433" s="4">
        <v>7000000</v>
      </c>
      <c r="N433" s="4">
        <v>180000000</v>
      </c>
      <c r="O433" s="4">
        <v>23000000</v>
      </c>
      <c r="P433" s="5">
        <v>0.684932</v>
      </c>
      <c r="Q433" s="5">
        <v>0.304348</v>
      </c>
      <c r="R433" s="2" t="s">
        <v>1886</v>
      </c>
      <c r="S433" s="7">
        <f t="shared" si="48"/>
        <v>7000000</v>
      </c>
      <c r="T433" s="7">
        <f t="shared" si="49"/>
        <v>23000000</v>
      </c>
      <c r="U433" s="8">
        <f t="shared" si="50"/>
        <v>0.304347826086957</v>
      </c>
      <c r="V433" s="9" t="e">
        <f>IF(T433&lt;=0,"Output &lt;= 0",IF(U433&gt;#REF!,"Terlalu tinggi",IF(U433&lt;#REF!,"Terlalu rendah","Sesuai")))</f>
        <v>#REF!</v>
      </c>
      <c r="W433" s="7" t="e">
        <f>IF(T433&lt;=0,S433,IF(U433&gt;#REF!,ROUNDDOWN(T433*#REF!,0),IF(U433&lt;#REF!,ROUNDUP(T433*#REF!,0),S433)))</f>
        <v>#REF!</v>
      </c>
      <c r="X433" s="7" t="e">
        <f t="shared" si="51"/>
        <v>#REF!</v>
      </c>
      <c r="Y433" s="7" t="e">
        <f t="shared" si="52"/>
        <v>#REF!</v>
      </c>
      <c r="Z433" s="7" t="e">
        <f t="shared" si="53"/>
        <v>#REF!</v>
      </c>
      <c r="AA433" s="7" t="e">
        <f t="shared" si="54"/>
        <v>#REF!</v>
      </c>
      <c r="AB433" s="8" t="e">
        <f t="shared" si="55"/>
        <v>#REF!</v>
      </c>
      <c r="AC433" s="9" t="e">
        <f>IF(T433&lt;=0,"Output &lt;= 0, cek manual",IF(OR(Z433&lt;0,Y433&lt;0),"Biaya negatif",IF(AND(AB433&gt;=#REF!,AB433&lt;=#REF!),"OK","Di luar rentang")))</f>
        <v>#REF!</v>
      </c>
    </row>
    <row r="434" ht="114" spans="1:29">
      <c r="A434" s="2" t="s">
        <v>30</v>
      </c>
      <c r="B434" s="2" t="s">
        <v>664</v>
      </c>
      <c r="C434" s="3" t="s">
        <v>1887</v>
      </c>
      <c r="D434" s="3" t="s">
        <v>1888</v>
      </c>
      <c r="E434" s="3" t="s">
        <v>1889</v>
      </c>
      <c r="F434" s="4">
        <v>30000000</v>
      </c>
      <c r="G434" s="4">
        <v>67100000</v>
      </c>
      <c r="H434" s="4">
        <v>72200000</v>
      </c>
      <c r="I434" s="4">
        <v>4000000</v>
      </c>
      <c r="J434" s="2" t="s">
        <v>1890</v>
      </c>
      <c r="K434" s="4">
        <v>207000000</v>
      </c>
      <c r="L434" s="4">
        <v>0</v>
      </c>
      <c r="M434" s="4">
        <v>37700000</v>
      </c>
      <c r="N434" s="4">
        <v>130000000</v>
      </c>
      <c r="O434" s="4">
        <v>139900000</v>
      </c>
      <c r="P434" s="5">
        <v>0.324155</v>
      </c>
      <c r="Q434" s="5">
        <v>0.269478</v>
      </c>
      <c r="R434" s="2" t="s">
        <v>1891</v>
      </c>
      <c r="S434" s="7">
        <f t="shared" si="48"/>
        <v>37700000</v>
      </c>
      <c r="T434" s="7">
        <f t="shared" si="49"/>
        <v>139900000</v>
      </c>
      <c r="U434" s="8">
        <f t="shared" si="50"/>
        <v>0.269478198713367</v>
      </c>
      <c r="V434" s="9" t="e">
        <f>IF(T434&lt;=0,"Output &lt;= 0",IF(U434&gt;#REF!,"Terlalu tinggi",IF(U434&lt;#REF!,"Terlalu rendah","Sesuai")))</f>
        <v>#REF!</v>
      </c>
      <c r="W434" s="7" t="e">
        <f>IF(T434&lt;=0,S434,IF(U434&gt;#REF!,ROUNDDOWN(T434*#REF!,0),IF(U434&lt;#REF!,ROUNDUP(T434*#REF!,0),S434)))</f>
        <v>#REF!</v>
      </c>
      <c r="X434" s="7" t="e">
        <f t="shared" si="51"/>
        <v>#REF!</v>
      </c>
      <c r="Y434" s="7" t="e">
        <f t="shared" si="52"/>
        <v>#REF!</v>
      </c>
      <c r="Z434" s="7" t="e">
        <f t="shared" si="53"/>
        <v>#REF!</v>
      </c>
      <c r="AA434" s="7" t="e">
        <f t="shared" si="54"/>
        <v>#REF!</v>
      </c>
      <c r="AB434" s="8" t="e">
        <f t="shared" si="55"/>
        <v>#REF!</v>
      </c>
      <c r="AC434" s="9" t="e">
        <f>IF(T434&lt;=0,"Output &lt;= 0, cek manual",IF(OR(Z434&lt;0,Y434&lt;0),"Biaya negatif",IF(AND(AB434&gt;=#REF!,AB434&lt;=#REF!),"OK","Di luar rentang")))</f>
        <v>#REF!</v>
      </c>
    </row>
    <row r="435" ht="57" spans="1:29">
      <c r="A435" s="2" t="s">
        <v>30</v>
      </c>
      <c r="B435" s="2" t="s">
        <v>664</v>
      </c>
      <c r="C435" s="3" t="s">
        <v>1892</v>
      </c>
      <c r="D435" s="3" t="s">
        <v>1893</v>
      </c>
      <c r="E435" s="3" t="s">
        <v>1894</v>
      </c>
      <c r="F435" s="4">
        <v>300000</v>
      </c>
      <c r="G435" s="4">
        <v>1000000</v>
      </c>
      <c r="H435" s="4">
        <v>500000</v>
      </c>
      <c r="I435" s="4">
        <v>0</v>
      </c>
      <c r="J435" s="2" t="s">
        <v>423</v>
      </c>
      <c r="K435" s="4">
        <v>25000000</v>
      </c>
      <c r="L435" s="4">
        <v>0</v>
      </c>
      <c r="M435" s="4">
        <v>23200000</v>
      </c>
      <c r="N435" s="4">
        <v>1200000</v>
      </c>
      <c r="O435" s="4">
        <v>24000000</v>
      </c>
      <c r="P435" s="11">
        <v>0.04</v>
      </c>
      <c r="Q435" s="5">
        <v>0.966667</v>
      </c>
      <c r="R435" s="2" t="s">
        <v>1895</v>
      </c>
      <c r="S435" s="7">
        <f t="shared" si="48"/>
        <v>23200000</v>
      </c>
      <c r="T435" s="7">
        <f t="shared" si="49"/>
        <v>24000000</v>
      </c>
      <c r="U435" s="8">
        <f t="shared" si="50"/>
        <v>0.966666666666667</v>
      </c>
      <c r="V435" s="9" t="e">
        <f>IF(T435&lt;=0,"Output &lt;= 0",IF(U435&gt;#REF!,"Terlalu tinggi",IF(U435&lt;#REF!,"Terlalu rendah","Sesuai")))</f>
        <v>#REF!</v>
      </c>
      <c r="W435" s="7" t="e">
        <f>IF(T435&lt;=0,S435,IF(U435&gt;#REF!,ROUNDDOWN(T435*#REF!,0),IF(U435&lt;#REF!,ROUNDUP(T435*#REF!,0),S435)))</f>
        <v>#REF!</v>
      </c>
      <c r="X435" s="7" t="e">
        <f t="shared" si="51"/>
        <v>#REF!</v>
      </c>
      <c r="Y435" s="7" t="e">
        <f t="shared" si="52"/>
        <v>#REF!</v>
      </c>
      <c r="Z435" s="7" t="e">
        <f t="shared" si="53"/>
        <v>#REF!</v>
      </c>
      <c r="AA435" s="7" t="e">
        <f t="shared" si="54"/>
        <v>#REF!</v>
      </c>
      <c r="AB435" s="8" t="e">
        <f t="shared" si="55"/>
        <v>#REF!</v>
      </c>
      <c r="AC435" s="9" t="e">
        <f>IF(T435&lt;=0,"Output &lt;= 0, cek manual",IF(OR(Z435&lt;0,Y435&lt;0),"Biaya negatif",IF(AND(AB435&gt;=#REF!,AB435&lt;=#REF!),"OK","Di luar rentang")))</f>
        <v>#REF!</v>
      </c>
    </row>
    <row r="436" ht="57" spans="1:29">
      <c r="A436" s="2" t="s">
        <v>30</v>
      </c>
      <c r="B436" s="2" t="s">
        <v>670</v>
      </c>
      <c r="C436" s="3" t="s">
        <v>1896</v>
      </c>
      <c r="D436" s="3" t="s">
        <v>1897</v>
      </c>
      <c r="E436" s="3" t="s">
        <v>1896</v>
      </c>
      <c r="F436" s="4">
        <v>0</v>
      </c>
      <c r="G436" s="4">
        <v>26400000</v>
      </c>
      <c r="H436" s="4">
        <v>0</v>
      </c>
      <c r="I436" s="4">
        <v>0</v>
      </c>
      <c r="J436" s="2" t="s">
        <v>1693</v>
      </c>
      <c r="K436" s="4">
        <v>27600000</v>
      </c>
      <c r="L436" s="4">
        <v>0</v>
      </c>
      <c r="M436" s="4">
        <v>1200000</v>
      </c>
      <c r="N436" s="4">
        <v>0</v>
      </c>
      <c r="O436" s="4">
        <v>1200000</v>
      </c>
      <c r="P436" s="5">
        <v>0.956522</v>
      </c>
      <c r="Q436" s="4">
        <v>1</v>
      </c>
      <c r="R436" s="2" t="s">
        <v>1898</v>
      </c>
      <c r="S436" s="7">
        <f t="shared" si="48"/>
        <v>1200000</v>
      </c>
      <c r="T436" s="7">
        <f t="shared" si="49"/>
        <v>1200000</v>
      </c>
      <c r="U436" s="8">
        <f t="shared" si="50"/>
        <v>1</v>
      </c>
      <c r="V436" s="9" t="e">
        <f>IF(T436&lt;=0,"Output &lt;= 0",IF(U436&gt;#REF!,"Terlalu tinggi",IF(U436&lt;#REF!,"Terlalu rendah","Sesuai")))</f>
        <v>#REF!</v>
      </c>
      <c r="W436" s="7" t="e">
        <f>IF(T436&lt;=0,S436,IF(U436&gt;#REF!,ROUNDDOWN(T436*#REF!,0),IF(U436&lt;#REF!,ROUNDUP(T436*#REF!,0),S436)))</f>
        <v>#REF!</v>
      </c>
      <c r="X436" s="7" t="e">
        <f t="shared" si="51"/>
        <v>#REF!</v>
      </c>
      <c r="Y436" s="7" t="e">
        <f t="shared" si="52"/>
        <v>#REF!</v>
      </c>
      <c r="Z436" s="7" t="e">
        <f t="shared" si="53"/>
        <v>#REF!</v>
      </c>
      <c r="AA436" s="7" t="e">
        <f t="shared" si="54"/>
        <v>#REF!</v>
      </c>
      <c r="AB436" s="8" t="e">
        <f t="shared" si="55"/>
        <v>#REF!</v>
      </c>
      <c r="AC436" s="9" t="e">
        <f>IF(T436&lt;=0,"Output &lt;= 0, cek manual",IF(OR(Z436&lt;0,Y436&lt;0),"Biaya negatif",IF(AND(AB436&gt;=#REF!,AB436&lt;=#REF!),"OK","Di luar rentang")))</f>
        <v>#REF!</v>
      </c>
    </row>
    <row r="437" ht="142.5" spans="1:29">
      <c r="A437" s="2" t="s">
        <v>30</v>
      </c>
      <c r="B437" s="2" t="s">
        <v>670</v>
      </c>
      <c r="C437" s="3" t="s">
        <v>1899</v>
      </c>
      <c r="D437" s="3" t="s">
        <v>1900</v>
      </c>
      <c r="E437" s="3" t="s">
        <v>1901</v>
      </c>
      <c r="F437" s="4">
        <v>0</v>
      </c>
      <c r="G437" s="4">
        <v>30000000</v>
      </c>
      <c r="H437" s="4">
        <v>1000000</v>
      </c>
      <c r="I437" s="4">
        <v>20000</v>
      </c>
      <c r="J437" s="2" t="s">
        <v>1902</v>
      </c>
      <c r="K437" s="4">
        <v>36000000</v>
      </c>
      <c r="L437" s="4">
        <v>0</v>
      </c>
      <c r="M437" s="4">
        <v>5000000</v>
      </c>
      <c r="N437" s="4">
        <v>35000000</v>
      </c>
      <c r="O437" s="4">
        <v>6000000</v>
      </c>
      <c r="P437" s="5">
        <v>0.833333</v>
      </c>
      <c r="Q437" s="5">
        <v>0.833333</v>
      </c>
      <c r="R437" s="2" t="s">
        <v>1903</v>
      </c>
      <c r="S437" s="7">
        <f t="shared" si="48"/>
        <v>5000000</v>
      </c>
      <c r="T437" s="7">
        <f t="shared" si="49"/>
        <v>6000000</v>
      </c>
      <c r="U437" s="8">
        <f t="shared" si="50"/>
        <v>0.833333333333333</v>
      </c>
      <c r="V437" s="9" t="e">
        <f>IF(T437&lt;=0,"Output &lt;= 0",IF(U437&gt;#REF!,"Terlalu tinggi",IF(U437&lt;#REF!,"Terlalu rendah","Sesuai")))</f>
        <v>#REF!</v>
      </c>
      <c r="W437" s="7" t="e">
        <f>IF(T437&lt;=0,S437,IF(U437&gt;#REF!,ROUNDDOWN(T437*#REF!,0),IF(U437&lt;#REF!,ROUNDUP(T437*#REF!,0),S437)))</f>
        <v>#REF!</v>
      </c>
      <c r="X437" s="7" t="e">
        <f t="shared" si="51"/>
        <v>#REF!</v>
      </c>
      <c r="Y437" s="7" t="e">
        <f t="shared" si="52"/>
        <v>#REF!</v>
      </c>
      <c r="Z437" s="7" t="e">
        <f t="shared" si="53"/>
        <v>#REF!</v>
      </c>
      <c r="AA437" s="7" t="e">
        <f t="shared" si="54"/>
        <v>#REF!</v>
      </c>
      <c r="AB437" s="8" t="e">
        <f t="shared" si="55"/>
        <v>#REF!</v>
      </c>
      <c r="AC437" s="9" t="e">
        <f>IF(T437&lt;=0,"Output &lt;= 0, cek manual",IF(OR(Z437&lt;0,Y437&lt;0),"Biaya negatif",IF(AND(AB437&gt;=#REF!,AB437&lt;=#REF!),"OK","Di luar rentang")))</f>
        <v>#REF!</v>
      </c>
    </row>
    <row r="438" ht="114" spans="1:29">
      <c r="A438" s="2" t="s">
        <v>30</v>
      </c>
      <c r="B438" s="2" t="s">
        <v>670</v>
      </c>
      <c r="C438" s="3" t="s">
        <v>1904</v>
      </c>
      <c r="D438" s="3" t="s">
        <v>1905</v>
      </c>
      <c r="E438" s="3" t="s">
        <v>1906</v>
      </c>
      <c r="F438" s="4">
        <v>0</v>
      </c>
      <c r="G438" s="4">
        <v>3600000</v>
      </c>
      <c r="H438" s="4">
        <v>100000</v>
      </c>
      <c r="I438" s="4">
        <v>0</v>
      </c>
      <c r="J438" s="2" t="s">
        <v>1907</v>
      </c>
      <c r="K438" s="4">
        <v>6000000</v>
      </c>
      <c r="L438" s="4">
        <v>0</v>
      </c>
      <c r="M438" s="4">
        <v>2300000</v>
      </c>
      <c r="N438" s="4">
        <v>15000000</v>
      </c>
      <c r="O438" s="4">
        <v>2400000</v>
      </c>
      <c r="P438" s="12">
        <v>0.6</v>
      </c>
      <c r="Q438" s="5">
        <v>0.958333</v>
      </c>
      <c r="R438" s="2" t="s">
        <v>1908</v>
      </c>
      <c r="S438" s="7">
        <f t="shared" si="48"/>
        <v>2300000</v>
      </c>
      <c r="T438" s="7">
        <f t="shared" si="49"/>
        <v>2400000</v>
      </c>
      <c r="U438" s="8">
        <f t="shared" si="50"/>
        <v>0.958333333333333</v>
      </c>
      <c r="V438" s="9" t="e">
        <f>IF(T438&lt;=0,"Output &lt;= 0",IF(U438&gt;#REF!,"Terlalu tinggi",IF(U438&lt;#REF!,"Terlalu rendah","Sesuai")))</f>
        <v>#REF!</v>
      </c>
      <c r="W438" s="7" t="e">
        <f>IF(T438&lt;=0,S438,IF(U438&gt;#REF!,ROUNDDOWN(T438*#REF!,0),IF(U438&lt;#REF!,ROUNDUP(T438*#REF!,0),S438)))</f>
        <v>#REF!</v>
      </c>
      <c r="X438" s="7" t="e">
        <f t="shared" si="51"/>
        <v>#REF!</v>
      </c>
      <c r="Y438" s="7" t="e">
        <f t="shared" si="52"/>
        <v>#REF!</v>
      </c>
      <c r="Z438" s="7" t="e">
        <f t="shared" si="53"/>
        <v>#REF!</v>
      </c>
      <c r="AA438" s="7" t="e">
        <f t="shared" si="54"/>
        <v>#REF!</v>
      </c>
      <c r="AB438" s="8" t="e">
        <f t="shared" si="55"/>
        <v>#REF!</v>
      </c>
      <c r="AC438" s="9" t="e">
        <f>IF(T438&lt;=0,"Output &lt;= 0, cek manual",IF(OR(Z438&lt;0,Y438&lt;0),"Biaya negatif",IF(AND(AB438&gt;=#REF!,AB438&lt;=#REF!),"OK","Di luar rentang")))</f>
        <v>#REF!</v>
      </c>
    </row>
    <row r="439" ht="85.5" spans="1:29">
      <c r="A439" s="2" t="s">
        <v>30</v>
      </c>
      <c r="B439" s="2" t="s">
        <v>670</v>
      </c>
      <c r="C439" s="3" t="s">
        <v>1909</v>
      </c>
      <c r="D439" s="3" t="s">
        <v>228</v>
      </c>
      <c r="E439" s="3" t="s">
        <v>987</v>
      </c>
      <c r="F439" s="4">
        <v>3600000</v>
      </c>
      <c r="G439" s="4">
        <v>1000000</v>
      </c>
      <c r="H439" s="4">
        <v>0</v>
      </c>
      <c r="I439" s="4">
        <v>0</v>
      </c>
      <c r="J439" s="2" t="s">
        <v>1910</v>
      </c>
      <c r="K439" s="4">
        <v>5000000</v>
      </c>
      <c r="L439" s="4">
        <v>0</v>
      </c>
      <c r="M439" s="4">
        <v>400000</v>
      </c>
      <c r="N439" s="4">
        <v>10</v>
      </c>
      <c r="O439" s="4">
        <v>4000000</v>
      </c>
      <c r="P439" s="12">
        <v>0.2</v>
      </c>
      <c r="Q439" s="12">
        <v>0.1</v>
      </c>
      <c r="R439" s="2" t="s">
        <v>1911</v>
      </c>
      <c r="S439" s="7">
        <f t="shared" si="48"/>
        <v>400000</v>
      </c>
      <c r="T439" s="7">
        <f t="shared" si="49"/>
        <v>4000000</v>
      </c>
      <c r="U439" s="8">
        <f t="shared" si="50"/>
        <v>0.1</v>
      </c>
      <c r="V439" s="9" t="e">
        <f>IF(T439&lt;=0,"Output &lt;= 0",IF(U439&gt;#REF!,"Terlalu tinggi",IF(U439&lt;#REF!,"Terlalu rendah","Sesuai")))</f>
        <v>#REF!</v>
      </c>
      <c r="W439" s="7" t="e">
        <f>IF(T439&lt;=0,S439,IF(U439&gt;#REF!,ROUNDDOWN(T439*#REF!,0),IF(U439&lt;#REF!,ROUNDUP(T439*#REF!,0),S439)))</f>
        <v>#REF!</v>
      </c>
      <c r="X439" s="7" t="e">
        <f t="shared" si="51"/>
        <v>#REF!</v>
      </c>
      <c r="Y439" s="7" t="e">
        <f t="shared" si="52"/>
        <v>#REF!</v>
      </c>
      <c r="Z439" s="7" t="e">
        <f t="shared" si="53"/>
        <v>#REF!</v>
      </c>
      <c r="AA439" s="7" t="e">
        <f t="shared" si="54"/>
        <v>#REF!</v>
      </c>
      <c r="AB439" s="8" t="e">
        <f t="shared" si="55"/>
        <v>#REF!</v>
      </c>
      <c r="AC439" s="9" t="e">
        <f>IF(T439&lt;=0,"Output &lt;= 0, cek manual",IF(OR(Z439&lt;0,Y439&lt;0),"Biaya negatif",IF(AND(AB439&gt;=#REF!,AB439&lt;=#REF!),"OK","Di luar rentang")))</f>
        <v>#REF!</v>
      </c>
    </row>
    <row r="440" ht="99.75" spans="1:29">
      <c r="A440" s="2" t="s">
        <v>30</v>
      </c>
      <c r="B440" s="2" t="s">
        <v>670</v>
      </c>
      <c r="C440" s="3" t="s">
        <v>1912</v>
      </c>
      <c r="D440" s="3" t="s">
        <v>91</v>
      </c>
      <c r="E440" s="3" t="s">
        <v>734</v>
      </c>
      <c r="F440" s="4">
        <v>1097000</v>
      </c>
      <c r="G440" s="4">
        <v>104000000</v>
      </c>
      <c r="H440" s="4">
        <v>1280000</v>
      </c>
      <c r="I440" s="4">
        <v>0</v>
      </c>
      <c r="J440" s="2" t="s">
        <v>1913</v>
      </c>
      <c r="K440" s="4">
        <v>119600000</v>
      </c>
      <c r="L440" s="4">
        <v>0</v>
      </c>
      <c r="M440" s="4">
        <v>13223000</v>
      </c>
      <c r="N440" s="4">
        <v>30650000</v>
      </c>
      <c r="O440" s="4">
        <v>15600000</v>
      </c>
      <c r="P440" s="5">
        <v>0.869565</v>
      </c>
      <c r="Q440" s="5">
        <v>0.847628</v>
      </c>
      <c r="R440" s="2" t="s">
        <v>1914</v>
      </c>
      <c r="S440" s="7">
        <f t="shared" si="48"/>
        <v>13223000</v>
      </c>
      <c r="T440" s="7">
        <f t="shared" si="49"/>
        <v>15600000</v>
      </c>
      <c r="U440" s="8">
        <f t="shared" si="50"/>
        <v>0.847628205128205</v>
      </c>
      <c r="V440" s="9" t="e">
        <f>IF(T440&lt;=0,"Output &lt;= 0",IF(U440&gt;#REF!,"Terlalu tinggi",IF(U440&lt;#REF!,"Terlalu rendah","Sesuai")))</f>
        <v>#REF!</v>
      </c>
      <c r="W440" s="7" t="e">
        <f>IF(T440&lt;=0,S440,IF(U440&gt;#REF!,ROUNDDOWN(T440*#REF!,0),IF(U440&lt;#REF!,ROUNDUP(T440*#REF!,0),S440)))</f>
        <v>#REF!</v>
      </c>
      <c r="X440" s="7" t="e">
        <f t="shared" si="51"/>
        <v>#REF!</v>
      </c>
      <c r="Y440" s="7" t="e">
        <f t="shared" si="52"/>
        <v>#REF!</v>
      </c>
      <c r="Z440" s="7" t="e">
        <f t="shared" si="53"/>
        <v>#REF!</v>
      </c>
      <c r="AA440" s="7" t="e">
        <f t="shared" si="54"/>
        <v>#REF!</v>
      </c>
      <c r="AB440" s="8" t="e">
        <f t="shared" si="55"/>
        <v>#REF!</v>
      </c>
      <c r="AC440" s="9" t="e">
        <f>IF(T440&lt;=0,"Output &lt;= 0, cek manual",IF(OR(Z440&lt;0,Y440&lt;0),"Biaya negatif",IF(AND(AB440&gt;=#REF!,AB440&lt;=#REF!),"OK","Di luar rentang")))</f>
        <v>#REF!</v>
      </c>
    </row>
    <row r="441" ht="71.25" spans="1:29">
      <c r="A441" s="2" t="s">
        <v>30</v>
      </c>
      <c r="B441" s="2" t="s">
        <v>670</v>
      </c>
      <c r="C441" s="3" t="s">
        <v>1915</v>
      </c>
      <c r="D441" s="3" t="s">
        <v>228</v>
      </c>
      <c r="E441" s="3" t="s">
        <v>987</v>
      </c>
      <c r="F441" s="4">
        <v>96000000</v>
      </c>
      <c r="G441" s="4">
        <v>50000000</v>
      </c>
      <c r="H441" s="4">
        <v>0</v>
      </c>
      <c r="I441" s="4">
        <v>0</v>
      </c>
      <c r="J441" s="2" t="s">
        <v>1916</v>
      </c>
      <c r="K441" s="4">
        <v>144000000</v>
      </c>
      <c r="L441" s="4">
        <v>0</v>
      </c>
      <c r="M441" s="4">
        <v>-2000000</v>
      </c>
      <c r="N441" s="4">
        <v>54000000</v>
      </c>
      <c r="O441" s="4">
        <v>94000000</v>
      </c>
      <c r="P441" s="5">
        <v>0.347222</v>
      </c>
      <c r="Q441" s="5">
        <v>-0.021277</v>
      </c>
      <c r="R441" s="2" t="s">
        <v>1917</v>
      </c>
      <c r="S441" s="7">
        <f t="shared" si="48"/>
        <v>-2000000</v>
      </c>
      <c r="T441" s="7">
        <f t="shared" si="49"/>
        <v>94000000</v>
      </c>
      <c r="U441" s="8">
        <f t="shared" si="50"/>
        <v>-0.0212765957446809</v>
      </c>
      <c r="V441" s="9" t="e">
        <f>IF(T441&lt;=0,"Output &lt;= 0",IF(U441&gt;#REF!,"Terlalu tinggi",IF(U441&lt;#REF!,"Terlalu rendah","Sesuai")))</f>
        <v>#REF!</v>
      </c>
      <c r="W441" s="7" t="e">
        <f>IF(T441&lt;=0,S441,IF(U441&gt;#REF!,ROUNDDOWN(T441*#REF!,0),IF(U441&lt;#REF!,ROUNDUP(T441*#REF!,0),S441)))</f>
        <v>#REF!</v>
      </c>
      <c r="X441" s="7" t="e">
        <f t="shared" si="51"/>
        <v>#REF!</v>
      </c>
      <c r="Y441" s="7" t="e">
        <f t="shared" si="52"/>
        <v>#REF!</v>
      </c>
      <c r="Z441" s="7" t="e">
        <f t="shared" si="53"/>
        <v>#REF!</v>
      </c>
      <c r="AA441" s="7" t="e">
        <f t="shared" si="54"/>
        <v>#REF!</v>
      </c>
      <c r="AB441" s="8" t="e">
        <f t="shared" si="55"/>
        <v>#REF!</v>
      </c>
      <c r="AC441" s="9" t="e">
        <f>IF(T441&lt;=0,"Output &lt;= 0, cek manual",IF(OR(Z441&lt;0,Y441&lt;0),"Biaya negatif",IF(AND(AB441&gt;=#REF!,AB441&lt;=#REF!),"OK","Di luar rentang")))</f>
        <v>#REF!</v>
      </c>
    </row>
    <row r="442" ht="85.5" spans="1:29">
      <c r="A442" s="2" t="s">
        <v>30</v>
      </c>
      <c r="B442" s="2" t="s">
        <v>31</v>
      </c>
      <c r="C442" s="3" t="s">
        <v>1918</v>
      </c>
      <c r="D442" s="3" t="s">
        <v>1919</v>
      </c>
      <c r="E442" s="3" t="s">
        <v>1307</v>
      </c>
      <c r="F442" s="4">
        <v>500000</v>
      </c>
      <c r="G442" s="4">
        <v>23000000</v>
      </c>
      <c r="H442" s="4">
        <v>1500000</v>
      </c>
      <c r="I442" s="4">
        <v>0</v>
      </c>
      <c r="J442" s="2" t="s">
        <v>1920</v>
      </c>
      <c r="K442" s="4">
        <v>33800000</v>
      </c>
      <c r="L442" s="4">
        <v>0</v>
      </c>
      <c r="M442" s="4">
        <v>8800000</v>
      </c>
      <c r="N442" s="4">
        <v>11500000</v>
      </c>
      <c r="O442" s="4">
        <v>10800000</v>
      </c>
      <c r="P442" s="5">
        <v>0.680473</v>
      </c>
      <c r="Q442" s="5">
        <v>0.814815</v>
      </c>
      <c r="R442" s="2" t="s">
        <v>1921</v>
      </c>
      <c r="S442" s="7">
        <f t="shared" si="48"/>
        <v>8800000</v>
      </c>
      <c r="T442" s="7">
        <f t="shared" si="49"/>
        <v>10800000</v>
      </c>
      <c r="U442" s="8">
        <f t="shared" si="50"/>
        <v>0.814814814814815</v>
      </c>
      <c r="V442" s="9" t="e">
        <f>IF(T442&lt;=0,"Output &lt;= 0",IF(U442&gt;#REF!,"Terlalu tinggi",IF(U442&lt;#REF!,"Terlalu rendah","Sesuai")))</f>
        <v>#REF!</v>
      </c>
      <c r="W442" s="7" t="e">
        <f>IF(T442&lt;=0,S442,IF(U442&gt;#REF!,ROUNDDOWN(T442*#REF!,0),IF(U442&lt;#REF!,ROUNDUP(T442*#REF!,0),S442)))</f>
        <v>#REF!</v>
      </c>
      <c r="X442" s="7" t="e">
        <f t="shared" si="51"/>
        <v>#REF!</v>
      </c>
      <c r="Y442" s="7" t="e">
        <f t="shared" si="52"/>
        <v>#REF!</v>
      </c>
      <c r="Z442" s="7" t="e">
        <f t="shared" si="53"/>
        <v>#REF!</v>
      </c>
      <c r="AA442" s="7" t="e">
        <f t="shared" si="54"/>
        <v>#REF!</v>
      </c>
      <c r="AB442" s="8" t="e">
        <f t="shared" si="55"/>
        <v>#REF!</v>
      </c>
      <c r="AC442" s="9" t="e">
        <f>IF(T442&lt;=0,"Output &lt;= 0, cek manual",IF(OR(Z442&lt;0,Y442&lt;0),"Biaya negatif",IF(AND(AB442&gt;=#REF!,AB442&lt;=#REF!),"OK","Di luar rentang")))</f>
        <v>#REF!</v>
      </c>
    </row>
    <row r="443" ht="85.5" spans="1:29">
      <c r="A443" s="2" t="s">
        <v>30</v>
      </c>
      <c r="B443" s="2" t="s">
        <v>31</v>
      </c>
      <c r="C443" s="3" t="s">
        <v>1922</v>
      </c>
      <c r="D443" s="3" t="s">
        <v>57</v>
      </c>
      <c r="E443" s="3" t="s">
        <v>1923</v>
      </c>
      <c r="F443" s="4">
        <v>0</v>
      </c>
      <c r="G443" s="4">
        <v>30250000</v>
      </c>
      <c r="H443" s="4">
        <v>350000</v>
      </c>
      <c r="I443" s="4">
        <v>0</v>
      </c>
      <c r="J443" s="2" t="s">
        <v>1924</v>
      </c>
      <c r="K443" s="4">
        <v>54600000</v>
      </c>
      <c r="L443" s="4">
        <v>0</v>
      </c>
      <c r="M443" s="4">
        <v>24000000</v>
      </c>
      <c r="N443" s="4">
        <v>25000000</v>
      </c>
      <c r="O443" s="4">
        <v>24350000</v>
      </c>
      <c r="P443" s="5">
        <v>0.554029</v>
      </c>
      <c r="Q443" s="5">
        <v>0.985626</v>
      </c>
      <c r="R443" s="2" t="s">
        <v>1925</v>
      </c>
      <c r="S443" s="7">
        <f t="shared" si="48"/>
        <v>24000000</v>
      </c>
      <c r="T443" s="7">
        <f t="shared" si="49"/>
        <v>24350000</v>
      </c>
      <c r="U443" s="8">
        <f t="shared" si="50"/>
        <v>0.985626283367556</v>
      </c>
      <c r="V443" s="9" t="e">
        <f>IF(T443&lt;=0,"Output &lt;= 0",IF(U443&gt;#REF!,"Terlalu tinggi",IF(U443&lt;#REF!,"Terlalu rendah","Sesuai")))</f>
        <v>#REF!</v>
      </c>
      <c r="W443" s="7" t="e">
        <f>IF(T443&lt;=0,S443,IF(U443&gt;#REF!,ROUNDDOWN(T443*#REF!,0),IF(U443&lt;#REF!,ROUNDUP(T443*#REF!,0),S443)))</f>
        <v>#REF!</v>
      </c>
      <c r="X443" s="7" t="e">
        <f t="shared" si="51"/>
        <v>#REF!</v>
      </c>
      <c r="Y443" s="7" t="e">
        <f t="shared" si="52"/>
        <v>#REF!</v>
      </c>
      <c r="Z443" s="7" t="e">
        <f t="shared" si="53"/>
        <v>#REF!</v>
      </c>
      <c r="AA443" s="7" t="e">
        <f t="shared" si="54"/>
        <v>#REF!</v>
      </c>
      <c r="AB443" s="8" t="e">
        <f t="shared" si="55"/>
        <v>#REF!</v>
      </c>
      <c r="AC443" s="9" t="e">
        <f>IF(T443&lt;=0,"Output &lt;= 0, cek manual",IF(OR(Z443&lt;0,Y443&lt;0),"Biaya negatif",IF(AND(AB443&gt;=#REF!,AB443&lt;=#REF!),"OK","Di luar rentang")))</f>
        <v>#REF!</v>
      </c>
    </row>
    <row r="444" ht="85.5" spans="1:29">
      <c r="A444" s="2" t="s">
        <v>30</v>
      </c>
      <c r="B444" s="2" t="s">
        <v>31</v>
      </c>
      <c r="C444" s="3" t="s">
        <v>1926</v>
      </c>
      <c r="D444" s="3" t="s">
        <v>228</v>
      </c>
      <c r="E444" s="3" t="s">
        <v>987</v>
      </c>
      <c r="F444" s="4">
        <v>15000000</v>
      </c>
      <c r="G444" s="4">
        <v>5000000</v>
      </c>
      <c r="H444" s="4">
        <v>500000</v>
      </c>
      <c r="I444" s="4">
        <v>0</v>
      </c>
      <c r="J444" s="2" t="s">
        <v>1927</v>
      </c>
      <c r="K444" s="4">
        <v>22200000</v>
      </c>
      <c r="L444" s="4">
        <v>0</v>
      </c>
      <c r="M444" s="4">
        <v>1700000</v>
      </c>
      <c r="N444" s="4">
        <v>98000000</v>
      </c>
      <c r="O444" s="4">
        <v>17200000</v>
      </c>
      <c r="P444" s="5">
        <v>0.225225</v>
      </c>
      <c r="Q444" s="5">
        <v>0.098837</v>
      </c>
      <c r="R444" s="2" t="s">
        <v>1928</v>
      </c>
      <c r="S444" s="7">
        <f t="shared" si="48"/>
        <v>1700000</v>
      </c>
      <c r="T444" s="7">
        <f t="shared" si="49"/>
        <v>17200000</v>
      </c>
      <c r="U444" s="8">
        <f t="shared" si="50"/>
        <v>0.0988372093023256</v>
      </c>
      <c r="V444" s="9" t="e">
        <f>IF(T444&lt;=0,"Output &lt;= 0",IF(U444&gt;#REF!,"Terlalu tinggi",IF(U444&lt;#REF!,"Terlalu rendah","Sesuai")))</f>
        <v>#REF!</v>
      </c>
      <c r="W444" s="7" t="e">
        <f>IF(T444&lt;=0,S444,IF(U444&gt;#REF!,ROUNDDOWN(T444*#REF!,0),IF(U444&lt;#REF!,ROUNDUP(T444*#REF!,0),S444)))</f>
        <v>#REF!</v>
      </c>
      <c r="X444" s="7" t="e">
        <f t="shared" si="51"/>
        <v>#REF!</v>
      </c>
      <c r="Y444" s="7" t="e">
        <f t="shared" si="52"/>
        <v>#REF!</v>
      </c>
      <c r="Z444" s="7" t="e">
        <f t="shared" si="53"/>
        <v>#REF!</v>
      </c>
      <c r="AA444" s="7" t="e">
        <f t="shared" si="54"/>
        <v>#REF!</v>
      </c>
      <c r="AB444" s="8" t="e">
        <f t="shared" si="55"/>
        <v>#REF!</v>
      </c>
      <c r="AC444" s="9" t="e">
        <f>IF(T444&lt;=0,"Output &lt;= 0, cek manual",IF(OR(Z444&lt;0,Y444&lt;0),"Biaya negatif",IF(AND(AB444&gt;=#REF!,AB444&lt;=#REF!),"OK","Di luar rentang")))</f>
        <v>#REF!</v>
      </c>
    </row>
    <row r="445" ht="85.5" spans="1:29">
      <c r="A445" s="2" t="s">
        <v>30</v>
      </c>
      <c r="B445" s="2" t="s">
        <v>31</v>
      </c>
      <c r="C445" s="3" t="s">
        <v>1929</v>
      </c>
      <c r="D445" s="3" t="s">
        <v>224</v>
      </c>
      <c r="E445" s="3" t="s">
        <v>918</v>
      </c>
      <c r="F445" s="4">
        <v>0</v>
      </c>
      <c r="G445" s="4">
        <v>1600000</v>
      </c>
      <c r="H445" s="4">
        <v>200000</v>
      </c>
      <c r="I445" s="4">
        <v>0</v>
      </c>
      <c r="J445" s="2" t="s">
        <v>919</v>
      </c>
      <c r="K445" s="4">
        <v>3000000</v>
      </c>
      <c r="L445" s="4">
        <v>0</v>
      </c>
      <c r="M445" s="4">
        <v>1200000</v>
      </c>
      <c r="N445" s="4">
        <v>30000000</v>
      </c>
      <c r="O445" s="4">
        <v>1400000</v>
      </c>
      <c r="P445" s="5">
        <v>0.533333</v>
      </c>
      <c r="Q445" s="5">
        <v>0.857143</v>
      </c>
      <c r="R445" s="2" t="s">
        <v>1930</v>
      </c>
      <c r="S445" s="7">
        <f t="shared" si="48"/>
        <v>1200000</v>
      </c>
      <c r="T445" s="7">
        <f t="shared" si="49"/>
        <v>1400000</v>
      </c>
      <c r="U445" s="8">
        <f t="shared" si="50"/>
        <v>0.857142857142857</v>
      </c>
      <c r="V445" s="9" t="e">
        <f>IF(T445&lt;=0,"Output &lt;= 0",IF(U445&gt;#REF!,"Terlalu tinggi",IF(U445&lt;#REF!,"Terlalu rendah","Sesuai")))</f>
        <v>#REF!</v>
      </c>
      <c r="W445" s="7" t="e">
        <f>IF(T445&lt;=0,S445,IF(U445&gt;#REF!,ROUNDDOWN(T445*#REF!,0),IF(U445&lt;#REF!,ROUNDUP(T445*#REF!,0),S445)))</f>
        <v>#REF!</v>
      </c>
      <c r="X445" s="7" t="e">
        <f t="shared" si="51"/>
        <v>#REF!</v>
      </c>
      <c r="Y445" s="7" t="e">
        <f t="shared" si="52"/>
        <v>#REF!</v>
      </c>
      <c r="Z445" s="7" t="e">
        <f t="shared" si="53"/>
        <v>#REF!</v>
      </c>
      <c r="AA445" s="7" t="e">
        <f t="shared" si="54"/>
        <v>#REF!</v>
      </c>
      <c r="AB445" s="8" t="e">
        <f t="shared" si="55"/>
        <v>#REF!</v>
      </c>
      <c r="AC445" s="9" t="e">
        <f>IF(T445&lt;=0,"Output &lt;= 0, cek manual",IF(OR(Z445&lt;0,Y445&lt;0),"Biaya negatif",IF(AND(AB445&gt;=#REF!,AB445&lt;=#REF!),"OK","Di luar rentang")))</f>
        <v>#REF!</v>
      </c>
    </row>
    <row r="446" ht="57" spans="1:29">
      <c r="A446" s="2" t="s">
        <v>30</v>
      </c>
      <c r="B446" s="2" t="s">
        <v>31</v>
      </c>
      <c r="C446" s="3" t="s">
        <v>1931</v>
      </c>
      <c r="D446" s="3" t="s">
        <v>1932</v>
      </c>
      <c r="E446" s="3" t="s">
        <v>1933</v>
      </c>
      <c r="F446" s="4">
        <v>0</v>
      </c>
      <c r="G446" s="4">
        <v>1000000</v>
      </c>
      <c r="H446" s="4">
        <v>100000</v>
      </c>
      <c r="I446" s="4">
        <v>0</v>
      </c>
      <c r="J446" s="2" t="s">
        <v>276</v>
      </c>
      <c r="K446" s="4">
        <v>3000000</v>
      </c>
      <c r="L446" s="4">
        <v>0</v>
      </c>
      <c r="M446" s="4">
        <v>1900000</v>
      </c>
      <c r="N446" s="4">
        <v>0</v>
      </c>
      <c r="O446" s="4">
        <v>2000000</v>
      </c>
      <c r="P446" s="5">
        <v>0.333333</v>
      </c>
      <c r="Q446" s="11">
        <v>0.95</v>
      </c>
      <c r="R446" s="2" t="s">
        <v>1934</v>
      </c>
      <c r="S446" s="7">
        <f t="shared" si="48"/>
        <v>1900000</v>
      </c>
      <c r="T446" s="7">
        <f t="shared" si="49"/>
        <v>2000000</v>
      </c>
      <c r="U446" s="8">
        <f t="shared" si="50"/>
        <v>0.95</v>
      </c>
      <c r="V446" s="9" t="e">
        <f>IF(T446&lt;=0,"Output &lt;= 0",IF(U446&gt;#REF!,"Terlalu tinggi",IF(U446&lt;#REF!,"Terlalu rendah","Sesuai")))</f>
        <v>#REF!</v>
      </c>
      <c r="W446" s="7" t="e">
        <f>IF(T446&lt;=0,S446,IF(U446&gt;#REF!,ROUNDDOWN(T446*#REF!,0),IF(U446&lt;#REF!,ROUNDUP(T446*#REF!,0),S446)))</f>
        <v>#REF!</v>
      </c>
      <c r="X446" s="7" t="e">
        <f t="shared" si="51"/>
        <v>#REF!</v>
      </c>
      <c r="Y446" s="7" t="e">
        <f t="shared" si="52"/>
        <v>#REF!</v>
      </c>
      <c r="Z446" s="7" t="e">
        <f t="shared" si="53"/>
        <v>#REF!</v>
      </c>
      <c r="AA446" s="7" t="e">
        <f t="shared" si="54"/>
        <v>#REF!</v>
      </c>
      <c r="AB446" s="8" t="e">
        <f t="shared" si="55"/>
        <v>#REF!</v>
      </c>
      <c r="AC446" s="9" t="e">
        <f>IF(T446&lt;=0,"Output &lt;= 0, cek manual",IF(OR(Z446&lt;0,Y446&lt;0),"Biaya negatif",IF(AND(AB446&gt;=#REF!,AB446&lt;=#REF!),"OK","Di luar rentang")))</f>
        <v>#REF!</v>
      </c>
    </row>
    <row r="447" ht="99.75" spans="1:29">
      <c r="A447" s="2" t="s">
        <v>30</v>
      </c>
      <c r="B447" s="2" t="s">
        <v>31</v>
      </c>
      <c r="C447" s="3" t="s">
        <v>1935</v>
      </c>
      <c r="D447" s="3" t="s">
        <v>1936</v>
      </c>
      <c r="E447" s="3" t="s">
        <v>1937</v>
      </c>
      <c r="F447" s="4">
        <v>0</v>
      </c>
      <c r="G447" s="4">
        <v>6000000</v>
      </c>
      <c r="H447" s="4">
        <v>0</v>
      </c>
      <c r="I447" s="4">
        <v>0</v>
      </c>
      <c r="J447" s="2" t="s">
        <v>1938</v>
      </c>
      <c r="K447" s="4">
        <v>8000000</v>
      </c>
      <c r="L447" s="4">
        <v>0</v>
      </c>
      <c r="M447" s="4">
        <v>2000000</v>
      </c>
      <c r="N447" s="4">
        <v>85000000</v>
      </c>
      <c r="O447" s="4">
        <v>2000000</v>
      </c>
      <c r="P447" s="11">
        <v>0.75</v>
      </c>
      <c r="Q447" s="4">
        <v>1</v>
      </c>
      <c r="R447" s="2" t="s">
        <v>1939</v>
      </c>
      <c r="S447" s="7">
        <f t="shared" si="48"/>
        <v>2000000</v>
      </c>
      <c r="T447" s="7">
        <f t="shared" si="49"/>
        <v>2000000</v>
      </c>
      <c r="U447" s="8">
        <f t="shared" si="50"/>
        <v>1</v>
      </c>
      <c r="V447" s="9" t="e">
        <f>IF(T447&lt;=0,"Output &lt;= 0",IF(U447&gt;#REF!,"Terlalu tinggi",IF(U447&lt;#REF!,"Terlalu rendah","Sesuai")))</f>
        <v>#REF!</v>
      </c>
      <c r="W447" s="7" t="e">
        <f>IF(T447&lt;=0,S447,IF(U447&gt;#REF!,ROUNDDOWN(T447*#REF!,0),IF(U447&lt;#REF!,ROUNDUP(T447*#REF!,0),S447)))</f>
        <v>#REF!</v>
      </c>
      <c r="X447" s="7" t="e">
        <f t="shared" si="51"/>
        <v>#REF!</v>
      </c>
      <c r="Y447" s="7" t="e">
        <f t="shared" si="52"/>
        <v>#REF!</v>
      </c>
      <c r="Z447" s="7" t="e">
        <f t="shared" si="53"/>
        <v>#REF!</v>
      </c>
      <c r="AA447" s="7" t="e">
        <f t="shared" si="54"/>
        <v>#REF!</v>
      </c>
      <c r="AB447" s="8" t="e">
        <f t="shared" si="55"/>
        <v>#REF!</v>
      </c>
      <c r="AC447" s="9" t="e">
        <f>IF(T447&lt;=0,"Output &lt;= 0, cek manual",IF(OR(Z447&lt;0,Y447&lt;0),"Biaya negatif",IF(AND(AB447&gt;=#REF!,AB447&lt;=#REF!),"OK","Di luar rentang")))</f>
        <v>#REF!</v>
      </c>
    </row>
    <row r="448" ht="85.5" spans="1:29">
      <c r="A448" s="2" t="s">
        <v>30</v>
      </c>
      <c r="B448" s="2" t="s">
        <v>31</v>
      </c>
      <c r="C448" s="3" t="s">
        <v>1940</v>
      </c>
      <c r="D448" s="3" t="s">
        <v>1941</v>
      </c>
      <c r="E448" s="3" t="s">
        <v>1942</v>
      </c>
      <c r="F448" s="4">
        <v>200000</v>
      </c>
      <c r="G448" s="4">
        <v>25000000</v>
      </c>
      <c r="H448" s="4">
        <v>1500000</v>
      </c>
      <c r="I448" s="4">
        <v>0</v>
      </c>
      <c r="J448" s="2" t="s">
        <v>1943</v>
      </c>
      <c r="K448" s="4">
        <v>34000000</v>
      </c>
      <c r="L448" s="4">
        <v>0</v>
      </c>
      <c r="M448" s="4">
        <v>7300000</v>
      </c>
      <c r="N448" s="4">
        <v>14000000</v>
      </c>
      <c r="O448" s="4">
        <v>9000000</v>
      </c>
      <c r="P448" s="5">
        <v>0.735294</v>
      </c>
      <c r="Q448" s="5">
        <v>0.811111</v>
      </c>
      <c r="R448" s="2" t="s">
        <v>1944</v>
      </c>
      <c r="S448" s="7">
        <f t="shared" si="48"/>
        <v>7300000</v>
      </c>
      <c r="T448" s="7">
        <f t="shared" si="49"/>
        <v>9000000</v>
      </c>
      <c r="U448" s="8">
        <f t="shared" si="50"/>
        <v>0.811111111111111</v>
      </c>
      <c r="V448" s="9" t="e">
        <f>IF(T448&lt;=0,"Output &lt;= 0",IF(U448&gt;#REF!,"Terlalu tinggi",IF(U448&lt;#REF!,"Terlalu rendah","Sesuai")))</f>
        <v>#REF!</v>
      </c>
      <c r="W448" s="7" t="e">
        <f>IF(T448&lt;=0,S448,IF(U448&gt;#REF!,ROUNDDOWN(T448*#REF!,0),IF(U448&lt;#REF!,ROUNDUP(T448*#REF!,0),S448)))</f>
        <v>#REF!</v>
      </c>
      <c r="X448" s="7" t="e">
        <f t="shared" si="51"/>
        <v>#REF!</v>
      </c>
      <c r="Y448" s="7" t="e">
        <f t="shared" si="52"/>
        <v>#REF!</v>
      </c>
      <c r="Z448" s="7" t="e">
        <f t="shared" si="53"/>
        <v>#REF!</v>
      </c>
      <c r="AA448" s="7" t="e">
        <f t="shared" si="54"/>
        <v>#REF!</v>
      </c>
      <c r="AB448" s="8" t="e">
        <f t="shared" si="55"/>
        <v>#REF!</v>
      </c>
      <c r="AC448" s="9" t="e">
        <f>IF(T448&lt;=0,"Output &lt;= 0, cek manual",IF(OR(Z448&lt;0,Y448&lt;0),"Biaya negatif",IF(AND(AB448&gt;=#REF!,AB448&lt;=#REF!),"OK","Di luar rentang")))</f>
        <v>#REF!</v>
      </c>
    </row>
    <row r="449" ht="114" spans="1:29">
      <c r="A449" s="2" t="s">
        <v>30</v>
      </c>
      <c r="B449" s="2" t="s">
        <v>31</v>
      </c>
      <c r="C449" s="3" t="s">
        <v>1945</v>
      </c>
      <c r="D449" s="3" t="s">
        <v>1946</v>
      </c>
      <c r="E449" s="3" t="s">
        <v>1947</v>
      </c>
      <c r="F449" s="4">
        <v>800000</v>
      </c>
      <c r="G449" s="4">
        <v>500000</v>
      </c>
      <c r="H449" s="4">
        <v>100000</v>
      </c>
      <c r="I449" s="4">
        <v>0</v>
      </c>
      <c r="J449" s="2" t="s">
        <v>1948</v>
      </c>
      <c r="K449" s="4">
        <v>2500000</v>
      </c>
      <c r="L449" s="4">
        <v>500000</v>
      </c>
      <c r="M449" s="4">
        <v>1100000</v>
      </c>
      <c r="N449" s="4">
        <v>8000000</v>
      </c>
      <c r="O449" s="4">
        <v>2000000</v>
      </c>
      <c r="P449" s="12">
        <v>0.2</v>
      </c>
      <c r="Q449" s="11">
        <v>0.55</v>
      </c>
      <c r="R449" s="2" t="s">
        <v>1949</v>
      </c>
      <c r="S449" s="7">
        <f t="shared" si="48"/>
        <v>1100000</v>
      </c>
      <c r="T449" s="7">
        <f t="shared" si="49"/>
        <v>2000000</v>
      </c>
      <c r="U449" s="8">
        <f t="shared" si="50"/>
        <v>0.55</v>
      </c>
      <c r="V449" s="9" t="e">
        <f>IF(T449&lt;=0,"Output &lt;= 0",IF(U449&gt;#REF!,"Terlalu tinggi",IF(U449&lt;#REF!,"Terlalu rendah","Sesuai")))</f>
        <v>#REF!</v>
      </c>
      <c r="W449" s="7" t="e">
        <f>IF(T449&lt;=0,S449,IF(U449&gt;#REF!,ROUNDDOWN(T449*#REF!,0),IF(U449&lt;#REF!,ROUNDUP(T449*#REF!,0),S449)))</f>
        <v>#REF!</v>
      </c>
      <c r="X449" s="7" t="e">
        <f t="shared" si="51"/>
        <v>#REF!</v>
      </c>
      <c r="Y449" s="7" t="e">
        <f t="shared" si="52"/>
        <v>#REF!</v>
      </c>
      <c r="Z449" s="7" t="e">
        <f t="shared" si="53"/>
        <v>#REF!</v>
      </c>
      <c r="AA449" s="7" t="e">
        <f t="shared" si="54"/>
        <v>#REF!</v>
      </c>
      <c r="AB449" s="8" t="e">
        <f t="shared" si="55"/>
        <v>#REF!</v>
      </c>
      <c r="AC449" s="9" t="e">
        <f>IF(T449&lt;=0,"Output &lt;= 0, cek manual",IF(OR(Z449&lt;0,Y449&lt;0),"Biaya negatif",IF(AND(AB449&gt;=#REF!,AB449&lt;=#REF!),"OK","Di luar rentang")))</f>
        <v>#REF!</v>
      </c>
    </row>
    <row r="450" ht="114" spans="1:29">
      <c r="A450" s="2" t="s">
        <v>30</v>
      </c>
      <c r="B450" s="2" t="s">
        <v>31</v>
      </c>
      <c r="C450" s="3" t="s">
        <v>1950</v>
      </c>
      <c r="D450" s="3" t="s">
        <v>155</v>
      </c>
      <c r="E450" s="3" t="s">
        <v>1951</v>
      </c>
      <c r="F450" s="4">
        <v>200000</v>
      </c>
      <c r="G450" s="4">
        <v>21600000</v>
      </c>
      <c r="H450" s="4">
        <v>500000</v>
      </c>
      <c r="I450" s="4">
        <v>0</v>
      </c>
      <c r="J450" s="2" t="s">
        <v>1952</v>
      </c>
      <c r="K450" s="4">
        <v>27000000</v>
      </c>
      <c r="L450" s="4">
        <v>0</v>
      </c>
      <c r="M450" s="4">
        <v>4700000</v>
      </c>
      <c r="N450" s="4">
        <v>1100000</v>
      </c>
      <c r="O450" s="4">
        <v>5400000</v>
      </c>
      <c r="P450" s="12">
        <v>0.8</v>
      </c>
      <c r="Q450" s="6">
        <v>0.87037</v>
      </c>
      <c r="R450" s="2" t="s">
        <v>1953</v>
      </c>
      <c r="S450" s="7">
        <f t="shared" ref="S450:S513" si="56">K450-F450-G450-H450</f>
        <v>4700000</v>
      </c>
      <c r="T450" s="7">
        <f t="shared" ref="T450:T513" si="57">K450-G450</f>
        <v>5400000</v>
      </c>
      <c r="U450" s="8">
        <f t="shared" ref="U450:U513" si="58">IF(T450&lt;=0,"",S450/T450)</f>
        <v>0.87037037037037</v>
      </c>
      <c r="V450" s="9" t="e">
        <f>IF(T450&lt;=0,"Output &lt;= 0",IF(U450&gt;#REF!,"Terlalu tinggi",IF(U450&lt;#REF!,"Terlalu rendah","Sesuai")))</f>
        <v>#REF!</v>
      </c>
      <c r="W450" s="7" t="e">
        <f>IF(T450&lt;=0,S450,IF(U450&gt;#REF!,ROUNDDOWN(T450*#REF!,0),IF(U450&lt;#REF!,ROUNDUP(T450*#REF!,0),S450)))</f>
        <v>#REF!</v>
      </c>
      <c r="X450" s="7" t="e">
        <f t="shared" ref="X450:X513" si="59">W450-S450</f>
        <v>#REF!</v>
      </c>
      <c r="Y450" s="7" t="e">
        <f t="shared" ref="Y450:Y513" si="60">IF(F450+H450&gt;0,ROUND((T450-W450)*H450/(F450+H450),0),T450-W450)</f>
        <v>#REF!</v>
      </c>
      <c r="Z450" s="7" t="e">
        <f t="shared" ref="Z450:Z513" si="61">(T450-W450)-Y450</f>
        <v>#REF!</v>
      </c>
      <c r="AA450" s="7" t="e">
        <f t="shared" ref="AA450:AA513" si="62">K450-Z450-G450-Y450</f>
        <v>#REF!</v>
      </c>
      <c r="AB450" s="8" t="e">
        <f t="shared" ref="AB450:AB513" si="63">IF(T450&lt;=0,"",AA450/T450)</f>
        <v>#REF!</v>
      </c>
      <c r="AC450" s="9" t="e">
        <f>IF(T450&lt;=0,"Output &lt;= 0, cek manual",IF(OR(Z450&lt;0,Y450&lt;0),"Biaya negatif",IF(AND(AB450&gt;=#REF!,AB450&lt;=#REF!),"OK","Di luar rentang")))</f>
        <v>#REF!</v>
      </c>
    </row>
    <row r="451" ht="71.25" spans="1:29">
      <c r="A451" s="2" t="s">
        <v>30</v>
      </c>
      <c r="B451" s="2" t="s">
        <v>31</v>
      </c>
      <c r="C451" s="3" t="s">
        <v>1954</v>
      </c>
      <c r="D451" s="3" t="s">
        <v>1955</v>
      </c>
      <c r="E451" s="3" t="s">
        <v>1956</v>
      </c>
      <c r="F451" s="4">
        <v>0</v>
      </c>
      <c r="G451" s="4">
        <v>3144000</v>
      </c>
      <c r="H451" s="4">
        <v>750000</v>
      </c>
      <c r="I451" s="4">
        <v>0</v>
      </c>
      <c r="J451" s="2" t="s">
        <v>1957</v>
      </c>
      <c r="K451" s="4">
        <v>51150000</v>
      </c>
      <c r="L451" s="4">
        <v>0</v>
      </c>
      <c r="M451" s="4">
        <v>47256000</v>
      </c>
      <c r="N451" s="4">
        <v>150000000</v>
      </c>
      <c r="O451" s="4">
        <v>48006000</v>
      </c>
      <c r="P451" s="5">
        <v>0.061466</v>
      </c>
      <c r="Q451" s="5">
        <v>0.984377</v>
      </c>
      <c r="R451" s="2" t="s">
        <v>1958</v>
      </c>
      <c r="S451" s="7">
        <f t="shared" si="56"/>
        <v>47256000</v>
      </c>
      <c r="T451" s="7">
        <f t="shared" si="57"/>
        <v>48006000</v>
      </c>
      <c r="U451" s="8">
        <f t="shared" si="58"/>
        <v>0.98437695288089</v>
      </c>
      <c r="V451" s="9" t="e">
        <f>IF(T451&lt;=0,"Output &lt;= 0",IF(U451&gt;#REF!,"Terlalu tinggi",IF(U451&lt;#REF!,"Terlalu rendah","Sesuai")))</f>
        <v>#REF!</v>
      </c>
      <c r="W451" s="7" t="e">
        <f>IF(T451&lt;=0,S451,IF(U451&gt;#REF!,ROUNDDOWN(T451*#REF!,0),IF(U451&lt;#REF!,ROUNDUP(T451*#REF!,0),S451)))</f>
        <v>#REF!</v>
      </c>
      <c r="X451" s="7" t="e">
        <f t="shared" si="59"/>
        <v>#REF!</v>
      </c>
      <c r="Y451" s="7" t="e">
        <f t="shared" si="60"/>
        <v>#REF!</v>
      </c>
      <c r="Z451" s="7" t="e">
        <f t="shared" si="61"/>
        <v>#REF!</v>
      </c>
      <c r="AA451" s="7" t="e">
        <f t="shared" si="62"/>
        <v>#REF!</v>
      </c>
      <c r="AB451" s="8" t="e">
        <f t="shared" si="63"/>
        <v>#REF!</v>
      </c>
      <c r="AC451" s="9" t="e">
        <f>IF(T451&lt;=0,"Output &lt;= 0, cek manual",IF(OR(Z451&lt;0,Y451&lt;0),"Biaya negatif",IF(AND(AB451&gt;=#REF!,AB451&lt;=#REF!),"OK","Di luar rentang")))</f>
        <v>#REF!</v>
      </c>
    </row>
    <row r="452" ht="57" spans="1:29">
      <c r="A452" s="2" t="s">
        <v>30</v>
      </c>
      <c r="B452" s="2" t="s">
        <v>31</v>
      </c>
      <c r="C452" s="3" t="s">
        <v>1959</v>
      </c>
      <c r="D452" s="3" t="s">
        <v>1960</v>
      </c>
      <c r="E452" s="3" t="s">
        <v>1353</v>
      </c>
      <c r="F452" s="4">
        <v>24000</v>
      </c>
      <c r="G452" s="4">
        <v>5000000</v>
      </c>
      <c r="H452" s="4">
        <v>240000</v>
      </c>
      <c r="I452" s="4">
        <v>0</v>
      </c>
      <c r="J452" s="2" t="s">
        <v>1961</v>
      </c>
      <c r="K452" s="4">
        <v>11000000</v>
      </c>
      <c r="L452" s="4">
        <v>100000</v>
      </c>
      <c r="M452" s="4">
        <v>5736000</v>
      </c>
      <c r="N452" s="4">
        <v>7000000</v>
      </c>
      <c r="O452" s="4">
        <v>6000000</v>
      </c>
      <c r="P452" s="5">
        <v>0.454545</v>
      </c>
      <c r="Q452" s="10">
        <v>0.956</v>
      </c>
      <c r="R452" s="2" t="s">
        <v>1962</v>
      </c>
      <c r="S452" s="7">
        <f t="shared" si="56"/>
        <v>5736000</v>
      </c>
      <c r="T452" s="7">
        <f t="shared" si="57"/>
        <v>6000000</v>
      </c>
      <c r="U452" s="8">
        <f t="shared" si="58"/>
        <v>0.956</v>
      </c>
      <c r="V452" s="9" t="e">
        <f>IF(T452&lt;=0,"Output &lt;= 0",IF(U452&gt;#REF!,"Terlalu tinggi",IF(U452&lt;#REF!,"Terlalu rendah","Sesuai")))</f>
        <v>#REF!</v>
      </c>
      <c r="W452" s="7" t="e">
        <f>IF(T452&lt;=0,S452,IF(U452&gt;#REF!,ROUNDDOWN(T452*#REF!,0),IF(U452&lt;#REF!,ROUNDUP(T452*#REF!,0),S452)))</f>
        <v>#REF!</v>
      </c>
      <c r="X452" s="7" t="e">
        <f t="shared" si="59"/>
        <v>#REF!</v>
      </c>
      <c r="Y452" s="7" t="e">
        <f t="shared" si="60"/>
        <v>#REF!</v>
      </c>
      <c r="Z452" s="7" t="e">
        <f t="shared" si="61"/>
        <v>#REF!</v>
      </c>
      <c r="AA452" s="7" t="e">
        <f t="shared" si="62"/>
        <v>#REF!</v>
      </c>
      <c r="AB452" s="8" t="e">
        <f t="shared" si="63"/>
        <v>#REF!</v>
      </c>
      <c r="AC452" s="9" t="e">
        <f>IF(T452&lt;=0,"Output &lt;= 0, cek manual",IF(OR(Z452&lt;0,Y452&lt;0),"Biaya negatif",IF(AND(AB452&gt;=#REF!,AB452&lt;=#REF!),"OK","Di luar rentang")))</f>
        <v>#REF!</v>
      </c>
    </row>
    <row r="453" ht="71.25" spans="1:29">
      <c r="A453" s="2" t="s">
        <v>30</v>
      </c>
      <c r="B453" s="2" t="s">
        <v>31</v>
      </c>
      <c r="C453" s="3" t="s">
        <v>1963</v>
      </c>
      <c r="D453" s="3" t="s">
        <v>57</v>
      </c>
      <c r="E453" s="3" t="s">
        <v>1964</v>
      </c>
      <c r="F453" s="4">
        <v>0</v>
      </c>
      <c r="G453" s="4">
        <v>21000000</v>
      </c>
      <c r="H453" s="4">
        <v>1000000</v>
      </c>
      <c r="I453" s="4">
        <v>0</v>
      </c>
      <c r="J453" s="2" t="s">
        <v>1965</v>
      </c>
      <c r="K453" s="4">
        <v>34000000</v>
      </c>
      <c r="L453" s="4">
        <v>0</v>
      </c>
      <c r="M453" s="4">
        <v>12000000</v>
      </c>
      <c r="N453" s="4">
        <v>0</v>
      </c>
      <c r="O453" s="4">
        <v>13000000</v>
      </c>
      <c r="P453" s="5">
        <v>0.617647</v>
      </c>
      <c r="Q453" s="5">
        <v>0.923077</v>
      </c>
      <c r="R453" s="2" t="s">
        <v>1966</v>
      </c>
      <c r="S453" s="7">
        <f t="shared" si="56"/>
        <v>12000000</v>
      </c>
      <c r="T453" s="7">
        <f t="shared" si="57"/>
        <v>13000000</v>
      </c>
      <c r="U453" s="8">
        <f t="shared" si="58"/>
        <v>0.923076923076923</v>
      </c>
      <c r="V453" s="9" t="e">
        <f>IF(T453&lt;=0,"Output &lt;= 0",IF(U453&gt;#REF!,"Terlalu tinggi",IF(U453&lt;#REF!,"Terlalu rendah","Sesuai")))</f>
        <v>#REF!</v>
      </c>
      <c r="W453" s="7" t="e">
        <f>IF(T453&lt;=0,S453,IF(U453&gt;#REF!,ROUNDDOWN(T453*#REF!,0),IF(U453&lt;#REF!,ROUNDUP(T453*#REF!,0),S453)))</f>
        <v>#REF!</v>
      </c>
      <c r="X453" s="7" t="e">
        <f t="shared" si="59"/>
        <v>#REF!</v>
      </c>
      <c r="Y453" s="7" t="e">
        <f t="shared" si="60"/>
        <v>#REF!</v>
      </c>
      <c r="Z453" s="7" t="e">
        <f t="shared" si="61"/>
        <v>#REF!</v>
      </c>
      <c r="AA453" s="7" t="e">
        <f t="shared" si="62"/>
        <v>#REF!</v>
      </c>
      <c r="AB453" s="8" t="e">
        <f t="shared" si="63"/>
        <v>#REF!</v>
      </c>
      <c r="AC453" s="9" t="e">
        <f>IF(T453&lt;=0,"Output &lt;= 0, cek manual",IF(OR(Z453&lt;0,Y453&lt;0),"Biaya negatif",IF(AND(AB453&gt;=#REF!,AB453&lt;=#REF!),"OK","Di luar rentang")))</f>
        <v>#REF!</v>
      </c>
    </row>
    <row r="454" ht="71.25" spans="1:29">
      <c r="A454" s="2" t="s">
        <v>30</v>
      </c>
      <c r="B454" s="2" t="s">
        <v>31</v>
      </c>
      <c r="C454" s="3" t="s">
        <v>1967</v>
      </c>
      <c r="D454" s="3" t="s">
        <v>1968</v>
      </c>
      <c r="E454" s="3" t="s">
        <v>1969</v>
      </c>
      <c r="F454" s="4">
        <v>0</v>
      </c>
      <c r="G454" s="4">
        <v>50000000</v>
      </c>
      <c r="H454" s="4">
        <v>1000000</v>
      </c>
      <c r="I454" s="4">
        <v>0</v>
      </c>
      <c r="J454" s="2" t="s">
        <v>442</v>
      </c>
      <c r="K454" s="4">
        <v>65000000</v>
      </c>
      <c r="L454" s="4">
        <v>0</v>
      </c>
      <c r="M454" s="4">
        <v>14000000</v>
      </c>
      <c r="N454" s="4">
        <v>0</v>
      </c>
      <c r="O454" s="4">
        <v>15000000</v>
      </c>
      <c r="P454" s="5">
        <v>0.769231</v>
      </c>
      <c r="Q454" s="5">
        <v>0.933333</v>
      </c>
      <c r="R454" s="2" t="s">
        <v>1970</v>
      </c>
      <c r="S454" s="7">
        <f t="shared" si="56"/>
        <v>14000000</v>
      </c>
      <c r="T454" s="7">
        <f t="shared" si="57"/>
        <v>15000000</v>
      </c>
      <c r="U454" s="8">
        <f t="shared" si="58"/>
        <v>0.933333333333333</v>
      </c>
      <c r="V454" s="9" t="e">
        <f>IF(T454&lt;=0,"Output &lt;= 0",IF(U454&gt;#REF!,"Terlalu tinggi",IF(U454&lt;#REF!,"Terlalu rendah","Sesuai")))</f>
        <v>#REF!</v>
      </c>
      <c r="W454" s="7" t="e">
        <f>IF(T454&lt;=0,S454,IF(U454&gt;#REF!,ROUNDDOWN(T454*#REF!,0),IF(U454&lt;#REF!,ROUNDUP(T454*#REF!,0),S454)))</f>
        <v>#REF!</v>
      </c>
      <c r="X454" s="7" t="e">
        <f t="shared" si="59"/>
        <v>#REF!</v>
      </c>
      <c r="Y454" s="7" t="e">
        <f t="shared" si="60"/>
        <v>#REF!</v>
      </c>
      <c r="Z454" s="7" t="e">
        <f t="shared" si="61"/>
        <v>#REF!</v>
      </c>
      <c r="AA454" s="7" t="e">
        <f t="shared" si="62"/>
        <v>#REF!</v>
      </c>
      <c r="AB454" s="8" t="e">
        <f t="shared" si="63"/>
        <v>#REF!</v>
      </c>
      <c r="AC454" s="9" t="e">
        <f>IF(T454&lt;=0,"Output &lt;= 0, cek manual",IF(OR(Z454&lt;0,Y454&lt;0),"Biaya negatif",IF(AND(AB454&gt;=#REF!,AB454&lt;=#REF!),"OK","Di luar rentang")))</f>
        <v>#REF!</v>
      </c>
    </row>
    <row r="455" ht="85.5" spans="1:29">
      <c r="A455" s="2" t="s">
        <v>30</v>
      </c>
      <c r="B455" s="2" t="s">
        <v>31</v>
      </c>
      <c r="C455" s="3" t="s">
        <v>1971</v>
      </c>
      <c r="D455" s="3" t="s">
        <v>842</v>
      </c>
      <c r="E455" s="3" t="s">
        <v>842</v>
      </c>
      <c r="F455" s="4">
        <v>0</v>
      </c>
      <c r="G455" s="4">
        <v>29500000</v>
      </c>
      <c r="H455" s="4">
        <v>0</v>
      </c>
      <c r="I455" s="4">
        <v>0</v>
      </c>
      <c r="J455" s="2" t="s">
        <v>1972</v>
      </c>
      <c r="K455" s="4">
        <v>32200000</v>
      </c>
      <c r="L455" s="4">
        <v>0</v>
      </c>
      <c r="M455" s="4">
        <v>2700000</v>
      </c>
      <c r="N455" s="4">
        <v>18500000</v>
      </c>
      <c r="O455" s="4">
        <v>2700000</v>
      </c>
      <c r="P455" s="5">
        <v>0.916149</v>
      </c>
      <c r="Q455" s="4">
        <v>1</v>
      </c>
      <c r="R455" s="2" t="s">
        <v>1973</v>
      </c>
      <c r="S455" s="7">
        <f t="shared" si="56"/>
        <v>2700000</v>
      </c>
      <c r="T455" s="7">
        <f t="shared" si="57"/>
        <v>2700000</v>
      </c>
      <c r="U455" s="8">
        <f t="shared" si="58"/>
        <v>1</v>
      </c>
      <c r="V455" s="9" t="e">
        <f>IF(T455&lt;=0,"Output &lt;= 0",IF(U455&gt;#REF!,"Terlalu tinggi",IF(U455&lt;#REF!,"Terlalu rendah","Sesuai")))</f>
        <v>#REF!</v>
      </c>
      <c r="W455" s="7" t="e">
        <f>IF(T455&lt;=0,S455,IF(U455&gt;#REF!,ROUNDDOWN(T455*#REF!,0),IF(U455&lt;#REF!,ROUNDUP(T455*#REF!,0),S455)))</f>
        <v>#REF!</v>
      </c>
      <c r="X455" s="7" t="e">
        <f t="shared" si="59"/>
        <v>#REF!</v>
      </c>
      <c r="Y455" s="7" t="e">
        <f t="shared" si="60"/>
        <v>#REF!</v>
      </c>
      <c r="Z455" s="7" t="e">
        <f t="shared" si="61"/>
        <v>#REF!</v>
      </c>
      <c r="AA455" s="7" t="e">
        <f t="shared" si="62"/>
        <v>#REF!</v>
      </c>
      <c r="AB455" s="8" t="e">
        <f t="shared" si="63"/>
        <v>#REF!</v>
      </c>
      <c r="AC455" s="9" t="e">
        <f>IF(T455&lt;=0,"Output &lt;= 0, cek manual",IF(OR(Z455&lt;0,Y455&lt;0),"Biaya negatif",IF(AND(AB455&gt;=#REF!,AB455&lt;=#REF!),"OK","Di luar rentang")))</f>
        <v>#REF!</v>
      </c>
    </row>
    <row r="456" ht="114" spans="1:29">
      <c r="A456" s="2" t="s">
        <v>30</v>
      </c>
      <c r="B456" s="2" t="s">
        <v>31</v>
      </c>
      <c r="C456" s="3" t="s">
        <v>1974</v>
      </c>
      <c r="D456" s="3" t="s">
        <v>1975</v>
      </c>
      <c r="E456" s="3" t="s">
        <v>1976</v>
      </c>
      <c r="F456" s="4">
        <v>0</v>
      </c>
      <c r="G456" s="4">
        <v>3000000</v>
      </c>
      <c r="H456" s="4">
        <v>50000</v>
      </c>
      <c r="I456" s="4">
        <v>0</v>
      </c>
      <c r="J456" s="2" t="s">
        <v>213</v>
      </c>
      <c r="K456" s="4">
        <v>3420000</v>
      </c>
      <c r="L456" s="4">
        <v>0</v>
      </c>
      <c r="M456" s="4">
        <v>370000</v>
      </c>
      <c r="N456" s="4">
        <v>36000000</v>
      </c>
      <c r="O456" s="4">
        <v>420000</v>
      </c>
      <c r="P456" s="5">
        <v>0.877193</v>
      </c>
      <c r="Q456" s="5">
        <v>0.880952</v>
      </c>
      <c r="R456" s="2" t="s">
        <v>1977</v>
      </c>
      <c r="S456" s="7">
        <f t="shared" si="56"/>
        <v>370000</v>
      </c>
      <c r="T456" s="7">
        <f t="shared" si="57"/>
        <v>420000</v>
      </c>
      <c r="U456" s="8">
        <f t="shared" si="58"/>
        <v>0.880952380952381</v>
      </c>
      <c r="V456" s="9" t="e">
        <f>IF(T456&lt;=0,"Output &lt;= 0",IF(U456&gt;#REF!,"Terlalu tinggi",IF(U456&lt;#REF!,"Terlalu rendah","Sesuai")))</f>
        <v>#REF!</v>
      </c>
      <c r="W456" s="7" t="e">
        <f>IF(T456&lt;=0,S456,IF(U456&gt;#REF!,ROUNDDOWN(T456*#REF!,0),IF(U456&lt;#REF!,ROUNDUP(T456*#REF!,0),S456)))</f>
        <v>#REF!</v>
      </c>
      <c r="X456" s="7" t="e">
        <f t="shared" si="59"/>
        <v>#REF!</v>
      </c>
      <c r="Y456" s="7" t="e">
        <f t="shared" si="60"/>
        <v>#REF!</v>
      </c>
      <c r="Z456" s="7" t="e">
        <f t="shared" si="61"/>
        <v>#REF!</v>
      </c>
      <c r="AA456" s="7" t="e">
        <f t="shared" si="62"/>
        <v>#REF!</v>
      </c>
      <c r="AB456" s="8" t="e">
        <f t="shared" si="63"/>
        <v>#REF!</v>
      </c>
      <c r="AC456" s="9" t="e">
        <f>IF(T456&lt;=0,"Output &lt;= 0, cek manual",IF(OR(Z456&lt;0,Y456&lt;0),"Biaya negatif",IF(AND(AB456&gt;=#REF!,AB456&lt;=#REF!),"OK","Di luar rentang")))</f>
        <v>#REF!</v>
      </c>
    </row>
    <row r="457" ht="185.25" spans="1:29">
      <c r="A457" s="2" t="s">
        <v>30</v>
      </c>
      <c r="B457" s="2" t="s">
        <v>31</v>
      </c>
      <c r="C457" s="3" t="s">
        <v>1978</v>
      </c>
      <c r="D457" s="3" t="s">
        <v>1979</v>
      </c>
      <c r="E457" s="3" t="s">
        <v>1980</v>
      </c>
      <c r="F457" s="4">
        <v>0</v>
      </c>
      <c r="G457" s="4">
        <v>14400000</v>
      </c>
      <c r="H457" s="4">
        <v>700000</v>
      </c>
      <c r="I457" s="4">
        <v>0</v>
      </c>
      <c r="J457" s="2" t="s">
        <v>1981</v>
      </c>
      <c r="K457" s="4">
        <v>21600000</v>
      </c>
      <c r="L457" s="4">
        <v>0</v>
      </c>
      <c r="M457" s="4">
        <v>6500000</v>
      </c>
      <c r="N457" s="4">
        <v>18000000</v>
      </c>
      <c r="O457" s="4">
        <v>7200000</v>
      </c>
      <c r="P457" s="5">
        <v>0.666667</v>
      </c>
      <c r="Q457" s="5">
        <v>0.902778</v>
      </c>
      <c r="R457" s="2" t="s">
        <v>1982</v>
      </c>
      <c r="S457" s="7">
        <f t="shared" si="56"/>
        <v>6500000</v>
      </c>
      <c r="T457" s="7">
        <f t="shared" si="57"/>
        <v>7200000</v>
      </c>
      <c r="U457" s="8">
        <f t="shared" si="58"/>
        <v>0.902777777777778</v>
      </c>
      <c r="V457" s="9" t="e">
        <f>IF(T457&lt;=0,"Output &lt;= 0",IF(U457&gt;#REF!,"Terlalu tinggi",IF(U457&lt;#REF!,"Terlalu rendah","Sesuai")))</f>
        <v>#REF!</v>
      </c>
      <c r="W457" s="7" t="e">
        <f>IF(T457&lt;=0,S457,IF(U457&gt;#REF!,ROUNDDOWN(T457*#REF!,0),IF(U457&lt;#REF!,ROUNDUP(T457*#REF!,0),S457)))</f>
        <v>#REF!</v>
      </c>
      <c r="X457" s="7" t="e">
        <f t="shared" si="59"/>
        <v>#REF!</v>
      </c>
      <c r="Y457" s="7" t="e">
        <f t="shared" si="60"/>
        <v>#REF!</v>
      </c>
      <c r="Z457" s="7" t="e">
        <f t="shared" si="61"/>
        <v>#REF!</v>
      </c>
      <c r="AA457" s="7" t="e">
        <f t="shared" si="62"/>
        <v>#REF!</v>
      </c>
      <c r="AB457" s="8" t="e">
        <f t="shared" si="63"/>
        <v>#REF!</v>
      </c>
      <c r="AC457" s="9" t="e">
        <f>IF(T457&lt;=0,"Output &lt;= 0, cek manual",IF(OR(Z457&lt;0,Y457&lt;0),"Biaya negatif",IF(AND(AB457&gt;=#REF!,AB457&lt;=#REF!),"OK","Di luar rentang")))</f>
        <v>#REF!</v>
      </c>
    </row>
    <row r="458" ht="99.75" spans="1:29">
      <c r="A458" s="2" t="s">
        <v>30</v>
      </c>
      <c r="B458" s="2" t="s">
        <v>31</v>
      </c>
      <c r="C458" s="3" t="s">
        <v>1983</v>
      </c>
      <c r="D458" s="3" t="s">
        <v>1984</v>
      </c>
      <c r="E458" s="3" t="s">
        <v>834</v>
      </c>
      <c r="F458" s="4">
        <v>200000</v>
      </c>
      <c r="G458" s="4">
        <v>1500000</v>
      </c>
      <c r="H458" s="4">
        <v>200000</v>
      </c>
      <c r="I458" s="4">
        <v>0</v>
      </c>
      <c r="J458" s="2" t="s">
        <v>1985</v>
      </c>
      <c r="K458" s="4">
        <v>3450000</v>
      </c>
      <c r="L458" s="4">
        <v>0</v>
      </c>
      <c r="M458" s="4">
        <v>1550000</v>
      </c>
      <c r="N458" s="4">
        <v>80780000</v>
      </c>
      <c r="O458" s="4">
        <v>1950000</v>
      </c>
      <c r="P458" s="5">
        <v>0.434783</v>
      </c>
      <c r="Q458" s="5">
        <v>0.794872</v>
      </c>
      <c r="R458" s="2" t="s">
        <v>1986</v>
      </c>
      <c r="S458" s="7">
        <f t="shared" si="56"/>
        <v>1550000</v>
      </c>
      <c r="T458" s="7">
        <f t="shared" si="57"/>
        <v>1950000</v>
      </c>
      <c r="U458" s="8">
        <f t="shared" si="58"/>
        <v>0.794871794871795</v>
      </c>
      <c r="V458" s="9" t="e">
        <f>IF(T458&lt;=0,"Output &lt;= 0",IF(U458&gt;#REF!,"Terlalu tinggi",IF(U458&lt;#REF!,"Terlalu rendah","Sesuai")))</f>
        <v>#REF!</v>
      </c>
      <c r="W458" s="7" t="e">
        <f>IF(T458&lt;=0,S458,IF(U458&gt;#REF!,ROUNDDOWN(T458*#REF!,0),IF(U458&lt;#REF!,ROUNDUP(T458*#REF!,0),S458)))</f>
        <v>#REF!</v>
      </c>
      <c r="X458" s="7" t="e">
        <f t="shared" si="59"/>
        <v>#REF!</v>
      </c>
      <c r="Y458" s="7" t="e">
        <f t="shared" si="60"/>
        <v>#REF!</v>
      </c>
      <c r="Z458" s="7" t="e">
        <f t="shared" si="61"/>
        <v>#REF!</v>
      </c>
      <c r="AA458" s="7" t="e">
        <f t="shared" si="62"/>
        <v>#REF!</v>
      </c>
      <c r="AB458" s="8" t="e">
        <f t="shared" si="63"/>
        <v>#REF!</v>
      </c>
      <c r="AC458" s="9" t="e">
        <f>IF(T458&lt;=0,"Output &lt;= 0, cek manual",IF(OR(Z458&lt;0,Y458&lt;0),"Biaya negatif",IF(AND(AB458&gt;=#REF!,AB458&lt;=#REF!),"OK","Di luar rentang")))</f>
        <v>#REF!</v>
      </c>
    </row>
    <row r="459" ht="85.5" spans="1:29">
      <c r="A459" s="2" t="s">
        <v>30</v>
      </c>
      <c r="B459" s="2" t="s">
        <v>31</v>
      </c>
      <c r="C459" s="3" t="s">
        <v>1987</v>
      </c>
      <c r="D459" s="3" t="s">
        <v>1988</v>
      </c>
      <c r="E459" s="3" t="s">
        <v>1988</v>
      </c>
      <c r="F459" s="4">
        <v>240000</v>
      </c>
      <c r="G459" s="4">
        <v>24000000</v>
      </c>
      <c r="H459" s="4">
        <v>1000000</v>
      </c>
      <c r="I459" s="4">
        <v>1080000</v>
      </c>
      <c r="J459" s="2" t="s">
        <v>1989</v>
      </c>
      <c r="K459" s="4">
        <v>36000000</v>
      </c>
      <c r="L459" s="4">
        <v>0</v>
      </c>
      <c r="M459" s="4">
        <v>10760000</v>
      </c>
      <c r="N459" s="4">
        <v>30000000</v>
      </c>
      <c r="O459" s="4">
        <v>12000000</v>
      </c>
      <c r="P459" s="5">
        <v>0.666667</v>
      </c>
      <c r="Q459" s="5">
        <v>0.896667</v>
      </c>
      <c r="R459" s="2" t="s">
        <v>1990</v>
      </c>
      <c r="S459" s="7">
        <f t="shared" si="56"/>
        <v>10760000</v>
      </c>
      <c r="T459" s="7">
        <f t="shared" si="57"/>
        <v>12000000</v>
      </c>
      <c r="U459" s="8">
        <f t="shared" si="58"/>
        <v>0.896666666666667</v>
      </c>
      <c r="V459" s="9" t="e">
        <f>IF(T459&lt;=0,"Output &lt;= 0",IF(U459&gt;#REF!,"Terlalu tinggi",IF(U459&lt;#REF!,"Terlalu rendah","Sesuai")))</f>
        <v>#REF!</v>
      </c>
      <c r="W459" s="7" t="e">
        <f>IF(T459&lt;=0,S459,IF(U459&gt;#REF!,ROUNDDOWN(T459*#REF!,0),IF(U459&lt;#REF!,ROUNDUP(T459*#REF!,0),S459)))</f>
        <v>#REF!</v>
      </c>
      <c r="X459" s="7" t="e">
        <f t="shared" si="59"/>
        <v>#REF!</v>
      </c>
      <c r="Y459" s="7" t="e">
        <f t="shared" si="60"/>
        <v>#REF!</v>
      </c>
      <c r="Z459" s="7" t="e">
        <f t="shared" si="61"/>
        <v>#REF!</v>
      </c>
      <c r="AA459" s="7" t="e">
        <f t="shared" si="62"/>
        <v>#REF!</v>
      </c>
      <c r="AB459" s="8" t="e">
        <f t="shared" si="63"/>
        <v>#REF!</v>
      </c>
      <c r="AC459" s="9" t="e">
        <f>IF(T459&lt;=0,"Output &lt;= 0, cek manual",IF(OR(Z459&lt;0,Y459&lt;0),"Biaya negatif",IF(AND(AB459&gt;=#REF!,AB459&lt;=#REF!),"OK","Di luar rentang")))</f>
        <v>#REF!</v>
      </c>
    </row>
    <row r="460" ht="128.25" spans="1:29">
      <c r="A460" s="2" t="s">
        <v>30</v>
      </c>
      <c r="B460" s="2" t="s">
        <v>31</v>
      </c>
      <c r="C460" s="3" t="s">
        <v>1991</v>
      </c>
      <c r="D460" s="3" t="s">
        <v>1992</v>
      </c>
      <c r="E460" s="3" t="s">
        <v>1993</v>
      </c>
      <c r="F460" s="4">
        <v>0</v>
      </c>
      <c r="G460" s="4">
        <v>10000000</v>
      </c>
      <c r="H460" s="4">
        <v>1500000</v>
      </c>
      <c r="I460" s="4">
        <v>0</v>
      </c>
      <c r="J460" s="2" t="s">
        <v>1994</v>
      </c>
      <c r="K460" s="4">
        <v>20500000</v>
      </c>
      <c r="L460" s="4">
        <v>0</v>
      </c>
      <c r="M460" s="4">
        <v>9000000</v>
      </c>
      <c r="N460" s="4">
        <v>2500000</v>
      </c>
      <c r="O460" s="4">
        <v>10500000</v>
      </c>
      <c r="P460" s="5">
        <v>0.487805</v>
      </c>
      <c r="Q460" s="5">
        <v>0.857143</v>
      </c>
      <c r="R460" s="2" t="s">
        <v>1995</v>
      </c>
      <c r="S460" s="7">
        <f t="shared" si="56"/>
        <v>9000000</v>
      </c>
      <c r="T460" s="7">
        <f t="shared" si="57"/>
        <v>10500000</v>
      </c>
      <c r="U460" s="8">
        <f t="shared" si="58"/>
        <v>0.857142857142857</v>
      </c>
      <c r="V460" s="9" t="e">
        <f>IF(T460&lt;=0,"Output &lt;= 0",IF(U460&gt;#REF!,"Terlalu tinggi",IF(U460&lt;#REF!,"Terlalu rendah","Sesuai")))</f>
        <v>#REF!</v>
      </c>
      <c r="W460" s="7" t="e">
        <f>IF(T460&lt;=0,S460,IF(U460&gt;#REF!,ROUNDDOWN(T460*#REF!,0),IF(U460&lt;#REF!,ROUNDUP(T460*#REF!,0),S460)))</f>
        <v>#REF!</v>
      </c>
      <c r="X460" s="7" t="e">
        <f t="shared" si="59"/>
        <v>#REF!</v>
      </c>
      <c r="Y460" s="7" t="e">
        <f t="shared" si="60"/>
        <v>#REF!</v>
      </c>
      <c r="Z460" s="7" t="e">
        <f t="shared" si="61"/>
        <v>#REF!</v>
      </c>
      <c r="AA460" s="7" t="e">
        <f t="shared" si="62"/>
        <v>#REF!</v>
      </c>
      <c r="AB460" s="8" t="e">
        <f t="shared" si="63"/>
        <v>#REF!</v>
      </c>
      <c r="AC460" s="9" t="e">
        <f>IF(T460&lt;=0,"Output &lt;= 0, cek manual",IF(OR(Z460&lt;0,Y460&lt;0),"Biaya negatif",IF(AND(AB460&gt;=#REF!,AB460&lt;=#REF!),"OK","Di luar rentang")))</f>
        <v>#REF!</v>
      </c>
    </row>
    <row r="461" ht="114" spans="1:29">
      <c r="A461" s="2" t="s">
        <v>30</v>
      </c>
      <c r="B461" s="2" t="s">
        <v>31</v>
      </c>
      <c r="C461" s="3" t="s">
        <v>1996</v>
      </c>
      <c r="D461" s="3" t="s">
        <v>91</v>
      </c>
      <c r="E461" s="3" t="s">
        <v>1997</v>
      </c>
      <c r="F461" s="4">
        <v>1000000</v>
      </c>
      <c r="G461" s="4">
        <v>10000000</v>
      </c>
      <c r="H461" s="4">
        <v>500000</v>
      </c>
      <c r="I461" s="4">
        <v>0</v>
      </c>
      <c r="J461" s="2" t="s">
        <v>1994</v>
      </c>
      <c r="K461" s="4">
        <v>17000000</v>
      </c>
      <c r="L461" s="4">
        <v>0</v>
      </c>
      <c r="M461" s="4">
        <v>5500000</v>
      </c>
      <c r="N461" s="4">
        <v>8000000</v>
      </c>
      <c r="O461" s="4">
        <v>7000000</v>
      </c>
      <c r="P461" s="5">
        <v>0.588235</v>
      </c>
      <c r="Q461" s="5">
        <v>0.785714</v>
      </c>
      <c r="R461" s="2" t="s">
        <v>1998</v>
      </c>
      <c r="S461" s="7">
        <f t="shared" si="56"/>
        <v>5500000</v>
      </c>
      <c r="T461" s="7">
        <f t="shared" si="57"/>
        <v>7000000</v>
      </c>
      <c r="U461" s="8">
        <f t="shared" si="58"/>
        <v>0.785714285714286</v>
      </c>
      <c r="V461" s="9" t="e">
        <f>IF(T461&lt;=0,"Output &lt;= 0",IF(U461&gt;#REF!,"Terlalu tinggi",IF(U461&lt;#REF!,"Terlalu rendah","Sesuai")))</f>
        <v>#REF!</v>
      </c>
      <c r="W461" s="7" t="e">
        <f>IF(T461&lt;=0,S461,IF(U461&gt;#REF!,ROUNDDOWN(T461*#REF!,0),IF(U461&lt;#REF!,ROUNDUP(T461*#REF!,0),S461)))</f>
        <v>#REF!</v>
      </c>
      <c r="X461" s="7" t="e">
        <f t="shared" si="59"/>
        <v>#REF!</v>
      </c>
      <c r="Y461" s="7" t="e">
        <f t="shared" si="60"/>
        <v>#REF!</v>
      </c>
      <c r="Z461" s="7" t="e">
        <f t="shared" si="61"/>
        <v>#REF!</v>
      </c>
      <c r="AA461" s="7" t="e">
        <f t="shared" si="62"/>
        <v>#REF!</v>
      </c>
      <c r="AB461" s="8" t="e">
        <f t="shared" si="63"/>
        <v>#REF!</v>
      </c>
      <c r="AC461" s="9" t="e">
        <f>IF(T461&lt;=0,"Output &lt;= 0, cek manual",IF(OR(Z461&lt;0,Y461&lt;0),"Biaya negatif",IF(AND(AB461&gt;=#REF!,AB461&lt;=#REF!),"OK","Di luar rentang")))</f>
        <v>#REF!</v>
      </c>
    </row>
    <row r="462" ht="57" spans="1:29">
      <c r="A462" s="2" t="s">
        <v>30</v>
      </c>
      <c r="B462" s="2" t="s">
        <v>31</v>
      </c>
      <c r="C462" s="3" t="s">
        <v>1999</v>
      </c>
      <c r="D462" s="3" t="s">
        <v>228</v>
      </c>
      <c r="E462" s="3" t="s">
        <v>2000</v>
      </c>
      <c r="F462" s="4">
        <v>5000000</v>
      </c>
      <c r="G462" s="4">
        <v>300000</v>
      </c>
      <c r="H462" s="4">
        <v>100000</v>
      </c>
      <c r="I462" s="4">
        <v>0</v>
      </c>
      <c r="J462" s="2" t="s">
        <v>603</v>
      </c>
      <c r="K462" s="4">
        <v>8000000</v>
      </c>
      <c r="L462" s="4">
        <v>0</v>
      </c>
      <c r="M462" s="4">
        <v>2600000</v>
      </c>
      <c r="N462" s="4">
        <v>7000000</v>
      </c>
      <c r="O462" s="4">
        <v>7700000</v>
      </c>
      <c r="P462" s="13">
        <v>0.0375</v>
      </c>
      <c r="Q462" s="5">
        <v>0.337662</v>
      </c>
      <c r="R462" s="2" t="s">
        <v>2001</v>
      </c>
      <c r="S462" s="7">
        <f t="shared" si="56"/>
        <v>2600000</v>
      </c>
      <c r="T462" s="7">
        <f t="shared" si="57"/>
        <v>7700000</v>
      </c>
      <c r="U462" s="8">
        <f t="shared" si="58"/>
        <v>0.337662337662338</v>
      </c>
      <c r="V462" s="9" t="e">
        <f>IF(T462&lt;=0,"Output &lt;= 0",IF(U462&gt;#REF!,"Terlalu tinggi",IF(U462&lt;#REF!,"Terlalu rendah","Sesuai")))</f>
        <v>#REF!</v>
      </c>
      <c r="W462" s="7" t="e">
        <f>IF(T462&lt;=0,S462,IF(U462&gt;#REF!,ROUNDDOWN(T462*#REF!,0),IF(U462&lt;#REF!,ROUNDUP(T462*#REF!,0),S462)))</f>
        <v>#REF!</v>
      </c>
      <c r="X462" s="7" t="e">
        <f t="shared" si="59"/>
        <v>#REF!</v>
      </c>
      <c r="Y462" s="7" t="e">
        <f t="shared" si="60"/>
        <v>#REF!</v>
      </c>
      <c r="Z462" s="7" t="e">
        <f t="shared" si="61"/>
        <v>#REF!</v>
      </c>
      <c r="AA462" s="7" t="e">
        <f t="shared" si="62"/>
        <v>#REF!</v>
      </c>
      <c r="AB462" s="8" t="e">
        <f t="shared" si="63"/>
        <v>#REF!</v>
      </c>
      <c r="AC462" s="9" t="e">
        <f>IF(T462&lt;=0,"Output &lt;= 0, cek manual",IF(OR(Z462&lt;0,Y462&lt;0),"Biaya negatif",IF(AND(AB462&gt;=#REF!,AB462&lt;=#REF!),"OK","Di luar rentang")))</f>
        <v>#REF!</v>
      </c>
    </row>
    <row r="463" ht="99.75" spans="1:29">
      <c r="A463" s="2" t="s">
        <v>30</v>
      </c>
      <c r="B463" s="2" t="s">
        <v>31</v>
      </c>
      <c r="C463" s="3" t="s">
        <v>2002</v>
      </c>
      <c r="D463" s="3" t="s">
        <v>2003</v>
      </c>
      <c r="E463" s="3" t="s">
        <v>2004</v>
      </c>
      <c r="F463" s="4">
        <v>0</v>
      </c>
      <c r="G463" s="4">
        <v>3000000</v>
      </c>
      <c r="H463" s="4">
        <v>900000</v>
      </c>
      <c r="I463" s="4">
        <v>0</v>
      </c>
      <c r="J463" s="2" t="s">
        <v>2005</v>
      </c>
      <c r="K463" s="4">
        <v>5250000</v>
      </c>
      <c r="L463" s="4">
        <v>0</v>
      </c>
      <c r="M463" s="4">
        <v>1350000</v>
      </c>
      <c r="N463" s="4">
        <v>250000</v>
      </c>
      <c r="O463" s="4">
        <v>2250000</v>
      </c>
      <c r="P463" s="5">
        <v>0.571429</v>
      </c>
      <c r="Q463" s="12">
        <v>0.6</v>
      </c>
      <c r="R463" s="2" t="s">
        <v>2006</v>
      </c>
      <c r="S463" s="7">
        <f t="shared" si="56"/>
        <v>1350000</v>
      </c>
      <c r="T463" s="7">
        <f t="shared" si="57"/>
        <v>2250000</v>
      </c>
      <c r="U463" s="8">
        <f t="shared" si="58"/>
        <v>0.6</v>
      </c>
      <c r="V463" s="9" t="e">
        <f>IF(T463&lt;=0,"Output &lt;= 0",IF(U463&gt;#REF!,"Terlalu tinggi",IF(U463&lt;#REF!,"Terlalu rendah","Sesuai")))</f>
        <v>#REF!</v>
      </c>
      <c r="W463" s="7" t="e">
        <f>IF(T463&lt;=0,S463,IF(U463&gt;#REF!,ROUNDDOWN(T463*#REF!,0),IF(U463&lt;#REF!,ROUNDUP(T463*#REF!,0),S463)))</f>
        <v>#REF!</v>
      </c>
      <c r="X463" s="7" t="e">
        <f t="shared" si="59"/>
        <v>#REF!</v>
      </c>
      <c r="Y463" s="7" t="e">
        <f t="shared" si="60"/>
        <v>#REF!</v>
      </c>
      <c r="Z463" s="7" t="e">
        <f t="shared" si="61"/>
        <v>#REF!</v>
      </c>
      <c r="AA463" s="7" t="e">
        <f t="shared" si="62"/>
        <v>#REF!</v>
      </c>
      <c r="AB463" s="8" t="e">
        <f t="shared" si="63"/>
        <v>#REF!</v>
      </c>
      <c r="AC463" s="9" t="e">
        <f>IF(T463&lt;=0,"Output &lt;= 0, cek manual",IF(OR(Z463&lt;0,Y463&lt;0),"Biaya negatif",IF(AND(AB463&gt;=#REF!,AB463&lt;=#REF!),"OK","Di luar rentang")))</f>
        <v>#REF!</v>
      </c>
    </row>
    <row r="464" ht="114" spans="1:29">
      <c r="A464" s="2" t="s">
        <v>30</v>
      </c>
      <c r="B464" s="2" t="s">
        <v>31</v>
      </c>
      <c r="C464" s="3" t="s">
        <v>2007</v>
      </c>
      <c r="D464" s="3" t="s">
        <v>52</v>
      </c>
      <c r="E464" s="3" t="s">
        <v>2008</v>
      </c>
      <c r="F464" s="4">
        <v>60000</v>
      </c>
      <c r="G464" s="4">
        <v>43200000</v>
      </c>
      <c r="H464" s="4">
        <v>5760000</v>
      </c>
      <c r="I464" s="4">
        <v>0</v>
      </c>
      <c r="J464" s="2" t="s">
        <v>2009</v>
      </c>
      <c r="K464" s="4">
        <v>56220000</v>
      </c>
      <c r="L464" s="4">
        <v>0</v>
      </c>
      <c r="M464" s="4">
        <v>7200000</v>
      </c>
      <c r="N464" s="4">
        <v>6000000</v>
      </c>
      <c r="O464" s="4">
        <v>13020000</v>
      </c>
      <c r="P464" s="6">
        <v>0.76841</v>
      </c>
      <c r="Q464" s="5">
        <v>0.552995</v>
      </c>
      <c r="R464" s="2" t="s">
        <v>2010</v>
      </c>
      <c r="S464" s="7">
        <f t="shared" si="56"/>
        <v>7200000</v>
      </c>
      <c r="T464" s="7">
        <f t="shared" si="57"/>
        <v>13020000</v>
      </c>
      <c r="U464" s="8">
        <f t="shared" si="58"/>
        <v>0.552995391705069</v>
      </c>
      <c r="V464" s="9" t="e">
        <f>IF(T464&lt;=0,"Output &lt;= 0",IF(U464&gt;#REF!,"Terlalu tinggi",IF(U464&lt;#REF!,"Terlalu rendah","Sesuai")))</f>
        <v>#REF!</v>
      </c>
      <c r="W464" s="7" t="e">
        <f>IF(T464&lt;=0,S464,IF(U464&gt;#REF!,ROUNDDOWN(T464*#REF!,0),IF(U464&lt;#REF!,ROUNDUP(T464*#REF!,0),S464)))</f>
        <v>#REF!</v>
      </c>
      <c r="X464" s="7" t="e">
        <f t="shared" si="59"/>
        <v>#REF!</v>
      </c>
      <c r="Y464" s="7" t="e">
        <f t="shared" si="60"/>
        <v>#REF!</v>
      </c>
      <c r="Z464" s="7" t="e">
        <f t="shared" si="61"/>
        <v>#REF!</v>
      </c>
      <c r="AA464" s="7" t="e">
        <f t="shared" si="62"/>
        <v>#REF!</v>
      </c>
      <c r="AB464" s="8" t="e">
        <f t="shared" si="63"/>
        <v>#REF!</v>
      </c>
      <c r="AC464" s="9" t="e">
        <f>IF(T464&lt;=0,"Output &lt;= 0, cek manual",IF(OR(Z464&lt;0,Y464&lt;0),"Biaya negatif",IF(AND(AB464&gt;=#REF!,AB464&lt;=#REF!),"OK","Di luar rentang")))</f>
        <v>#REF!</v>
      </c>
    </row>
    <row r="465" ht="114" spans="1:29">
      <c r="A465" s="2" t="s">
        <v>30</v>
      </c>
      <c r="B465" s="2" t="s">
        <v>31</v>
      </c>
      <c r="C465" s="3" t="s">
        <v>2011</v>
      </c>
      <c r="D465" s="3" t="s">
        <v>2012</v>
      </c>
      <c r="E465" s="3" t="s">
        <v>987</v>
      </c>
      <c r="F465" s="4">
        <v>0</v>
      </c>
      <c r="G465" s="4">
        <v>3500000</v>
      </c>
      <c r="H465" s="4">
        <v>350000</v>
      </c>
      <c r="I465" s="4">
        <v>0</v>
      </c>
      <c r="J465" s="2" t="s">
        <v>2013</v>
      </c>
      <c r="K465" s="4">
        <v>6500000</v>
      </c>
      <c r="L465" s="4">
        <v>0</v>
      </c>
      <c r="M465" s="4">
        <v>2650000</v>
      </c>
      <c r="N465" s="4">
        <v>4000000</v>
      </c>
      <c r="O465" s="4">
        <v>3000000</v>
      </c>
      <c r="P465" s="5">
        <v>0.538462</v>
      </c>
      <c r="Q465" s="5">
        <v>0.883333</v>
      </c>
      <c r="R465" s="2" t="s">
        <v>2014</v>
      </c>
      <c r="S465" s="7">
        <f t="shared" si="56"/>
        <v>2650000</v>
      </c>
      <c r="T465" s="7">
        <f t="shared" si="57"/>
        <v>3000000</v>
      </c>
      <c r="U465" s="8">
        <f t="shared" si="58"/>
        <v>0.883333333333333</v>
      </c>
      <c r="V465" s="9" t="e">
        <f>IF(T465&lt;=0,"Output &lt;= 0",IF(U465&gt;#REF!,"Terlalu tinggi",IF(U465&lt;#REF!,"Terlalu rendah","Sesuai")))</f>
        <v>#REF!</v>
      </c>
      <c r="W465" s="7" t="e">
        <f>IF(T465&lt;=0,S465,IF(U465&gt;#REF!,ROUNDDOWN(T465*#REF!,0),IF(U465&lt;#REF!,ROUNDUP(T465*#REF!,0),S465)))</f>
        <v>#REF!</v>
      </c>
      <c r="X465" s="7" t="e">
        <f t="shared" si="59"/>
        <v>#REF!</v>
      </c>
      <c r="Y465" s="7" t="e">
        <f t="shared" si="60"/>
        <v>#REF!</v>
      </c>
      <c r="Z465" s="7" t="e">
        <f t="shared" si="61"/>
        <v>#REF!</v>
      </c>
      <c r="AA465" s="7" t="e">
        <f t="shared" si="62"/>
        <v>#REF!</v>
      </c>
      <c r="AB465" s="8" t="e">
        <f t="shared" si="63"/>
        <v>#REF!</v>
      </c>
      <c r="AC465" s="9" t="e">
        <f>IF(T465&lt;=0,"Output &lt;= 0, cek manual",IF(OR(Z465&lt;0,Y465&lt;0),"Biaya negatif",IF(AND(AB465&gt;=#REF!,AB465&lt;=#REF!),"OK","Di luar rentang")))</f>
        <v>#REF!</v>
      </c>
    </row>
    <row r="466" ht="99.75" spans="1:29">
      <c r="A466" s="2" t="s">
        <v>30</v>
      </c>
      <c r="B466" s="2" t="s">
        <v>31</v>
      </c>
      <c r="C466" s="3" t="s">
        <v>32</v>
      </c>
      <c r="D466" s="3" t="s">
        <v>546</v>
      </c>
      <c r="E466" s="3" t="s">
        <v>2015</v>
      </c>
      <c r="F466" s="4">
        <v>800000</v>
      </c>
      <c r="G466" s="4">
        <v>1100000</v>
      </c>
      <c r="H466" s="4">
        <v>150000</v>
      </c>
      <c r="I466" s="4">
        <v>0</v>
      </c>
      <c r="J466" s="2" t="s">
        <v>370</v>
      </c>
      <c r="K466" s="4">
        <v>3000000</v>
      </c>
      <c r="L466" s="4">
        <v>200000</v>
      </c>
      <c r="M466" s="4">
        <v>950000</v>
      </c>
      <c r="N466" s="4">
        <v>350000</v>
      </c>
      <c r="O466" s="4">
        <v>1900000</v>
      </c>
      <c r="P466" s="5">
        <v>0.366667</v>
      </c>
      <c r="Q466" s="12">
        <v>0.5</v>
      </c>
      <c r="R466" s="2" t="s">
        <v>2016</v>
      </c>
      <c r="S466" s="7">
        <f t="shared" si="56"/>
        <v>950000</v>
      </c>
      <c r="T466" s="7">
        <f t="shared" si="57"/>
        <v>1900000</v>
      </c>
      <c r="U466" s="8">
        <f t="shared" si="58"/>
        <v>0.5</v>
      </c>
      <c r="V466" s="9" t="e">
        <f>IF(T466&lt;=0,"Output &lt;= 0",IF(U466&gt;#REF!,"Terlalu tinggi",IF(U466&lt;#REF!,"Terlalu rendah","Sesuai")))</f>
        <v>#REF!</v>
      </c>
      <c r="W466" s="7" t="e">
        <f>IF(T466&lt;=0,S466,IF(U466&gt;#REF!,ROUNDDOWN(T466*#REF!,0),IF(U466&lt;#REF!,ROUNDUP(T466*#REF!,0),S466)))</f>
        <v>#REF!</v>
      </c>
      <c r="X466" s="7" t="e">
        <f t="shared" si="59"/>
        <v>#REF!</v>
      </c>
      <c r="Y466" s="7" t="e">
        <f t="shared" si="60"/>
        <v>#REF!</v>
      </c>
      <c r="Z466" s="7" t="e">
        <f t="shared" si="61"/>
        <v>#REF!</v>
      </c>
      <c r="AA466" s="7" t="e">
        <f t="shared" si="62"/>
        <v>#REF!</v>
      </c>
      <c r="AB466" s="8" t="e">
        <f t="shared" si="63"/>
        <v>#REF!</v>
      </c>
      <c r="AC466" s="9" t="e">
        <f>IF(T466&lt;=0,"Output &lt;= 0, cek manual",IF(OR(Z466&lt;0,Y466&lt;0),"Biaya negatif",IF(AND(AB466&gt;=#REF!,AB466&lt;=#REF!),"OK","Di luar rentang")))</f>
        <v>#REF!</v>
      </c>
    </row>
    <row r="467" ht="57" spans="1:29">
      <c r="A467" s="2" t="s">
        <v>30</v>
      </c>
      <c r="B467" s="2" t="s">
        <v>31</v>
      </c>
      <c r="C467" s="3" t="s">
        <v>2017</v>
      </c>
      <c r="D467" s="3" t="s">
        <v>228</v>
      </c>
      <c r="E467" s="3" t="s">
        <v>2018</v>
      </c>
      <c r="F467" s="4">
        <v>500000</v>
      </c>
      <c r="G467" s="4">
        <v>3000000</v>
      </c>
      <c r="H467" s="4">
        <v>0</v>
      </c>
      <c r="I467" s="4">
        <v>0</v>
      </c>
      <c r="J467" s="2" t="s">
        <v>1626</v>
      </c>
      <c r="K467" s="4">
        <v>6000000</v>
      </c>
      <c r="L467" s="4">
        <v>0</v>
      </c>
      <c r="M467" s="4">
        <v>2500000</v>
      </c>
      <c r="N467" s="4">
        <v>0</v>
      </c>
      <c r="O467" s="4">
        <v>3000000</v>
      </c>
      <c r="P467" s="12">
        <v>0.5</v>
      </c>
      <c r="Q467" s="5">
        <v>0.833333</v>
      </c>
      <c r="R467" s="2" t="s">
        <v>2019</v>
      </c>
      <c r="S467" s="7">
        <f t="shared" si="56"/>
        <v>2500000</v>
      </c>
      <c r="T467" s="7">
        <f t="shared" si="57"/>
        <v>3000000</v>
      </c>
      <c r="U467" s="8">
        <f t="shared" si="58"/>
        <v>0.833333333333333</v>
      </c>
      <c r="V467" s="9" t="e">
        <f>IF(T467&lt;=0,"Output &lt;= 0",IF(U467&gt;#REF!,"Terlalu tinggi",IF(U467&lt;#REF!,"Terlalu rendah","Sesuai")))</f>
        <v>#REF!</v>
      </c>
      <c r="W467" s="7" t="e">
        <f>IF(T467&lt;=0,S467,IF(U467&gt;#REF!,ROUNDDOWN(T467*#REF!,0),IF(U467&lt;#REF!,ROUNDUP(T467*#REF!,0),S467)))</f>
        <v>#REF!</v>
      </c>
      <c r="X467" s="7" t="e">
        <f t="shared" si="59"/>
        <v>#REF!</v>
      </c>
      <c r="Y467" s="7" t="e">
        <f t="shared" si="60"/>
        <v>#REF!</v>
      </c>
      <c r="Z467" s="7" t="e">
        <f t="shared" si="61"/>
        <v>#REF!</v>
      </c>
      <c r="AA467" s="7" t="e">
        <f t="shared" si="62"/>
        <v>#REF!</v>
      </c>
      <c r="AB467" s="8" t="e">
        <f t="shared" si="63"/>
        <v>#REF!</v>
      </c>
      <c r="AC467" s="9" t="e">
        <f>IF(T467&lt;=0,"Output &lt;= 0, cek manual",IF(OR(Z467&lt;0,Y467&lt;0),"Biaya negatif",IF(AND(AB467&gt;=#REF!,AB467&lt;=#REF!),"OK","Di luar rentang")))</f>
        <v>#REF!</v>
      </c>
    </row>
    <row r="468" ht="57" spans="1:29">
      <c r="A468" s="2" t="s">
        <v>30</v>
      </c>
      <c r="B468" s="2" t="s">
        <v>31</v>
      </c>
      <c r="C468" s="3" t="s">
        <v>2020</v>
      </c>
      <c r="D468" s="3" t="s">
        <v>2021</v>
      </c>
      <c r="E468" s="3" t="s">
        <v>2022</v>
      </c>
      <c r="F468" s="4">
        <v>6000000</v>
      </c>
      <c r="G468" s="4">
        <v>0</v>
      </c>
      <c r="H468" s="4">
        <v>200000</v>
      </c>
      <c r="I468" s="4">
        <v>300000</v>
      </c>
      <c r="J468" s="2" t="s">
        <v>353</v>
      </c>
      <c r="K468" s="4">
        <v>6000000</v>
      </c>
      <c r="L468" s="4">
        <v>10000000</v>
      </c>
      <c r="M468" s="4">
        <v>-200000</v>
      </c>
      <c r="N468" s="4">
        <v>30000000</v>
      </c>
      <c r="O468" s="4">
        <v>6000000</v>
      </c>
      <c r="P468" s="4">
        <v>0</v>
      </c>
      <c r="Q468" s="5">
        <v>-0.033333</v>
      </c>
      <c r="R468" s="2" t="s">
        <v>2023</v>
      </c>
      <c r="S468" s="7">
        <f t="shared" si="56"/>
        <v>-200000</v>
      </c>
      <c r="T468" s="7">
        <f t="shared" si="57"/>
        <v>6000000</v>
      </c>
      <c r="U468" s="8">
        <f t="shared" si="58"/>
        <v>-0.0333333333333333</v>
      </c>
      <c r="V468" s="9" t="e">
        <f>IF(T468&lt;=0,"Output &lt;= 0",IF(U468&gt;#REF!,"Terlalu tinggi",IF(U468&lt;#REF!,"Terlalu rendah","Sesuai")))</f>
        <v>#REF!</v>
      </c>
      <c r="W468" s="7" t="e">
        <f>IF(T468&lt;=0,S468,IF(U468&gt;#REF!,ROUNDDOWN(T468*#REF!,0),IF(U468&lt;#REF!,ROUNDUP(T468*#REF!,0),S468)))</f>
        <v>#REF!</v>
      </c>
      <c r="X468" s="7" t="e">
        <f t="shared" si="59"/>
        <v>#REF!</v>
      </c>
      <c r="Y468" s="7" t="e">
        <f t="shared" si="60"/>
        <v>#REF!</v>
      </c>
      <c r="Z468" s="7" t="e">
        <f t="shared" si="61"/>
        <v>#REF!</v>
      </c>
      <c r="AA468" s="7" t="e">
        <f t="shared" si="62"/>
        <v>#REF!</v>
      </c>
      <c r="AB468" s="8" t="e">
        <f t="shared" si="63"/>
        <v>#REF!</v>
      </c>
      <c r="AC468" s="9" t="e">
        <f>IF(T468&lt;=0,"Output &lt;= 0, cek manual",IF(OR(Z468&lt;0,Y468&lt;0),"Biaya negatif",IF(AND(AB468&gt;=#REF!,AB468&lt;=#REF!),"OK","Di luar rentang")))</f>
        <v>#REF!</v>
      </c>
    </row>
    <row r="469" ht="57" spans="1:29">
      <c r="A469" s="2" t="s">
        <v>30</v>
      </c>
      <c r="B469" s="2" t="s">
        <v>31</v>
      </c>
      <c r="C469" s="3" t="s">
        <v>2024</v>
      </c>
      <c r="D469" s="3" t="s">
        <v>91</v>
      </c>
      <c r="E469" s="3" t="s">
        <v>198</v>
      </c>
      <c r="F469" s="4">
        <v>1000000</v>
      </c>
      <c r="G469" s="4">
        <v>500000</v>
      </c>
      <c r="H469" s="4">
        <v>300000</v>
      </c>
      <c r="I469" s="4">
        <v>0</v>
      </c>
      <c r="J469" s="2" t="s">
        <v>157</v>
      </c>
      <c r="K469" s="4">
        <v>2500000</v>
      </c>
      <c r="L469" s="4">
        <v>0</v>
      </c>
      <c r="M469" s="4">
        <v>700000</v>
      </c>
      <c r="N469" s="4">
        <v>5000000</v>
      </c>
      <c r="O469" s="4">
        <v>2000000</v>
      </c>
      <c r="P469" s="12">
        <v>0.2</v>
      </c>
      <c r="Q469" s="11">
        <v>0.35</v>
      </c>
      <c r="R469" s="2" t="s">
        <v>2025</v>
      </c>
      <c r="S469" s="7">
        <f t="shared" si="56"/>
        <v>700000</v>
      </c>
      <c r="T469" s="7">
        <f t="shared" si="57"/>
        <v>2000000</v>
      </c>
      <c r="U469" s="8">
        <f t="shared" si="58"/>
        <v>0.35</v>
      </c>
      <c r="V469" s="9" t="e">
        <f>IF(T469&lt;=0,"Output &lt;= 0",IF(U469&gt;#REF!,"Terlalu tinggi",IF(U469&lt;#REF!,"Terlalu rendah","Sesuai")))</f>
        <v>#REF!</v>
      </c>
      <c r="W469" s="7" t="e">
        <f>IF(T469&lt;=0,S469,IF(U469&gt;#REF!,ROUNDDOWN(T469*#REF!,0),IF(U469&lt;#REF!,ROUNDUP(T469*#REF!,0),S469)))</f>
        <v>#REF!</v>
      </c>
      <c r="X469" s="7" t="e">
        <f t="shared" si="59"/>
        <v>#REF!</v>
      </c>
      <c r="Y469" s="7" t="e">
        <f t="shared" si="60"/>
        <v>#REF!</v>
      </c>
      <c r="Z469" s="7" t="e">
        <f t="shared" si="61"/>
        <v>#REF!</v>
      </c>
      <c r="AA469" s="7" t="e">
        <f t="shared" si="62"/>
        <v>#REF!</v>
      </c>
      <c r="AB469" s="8" t="e">
        <f t="shared" si="63"/>
        <v>#REF!</v>
      </c>
      <c r="AC469" s="9" t="e">
        <f>IF(T469&lt;=0,"Output &lt;= 0, cek manual",IF(OR(Z469&lt;0,Y469&lt;0),"Biaya negatif",IF(AND(AB469&gt;=#REF!,AB469&lt;=#REF!),"OK","Di luar rentang")))</f>
        <v>#REF!</v>
      </c>
    </row>
    <row r="470" ht="114" spans="1:29">
      <c r="A470" s="2" t="s">
        <v>30</v>
      </c>
      <c r="B470" s="2" t="s">
        <v>31</v>
      </c>
      <c r="C470" s="3" t="s">
        <v>2026</v>
      </c>
      <c r="D470" s="3" t="s">
        <v>1557</v>
      </c>
      <c r="E470" s="3" t="s">
        <v>1496</v>
      </c>
      <c r="F470" s="4">
        <v>0</v>
      </c>
      <c r="G470" s="4">
        <v>2600000</v>
      </c>
      <c r="H470" s="4">
        <v>310000</v>
      </c>
      <c r="I470" s="4">
        <v>0</v>
      </c>
      <c r="J470" s="2" t="s">
        <v>2027</v>
      </c>
      <c r="K470" s="4">
        <v>4200000</v>
      </c>
      <c r="L470" s="4">
        <v>0</v>
      </c>
      <c r="M470" s="4">
        <v>1290000</v>
      </c>
      <c r="N470" s="4">
        <v>0</v>
      </c>
      <c r="O470" s="4">
        <v>1600000</v>
      </c>
      <c r="P470" s="5">
        <v>0.619048</v>
      </c>
      <c r="Q470" s="6">
        <v>0.80625</v>
      </c>
      <c r="R470" s="2" t="s">
        <v>2028</v>
      </c>
      <c r="S470" s="7">
        <f t="shared" si="56"/>
        <v>1290000</v>
      </c>
      <c r="T470" s="7">
        <f t="shared" si="57"/>
        <v>1600000</v>
      </c>
      <c r="U470" s="8">
        <f t="shared" si="58"/>
        <v>0.80625</v>
      </c>
      <c r="V470" s="9" t="e">
        <f>IF(T470&lt;=0,"Output &lt;= 0",IF(U470&gt;#REF!,"Terlalu tinggi",IF(U470&lt;#REF!,"Terlalu rendah","Sesuai")))</f>
        <v>#REF!</v>
      </c>
      <c r="W470" s="7" t="e">
        <f>IF(T470&lt;=0,S470,IF(U470&gt;#REF!,ROUNDDOWN(T470*#REF!,0),IF(U470&lt;#REF!,ROUNDUP(T470*#REF!,0),S470)))</f>
        <v>#REF!</v>
      </c>
      <c r="X470" s="7" t="e">
        <f t="shared" si="59"/>
        <v>#REF!</v>
      </c>
      <c r="Y470" s="7" t="e">
        <f t="shared" si="60"/>
        <v>#REF!</v>
      </c>
      <c r="Z470" s="7" t="e">
        <f t="shared" si="61"/>
        <v>#REF!</v>
      </c>
      <c r="AA470" s="7" t="e">
        <f t="shared" si="62"/>
        <v>#REF!</v>
      </c>
      <c r="AB470" s="8" t="e">
        <f t="shared" si="63"/>
        <v>#REF!</v>
      </c>
      <c r="AC470" s="9" t="e">
        <f>IF(T470&lt;=0,"Output &lt;= 0, cek manual",IF(OR(Z470&lt;0,Y470&lt;0),"Biaya negatif",IF(AND(AB470&gt;=#REF!,AB470&lt;=#REF!),"OK","Di luar rentang")))</f>
        <v>#REF!</v>
      </c>
    </row>
    <row r="471" ht="114" spans="1:29">
      <c r="A471" s="2" t="s">
        <v>30</v>
      </c>
      <c r="B471" s="2" t="s">
        <v>31</v>
      </c>
      <c r="C471" s="3" t="s">
        <v>2029</v>
      </c>
      <c r="D471" s="3" t="s">
        <v>2030</v>
      </c>
      <c r="E471" s="3" t="s">
        <v>2031</v>
      </c>
      <c r="F471" s="4">
        <v>600000</v>
      </c>
      <c r="G471" s="4">
        <v>14400000</v>
      </c>
      <c r="H471" s="4">
        <v>0</v>
      </c>
      <c r="I471" s="4">
        <v>0</v>
      </c>
      <c r="J471" s="2" t="s">
        <v>878</v>
      </c>
      <c r="K471" s="4">
        <v>18000000</v>
      </c>
      <c r="L471" s="4">
        <v>0</v>
      </c>
      <c r="M471" s="4">
        <v>3000000</v>
      </c>
      <c r="N471" s="4">
        <v>4000000</v>
      </c>
      <c r="O471" s="4">
        <v>3600000</v>
      </c>
      <c r="P471" s="12">
        <v>0.8</v>
      </c>
      <c r="Q471" s="5">
        <v>0.833333</v>
      </c>
      <c r="R471" s="2" t="s">
        <v>2032</v>
      </c>
      <c r="S471" s="7">
        <f t="shared" si="56"/>
        <v>3000000</v>
      </c>
      <c r="T471" s="7">
        <f t="shared" si="57"/>
        <v>3600000</v>
      </c>
      <c r="U471" s="8">
        <f t="shared" si="58"/>
        <v>0.833333333333333</v>
      </c>
      <c r="V471" s="9" t="e">
        <f>IF(T471&lt;=0,"Output &lt;= 0",IF(U471&gt;#REF!,"Terlalu tinggi",IF(U471&lt;#REF!,"Terlalu rendah","Sesuai")))</f>
        <v>#REF!</v>
      </c>
      <c r="W471" s="7" t="e">
        <f>IF(T471&lt;=0,S471,IF(U471&gt;#REF!,ROUNDDOWN(T471*#REF!,0),IF(U471&lt;#REF!,ROUNDUP(T471*#REF!,0),S471)))</f>
        <v>#REF!</v>
      </c>
      <c r="X471" s="7" t="e">
        <f t="shared" si="59"/>
        <v>#REF!</v>
      </c>
      <c r="Y471" s="7" t="e">
        <f t="shared" si="60"/>
        <v>#REF!</v>
      </c>
      <c r="Z471" s="7" t="e">
        <f t="shared" si="61"/>
        <v>#REF!</v>
      </c>
      <c r="AA471" s="7" t="e">
        <f t="shared" si="62"/>
        <v>#REF!</v>
      </c>
      <c r="AB471" s="8" t="e">
        <f t="shared" si="63"/>
        <v>#REF!</v>
      </c>
      <c r="AC471" s="9" t="e">
        <f>IF(T471&lt;=0,"Output &lt;= 0, cek manual",IF(OR(Z471&lt;0,Y471&lt;0),"Biaya negatif",IF(AND(AB471&gt;=#REF!,AB471&lt;=#REF!),"OK","Di luar rentang")))</f>
        <v>#REF!</v>
      </c>
    </row>
    <row r="472" ht="71.25" spans="1:29">
      <c r="A472" s="2" t="s">
        <v>30</v>
      </c>
      <c r="B472" s="2" t="s">
        <v>31</v>
      </c>
      <c r="C472" s="3" t="s">
        <v>2033</v>
      </c>
      <c r="D472" s="3" t="s">
        <v>62</v>
      </c>
      <c r="E472" s="3" t="s">
        <v>987</v>
      </c>
      <c r="F472" s="4">
        <v>0</v>
      </c>
      <c r="G472" s="4">
        <v>500000</v>
      </c>
      <c r="H472" s="4">
        <v>50000</v>
      </c>
      <c r="I472" s="4">
        <v>0</v>
      </c>
      <c r="J472" s="2" t="s">
        <v>914</v>
      </c>
      <c r="K472" s="4">
        <v>2400000</v>
      </c>
      <c r="L472" s="4">
        <v>0</v>
      </c>
      <c r="M472" s="4">
        <v>1850000</v>
      </c>
      <c r="N472" s="4">
        <v>0</v>
      </c>
      <c r="O472" s="4">
        <v>1900000</v>
      </c>
      <c r="P472" s="5">
        <v>0.208333</v>
      </c>
      <c r="Q472" s="5">
        <v>0.973684</v>
      </c>
      <c r="R472" s="2" t="s">
        <v>2034</v>
      </c>
      <c r="S472" s="7">
        <f t="shared" si="56"/>
        <v>1850000</v>
      </c>
      <c r="T472" s="7">
        <f t="shared" si="57"/>
        <v>1900000</v>
      </c>
      <c r="U472" s="8">
        <f t="shared" si="58"/>
        <v>0.973684210526316</v>
      </c>
      <c r="V472" s="9" t="e">
        <f>IF(T472&lt;=0,"Output &lt;= 0",IF(U472&gt;#REF!,"Terlalu tinggi",IF(U472&lt;#REF!,"Terlalu rendah","Sesuai")))</f>
        <v>#REF!</v>
      </c>
      <c r="W472" s="7" t="e">
        <f>IF(T472&lt;=0,S472,IF(U472&gt;#REF!,ROUNDDOWN(T472*#REF!,0),IF(U472&lt;#REF!,ROUNDUP(T472*#REF!,0),S472)))</f>
        <v>#REF!</v>
      </c>
      <c r="X472" s="7" t="e">
        <f t="shared" si="59"/>
        <v>#REF!</v>
      </c>
      <c r="Y472" s="7" t="e">
        <f t="shared" si="60"/>
        <v>#REF!</v>
      </c>
      <c r="Z472" s="7" t="e">
        <f t="shared" si="61"/>
        <v>#REF!</v>
      </c>
      <c r="AA472" s="7" t="e">
        <f t="shared" si="62"/>
        <v>#REF!</v>
      </c>
      <c r="AB472" s="8" t="e">
        <f t="shared" si="63"/>
        <v>#REF!</v>
      </c>
      <c r="AC472" s="9" t="e">
        <f>IF(T472&lt;=0,"Output &lt;= 0, cek manual",IF(OR(Z472&lt;0,Y472&lt;0),"Biaya negatif",IF(AND(AB472&gt;=#REF!,AB472&lt;=#REF!),"OK","Di luar rentang")))</f>
        <v>#REF!</v>
      </c>
    </row>
    <row r="473" ht="85.5" spans="1:29">
      <c r="A473" s="2" t="s">
        <v>30</v>
      </c>
      <c r="B473" s="2" t="s">
        <v>31</v>
      </c>
      <c r="C473" s="3" t="s">
        <v>2035</v>
      </c>
      <c r="D473" s="3" t="s">
        <v>2036</v>
      </c>
      <c r="E473" s="3" t="s">
        <v>2037</v>
      </c>
      <c r="F473" s="4">
        <v>0</v>
      </c>
      <c r="G473" s="4">
        <v>9500000</v>
      </c>
      <c r="H473" s="4">
        <v>500000</v>
      </c>
      <c r="I473" s="4">
        <v>0</v>
      </c>
      <c r="J473" s="2" t="s">
        <v>309</v>
      </c>
      <c r="K473" s="4">
        <v>15000000</v>
      </c>
      <c r="L473" s="4">
        <v>0</v>
      </c>
      <c r="M473" s="4">
        <v>5000000</v>
      </c>
      <c r="N473" s="4">
        <v>50000000</v>
      </c>
      <c r="O473" s="4">
        <v>5500000</v>
      </c>
      <c r="P473" s="5">
        <v>0.633333</v>
      </c>
      <c r="Q473" s="5">
        <v>0.909091</v>
      </c>
      <c r="R473" s="2" t="s">
        <v>2038</v>
      </c>
      <c r="S473" s="7">
        <f t="shared" si="56"/>
        <v>5000000</v>
      </c>
      <c r="T473" s="7">
        <f t="shared" si="57"/>
        <v>5500000</v>
      </c>
      <c r="U473" s="8">
        <f t="shared" si="58"/>
        <v>0.909090909090909</v>
      </c>
      <c r="V473" s="9" t="e">
        <f>IF(T473&lt;=0,"Output &lt;= 0",IF(U473&gt;#REF!,"Terlalu tinggi",IF(U473&lt;#REF!,"Terlalu rendah","Sesuai")))</f>
        <v>#REF!</v>
      </c>
      <c r="W473" s="7" t="e">
        <f>IF(T473&lt;=0,S473,IF(U473&gt;#REF!,ROUNDDOWN(T473*#REF!,0),IF(U473&lt;#REF!,ROUNDUP(T473*#REF!,0),S473)))</f>
        <v>#REF!</v>
      </c>
      <c r="X473" s="7" t="e">
        <f t="shared" si="59"/>
        <v>#REF!</v>
      </c>
      <c r="Y473" s="7" t="e">
        <f t="shared" si="60"/>
        <v>#REF!</v>
      </c>
      <c r="Z473" s="7" t="e">
        <f t="shared" si="61"/>
        <v>#REF!</v>
      </c>
      <c r="AA473" s="7" t="e">
        <f t="shared" si="62"/>
        <v>#REF!</v>
      </c>
      <c r="AB473" s="8" t="e">
        <f t="shared" si="63"/>
        <v>#REF!</v>
      </c>
      <c r="AC473" s="9" t="e">
        <f>IF(T473&lt;=0,"Output &lt;= 0, cek manual",IF(OR(Z473&lt;0,Y473&lt;0),"Biaya negatif",IF(AND(AB473&gt;=#REF!,AB473&lt;=#REF!),"OK","Di luar rentang")))</f>
        <v>#REF!</v>
      </c>
    </row>
    <row r="474" ht="114" spans="1:29">
      <c r="A474" s="2" t="s">
        <v>30</v>
      </c>
      <c r="B474" s="2" t="s">
        <v>31</v>
      </c>
      <c r="C474" s="3" t="s">
        <v>2039</v>
      </c>
      <c r="D474" s="3" t="s">
        <v>38</v>
      </c>
      <c r="E474" s="3" t="s">
        <v>2040</v>
      </c>
      <c r="F474" s="4">
        <v>5000000</v>
      </c>
      <c r="G474" s="4">
        <v>858000000</v>
      </c>
      <c r="H474" s="4">
        <v>36000000</v>
      </c>
      <c r="I474" s="4">
        <v>13000000</v>
      </c>
      <c r="J474" s="2" t="s">
        <v>2041</v>
      </c>
      <c r="K474" s="4">
        <v>972000000</v>
      </c>
      <c r="L474" s="4">
        <v>0</v>
      </c>
      <c r="M474" s="4">
        <v>73000000</v>
      </c>
      <c r="N474" s="4">
        <v>147500000</v>
      </c>
      <c r="O474" s="4">
        <v>114000000</v>
      </c>
      <c r="P474" s="5">
        <v>0.882716</v>
      </c>
      <c r="Q474" s="5">
        <v>0.640351</v>
      </c>
      <c r="R474" s="2" t="s">
        <v>2042</v>
      </c>
      <c r="S474" s="7">
        <f t="shared" si="56"/>
        <v>73000000</v>
      </c>
      <c r="T474" s="7">
        <f t="shared" si="57"/>
        <v>114000000</v>
      </c>
      <c r="U474" s="8">
        <f t="shared" si="58"/>
        <v>0.640350877192982</v>
      </c>
      <c r="V474" s="9" t="e">
        <f>IF(T474&lt;=0,"Output &lt;= 0",IF(U474&gt;#REF!,"Terlalu tinggi",IF(U474&lt;#REF!,"Terlalu rendah","Sesuai")))</f>
        <v>#REF!</v>
      </c>
      <c r="W474" s="7" t="e">
        <f>IF(T474&lt;=0,S474,IF(U474&gt;#REF!,ROUNDDOWN(T474*#REF!,0),IF(U474&lt;#REF!,ROUNDUP(T474*#REF!,0),S474)))</f>
        <v>#REF!</v>
      </c>
      <c r="X474" s="7" t="e">
        <f t="shared" si="59"/>
        <v>#REF!</v>
      </c>
      <c r="Y474" s="7" t="e">
        <f t="shared" si="60"/>
        <v>#REF!</v>
      </c>
      <c r="Z474" s="7" t="e">
        <f t="shared" si="61"/>
        <v>#REF!</v>
      </c>
      <c r="AA474" s="7" t="e">
        <f t="shared" si="62"/>
        <v>#REF!</v>
      </c>
      <c r="AB474" s="8" t="e">
        <f t="shared" si="63"/>
        <v>#REF!</v>
      </c>
      <c r="AC474" s="9" t="e">
        <f>IF(T474&lt;=0,"Output &lt;= 0, cek manual",IF(OR(Z474&lt;0,Y474&lt;0),"Biaya negatif",IF(AND(AB474&gt;=#REF!,AB474&lt;=#REF!),"OK","Di luar rentang")))</f>
        <v>#REF!</v>
      </c>
    </row>
    <row r="475" ht="71.25" spans="1:29">
      <c r="A475" s="2" t="s">
        <v>30</v>
      </c>
      <c r="B475" s="2" t="s">
        <v>31</v>
      </c>
      <c r="C475" s="3" t="s">
        <v>2043</v>
      </c>
      <c r="D475" s="3" t="s">
        <v>2044</v>
      </c>
      <c r="E475" s="3" t="s">
        <v>2045</v>
      </c>
      <c r="F475" s="4">
        <v>10248000</v>
      </c>
      <c r="G475" s="4">
        <v>31200000</v>
      </c>
      <c r="H475" s="4">
        <v>4080000</v>
      </c>
      <c r="I475" s="4">
        <v>624000</v>
      </c>
      <c r="J475" s="2" t="s">
        <v>2046</v>
      </c>
      <c r="K475" s="4">
        <v>62400000</v>
      </c>
      <c r="L475" s="4">
        <v>0</v>
      </c>
      <c r="M475" s="4">
        <v>16872000</v>
      </c>
      <c r="N475" s="4">
        <v>800000</v>
      </c>
      <c r="O475" s="4">
        <v>31200000</v>
      </c>
      <c r="P475" s="12">
        <v>0.5</v>
      </c>
      <c r="Q475" s="5">
        <v>0.540769</v>
      </c>
      <c r="R475" s="2" t="s">
        <v>2047</v>
      </c>
      <c r="S475" s="7">
        <f t="shared" si="56"/>
        <v>16872000</v>
      </c>
      <c r="T475" s="7">
        <f t="shared" si="57"/>
        <v>31200000</v>
      </c>
      <c r="U475" s="8">
        <f t="shared" si="58"/>
        <v>0.540769230769231</v>
      </c>
      <c r="V475" s="9" t="e">
        <f>IF(T475&lt;=0,"Output &lt;= 0",IF(U475&gt;#REF!,"Terlalu tinggi",IF(U475&lt;#REF!,"Terlalu rendah","Sesuai")))</f>
        <v>#REF!</v>
      </c>
      <c r="W475" s="7" t="e">
        <f>IF(T475&lt;=0,S475,IF(U475&gt;#REF!,ROUNDDOWN(T475*#REF!,0),IF(U475&lt;#REF!,ROUNDUP(T475*#REF!,0),S475)))</f>
        <v>#REF!</v>
      </c>
      <c r="X475" s="7" t="e">
        <f t="shared" si="59"/>
        <v>#REF!</v>
      </c>
      <c r="Y475" s="7" t="e">
        <f t="shared" si="60"/>
        <v>#REF!</v>
      </c>
      <c r="Z475" s="7" t="e">
        <f t="shared" si="61"/>
        <v>#REF!</v>
      </c>
      <c r="AA475" s="7" t="e">
        <f t="shared" si="62"/>
        <v>#REF!</v>
      </c>
      <c r="AB475" s="8" t="e">
        <f t="shared" si="63"/>
        <v>#REF!</v>
      </c>
      <c r="AC475" s="9" t="e">
        <f>IF(T475&lt;=0,"Output &lt;= 0, cek manual",IF(OR(Z475&lt;0,Y475&lt;0),"Biaya negatif",IF(AND(AB475&gt;=#REF!,AB475&lt;=#REF!),"OK","Di luar rentang")))</f>
        <v>#REF!</v>
      </c>
    </row>
    <row r="476" ht="85.5" spans="1:29">
      <c r="A476" s="2" t="s">
        <v>30</v>
      </c>
      <c r="B476" s="2" t="s">
        <v>31</v>
      </c>
      <c r="C476" s="3" t="s">
        <v>2048</v>
      </c>
      <c r="D476" s="3" t="s">
        <v>2049</v>
      </c>
      <c r="E476" s="3" t="s">
        <v>2050</v>
      </c>
      <c r="F476" s="4">
        <v>0</v>
      </c>
      <c r="G476" s="4">
        <v>2500000</v>
      </c>
      <c r="H476" s="4">
        <v>500000</v>
      </c>
      <c r="I476" s="4">
        <v>0</v>
      </c>
      <c r="J476" s="2" t="s">
        <v>281</v>
      </c>
      <c r="K476" s="4">
        <v>5000000</v>
      </c>
      <c r="L476" s="4">
        <v>0</v>
      </c>
      <c r="M476" s="4">
        <v>2000000</v>
      </c>
      <c r="N476" s="4">
        <v>500000</v>
      </c>
      <c r="O476" s="4">
        <v>2500000</v>
      </c>
      <c r="P476" s="12">
        <v>0.5</v>
      </c>
      <c r="Q476" s="12">
        <v>0.8</v>
      </c>
      <c r="R476" s="2" t="s">
        <v>2051</v>
      </c>
      <c r="S476" s="7">
        <f t="shared" si="56"/>
        <v>2000000</v>
      </c>
      <c r="T476" s="7">
        <f t="shared" si="57"/>
        <v>2500000</v>
      </c>
      <c r="U476" s="8">
        <f t="shared" si="58"/>
        <v>0.8</v>
      </c>
      <c r="V476" s="9" t="e">
        <f>IF(T476&lt;=0,"Output &lt;= 0",IF(U476&gt;#REF!,"Terlalu tinggi",IF(U476&lt;#REF!,"Terlalu rendah","Sesuai")))</f>
        <v>#REF!</v>
      </c>
      <c r="W476" s="7" t="e">
        <f>IF(T476&lt;=0,S476,IF(U476&gt;#REF!,ROUNDDOWN(T476*#REF!,0),IF(U476&lt;#REF!,ROUNDUP(T476*#REF!,0),S476)))</f>
        <v>#REF!</v>
      </c>
      <c r="X476" s="7" t="e">
        <f t="shared" si="59"/>
        <v>#REF!</v>
      </c>
      <c r="Y476" s="7" t="e">
        <f t="shared" si="60"/>
        <v>#REF!</v>
      </c>
      <c r="Z476" s="7" t="e">
        <f t="shared" si="61"/>
        <v>#REF!</v>
      </c>
      <c r="AA476" s="7" t="e">
        <f t="shared" si="62"/>
        <v>#REF!</v>
      </c>
      <c r="AB476" s="8" t="e">
        <f t="shared" si="63"/>
        <v>#REF!</v>
      </c>
      <c r="AC476" s="9" t="e">
        <f>IF(T476&lt;=0,"Output &lt;= 0, cek manual",IF(OR(Z476&lt;0,Y476&lt;0),"Biaya negatif",IF(AND(AB476&gt;=#REF!,AB476&lt;=#REF!),"OK","Di luar rentang")))</f>
        <v>#REF!</v>
      </c>
    </row>
    <row r="477" ht="71.25" spans="1:29">
      <c r="A477" s="2" t="s">
        <v>30</v>
      </c>
      <c r="B477" s="2" t="s">
        <v>31</v>
      </c>
      <c r="C477" s="3" t="s">
        <v>2052</v>
      </c>
      <c r="D477" s="3" t="s">
        <v>2053</v>
      </c>
      <c r="E477" s="3" t="s">
        <v>2054</v>
      </c>
      <c r="F477" s="4">
        <v>0</v>
      </c>
      <c r="G477" s="4">
        <v>15000000</v>
      </c>
      <c r="H477" s="4">
        <v>2000000</v>
      </c>
      <c r="I477" s="4">
        <v>0</v>
      </c>
      <c r="J477" s="2" t="s">
        <v>1222</v>
      </c>
      <c r="K477" s="4">
        <v>33700000</v>
      </c>
      <c r="L477" s="4">
        <v>0</v>
      </c>
      <c r="M477" s="4">
        <v>16700000</v>
      </c>
      <c r="N477" s="4">
        <v>15000000</v>
      </c>
      <c r="O477" s="4">
        <v>18700000</v>
      </c>
      <c r="P477" s="5">
        <v>0.445104</v>
      </c>
      <c r="Q477" s="5">
        <v>0.893048</v>
      </c>
      <c r="R477" s="2" t="s">
        <v>2055</v>
      </c>
      <c r="S477" s="7">
        <f t="shared" si="56"/>
        <v>16700000</v>
      </c>
      <c r="T477" s="7">
        <f t="shared" si="57"/>
        <v>18700000</v>
      </c>
      <c r="U477" s="8">
        <f t="shared" si="58"/>
        <v>0.893048128342246</v>
      </c>
      <c r="V477" s="9" t="e">
        <f>IF(T477&lt;=0,"Output &lt;= 0",IF(U477&gt;#REF!,"Terlalu tinggi",IF(U477&lt;#REF!,"Terlalu rendah","Sesuai")))</f>
        <v>#REF!</v>
      </c>
      <c r="W477" s="7" t="e">
        <f>IF(T477&lt;=0,S477,IF(U477&gt;#REF!,ROUNDDOWN(T477*#REF!,0),IF(U477&lt;#REF!,ROUNDUP(T477*#REF!,0),S477)))</f>
        <v>#REF!</v>
      </c>
      <c r="X477" s="7" t="e">
        <f t="shared" si="59"/>
        <v>#REF!</v>
      </c>
      <c r="Y477" s="7" t="e">
        <f t="shared" si="60"/>
        <v>#REF!</v>
      </c>
      <c r="Z477" s="7" t="e">
        <f t="shared" si="61"/>
        <v>#REF!</v>
      </c>
      <c r="AA477" s="7" t="e">
        <f t="shared" si="62"/>
        <v>#REF!</v>
      </c>
      <c r="AB477" s="8" t="e">
        <f t="shared" si="63"/>
        <v>#REF!</v>
      </c>
      <c r="AC477" s="9" t="e">
        <f>IF(T477&lt;=0,"Output &lt;= 0, cek manual",IF(OR(Z477&lt;0,Y477&lt;0),"Biaya negatif",IF(AND(AB477&gt;=#REF!,AB477&lt;=#REF!),"OK","Di luar rentang")))</f>
        <v>#REF!</v>
      </c>
    </row>
    <row r="478" ht="114" spans="1:29">
      <c r="A478" s="2" t="s">
        <v>30</v>
      </c>
      <c r="B478" s="2" t="s">
        <v>31</v>
      </c>
      <c r="C478" s="3" t="s">
        <v>2056</v>
      </c>
      <c r="D478" s="3" t="s">
        <v>833</v>
      </c>
      <c r="E478" s="3" t="s">
        <v>2057</v>
      </c>
      <c r="F478" s="4">
        <v>91800000</v>
      </c>
      <c r="G478" s="4">
        <v>16200000</v>
      </c>
      <c r="H478" s="4">
        <v>1000000</v>
      </c>
      <c r="I478" s="4">
        <v>0</v>
      </c>
      <c r="J478" s="2" t="s">
        <v>2058</v>
      </c>
      <c r="K478" s="4">
        <v>112000000</v>
      </c>
      <c r="L478" s="4">
        <v>0</v>
      </c>
      <c r="M478" s="4">
        <v>3000000</v>
      </c>
      <c r="N478" s="4">
        <v>3000000</v>
      </c>
      <c r="O478" s="4">
        <v>95800000</v>
      </c>
      <c r="P478" s="5">
        <v>0.144643</v>
      </c>
      <c r="Q478" s="5">
        <v>0.031315</v>
      </c>
      <c r="R478" s="2" t="s">
        <v>2059</v>
      </c>
      <c r="S478" s="7">
        <f t="shared" si="56"/>
        <v>3000000</v>
      </c>
      <c r="T478" s="7">
        <f t="shared" si="57"/>
        <v>95800000</v>
      </c>
      <c r="U478" s="8">
        <f t="shared" si="58"/>
        <v>0.0313152400835073</v>
      </c>
      <c r="V478" s="9" t="e">
        <f>IF(T478&lt;=0,"Output &lt;= 0",IF(U478&gt;#REF!,"Terlalu tinggi",IF(U478&lt;#REF!,"Terlalu rendah","Sesuai")))</f>
        <v>#REF!</v>
      </c>
      <c r="W478" s="7" t="e">
        <f>IF(T478&lt;=0,S478,IF(U478&gt;#REF!,ROUNDDOWN(T478*#REF!,0),IF(U478&lt;#REF!,ROUNDUP(T478*#REF!,0),S478)))</f>
        <v>#REF!</v>
      </c>
      <c r="X478" s="7" t="e">
        <f t="shared" si="59"/>
        <v>#REF!</v>
      </c>
      <c r="Y478" s="7" t="e">
        <f t="shared" si="60"/>
        <v>#REF!</v>
      </c>
      <c r="Z478" s="7" t="e">
        <f t="shared" si="61"/>
        <v>#REF!</v>
      </c>
      <c r="AA478" s="7" t="e">
        <f t="shared" si="62"/>
        <v>#REF!</v>
      </c>
      <c r="AB478" s="8" t="e">
        <f t="shared" si="63"/>
        <v>#REF!</v>
      </c>
      <c r="AC478" s="9" t="e">
        <f>IF(T478&lt;=0,"Output &lt;= 0, cek manual",IF(OR(Z478&lt;0,Y478&lt;0),"Biaya negatif",IF(AND(AB478&gt;=#REF!,AB478&lt;=#REF!),"OK","Di luar rentang")))</f>
        <v>#REF!</v>
      </c>
    </row>
    <row r="479" ht="71.25" spans="1:29">
      <c r="A479" s="2" t="s">
        <v>30</v>
      </c>
      <c r="B479" s="2" t="s">
        <v>31</v>
      </c>
      <c r="C479" s="3" t="s">
        <v>2060</v>
      </c>
      <c r="D479" s="3" t="s">
        <v>360</v>
      </c>
      <c r="E479" s="3" t="s">
        <v>2061</v>
      </c>
      <c r="F479" s="4">
        <v>15000</v>
      </c>
      <c r="G479" s="4">
        <v>1500000</v>
      </c>
      <c r="H479" s="4">
        <v>0</v>
      </c>
      <c r="I479" s="4">
        <v>0</v>
      </c>
      <c r="J479" s="2" t="s">
        <v>2062</v>
      </c>
      <c r="K479" s="4">
        <v>2000000</v>
      </c>
      <c r="L479" s="4">
        <v>0</v>
      </c>
      <c r="M479" s="4">
        <v>485000</v>
      </c>
      <c r="N479" s="4">
        <v>60500000</v>
      </c>
      <c r="O479" s="4">
        <v>500000</v>
      </c>
      <c r="P479" s="11">
        <v>0.75</v>
      </c>
      <c r="Q479" s="11">
        <v>0.97</v>
      </c>
      <c r="R479" s="2" t="s">
        <v>2063</v>
      </c>
      <c r="S479" s="7">
        <f t="shared" si="56"/>
        <v>485000</v>
      </c>
      <c r="T479" s="7">
        <f t="shared" si="57"/>
        <v>500000</v>
      </c>
      <c r="U479" s="8">
        <f t="shared" si="58"/>
        <v>0.97</v>
      </c>
      <c r="V479" s="9" t="e">
        <f>IF(T479&lt;=0,"Output &lt;= 0",IF(U479&gt;#REF!,"Terlalu tinggi",IF(U479&lt;#REF!,"Terlalu rendah","Sesuai")))</f>
        <v>#REF!</v>
      </c>
      <c r="W479" s="7" t="e">
        <f>IF(T479&lt;=0,S479,IF(U479&gt;#REF!,ROUNDDOWN(T479*#REF!,0),IF(U479&lt;#REF!,ROUNDUP(T479*#REF!,0),S479)))</f>
        <v>#REF!</v>
      </c>
      <c r="X479" s="7" t="e">
        <f t="shared" si="59"/>
        <v>#REF!</v>
      </c>
      <c r="Y479" s="7" t="e">
        <f t="shared" si="60"/>
        <v>#REF!</v>
      </c>
      <c r="Z479" s="7" t="e">
        <f t="shared" si="61"/>
        <v>#REF!</v>
      </c>
      <c r="AA479" s="7" t="e">
        <f t="shared" si="62"/>
        <v>#REF!</v>
      </c>
      <c r="AB479" s="8" t="e">
        <f t="shared" si="63"/>
        <v>#REF!</v>
      </c>
      <c r="AC479" s="9" t="e">
        <f>IF(T479&lt;=0,"Output &lt;= 0, cek manual",IF(OR(Z479&lt;0,Y479&lt;0),"Biaya negatif",IF(AND(AB479&gt;=#REF!,AB479&lt;=#REF!),"OK","Di luar rentang")))</f>
        <v>#REF!</v>
      </c>
    </row>
    <row r="480" ht="85.5" spans="1:29">
      <c r="A480" s="2" t="s">
        <v>30</v>
      </c>
      <c r="B480" s="2" t="s">
        <v>31</v>
      </c>
      <c r="C480" s="3" t="s">
        <v>2064</v>
      </c>
      <c r="D480" s="3" t="s">
        <v>2065</v>
      </c>
      <c r="E480" s="3" t="s">
        <v>2065</v>
      </c>
      <c r="F480" s="4">
        <v>600000</v>
      </c>
      <c r="G480" s="4">
        <v>60000000</v>
      </c>
      <c r="H480" s="4">
        <v>2500000</v>
      </c>
      <c r="I480" s="4">
        <v>1250000</v>
      </c>
      <c r="J480" s="2" t="s">
        <v>2066</v>
      </c>
      <c r="K480" s="4">
        <v>124800000</v>
      </c>
      <c r="L480" s="4">
        <v>0</v>
      </c>
      <c r="M480" s="4">
        <v>61700000</v>
      </c>
      <c r="N480" s="4">
        <v>20000000</v>
      </c>
      <c r="O480" s="4">
        <v>64800000</v>
      </c>
      <c r="P480" s="5">
        <v>0.480769</v>
      </c>
      <c r="Q480" s="6">
        <v>0.95216</v>
      </c>
      <c r="R480" s="2" t="s">
        <v>2067</v>
      </c>
      <c r="S480" s="7">
        <f t="shared" si="56"/>
        <v>61700000</v>
      </c>
      <c r="T480" s="7">
        <f t="shared" si="57"/>
        <v>64800000</v>
      </c>
      <c r="U480" s="8">
        <f t="shared" si="58"/>
        <v>0.952160493827161</v>
      </c>
      <c r="V480" s="9" t="e">
        <f>IF(T480&lt;=0,"Output &lt;= 0",IF(U480&gt;#REF!,"Terlalu tinggi",IF(U480&lt;#REF!,"Terlalu rendah","Sesuai")))</f>
        <v>#REF!</v>
      </c>
      <c r="W480" s="7" t="e">
        <f>IF(T480&lt;=0,S480,IF(U480&gt;#REF!,ROUNDDOWN(T480*#REF!,0),IF(U480&lt;#REF!,ROUNDUP(T480*#REF!,0),S480)))</f>
        <v>#REF!</v>
      </c>
      <c r="X480" s="7" t="e">
        <f t="shared" si="59"/>
        <v>#REF!</v>
      </c>
      <c r="Y480" s="7" t="e">
        <f t="shared" si="60"/>
        <v>#REF!</v>
      </c>
      <c r="Z480" s="7" t="e">
        <f t="shared" si="61"/>
        <v>#REF!</v>
      </c>
      <c r="AA480" s="7" t="e">
        <f t="shared" si="62"/>
        <v>#REF!</v>
      </c>
      <c r="AB480" s="8" t="e">
        <f t="shared" si="63"/>
        <v>#REF!</v>
      </c>
      <c r="AC480" s="9" t="e">
        <f>IF(T480&lt;=0,"Output &lt;= 0, cek manual",IF(OR(Z480&lt;0,Y480&lt;0),"Biaya negatif",IF(AND(AB480&gt;=#REF!,AB480&lt;=#REF!),"OK","Di luar rentang")))</f>
        <v>#REF!</v>
      </c>
    </row>
    <row r="481" ht="142.5" spans="1:29">
      <c r="A481" s="2" t="s">
        <v>30</v>
      </c>
      <c r="B481" s="2" t="s">
        <v>31</v>
      </c>
      <c r="C481" s="3" t="s">
        <v>2068</v>
      </c>
      <c r="D481" s="3" t="s">
        <v>2069</v>
      </c>
      <c r="E481" s="3" t="s">
        <v>2070</v>
      </c>
      <c r="F481" s="4">
        <v>0</v>
      </c>
      <c r="G481" s="4">
        <v>4200000</v>
      </c>
      <c r="H481" s="4">
        <v>600000</v>
      </c>
      <c r="I481" s="4">
        <v>0</v>
      </c>
      <c r="J481" s="2" t="s">
        <v>1357</v>
      </c>
      <c r="K481" s="4">
        <v>7800000</v>
      </c>
      <c r="L481" s="4">
        <v>0</v>
      </c>
      <c r="M481" s="4">
        <v>3000000</v>
      </c>
      <c r="N481" s="4">
        <v>0</v>
      </c>
      <c r="O481" s="4">
        <v>3600000</v>
      </c>
      <c r="P481" s="5">
        <v>0.538462</v>
      </c>
      <c r="Q481" s="5">
        <v>0.833333</v>
      </c>
      <c r="R481" s="2" t="s">
        <v>2071</v>
      </c>
      <c r="S481" s="7">
        <f t="shared" si="56"/>
        <v>3000000</v>
      </c>
      <c r="T481" s="7">
        <f t="shared" si="57"/>
        <v>3600000</v>
      </c>
      <c r="U481" s="8">
        <f t="shared" si="58"/>
        <v>0.833333333333333</v>
      </c>
      <c r="V481" s="9" t="e">
        <f>IF(T481&lt;=0,"Output &lt;= 0",IF(U481&gt;#REF!,"Terlalu tinggi",IF(U481&lt;#REF!,"Terlalu rendah","Sesuai")))</f>
        <v>#REF!</v>
      </c>
      <c r="W481" s="7" t="e">
        <f>IF(T481&lt;=0,S481,IF(U481&gt;#REF!,ROUNDDOWN(T481*#REF!,0),IF(U481&lt;#REF!,ROUNDUP(T481*#REF!,0),S481)))</f>
        <v>#REF!</v>
      </c>
      <c r="X481" s="7" t="e">
        <f t="shared" si="59"/>
        <v>#REF!</v>
      </c>
      <c r="Y481" s="7" t="e">
        <f t="shared" si="60"/>
        <v>#REF!</v>
      </c>
      <c r="Z481" s="7" t="e">
        <f t="shared" si="61"/>
        <v>#REF!</v>
      </c>
      <c r="AA481" s="7" t="e">
        <f t="shared" si="62"/>
        <v>#REF!</v>
      </c>
      <c r="AB481" s="8" t="e">
        <f t="shared" si="63"/>
        <v>#REF!</v>
      </c>
      <c r="AC481" s="9" t="e">
        <f>IF(T481&lt;=0,"Output &lt;= 0, cek manual",IF(OR(Z481&lt;0,Y481&lt;0),"Biaya negatif",IF(AND(AB481&gt;=#REF!,AB481&lt;=#REF!),"OK","Di luar rentang")))</f>
        <v>#REF!</v>
      </c>
    </row>
    <row r="482" ht="114" spans="1:29">
      <c r="A482" s="2" t="s">
        <v>30</v>
      </c>
      <c r="B482" s="2" t="s">
        <v>31</v>
      </c>
      <c r="C482" s="3" t="s">
        <v>2072</v>
      </c>
      <c r="D482" s="3" t="s">
        <v>228</v>
      </c>
      <c r="E482" s="3" t="s">
        <v>39</v>
      </c>
      <c r="F482" s="4">
        <v>0</v>
      </c>
      <c r="G482" s="4">
        <v>15000000</v>
      </c>
      <c r="H482" s="4">
        <v>500000</v>
      </c>
      <c r="I482" s="4">
        <v>8000000</v>
      </c>
      <c r="J482" s="2" t="s">
        <v>2073</v>
      </c>
      <c r="K482" s="4">
        <v>30000000</v>
      </c>
      <c r="L482" s="4">
        <v>0</v>
      </c>
      <c r="M482" s="4">
        <v>14500000</v>
      </c>
      <c r="N482" s="4">
        <v>0</v>
      </c>
      <c r="O482" s="4">
        <v>15000000</v>
      </c>
      <c r="P482" s="12">
        <v>0.5</v>
      </c>
      <c r="Q482" s="5">
        <v>0.966667</v>
      </c>
      <c r="R482" s="2" t="s">
        <v>2074</v>
      </c>
      <c r="S482" s="7">
        <f t="shared" si="56"/>
        <v>14500000</v>
      </c>
      <c r="T482" s="7">
        <f t="shared" si="57"/>
        <v>15000000</v>
      </c>
      <c r="U482" s="8">
        <f t="shared" si="58"/>
        <v>0.966666666666667</v>
      </c>
      <c r="V482" s="9" t="e">
        <f>IF(T482&lt;=0,"Output &lt;= 0",IF(U482&gt;#REF!,"Terlalu tinggi",IF(U482&lt;#REF!,"Terlalu rendah","Sesuai")))</f>
        <v>#REF!</v>
      </c>
      <c r="W482" s="7" t="e">
        <f>IF(T482&lt;=0,S482,IF(U482&gt;#REF!,ROUNDDOWN(T482*#REF!,0),IF(U482&lt;#REF!,ROUNDUP(T482*#REF!,0),S482)))</f>
        <v>#REF!</v>
      </c>
      <c r="X482" s="7" t="e">
        <f t="shared" si="59"/>
        <v>#REF!</v>
      </c>
      <c r="Y482" s="7" t="e">
        <f t="shared" si="60"/>
        <v>#REF!</v>
      </c>
      <c r="Z482" s="7" t="e">
        <f t="shared" si="61"/>
        <v>#REF!</v>
      </c>
      <c r="AA482" s="7" t="e">
        <f t="shared" si="62"/>
        <v>#REF!</v>
      </c>
      <c r="AB482" s="8" t="e">
        <f t="shared" si="63"/>
        <v>#REF!</v>
      </c>
      <c r="AC482" s="9" t="e">
        <f>IF(T482&lt;=0,"Output &lt;= 0, cek manual",IF(OR(Z482&lt;0,Y482&lt;0),"Biaya negatif",IF(AND(AB482&gt;=#REF!,AB482&lt;=#REF!),"OK","Di luar rentang")))</f>
        <v>#REF!</v>
      </c>
    </row>
    <row r="483" ht="85.5" spans="1:29">
      <c r="A483" s="2" t="s">
        <v>30</v>
      </c>
      <c r="B483" s="2" t="s">
        <v>31</v>
      </c>
      <c r="C483" s="3" t="s">
        <v>2075</v>
      </c>
      <c r="D483" s="3" t="s">
        <v>228</v>
      </c>
      <c r="E483" s="3" t="s">
        <v>2076</v>
      </c>
      <c r="F483" s="4">
        <v>0</v>
      </c>
      <c r="G483" s="4">
        <v>6000000</v>
      </c>
      <c r="H483" s="4">
        <v>1200000</v>
      </c>
      <c r="I483" s="4">
        <v>0</v>
      </c>
      <c r="J483" s="2" t="s">
        <v>93</v>
      </c>
      <c r="K483" s="4">
        <v>9000000</v>
      </c>
      <c r="L483" s="4">
        <v>2500000</v>
      </c>
      <c r="M483" s="4">
        <v>1800000</v>
      </c>
      <c r="N483" s="4">
        <v>6000000</v>
      </c>
      <c r="O483" s="4">
        <v>3000000</v>
      </c>
      <c r="P483" s="5">
        <v>0.666667</v>
      </c>
      <c r="Q483" s="12">
        <v>0.6</v>
      </c>
      <c r="R483" s="2" t="s">
        <v>2077</v>
      </c>
      <c r="S483" s="7">
        <f t="shared" si="56"/>
        <v>1800000</v>
      </c>
      <c r="T483" s="7">
        <f t="shared" si="57"/>
        <v>3000000</v>
      </c>
      <c r="U483" s="8">
        <f t="shared" si="58"/>
        <v>0.6</v>
      </c>
      <c r="V483" s="9" t="e">
        <f>IF(T483&lt;=0,"Output &lt;= 0",IF(U483&gt;#REF!,"Terlalu tinggi",IF(U483&lt;#REF!,"Terlalu rendah","Sesuai")))</f>
        <v>#REF!</v>
      </c>
      <c r="W483" s="7" t="e">
        <f>IF(T483&lt;=0,S483,IF(U483&gt;#REF!,ROUNDDOWN(T483*#REF!,0),IF(U483&lt;#REF!,ROUNDUP(T483*#REF!,0),S483)))</f>
        <v>#REF!</v>
      </c>
      <c r="X483" s="7" t="e">
        <f t="shared" si="59"/>
        <v>#REF!</v>
      </c>
      <c r="Y483" s="7" t="e">
        <f t="shared" si="60"/>
        <v>#REF!</v>
      </c>
      <c r="Z483" s="7" t="e">
        <f t="shared" si="61"/>
        <v>#REF!</v>
      </c>
      <c r="AA483" s="7" t="e">
        <f t="shared" si="62"/>
        <v>#REF!</v>
      </c>
      <c r="AB483" s="8" t="e">
        <f t="shared" si="63"/>
        <v>#REF!</v>
      </c>
      <c r="AC483" s="9" t="e">
        <f>IF(T483&lt;=0,"Output &lt;= 0, cek manual",IF(OR(Z483&lt;0,Y483&lt;0),"Biaya negatif",IF(AND(AB483&gt;=#REF!,AB483&lt;=#REF!),"OK","Di luar rentang")))</f>
        <v>#REF!</v>
      </c>
    </row>
    <row r="484" ht="114" spans="1:29">
      <c r="A484" s="2" t="s">
        <v>30</v>
      </c>
      <c r="B484" s="2" t="s">
        <v>31</v>
      </c>
      <c r="C484" s="3" t="s">
        <v>2078</v>
      </c>
      <c r="D484" s="3" t="s">
        <v>2079</v>
      </c>
      <c r="E484" s="3" t="s">
        <v>2080</v>
      </c>
      <c r="F484" s="4">
        <v>300000</v>
      </c>
      <c r="G484" s="4">
        <v>4800000</v>
      </c>
      <c r="H484" s="4">
        <v>200000</v>
      </c>
      <c r="I484" s="4">
        <v>0</v>
      </c>
      <c r="J484" s="2" t="s">
        <v>2081</v>
      </c>
      <c r="K484" s="4">
        <v>10080000</v>
      </c>
      <c r="L484" s="4">
        <v>0</v>
      </c>
      <c r="M484" s="4">
        <v>4780000</v>
      </c>
      <c r="N484" s="4">
        <v>13000000</v>
      </c>
      <c r="O484" s="4">
        <v>5280000</v>
      </c>
      <c r="P484" s="6">
        <v>0.47619</v>
      </c>
      <c r="Q484" s="5">
        <v>0.905303</v>
      </c>
      <c r="R484" s="2" t="s">
        <v>2082</v>
      </c>
      <c r="S484" s="7">
        <f t="shared" si="56"/>
        <v>4780000</v>
      </c>
      <c r="T484" s="7">
        <f t="shared" si="57"/>
        <v>5280000</v>
      </c>
      <c r="U484" s="8">
        <f t="shared" si="58"/>
        <v>0.90530303030303</v>
      </c>
      <c r="V484" s="9" t="e">
        <f>IF(T484&lt;=0,"Output &lt;= 0",IF(U484&gt;#REF!,"Terlalu tinggi",IF(U484&lt;#REF!,"Terlalu rendah","Sesuai")))</f>
        <v>#REF!</v>
      </c>
      <c r="W484" s="7" t="e">
        <f>IF(T484&lt;=0,S484,IF(U484&gt;#REF!,ROUNDDOWN(T484*#REF!,0),IF(U484&lt;#REF!,ROUNDUP(T484*#REF!,0),S484)))</f>
        <v>#REF!</v>
      </c>
      <c r="X484" s="7" t="e">
        <f t="shared" si="59"/>
        <v>#REF!</v>
      </c>
      <c r="Y484" s="7" t="e">
        <f t="shared" si="60"/>
        <v>#REF!</v>
      </c>
      <c r="Z484" s="7" t="e">
        <f t="shared" si="61"/>
        <v>#REF!</v>
      </c>
      <c r="AA484" s="7" t="e">
        <f t="shared" si="62"/>
        <v>#REF!</v>
      </c>
      <c r="AB484" s="8" t="e">
        <f t="shared" si="63"/>
        <v>#REF!</v>
      </c>
      <c r="AC484" s="9" t="e">
        <f>IF(T484&lt;=0,"Output &lt;= 0, cek manual",IF(OR(Z484&lt;0,Y484&lt;0),"Biaya negatif",IF(AND(AB484&gt;=#REF!,AB484&lt;=#REF!),"OK","Di luar rentang")))</f>
        <v>#REF!</v>
      </c>
    </row>
    <row r="485" ht="99.75" spans="1:29">
      <c r="A485" s="2" t="s">
        <v>30</v>
      </c>
      <c r="B485" s="2" t="s">
        <v>31</v>
      </c>
      <c r="C485" s="3" t="s">
        <v>2083</v>
      </c>
      <c r="D485" s="3" t="s">
        <v>39</v>
      </c>
      <c r="E485" s="3" t="s">
        <v>39</v>
      </c>
      <c r="F485" s="4">
        <v>576000</v>
      </c>
      <c r="G485" s="4">
        <v>12000000</v>
      </c>
      <c r="H485" s="4">
        <v>600000</v>
      </c>
      <c r="I485" s="4">
        <v>24000000</v>
      </c>
      <c r="J485" s="2" t="s">
        <v>2084</v>
      </c>
      <c r="K485" s="4">
        <v>124800000</v>
      </c>
      <c r="L485" s="4">
        <v>0</v>
      </c>
      <c r="M485" s="4">
        <v>111624000</v>
      </c>
      <c r="N485" s="4">
        <v>0</v>
      </c>
      <c r="O485" s="4">
        <v>112800000</v>
      </c>
      <c r="P485" s="5">
        <v>0.096154</v>
      </c>
      <c r="Q485" s="5">
        <v>0.989574</v>
      </c>
      <c r="R485" s="2" t="s">
        <v>2085</v>
      </c>
      <c r="S485" s="7">
        <f t="shared" si="56"/>
        <v>111624000</v>
      </c>
      <c r="T485" s="7">
        <f t="shared" si="57"/>
        <v>112800000</v>
      </c>
      <c r="U485" s="8">
        <f t="shared" si="58"/>
        <v>0.989574468085106</v>
      </c>
      <c r="V485" s="9" t="e">
        <f>IF(T485&lt;=0,"Output &lt;= 0",IF(U485&gt;#REF!,"Terlalu tinggi",IF(U485&lt;#REF!,"Terlalu rendah","Sesuai")))</f>
        <v>#REF!</v>
      </c>
      <c r="W485" s="7" t="e">
        <f>IF(T485&lt;=0,S485,IF(U485&gt;#REF!,ROUNDDOWN(T485*#REF!,0),IF(U485&lt;#REF!,ROUNDUP(T485*#REF!,0),S485)))</f>
        <v>#REF!</v>
      </c>
      <c r="X485" s="7" t="e">
        <f t="shared" si="59"/>
        <v>#REF!</v>
      </c>
      <c r="Y485" s="7" t="e">
        <f t="shared" si="60"/>
        <v>#REF!</v>
      </c>
      <c r="Z485" s="7" t="e">
        <f t="shared" si="61"/>
        <v>#REF!</v>
      </c>
      <c r="AA485" s="7" t="e">
        <f t="shared" si="62"/>
        <v>#REF!</v>
      </c>
      <c r="AB485" s="8" t="e">
        <f t="shared" si="63"/>
        <v>#REF!</v>
      </c>
      <c r="AC485" s="9" t="e">
        <f>IF(T485&lt;=0,"Output &lt;= 0, cek manual",IF(OR(Z485&lt;0,Y485&lt;0),"Biaya negatif",IF(AND(AB485&gt;=#REF!,AB485&lt;=#REF!),"OK","Di luar rentang")))</f>
        <v>#REF!</v>
      </c>
    </row>
    <row r="486" ht="57" spans="1:29">
      <c r="A486" s="2" t="s">
        <v>30</v>
      </c>
      <c r="B486" s="2" t="s">
        <v>31</v>
      </c>
      <c r="C486" s="3" t="s">
        <v>2086</v>
      </c>
      <c r="D486" s="3" t="s">
        <v>2087</v>
      </c>
      <c r="E486" s="3" t="s">
        <v>2088</v>
      </c>
      <c r="F486" s="4">
        <v>0</v>
      </c>
      <c r="G486" s="4">
        <v>2000000</v>
      </c>
      <c r="H486" s="4">
        <v>250000</v>
      </c>
      <c r="I486" s="4">
        <v>0</v>
      </c>
      <c r="J486" s="2" t="s">
        <v>1837</v>
      </c>
      <c r="K486" s="4">
        <v>2500000</v>
      </c>
      <c r="L486" s="4">
        <v>0</v>
      </c>
      <c r="M486" s="4">
        <v>250000</v>
      </c>
      <c r="N486" s="4">
        <v>9500000</v>
      </c>
      <c r="O486" s="4">
        <v>500000</v>
      </c>
      <c r="P486" s="12">
        <v>0.8</v>
      </c>
      <c r="Q486" s="12">
        <v>0.5</v>
      </c>
      <c r="R486" s="2" t="s">
        <v>2089</v>
      </c>
      <c r="S486" s="7">
        <f t="shared" si="56"/>
        <v>250000</v>
      </c>
      <c r="T486" s="7">
        <f t="shared" si="57"/>
        <v>500000</v>
      </c>
      <c r="U486" s="8">
        <f t="shared" si="58"/>
        <v>0.5</v>
      </c>
      <c r="V486" s="9" t="e">
        <f>IF(T486&lt;=0,"Output &lt;= 0",IF(U486&gt;#REF!,"Terlalu tinggi",IF(U486&lt;#REF!,"Terlalu rendah","Sesuai")))</f>
        <v>#REF!</v>
      </c>
      <c r="W486" s="7" t="e">
        <f>IF(T486&lt;=0,S486,IF(U486&gt;#REF!,ROUNDDOWN(T486*#REF!,0),IF(U486&lt;#REF!,ROUNDUP(T486*#REF!,0),S486)))</f>
        <v>#REF!</v>
      </c>
      <c r="X486" s="7" t="e">
        <f t="shared" si="59"/>
        <v>#REF!</v>
      </c>
      <c r="Y486" s="7" t="e">
        <f t="shared" si="60"/>
        <v>#REF!</v>
      </c>
      <c r="Z486" s="7" t="e">
        <f t="shared" si="61"/>
        <v>#REF!</v>
      </c>
      <c r="AA486" s="7" t="e">
        <f t="shared" si="62"/>
        <v>#REF!</v>
      </c>
      <c r="AB486" s="8" t="e">
        <f t="shared" si="63"/>
        <v>#REF!</v>
      </c>
      <c r="AC486" s="9" t="e">
        <f>IF(T486&lt;=0,"Output &lt;= 0, cek manual",IF(OR(Z486&lt;0,Y486&lt;0),"Biaya negatif",IF(AND(AB486&gt;=#REF!,AB486&lt;=#REF!),"OK","Di luar rentang")))</f>
        <v>#REF!</v>
      </c>
    </row>
    <row r="487" ht="99.75" spans="1:29">
      <c r="A487" s="2" t="s">
        <v>30</v>
      </c>
      <c r="B487" s="2" t="s">
        <v>31</v>
      </c>
      <c r="C487" s="3" t="s">
        <v>2090</v>
      </c>
      <c r="D487" s="3" t="s">
        <v>2091</v>
      </c>
      <c r="E487" s="3" t="s">
        <v>2092</v>
      </c>
      <c r="F487" s="4">
        <v>200000</v>
      </c>
      <c r="G487" s="4">
        <v>15000000</v>
      </c>
      <c r="H487" s="4">
        <v>0</v>
      </c>
      <c r="I487" s="4">
        <v>0</v>
      </c>
      <c r="J487" s="2" t="s">
        <v>2093</v>
      </c>
      <c r="K487" s="4">
        <v>20000000</v>
      </c>
      <c r="L487" s="4">
        <v>0</v>
      </c>
      <c r="M487" s="4">
        <v>4800000</v>
      </c>
      <c r="N487" s="4">
        <v>110000000</v>
      </c>
      <c r="O487" s="4">
        <v>5000000</v>
      </c>
      <c r="P487" s="11">
        <v>0.75</v>
      </c>
      <c r="Q487" s="11">
        <v>0.96</v>
      </c>
      <c r="R487" s="2" t="s">
        <v>2094</v>
      </c>
      <c r="S487" s="7">
        <f t="shared" si="56"/>
        <v>4800000</v>
      </c>
      <c r="T487" s="7">
        <f t="shared" si="57"/>
        <v>5000000</v>
      </c>
      <c r="U487" s="8">
        <f t="shared" si="58"/>
        <v>0.96</v>
      </c>
      <c r="V487" s="9" t="e">
        <f>IF(T487&lt;=0,"Output &lt;= 0",IF(U487&gt;#REF!,"Terlalu tinggi",IF(U487&lt;#REF!,"Terlalu rendah","Sesuai")))</f>
        <v>#REF!</v>
      </c>
      <c r="W487" s="7" t="e">
        <f>IF(T487&lt;=0,S487,IF(U487&gt;#REF!,ROUNDDOWN(T487*#REF!,0),IF(U487&lt;#REF!,ROUNDUP(T487*#REF!,0),S487)))</f>
        <v>#REF!</v>
      </c>
      <c r="X487" s="7" t="e">
        <f t="shared" si="59"/>
        <v>#REF!</v>
      </c>
      <c r="Y487" s="7" t="e">
        <f t="shared" si="60"/>
        <v>#REF!</v>
      </c>
      <c r="Z487" s="7" t="e">
        <f t="shared" si="61"/>
        <v>#REF!</v>
      </c>
      <c r="AA487" s="7" t="e">
        <f t="shared" si="62"/>
        <v>#REF!</v>
      </c>
      <c r="AB487" s="8" t="e">
        <f t="shared" si="63"/>
        <v>#REF!</v>
      </c>
      <c r="AC487" s="9" t="e">
        <f>IF(T487&lt;=0,"Output &lt;= 0, cek manual",IF(OR(Z487&lt;0,Y487&lt;0),"Biaya negatif",IF(AND(AB487&gt;=#REF!,AB487&lt;=#REF!),"OK","Di luar rentang")))</f>
        <v>#REF!</v>
      </c>
    </row>
    <row r="488" ht="114" spans="1:29">
      <c r="A488" s="2" t="s">
        <v>30</v>
      </c>
      <c r="B488" s="2" t="s">
        <v>31</v>
      </c>
      <c r="C488" s="3" t="s">
        <v>2095</v>
      </c>
      <c r="D488" s="3" t="s">
        <v>842</v>
      </c>
      <c r="E488" s="3" t="s">
        <v>842</v>
      </c>
      <c r="F488" s="4">
        <v>0</v>
      </c>
      <c r="G488" s="4">
        <v>23600000</v>
      </c>
      <c r="H488" s="4">
        <v>150000</v>
      </c>
      <c r="I488" s="4">
        <v>0</v>
      </c>
      <c r="J488" s="2" t="s">
        <v>2096</v>
      </c>
      <c r="K488" s="4">
        <v>28350000</v>
      </c>
      <c r="L488" s="4">
        <v>0</v>
      </c>
      <c r="M488" s="4">
        <v>4600000</v>
      </c>
      <c r="N488" s="4">
        <v>8000000</v>
      </c>
      <c r="O488" s="4">
        <v>4750000</v>
      </c>
      <c r="P488" s="5">
        <v>0.832452</v>
      </c>
      <c r="Q488" s="5">
        <v>0.968421</v>
      </c>
      <c r="R488" s="2" t="s">
        <v>2097</v>
      </c>
      <c r="S488" s="7">
        <f t="shared" si="56"/>
        <v>4600000</v>
      </c>
      <c r="T488" s="7">
        <f t="shared" si="57"/>
        <v>4750000</v>
      </c>
      <c r="U488" s="8">
        <f t="shared" si="58"/>
        <v>0.968421052631579</v>
      </c>
      <c r="V488" s="9" t="e">
        <f>IF(T488&lt;=0,"Output &lt;= 0",IF(U488&gt;#REF!,"Terlalu tinggi",IF(U488&lt;#REF!,"Terlalu rendah","Sesuai")))</f>
        <v>#REF!</v>
      </c>
      <c r="W488" s="7" t="e">
        <f>IF(T488&lt;=0,S488,IF(U488&gt;#REF!,ROUNDDOWN(T488*#REF!,0),IF(U488&lt;#REF!,ROUNDUP(T488*#REF!,0),S488)))</f>
        <v>#REF!</v>
      </c>
      <c r="X488" s="7" t="e">
        <f t="shared" si="59"/>
        <v>#REF!</v>
      </c>
      <c r="Y488" s="7" t="e">
        <f t="shared" si="60"/>
        <v>#REF!</v>
      </c>
      <c r="Z488" s="7" t="e">
        <f t="shared" si="61"/>
        <v>#REF!</v>
      </c>
      <c r="AA488" s="7" t="e">
        <f t="shared" si="62"/>
        <v>#REF!</v>
      </c>
      <c r="AB488" s="8" t="e">
        <f t="shared" si="63"/>
        <v>#REF!</v>
      </c>
      <c r="AC488" s="9" t="e">
        <f>IF(T488&lt;=0,"Output &lt;= 0, cek manual",IF(OR(Z488&lt;0,Y488&lt;0),"Biaya negatif",IF(AND(AB488&gt;=#REF!,AB488&lt;=#REF!),"OK","Di luar rentang")))</f>
        <v>#REF!</v>
      </c>
    </row>
    <row r="489" ht="142.5" spans="1:29">
      <c r="A489" s="2" t="s">
        <v>30</v>
      </c>
      <c r="B489" s="2" t="s">
        <v>31</v>
      </c>
      <c r="C489" s="3" t="s">
        <v>2098</v>
      </c>
      <c r="D489" s="3" t="s">
        <v>2099</v>
      </c>
      <c r="E489" s="3" t="s">
        <v>2100</v>
      </c>
      <c r="F489" s="4">
        <v>100000</v>
      </c>
      <c r="G489" s="4">
        <v>19200000</v>
      </c>
      <c r="H489" s="4">
        <v>100000</v>
      </c>
      <c r="I489" s="4">
        <v>0</v>
      </c>
      <c r="J489" s="2" t="s">
        <v>2101</v>
      </c>
      <c r="K489" s="4">
        <v>26400000</v>
      </c>
      <c r="L489" s="4">
        <v>0</v>
      </c>
      <c r="M489" s="4">
        <v>7000000</v>
      </c>
      <c r="N489" s="4">
        <v>9000000</v>
      </c>
      <c r="O489" s="4">
        <v>7200000</v>
      </c>
      <c r="P489" s="5">
        <v>0.727273</v>
      </c>
      <c r="Q489" s="5">
        <v>0.972222</v>
      </c>
      <c r="R489" s="2" t="s">
        <v>2102</v>
      </c>
      <c r="S489" s="7">
        <f t="shared" si="56"/>
        <v>7000000</v>
      </c>
      <c r="T489" s="7">
        <f t="shared" si="57"/>
        <v>7200000</v>
      </c>
      <c r="U489" s="8">
        <f t="shared" si="58"/>
        <v>0.972222222222222</v>
      </c>
      <c r="V489" s="9" t="e">
        <f>IF(T489&lt;=0,"Output &lt;= 0",IF(U489&gt;#REF!,"Terlalu tinggi",IF(U489&lt;#REF!,"Terlalu rendah","Sesuai")))</f>
        <v>#REF!</v>
      </c>
      <c r="W489" s="7" t="e">
        <f>IF(T489&lt;=0,S489,IF(U489&gt;#REF!,ROUNDDOWN(T489*#REF!,0),IF(U489&lt;#REF!,ROUNDUP(T489*#REF!,0),S489)))</f>
        <v>#REF!</v>
      </c>
      <c r="X489" s="7" t="e">
        <f t="shared" si="59"/>
        <v>#REF!</v>
      </c>
      <c r="Y489" s="7" t="e">
        <f t="shared" si="60"/>
        <v>#REF!</v>
      </c>
      <c r="Z489" s="7" t="e">
        <f t="shared" si="61"/>
        <v>#REF!</v>
      </c>
      <c r="AA489" s="7" t="e">
        <f t="shared" si="62"/>
        <v>#REF!</v>
      </c>
      <c r="AB489" s="8" t="e">
        <f t="shared" si="63"/>
        <v>#REF!</v>
      </c>
      <c r="AC489" s="9" t="e">
        <f>IF(T489&lt;=0,"Output &lt;= 0, cek manual",IF(OR(Z489&lt;0,Y489&lt;0),"Biaya negatif",IF(AND(AB489&gt;=#REF!,AB489&lt;=#REF!),"OK","Di luar rentang")))</f>
        <v>#REF!</v>
      </c>
    </row>
    <row r="490" ht="71.25" spans="1:29">
      <c r="A490" s="2" t="s">
        <v>30</v>
      </c>
      <c r="B490" s="2" t="s">
        <v>31</v>
      </c>
      <c r="C490" s="3" t="s">
        <v>2103</v>
      </c>
      <c r="D490" s="3" t="s">
        <v>2104</v>
      </c>
      <c r="E490" s="3" t="s">
        <v>2105</v>
      </c>
      <c r="F490" s="4">
        <v>0</v>
      </c>
      <c r="G490" s="4">
        <v>5900000</v>
      </c>
      <c r="H490" s="4">
        <v>680000</v>
      </c>
      <c r="I490" s="4">
        <v>100000</v>
      </c>
      <c r="J490" s="2" t="s">
        <v>2106</v>
      </c>
      <c r="K490" s="4">
        <v>11200000</v>
      </c>
      <c r="L490" s="4">
        <v>0</v>
      </c>
      <c r="M490" s="4">
        <v>4620000</v>
      </c>
      <c r="N490" s="4">
        <v>33780000</v>
      </c>
      <c r="O490" s="4">
        <v>5300000</v>
      </c>
      <c r="P490" s="5">
        <v>0.526786</v>
      </c>
      <c r="Q490" s="5">
        <v>0.871698</v>
      </c>
      <c r="R490" s="2" t="s">
        <v>2107</v>
      </c>
      <c r="S490" s="7">
        <f t="shared" si="56"/>
        <v>4620000</v>
      </c>
      <c r="T490" s="7">
        <f t="shared" si="57"/>
        <v>5300000</v>
      </c>
      <c r="U490" s="8">
        <f t="shared" si="58"/>
        <v>0.871698113207547</v>
      </c>
      <c r="V490" s="9" t="e">
        <f>IF(T490&lt;=0,"Output &lt;= 0",IF(U490&gt;#REF!,"Terlalu tinggi",IF(U490&lt;#REF!,"Terlalu rendah","Sesuai")))</f>
        <v>#REF!</v>
      </c>
      <c r="W490" s="7" t="e">
        <f>IF(T490&lt;=0,S490,IF(U490&gt;#REF!,ROUNDDOWN(T490*#REF!,0),IF(U490&lt;#REF!,ROUNDUP(T490*#REF!,0),S490)))</f>
        <v>#REF!</v>
      </c>
      <c r="X490" s="7" t="e">
        <f t="shared" si="59"/>
        <v>#REF!</v>
      </c>
      <c r="Y490" s="7" t="e">
        <f t="shared" si="60"/>
        <v>#REF!</v>
      </c>
      <c r="Z490" s="7" t="e">
        <f t="shared" si="61"/>
        <v>#REF!</v>
      </c>
      <c r="AA490" s="7" t="e">
        <f t="shared" si="62"/>
        <v>#REF!</v>
      </c>
      <c r="AB490" s="8" t="e">
        <f t="shared" si="63"/>
        <v>#REF!</v>
      </c>
      <c r="AC490" s="9" t="e">
        <f>IF(T490&lt;=0,"Output &lt;= 0, cek manual",IF(OR(Z490&lt;0,Y490&lt;0),"Biaya negatif",IF(AND(AB490&gt;=#REF!,AB490&lt;=#REF!),"OK","Di luar rentang")))</f>
        <v>#REF!</v>
      </c>
    </row>
    <row r="491" ht="142.5" spans="1:29">
      <c r="A491" s="2" t="s">
        <v>30</v>
      </c>
      <c r="B491" s="2" t="s">
        <v>31</v>
      </c>
      <c r="C491" s="3" t="s">
        <v>2108</v>
      </c>
      <c r="D491" s="3" t="s">
        <v>2109</v>
      </c>
      <c r="E491" s="3" t="s">
        <v>2110</v>
      </c>
      <c r="F491" s="4">
        <v>70000</v>
      </c>
      <c r="G491" s="4">
        <v>43200000</v>
      </c>
      <c r="H491" s="4">
        <v>180000</v>
      </c>
      <c r="I491" s="4">
        <v>0</v>
      </c>
      <c r="J491" s="2" t="s">
        <v>2111</v>
      </c>
      <c r="K491" s="4">
        <v>54000000</v>
      </c>
      <c r="L491" s="4">
        <v>0</v>
      </c>
      <c r="M491" s="4">
        <v>10550000</v>
      </c>
      <c r="N491" s="4">
        <v>1600000</v>
      </c>
      <c r="O491" s="4">
        <v>10800000</v>
      </c>
      <c r="P491" s="12">
        <v>0.8</v>
      </c>
      <c r="Q491" s="5">
        <v>0.976852</v>
      </c>
      <c r="R491" s="2" t="s">
        <v>2112</v>
      </c>
      <c r="S491" s="7">
        <f t="shared" si="56"/>
        <v>10550000</v>
      </c>
      <c r="T491" s="7">
        <f t="shared" si="57"/>
        <v>10800000</v>
      </c>
      <c r="U491" s="8">
        <f t="shared" si="58"/>
        <v>0.976851851851852</v>
      </c>
      <c r="V491" s="9" t="e">
        <f>IF(T491&lt;=0,"Output &lt;= 0",IF(U491&gt;#REF!,"Terlalu tinggi",IF(U491&lt;#REF!,"Terlalu rendah","Sesuai")))</f>
        <v>#REF!</v>
      </c>
      <c r="W491" s="7" t="e">
        <f>IF(T491&lt;=0,S491,IF(U491&gt;#REF!,ROUNDDOWN(T491*#REF!,0),IF(U491&lt;#REF!,ROUNDUP(T491*#REF!,0),S491)))</f>
        <v>#REF!</v>
      </c>
      <c r="X491" s="7" t="e">
        <f t="shared" si="59"/>
        <v>#REF!</v>
      </c>
      <c r="Y491" s="7" t="e">
        <f t="shared" si="60"/>
        <v>#REF!</v>
      </c>
      <c r="Z491" s="7" t="e">
        <f t="shared" si="61"/>
        <v>#REF!</v>
      </c>
      <c r="AA491" s="7" t="e">
        <f t="shared" si="62"/>
        <v>#REF!</v>
      </c>
      <c r="AB491" s="8" t="e">
        <f t="shared" si="63"/>
        <v>#REF!</v>
      </c>
      <c r="AC491" s="9" t="e">
        <f>IF(T491&lt;=0,"Output &lt;= 0, cek manual",IF(OR(Z491&lt;0,Y491&lt;0),"Biaya negatif",IF(AND(AB491&gt;=#REF!,AB491&lt;=#REF!),"OK","Di luar rentang")))</f>
        <v>#REF!</v>
      </c>
    </row>
    <row r="492" ht="99.75" spans="1:29">
      <c r="A492" s="2" t="s">
        <v>30</v>
      </c>
      <c r="B492" s="2" t="s">
        <v>31</v>
      </c>
      <c r="C492" s="3" t="s">
        <v>2113</v>
      </c>
      <c r="D492" s="3" t="s">
        <v>2114</v>
      </c>
      <c r="E492" s="3" t="s">
        <v>2115</v>
      </c>
      <c r="F492" s="4">
        <v>0</v>
      </c>
      <c r="G492" s="4">
        <v>3500000</v>
      </c>
      <c r="H492" s="4">
        <v>500000</v>
      </c>
      <c r="I492" s="4">
        <v>500000</v>
      </c>
      <c r="J492" s="2" t="s">
        <v>2116</v>
      </c>
      <c r="K492" s="4">
        <v>6250000</v>
      </c>
      <c r="L492" s="4">
        <v>0</v>
      </c>
      <c r="M492" s="4">
        <v>2250000</v>
      </c>
      <c r="N492" s="4">
        <v>0</v>
      </c>
      <c r="O492" s="4">
        <v>2750000</v>
      </c>
      <c r="P492" s="11">
        <v>0.56</v>
      </c>
      <c r="Q492" s="5">
        <v>0.818182</v>
      </c>
      <c r="R492" s="2" t="s">
        <v>2117</v>
      </c>
      <c r="S492" s="7">
        <f t="shared" si="56"/>
        <v>2250000</v>
      </c>
      <c r="T492" s="7">
        <f t="shared" si="57"/>
        <v>2750000</v>
      </c>
      <c r="U492" s="8">
        <f t="shared" si="58"/>
        <v>0.818181818181818</v>
      </c>
      <c r="V492" s="9" t="e">
        <f>IF(T492&lt;=0,"Output &lt;= 0",IF(U492&gt;#REF!,"Terlalu tinggi",IF(U492&lt;#REF!,"Terlalu rendah","Sesuai")))</f>
        <v>#REF!</v>
      </c>
      <c r="W492" s="7" t="e">
        <f>IF(T492&lt;=0,S492,IF(U492&gt;#REF!,ROUNDDOWN(T492*#REF!,0),IF(U492&lt;#REF!,ROUNDUP(T492*#REF!,0),S492)))</f>
        <v>#REF!</v>
      </c>
      <c r="X492" s="7" t="e">
        <f t="shared" si="59"/>
        <v>#REF!</v>
      </c>
      <c r="Y492" s="7" t="e">
        <f t="shared" si="60"/>
        <v>#REF!</v>
      </c>
      <c r="Z492" s="7" t="e">
        <f t="shared" si="61"/>
        <v>#REF!</v>
      </c>
      <c r="AA492" s="7" t="e">
        <f t="shared" si="62"/>
        <v>#REF!</v>
      </c>
      <c r="AB492" s="8" t="e">
        <f t="shared" si="63"/>
        <v>#REF!</v>
      </c>
      <c r="AC492" s="9" t="e">
        <f>IF(T492&lt;=0,"Output &lt;= 0, cek manual",IF(OR(Z492&lt;0,Y492&lt;0),"Biaya negatif",IF(AND(AB492&gt;=#REF!,AB492&lt;=#REF!),"OK","Di luar rentang")))</f>
        <v>#REF!</v>
      </c>
    </row>
    <row r="493" ht="114" spans="1:29">
      <c r="A493" s="2" t="s">
        <v>30</v>
      </c>
      <c r="B493" s="2" t="s">
        <v>31</v>
      </c>
      <c r="C493" s="3" t="s">
        <v>2118</v>
      </c>
      <c r="D493" s="3" t="s">
        <v>2119</v>
      </c>
      <c r="E493" s="3" t="s">
        <v>2120</v>
      </c>
      <c r="F493" s="4">
        <v>500000</v>
      </c>
      <c r="G493" s="4">
        <v>24000000</v>
      </c>
      <c r="H493" s="4">
        <v>300000</v>
      </c>
      <c r="I493" s="4">
        <v>0</v>
      </c>
      <c r="J493" s="2" t="s">
        <v>2121</v>
      </c>
      <c r="K493" s="4">
        <v>30100000</v>
      </c>
      <c r="L493" s="4">
        <v>28800000</v>
      </c>
      <c r="M493" s="4">
        <v>5300000</v>
      </c>
      <c r="N493" s="4">
        <v>3750000</v>
      </c>
      <c r="O493" s="4">
        <v>6100000</v>
      </c>
      <c r="P493" s="5">
        <v>0.797342</v>
      </c>
      <c r="Q493" s="5">
        <v>0.868852</v>
      </c>
      <c r="R493" s="2" t="s">
        <v>2122</v>
      </c>
      <c r="S493" s="7">
        <f t="shared" si="56"/>
        <v>5300000</v>
      </c>
      <c r="T493" s="7">
        <f t="shared" si="57"/>
        <v>6100000</v>
      </c>
      <c r="U493" s="8">
        <f t="shared" si="58"/>
        <v>0.868852459016393</v>
      </c>
      <c r="V493" s="9" t="e">
        <f>IF(T493&lt;=0,"Output &lt;= 0",IF(U493&gt;#REF!,"Terlalu tinggi",IF(U493&lt;#REF!,"Terlalu rendah","Sesuai")))</f>
        <v>#REF!</v>
      </c>
      <c r="W493" s="7" t="e">
        <f>IF(T493&lt;=0,S493,IF(U493&gt;#REF!,ROUNDDOWN(T493*#REF!,0),IF(U493&lt;#REF!,ROUNDUP(T493*#REF!,0),S493)))</f>
        <v>#REF!</v>
      </c>
      <c r="X493" s="7" t="e">
        <f t="shared" si="59"/>
        <v>#REF!</v>
      </c>
      <c r="Y493" s="7" t="e">
        <f t="shared" si="60"/>
        <v>#REF!</v>
      </c>
      <c r="Z493" s="7" t="e">
        <f t="shared" si="61"/>
        <v>#REF!</v>
      </c>
      <c r="AA493" s="7" t="e">
        <f t="shared" si="62"/>
        <v>#REF!</v>
      </c>
      <c r="AB493" s="8" t="e">
        <f t="shared" si="63"/>
        <v>#REF!</v>
      </c>
      <c r="AC493" s="9" t="e">
        <f>IF(T493&lt;=0,"Output &lt;= 0, cek manual",IF(OR(Z493&lt;0,Y493&lt;0),"Biaya negatif",IF(AND(AB493&gt;=#REF!,AB493&lt;=#REF!),"OK","Di luar rentang")))</f>
        <v>#REF!</v>
      </c>
    </row>
    <row r="494" ht="171" spans="1:29">
      <c r="A494" s="2" t="s">
        <v>30</v>
      </c>
      <c r="B494" s="2" t="s">
        <v>31</v>
      </c>
      <c r="C494" s="3" t="s">
        <v>2123</v>
      </c>
      <c r="D494" s="3" t="s">
        <v>855</v>
      </c>
      <c r="E494" s="3" t="s">
        <v>2124</v>
      </c>
      <c r="F494" s="4">
        <v>50000</v>
      </c>
      <c r="G494" s="4">
        <v>2400000</v>
      </c>
      <c r="H494" s="4">
        <v>200000</v>
      </c>
      <c r="I494" s="4">
        <v>0</v>
      </c>
      <c r="J494" s="2" t="s">
        <v>1693</v>
      </c>
      <c r="K494" s="4">
        <v>5400000</v>
      </c>
      <c r="L494" s="4">
        <v>0</v>
      </c>
      <c r="M494" s="4">
        <v>2750000</v>
      </c>
      <c r="N494" s="4">
        <v>100000</v>
      </c>
      <c r="O494" s="4">
        <v>3000000</v>
      </c>
      <c r="P494" s="5">
        <v>0.444444</v>
      </c>
      <c r="Q494" s="5">
        <v>0.916667</v>
      </c>
      <c r="R494" s="2" t="s">
        <v>2125</v>
      </c>
      <c r="S494" s="7">
        <f t="shared" si="56"/>
        <v>2750000</v>
      </c>
      <c r="T494" s="7">
        <f t="shared" si="57"/>
        <v>3000000</v>
      </c>
      <c r="U494" s="8">
        <f t="shared" si="58"/>
        <v>0.916666666666667</v>
      </c>
      <c r="V494" s="9" t="e">
        <f>IF(T494&lt;=0,"Output &lt;= 0",IF(U494&gt;#REF!,"Terlalu tinggi",IF(U494&lt;#REF!,"Terlalu rendah","Sesuai")))</f>
        <v>#REF!</v>
      </c>
      <c r="W494" s="7" t="e">
        <f>IF(T494&lt;=0,S494,IF(U494&gt;#REF!,ROUNDDOWN(T494*#REF!,0),IF(U494&lt;#REF!,ROUNDUP(T494*#REF!,0),S494)))</f>
        <v>#REF!</v>
      </c>
      <c r="X494" s="7" t="e">
        <f t="shared" si="59"/>
        <v>#REF!</v>
      </c>
      <c r="Y494" s="7" t="e">
        <f t="shared" si="60"/>
        <v>#REF!</v>
      </c>
      <c r="Z494" s="7" t="e">
        <f t="shared" si="61"/>
        <v>#REF!</v>
      </c>
      <c r="AA494" s="7" t="e">
        <f t="shared" si="62"/>
        <v>#REF!</v>
      </c>
      <c r="AB494" s="8" t="e">
        <f t="shared" si="63"/>
        <v>#REF!</v>
      </c>
      <c r="AC494" s="9" t="e">
        <f>IF(T494&lt;=0,"Output &lt;= 0, cek manual",IF(OR(Z494&lt;0,Y494&lt;0),"Biaya negatif",IF(AND(AB494&gt;=#REF!,AB494&lt;=#REF!),"OK","Di luar rentang")))</f>
        <v>#REF!</v>
      </c>
    </row>
    <row r="495" ht="99.75" spans="1:29">
      <c r="A495" s="2" t="s">
        <v>30</v>
      </c>
      <c r="B495" s="2" t="s">
        <v>31</v>
      </c>
      <c r="C495" s="3" t="s">
        <v>2126</v>
      </c>
      <c r="D495" s="3" t="s">
        <v>91</v>
      </c>
      <c r="E495" s="3" t="s">
        <v>2127</v>
      </c>
      <c r="F495" s="4">
        <v>10000000</v>
      </c>
      <c r="G495" s="4">
        <v>24000000</v>
      </c>
      <c r="H495" s="4">
        <v>500000</v>
      </c>
      <c r="I495" s="4">
        <v>0</v>
      </c>
      <c r="J495" s="2" t="s">
        <v>2128</v>
      </c>
      <c r="K495" s="4">
        <v>36000000</v>
      </c>
      <c r="L495" s="4">
        <v>0</v>
      </c>
      <c r="M495" s="4">
        <v>1500000</v>
      </c>
      <c r="N495" s="4">
        <v>1000000</v>
      </c>
      <c r="O495" s="4">
        <v>12000000</v>
      </c>
      <c r="P495" s="5">
        <v>0.666667</v>
      </c>
      <c r="Q495" s="10">
        <v>0.125</v>
      </c>
      <c r="R495" s="2" t="s">
        <v>2129</v>
      </c>
      <c r="S495" s="7">
        <f t="shared" si="56"/>
        <v>1500000</v>
      </c>
      <c r="T495" s="7">
        <f t="shared" si="57"/>
        <v>12000000</v>
      </c>
      <c r="U495" s="8">
        <f t="shared" si="58"/>
        <v>0.125</v>
      </c>
      <c r="V495" s="9" t="e">
        <f>IF(T495&lt;=0,"Output &lt;= 0",IF(U495&gt;#REF!,"Terlalu tinggi",IF(U495&lt;#REF!,"Terlalu rendah","Sesuai")))</f>
        <v>#REF!</v>
      </c>
      <c r="W495" s="7" t="e">
        <f>IF(T495&lt;=0,S495,IF(U495&gt;#REF!,ROUNDDOWN(T495*#REF!,0),IF(U495&lt;#REF!,ROUNDUP(T495*#REF!,0),S495)))</f>
        <v>#REF!</v>
      </c>
      <c r="X495" s="7" t="e">
        <f t="shared" si="59"/>
        <v>#REF!</v>
      </c>
      <c r="Y495" s="7" t="e">
        <f t="shared" si="60"/>
        <v>#REF!</v>
      </c>
      <c r="Z495" s="7" t="e">
        <f t="shared" si="61"/>
        <v>#REF!</v>
      </c>
      <c r="AA495" s="7" t="e">
        <f t="shared" si="62"/>
        <v>#REF!</v>
      </c>
      <c r="AB495" s="8" t="e">
        <f t="shared" si="63"/>
        <v>#REF!</v>
      </c>
      <c r="AC495" s="9" t="e">
        <f>IF(T495&lt;=0,"Output &lt;= 0, cek manual",IF(OR(Z495&lt;0,Y495&lt;0),"Biaya negatif",IF(AND(AB495&gt;=#REF!,AB495&lt;=#REF!),"OK","Di luar rentang")))</f>
        <v>#REF!</v>
      </c>
    </row>
    <row r="496" ht="99.75" spans="1:29">
      <c r="A496" s="2" t="s">
        <v>30</v>
      </c>
      <c r="B496" s="2" t="s">
        <v>31</v>
      </c>
      <c r="C496" s="3" t="s">
        <v>2130</v>
      </c>
      <c r="D496" s="3" t="s">
        <v>91</v>
      </c>
      <c r="E496" s="3" t="s">
        <v>92</v>
      </c>
      <c r="F496" s="4">
        <v>0</v>
      </c>
      <c r="G496" s="4">
        <v>7200000</v>
      </c>
      <c r="H496" s="4">
        <v>200000</v>
      </c>
      <c r="I496" s="4">
        <v>0</v>
      </c>
      <c r="J496" s="2" t="s">
        <v>2131</v>
      </c>
      <c r="K496" s="4">
        <v>10800000</v>
      </c>
      <c r="L496" s="4">
        <v>0</v>
      </c>
      <c r="M496" s="4">
        <v>3400000</v>
      </c>
      <c r="N496" s="4">
        <v>60000000</v>
      </c>
      <c r="O496" s="4">
        <v>3600000</v>
      </c>
      <c r="P496" s="5">
        <v>0.666667</v>
      </c>
      <c r="Q496" s="5">
        <v>0.944444</v>
      </c>
      <c r="R496" s="2" t="s">
        <v>2132</v>
      </c>
      <c r="S496" s="7">
        <f t="shared" si="56"/>
        <v>3400000</v>
      </c>
      <c r="T496" s="7">
        <f t="shared" si="57"/>
        <v>3600000</v>
      </c>
      <c r="U496" s="8">
        <f t="shared" si="58"/>
        <v>0.944444444444444</v>
      </c>
      <c r="V496" s="9" t="e">
        <f>IF(T496&lt;=0,"Output &lt;= 0",IF(U496&gt;#REF!,"Terlalu tinggi",IF(U496&lt;#REF!,"Terlalu rendah","Sesuai")))</f>
        <v>#REF!</v>
      </c>
      <c r="W496" s="7" t="e">
        <f>IF(T496&lt;=0,S496,IF(U496&gt;#REF!,ROUNDDOWN(T496*#REF!,0),IF(U496&lt;#REF!,ROUNDUP(T496*#REF!,0),S496)))</f>
        <v>#REF!</v>
      </c>
      <c r="X496" s="7" t="e">
        <f t="shared" si="59"/>
        <v>#REF!</v>
      </c>
      <c r="Y496" s="7" t="e">
        <f t="shared" si="60"/>
        <v>#REF!</v>
      </c>
      <c r="Z496" s="7" t="e">
        <f t="shared" si="61"/>
        <v>#REF!</v>
      </c>
      <c r="AA496" s="7" t="e">
        <f t="shared" si="62"/>
        <v>#REF!</v>
      </c>
      <c r="AB496" s="8" t="e">
        <f t="shared" si="63"/>
        <v>#REF!</v>
      </c>
      <c r="AC496" s="9" t="e">
        <f>IF(T496&lt;=0,"Output &lt;= 0, cek manual",IF(OR(Z496&lt;0,Y496&lt;0),"Biaya negatif",IF(AND(AB496&gt;=#REF!,AB496&lt;=#REF!),"OK","Di luar rentang")))</f>
        <v>#REF!</v>
      </c>
    </row>
    <row r="497" ht="99.75" spans="1:29">
      <c r="A497" s="2" t="s">
        <v>30</v>
      </c>
      <c r="B497" s="2" t="s">
        <v>31</v>
      </c>
      <c r="C497" s="3" t="s">
        <v>2133</v>
      </c>
      <c r="D497" s="3" t="s">
        <v>2134</v>
      </c>
      <c r="E497" s="3" t="s">
        <v>2135</v>
      </c>
      <c r="F497" s="4">
        <v>350000</v>
      </c>
      <c r="G497" s="4">
        <v>2500000</v>
      </c>
      <c r="H497" s="4">
        <v>500000</v>
      </c>
      <c r="I497" s="4">
        <v>0</v>
      </c>
      <c r="J497" s="2" t="s">
        <v>2136</v>
      </c>
      <c r="K497" s="4">
        <v>7500000</v>
      </c>
      <c r="L497" s="4">
        <v>0</v>
      </c>
      <c r="M497" s="4">
        <v>4150000</v>
      </c>
      <c r="N497" s="4">
        <v>7500000</v>
      </c>
      <c r="O497" s="4">
        <v>5000000</v>
      </c>
      <c r="P497" s="5">
        <v>0.333333</v>
      </c>
      <c r="Q497" s="11">
        <v>0.83</v>
      </c>
      <c r="R497" s="2" t="s">
        <v>2137</v>
      </c>
      <c r="S497" s="7">
        <f t="shared" si="56"/>
        <v>4150000</v>
      </c>
      <c r="T497" s="7">
        <f t="shared" si="57"/>
        <v>5000000</v>
      </c>
      <c r="U497" s="8">
        <f t="shared" si="58"/>
        <v>0.83</v>
      </c>
      <c r="V497" s="9" t="e">
        <f>IF(T497&lt;=0,"Output &lt;= 0",IF(U497&gt;#REF!,"Terlalu tinggi",IF(U497&lt;#REF!,"Terlalu rendah","Sesuai")))</f>
        <v>#REF!</v>
      </c>
      <c r="W497" s="7" t="e">
        <f>IF(T497&lt;=0,S497,IF(U497&gt;#REF!,ROUNDDOWN(T497*#REF!,0),IF(U497&lt;#REF!,ROUNDUP(T497*#REF!,0),S497)))</f>
        <v>#REF!</v>
      </c>
      <c r="X497" s="7" t="e">
        <f t="shared" si="59"/>
        <v>#REF!</v>
      </c>
      <c r="Y497" s="7" t="e">
        <f t="shared" si="60"/>
        <v>#REF!</v>
      </c>
      <c r="Z497" s="7" t="e">
        <f t="shared" si="61"/>
        <v>#REF!</v>
      </c>
      <c r="AA497" s="7" t="e">
        <f t="shared" si="62"/>
        <v>#REF!</v>
      </c>
      <c r="AB497" s="8" t="e">
        <f t="shared" si="63"/>
        <v>#REF!</v>
      </c>
      <c r="AC497" s="9" t="e">
        <f>IF(T497&lt;=0,"Output &lt;= 0, cek manual",IF(OR(Z497&lt;0,Y497&lt;0),"Biaya negatif",IF(AND(AB497&gt;=#REF!,AB497&lt;=#REF!),"OK","Di luar rentang")))</f>
        <v>#REF!</v>
      </c>
    </row>
    <row r="498" ht="57" spans="1:29">
      <c r="A498" s="2" t="s">
        <v>30</v>
      </c>
      <c r="B498" s="2" t="s">
        <v>31</v>
      </c>
      <c r="C498" s="3" t="s">
        <v>2138</v>
      </c>
      <c r="D498" s="3" t="s">
        <v>91</v>
      </c>
      <c r="E498" s="3" t="s">
        <v>2139</v>
      </c>
      <c r="F498" s="4">
        <v>1000000</v>
      </c>
      <c r="G498" s="4">
        <v>17000000</v>
      </c>
      <c r="H498" s="4">
        <v>1000000</v>
      </c>
      <c r="I498" s="4">
        <v>0</v>
      </c>
      <c r="J498" s="2" t="s">
        <v>1675</v>
      </c>
      <c r="K498" s="4">
        <v>30000000</v>
      </c>
      <c r="L498" s="4">
        <v>0</v>
      </c>
      <c r="M498" s="4">
        <v>11000000</v>
      </c>
      <c r="N498" s="4">
        <v>500000</v>
      </c>
      <c r="O498" s="4">
        <v>13000000</v>
      </c>
      <c r="P498" s="5">
        <v>0.566667</v>
      </c>
      <c r="Q498" s="5">
        <v>0.846154</v>
      </c>
      <c r="R498" s="2" t="s">
        <v>2140</v>
      </c>
      <c r="S498" s="7">
        <f t="shared" si="56"/>
        <v>11000000</v>
      </c>
      <c r="T498" s="7">
        <f t="shared" si="57"/>
        <v>13000000</v>
      </c>
      <c r="U498" s="8">
        <f t="shared" si="58"/>
        <v>0.846153846153846</v>
      </c>
      <c r="V498" s="9" t="e">
        <f>IF(T498&lt;=0,"Output &lt;= 0",IF(U498&gt;#REF!,"Terlalu tinggi",IF(U498&lt;#REF!,"Terlalu rendah","Sesuai")))</f>
        <v>#REF!</v>
      </c>
      <c r="W498" s="7" t="e">
        <f>IF(T498&lt;=0,S498,IF(U498&gt;#REF!,ROUNDDOWN(T498*#REF!,0),IF(U498&lt;#REF!,ROUNDUP(T498*#REF!,0),S498)))</f>
        <v>#REF!</v>
      </c>
      <c r="X498" s="7" t="e">
        <f t="shared" si="59"/>
        <v>#REF!</v>
      </c>
      <c r="Y498" s="7" t="e">
        <f t="shared" si="60"/>
        <v>#REF!</v>
      </c>
      <c r="Z498" s="7" t="e">
        <f t="shared" si="61"/>
        <v>#REF!</v>
      </c>
      <c r="AA498" s="7" t="e">
        <f t="shared" si="62"/>
        <v>#REF!</v>
      </c>
      <c r="AB498" s="8" t="e">
        <f t="shared" si="63"/>
        <v>#REF!</v>
      </c>
      <c r="AC498" s="9" t="e">
        <f>IF(T498&lt;=0,"Output &lt;= 0, cek manual",IF(OR(Z498&lt;0,Y498&lt;0),"Biaya negatif",IF(AND(AB498&gt;=#REF!,AB498&lt;=#REF!),"OK","Di luar rentang")))</f>
        <v>#REF!</v>
      </c>
    </row>
    <row r="499" ht="114" spans="1:29">
      <c r="A499" s="2" t="s">
        <v>30</v>
      </c>
      <c r="B499" s="2" t="s">
        <v>31</v>
      </c>
      <c r="C499" s="3" t="s">
        <v>2141</v>
      </c>
      <c r="D499" s="3" t="s">
        <v>2142</v>
      </c>
      <c r="E499" s="3" t="s">
        <v>2143</v>
      </c>
      <c r="F499" s="4">
        <v>0</v>
      </c>
      <c r="G499" s="4">
        <v>8000000</v>
      </c>
      <c r="H499" s="4">
        <v>685000</v>
      </c>
      <c r="I499" s="4">
        <v>0</v>
      </c>
      <c r="J499" s="2" t="s">
        <v>2144</v>
      </c>
      <c r="K499" s="4">
        <v>12000000</v>
      </c>
      <c r="L499" s="4">
        <v>855000</v>
      </c>
      <c r="M499" s="4">
        <v>3315000</v>
      </c>
      <c r="N499" s="4">
        <v>17750000</v>
      </c>
      <c r="O499" s="4">
        <v>4000000</v>
      </c>
      <c r="P499" s="5">
        <v>0.666667</v>
      </c>
      <c r="Q499" s="6">
        <v>0.82875</v>
      </c>
      <c r="R499" s="2" t="s">
        <v>2145</v>
      </c>
      <c r="S499" s="7">
        <f t="shared" si="56"/>
        <v>3315000</v>
      </c>
      <c r="T499" s="7">
        <f t="shared" si="57"/>
        <v>4000000</v>
      </c>
      <c r="U499" s="8">
        <f t="shared" si="58"/>
        <v>0.82875</v>
      </c>
      <c r="V499" s="9" t="e">
        <f>IF(T499&lt;=0,"Output &lt;= 0",IF(U499&gt;#REF!,"Terlalu tinggi",IF(U499&lt;#REF!,"Terlalu rendah","Sesuai")))</f>
        <v>#REF!</v>
      </c>
      <c r="W499" s="7" t="e">
        <f>IF(T499&lt;=0,S499,IF(U499&gt;#REF!,ROUNDDOWN(T499*#REF!,0),IF(U499&lt;#REF!,ROUNDUP(T499*#REF!,0),S499)))</f>
        <v>#REF!</v>
      </c>
      <c r="X499" s="7" t="e">
        <f t="shared" si="59"/>
        <v>#REF!</v>
      </c>
      <c r="Y499" s="7" t="e">
        <f t="shared" si="60"/>
        <v>#REF!</v>
      </c>
      <c r="Z499" s="7" t="e">
        <f t="shared" si="61"/>
        <v>#REF!</v>
      </c>
      <c r="AA499" s="7" t="e">
        <f t="shared" si="62"/>
        <v>#REF!</v>
      </c>
      <c r="AB499" s="8" t="e">
        <f t="shared" si="63"/>
        <v>#REF!</v>
      </c>
      <c r="AC499" s="9" t="e">
        <f>IF(T499&lt;=0,"Output &lt;= 0, cek manual",IF(OR(Z499&lt;0,Y499&lt;0),"Biaya negatif",IF(AND(AB499&gt;=#REF!,AB499&lt;=#REF!),"OK","Di luar rentang")))</f>
        <v>#REF!</v>
      </c>
    </row>
    <row r="500" ht="57" spans="1:29">
      <c r="A500" s="2" t="s">
        <v>30</v>
      </c>
      <c r="B500" s="2" t="s">
        <v>31</v>
      </c>
      <c r="C500" s="3" t="s">
        <v>2146</v>
      </c>
      <c r="D500" s="3" t="s">
        <v>2147</v>
      </c>
      <c r="E500" s="3" t="s">
        <v>2148</v>
      </c>
      <c r="F500" s="4">
        <v>0</v>
      </c>
      <c r="G500" s="4">
        <v>24000000</v>
      </c>
      <c r="H500" s="4">
        <v>960000</v>
      </c>
      <c r="I500" s="4">
        <v>0</v>
      </c>
      <c r="J500" s="2" t="s">
        <v>580</v>
      </c>
      <c r="K500" s="4">
        <v>35750000</v>
      </c>
      <c r="L500" s="4">
        <v>0</v>
      </c>
      <c r="M500" s="4">
        <v>10790000</v>
      </c>
      <c r="N500" s="4">
        <v>50000000</v>
      </c>
      <c r="O500" s="4">
        <v>11750000</v>
      </c>
      <c r="P500" s="5">
        <v>0.671329</v>
      </c>
      <c r="Q500" s="5">
        <v>0.918298</v>
      </c>
      <c r="R500" s="2" t="s">
        <v>2149</v>
      </c>
      <c r="S500" s="7">
        <f t="shared" si="56"/>
        <v>10790000</v>
      </c>
      <c r="T500" s="7">
        <f t="shared" si="57"/>
        <v>11750000</v>
      </c>
      <c r="U500" s="8">
        <f t="shared" si="58"/>
        <v>0.918297872340425</v>
      </c>
      <c r="V500" s="9" t="e">
        <f>IF(T500&lt;=0,"Output &lt;= 0",IF(U500&gt;#REF!,"Terlalu tinggi",IF(U500&lt;#REF!,"Terlalu rendah","Sesuai")))</f>
        <v>#REF!</v>
      </c>
      <c r="W500" s="7" t="e">
        <f>IF(T500&lt;=0,S500,IF(U500&gt;#REF!,ROUNDDOWN(T500*#REF!,0),IF(U500&lt;#REF!,ROUNDUP(T500*#REF!,0),S500)))</f>
        <v>#REF!</v>
      </c>
      <c r="X500" s="7" t="e">
        <f t="shared" si="59"/>
        <v>#REF!</v>
      </c>
      <c r="Y500" s="7" t="e">
        <f t="shared" si="60"/>
        <v>#REF!</v>
      </c>
      <c r="Z500" s="7" t="e">
        <f t="shared" si="61"/>
        <v>#REF!</v>
      </c>
      <c r="AA500" s="7" t="e">
        <f t="shared" si="62"/>
        <v>#REF!</v>
      </c>
      <c r="AB500" s="8" t="e">
        <f t="shared" si="63"/>
        <v>#REF!</v>
      </c>
      <c r="AC500" s="9" t="e">
        <f>IF(T500&lt;=0,"Output &lt;= 0, cek manual",IF(OR(Z500&lt;0,Y500&lt;0),"Biaya negatif",IF(AND(AB500&gt;=#REF!,AB500&lt;=#REF!),"OK","Di luar rentang")))</f>
        <v>#REF!</v>
      </c>
    </row>
    <row r="501" ht="85.5" spans="1:29">
      <c r="A501" s="2" t="s">
        <v>30</v>
      </c>
      <c r="B501" s="2" t="s">
        <v>31</v>
      </c>
      <c r="C501" s="3" t="s">
        <v>2150</v>
      </c>
      <c r="D501" s="3" t="s">
        <v>160</v>
      </c>
      <c r="E501" s="3" t="s">
        <v>2151</v>
      </c>
      <c r="F501" s="4">
        <v>300000</v>
      </c>
      <c r="G501" s="4">
        <v>50000000</v>
      </c>
      <c r="H501" s="4">
        <v>200000</v>
      </c>
      <c r="I501" s="4">
        <v>300000</v>
      </c>
      <c r="J501" s="2" t="s">
        <v>59</v>
      </c>
      <c r="K501" s="4">
        <v>104000000</v>
      </c>
      <c r="L501" s="4">
        <v>400000</v>
      </c>
      <c r="M501" s="4">
        <v>53500000</v>
      </c>
      <c r="N501" s="4">
        <v>275000000</v>
      </c>
      <c r="O501" s="4">
        <v>54000000</v>
      </c>
      <c r="P501" s="5">
        <v>0.480769</v>
      </c>
      <c r="Q501" s="5">
        <v>0.990741</v>
      </c>
      <c r="R501" s="2" t="s">
        <v>2152</v>
      </c>
      <c r="S501" s="7">
        <f t="shared" si="56"/>
        <v>53500000</v>
      </c>
      <c r="T501" s="7">
        <f t="shared" si="57"/>
        <v>54000000</v>
      </c>
      <c r="U501" s="8">
        <f t="shared" si="58"/>
        <v>0.990740740740741</v>
      </c>
      <c r="V501" s="9" t="e">
        <f>IF(T501&lt;=0,"Output &lt;= 0",IF(U501&gt;#REF!,"Terlalu tinggi",IF(U501&lt;#REF!,"Terlalu rendah","Sesuai")))</f>
        <v>#REF!</v>
      </c>
      <c r="W501" s="7" t="e">
        <f>IF(T501&lt;=0,S501,IF(U501&gt;#REF!,ROUNDDOWN(T501*#REF!,0),IF(U501&lt;#REF!,ROUNDUP(T501*#REF!,0),S501)))</f>
        <v>#REF!</v>
      </c>
      <c r="X501" s="7" t="e">
        <f t="shared" si="59"/>
        <v>#REF!</v>
      </c>
      <c r="Y501" s="7" t="e">
        <f t="shared" si="60"/>
        <v>#REF!</v>
      </c>
      <c r="Z501" s="7" t="e">
        <f t="shared" si="61"/>
        <v>#REF!</v>
      </c>
      <c r="AA501" s="7" t="e">
        <f t="shared" si="62"/>
        <v>#REF!</v>
      </c>
      <c r="AB501" s="8" t="e">
        <f t="shared" si="63"/>
        <v>#REF!</v>
      </c>
      <c r="AC501" s="9" t="e">
        <f>IF(T501&lt;=0,"Output &lt;= 0, cek manual",IF(OR(Z501&lt;0,Y501&lt;0),"Biaya negatif",IF(AND(AB501&gt;=#REF!,AB501&lt;=#REF!),"OK","Di luar rentang")))</f>
        <v>#REF!</v>
      </c>
    </row>
    <row r="502" ht="85.5" spans="1:29">
      <c r="A502" s="2" t="s">
        <v>30</v>
      </c>
      <c r="B502" s="2" t="s">
        <v>31</v>
      </c>
      <c r="C502" s="3" t="s">
        <v>2153</v>
      </c>
      <c r="D502" s="3" t="s">
        <v>62</v>
      </c>
      <c r="E502" s="3" t="s">
        <v>63</v>
      </c>
      <c r="F502" s="4">
        <v>0</v>
      </c>
      <c r="G502" s="4">
        <v>72000000</v>
      </c>
      <c r="H502" s="4">
        <v>180000</v>
      </c>
      <c r="I502" s="4">
        <v>0</v>
      </c>
      <c r="J502" s="2" t="s">
        <v>2154</v>
      </c>
      <c r="K502" s="4">
        <v>81000000</v>
      </c>
      <c r="L502" s="4">
        <v>0</v>
      </c>
      <c r="M502" s="4">
        <v>8820000</v>
      </c>
      <c r="N502" s="4">
        <v>0</v>
      </c>
      <c r="O502" s="4">
        <v>9000000</v>
      </c>
      <c r="P502" s="5">
        <v>0.888889</v>
      </c>
      <c r="Q502" s="11">
        <v>0.98</v>
      </c>
      <c r="R502" s="2" t="s">
        <v>2155</v>
      </c>
      <c r="S502" s="7">
        <f t="shared" si="56"/>
        <v>8820000</v>
      </c>
      <c r="T502" s="7">
        <f t="shared" si="57"/>
        <v>9000000</v>
      </c>
      <c r="U502" s="8">
        <f t="shared" si="58"/>
        <v>0.98</v>
      </c>
      <c r="V502" s="9" t="e">
        <f>IF(T502&lt;=0,"Output &lt;= 0",IF(U502&gt;#REF!,"Terlalu tinggi",IF(U502&lt;#REF!,"Terlalu rendah","Sesuai")))</f>
        <v>#REF!</v>
      </c>
      <c r="W502" s="7" t="e">
        <f>IF(T502&lt;=0,S502,IF(U502&gt;#REF!,ROUNDDOWN(T502*#REF!,0),IF(U502&lt;#REF!,ROUNDUP(T502*#REF!,0),S502)))</f>
        <v>#REF!</v>
      </c>
      <c r="X502" s="7" t="e">
        <f t="shared" si="59"/>
        <v>#REF!</v>
      </c>
      <c r="Y502" s="7" t="e">
        <f t="shared" si="60"/>
        <v>#REF!</v>
      </c>
      <c r="Z502" s="7" t="e">
        <f t="shared" si="61"/>
        <v>#REF!</v>
      </c>
      <c r="AA502" s="7" t="e">
        <f t="shared" si="62"/>
        <v>#REF!</v>
      </c>
      <c r="AB502" s="8" t="e">
        <f t="shared" si="63"/>
        <v>#REF!</v>
      </c>
      <c r="AC502" s="9" t="e">
        <f>IF(T502&lt;=0,"Output &lt;= 0, cek manual",IF(OR(Z502&lt;0,Y502&lt;0),"Biaya negatif",IF(AND(AB502&gt;=#REF!,AB502&lt;=#REF!),"OK","Di luar rentang")))</f>
        <v>#REF!</v>
      </c>
    </row>
    <row r="503" ht="99.75" spans="1:29">
      <c r="A503" s="2" t="s">
        <v>30</v>
      </c>
      <c r="B503" s="2" t="s">
        <v>31</v>
      </c>
      <c r="C503" s="3" t="s">
        <v>2156</v>
      </c>
      <c r="D503" s="3" t="s">
        <v>2091</v>
      </c>
      <c r="E503" s="3" t="s">
        <v>2157</v>
      </c>
      <c r="F503" s="4">
        <v>120000</v>
      </c>
      <c r="G503" s="4">
        <v>1000000</v>
      </c>
      <c r="H503" s="4">
        <v>0</v>
      </c>
      <c r="I503" s="4">
        <v>0</v>
      </c>
      <c r="J503" s="2" t="s">
        <v>2158</v>
      </c>
      <c r="K503" s="4">
        <v>2000000</v>
      </c>
      <c r="L503" s="4">
        <v>0</v>
      </c>
      <c r="M503" s="4">
        <v>880000</v>
      </c>
      <c r="N503" s="4">
        <v>57000000</v>
      </c>
      <c r="O503" s="4">
        <v>1000000</v>
      </c>
      <c r="P503" s="12">
        <v>0.5</v>
      </c>
      <c r="Q503" s="11">
        <v>0.88</v>
      </c>
      <c r="R503" s="2" t="s">
        <v>2159</v>
      </c>
      <c r="S503" s="7">
        <f t="shared" si="56"/>
        <v>880000</v>
      </c>
      <c r="T503" s="7">
        <f t="shared" si="57"/>
        <v>1000000</v>
      </c>
      <c r="U503" s="8">
        <f t="shared" si="58"/>
        <v>0.88</v>
      </c>
      <c r="V503" s="9" t="e">
        <f>IF(T503&lt;=0,"Output &lt;= 0",IF(U503&gt;#REF!,"Terlalu tinggi",IF(U503&lt;#REF!,"Terlalu rendah","Sesuai")))</f>
        <v>#REF!</v>
      </c>
      <c r="W503" s="7" t="e">
        <f>IF(T503&lt;=0,S503,IF(U503&gt;#REF!,ROUNDDOWN(T503*#REF!,0),IF(U503&lt;#REF!,ROUNDUP(T503*#REF!,0),S503)))</f>
        <v>#REF!</v>
      </c>
      <c r="X503" s="7" t="e">
        <f t="shared" si="59"/>
        <v>#REF!</v>
      </c>
      <c r="Y503" s="7" t="e">
        <f t="shared" si="60"/>
        <v>#REF!</v>
      </c>
      <c r="Z503" s="7" t="e">
        <f t="shared" si="61"/>
        <v>#REF!</v>
      </c>
      <c r="AA503" s="7" t="e">
        <f t="shared" si="62"/>
        <v>#REF!</v>
      </c>
      <c r="AB503" s="8" t="e">
        <f t="shared" si="63"/>
        <v>#REF!</v>
      </c>
      <c r="AC503" s="9" t="e">
        <f>IF(T503&lt;=0,"Output &lt;= 0, cek manual",IF(OR(Z503&lt;0,Y503&lt;0),"Biaya negatif",IF(AND(AB503&gt;=#REF!,AB503&lt;=#REF!),"OK","Di luar rentang")))</f>
        <v>#REF!</v>
      </c>
    </row>
    <row r="504" ht="99.75" spans="1:29">
      <c r="A504" s="2" t="s">
        <v>30</v>
      </c>
      <c r="B504" s="2" t="s">
        <v>31</v>
      </c>
      <c r="C504" s="3" t="s">
        <v>2160</v>
      </c>
      <c r="D504" s="3" t="s">
        <v>2161</v>
      </c>
      <c r="E504" s="3" t="s">
        <v>2162</v>
      </c>
      <c r="F504" s="4">
        <v>1500000</v>
      </c>
      <c r="G504" s="4">
        <v>5000000</v>
      </c>
      <c r="H504" s="4">
        <v>150000</v>
      </c>
      <c r="I504" s="4">
        <v>500000</v>
      </c>
      <c r="J504" s="2" t="s">
        <v>157</v>
      </c>
      <c r="K504" s="4">
        <v>8500000</v>
      </c>
      <c r="L504" s="4">
        <v>0</v>
      </c>
      <c r="M504" s="4">
        <v>1850000</v>
      </c>
      <c r="N504" s="4">
        <v>5900000</v>
      </c>
      <c r="O504" s="4">
        <v>3500000</v>
      </c>
      <c r="P504" s="5">
        <v>0.588235</v>
      </c>
      <c r="Q504" s="5">
        <v>0.528571</v>
      </c>
      <c r="R504" s="2" t="s">
        <v>2163</v>
      </c>
      <c r="S504" s="7">
        <f t="shared" si="56"/>
        <v>1850000</v>
      </c>
      <c r="T504" s="7">
        <f t="shared" si="57"/>
        <v>3500000</v>
      </c>
      <c r="U504" s="8">
        <f t="shared" si="58"/>
        <v>0.528571428571429</v>
      </c>
      <c r="V504" s="9" t="e">
        <f>IF(T504&lt;=0,"Output &lt;= 0",IF(U504&gt;#REF!,"Terlalu tinggi",IF(U504&lt;#REF!,"Terlalu rendah","Sesuai")))</f>
        <v>#REF!</v>
      </c>
      <c r="W504" s="7" t="e">
        <f>IF(T504&lt;=0,S504,IF(U504&gt;#REF!,ROUNDDOWN(T504*#REF!,0),IF(U504&lt;#REF!,ROUNDUP(T504*#REF!,0),S504)))</f>
        <v>#REF!</v>
      </c>
      <c r="X504" s="7" t="e">
        <f t="shared" si="59"/>
        <v>#REF!</v>
      </c>
      <c r="Y504" s="7" t="e">
        <f t="shared" si="60"/>
        <v>#REF!</v>
      </c>
      <c r="Z504" s="7" t="e">
        <f t="shared" si="61"/>
        <v>#REF!</v>
      </c>
      <c r="AA504" s="7" t="e">
        <f t="shared" si="62"/>
        <v>#REF!</v>
      </c>
      <c r="AB504" s="8" t="e">
        <f t="shared" si="63"/>
        <v>#REF!</v>
      </c>
      <c r="AC504" s="9" t="e">
        <f>IF(T504&lt;=0,"Output &lt;= 0, cek manual",IF(OR(Z504&lt;0,Y504&lt;0),"Biaya negatif",IF(AND(AB504&gt;=#REF!,AB504&lt;=#REF!),"OK","Di luar rentang")))</f>
        <v>#REF!</v>
      </c>
    </row>
    <row r="505" ht="85.5" spans="1:29">
      <c r="A505" s="2" t="s">
        <v>30</v>
      </c>
      <c r="B505" s="2" t="s">
        <v>31</v>
      </c>
      <c r="C505" s="3" t="s">
        <v>2164</v>
      </c>
      <c r="D505" s="3" t="s">
        <v>2165</v>
      </c>
      <c r="E505" s="3" t="s">
        <v>2166</v>
      </c>
      <c r="F505" s="4">
        <v>527000</v>
      </c>
      <c r="G505" s="4">
        <v>12235000</v>
      </c>
      <c r="H505" s="4">
        <v>105000</v>
      </c>
      <c r="I505" s="4">
        <v>5000</v>
      </c>
      <c r="J505" s="2" t="s">
        <v>2167</v>
      </c>
      <c r="K505" s="4">
        <v>19022000</v>
      </c>
      <c r="L505" s="4">
        <v>0</v>
      </c>
      <c r="M505" s="4">
        <v>6155000</v>
      </c>
      <c r="N505" s="4">
        <v>15350000</v>
      </c>
      <c r="O505" s="4">
        <v>6787000</v>
      </c>
      <c r="P505" s="5">
        <v>0.643203</v>
      </c>
      <c r="Q505" s="5">
        <v>0.906881</v>
      </c>
      <c r="R505" s="2" t="s">
        <v>2168</v>
      </c>
      <c r="S505" s="7">
        <f t="shared" si="56"/>
        <v>6155000</v>
      </c>
      <c r="T505" s="7">
        <f t="shared" si="57"/>
        <v>6787000</v>
      </c>
      <c r="U505" s="8">
        <f t="shared" si="58"/>
        <v>0.906880801532341</v>
      </c>
      <c r="V505" s="9" t="e">
        <f>IF(T505&lt;=0,"Output &lt;= 0",IF(U505&gt;#REF!,"Terlalu tinggi",IF(U505&lt;#REF!,"Terlalu rendah","Sesuai")))</f>
        <v>#REF!</v>
      </c>
      <c r="W505" s="7" t="e">
        <f>IF(T505&lt;=0,S505,IF(U505&gt;#REF!,ROUNDDOWN(T505*#REF!,0),IF(U505&lt;#REF!,ROUNDUP(T505*#REF!,0),S505)))</f>
        <v>#REF!</v>
      </c>
      <c r="X505" s="7" t="e">
        <f t="shared" si="59"/>
        <v>#REF!</v>
      </c>
      <c r="Y505" s="7" t="e">
        <f t="shared" si="60"/>
        <v>#REF!</v>
      </c>
      <c r="Z505" s="7" t="e">
        <f t="shared" si="61"/>
        <v>#REF!</v>
      </c>
      <c r="AA505" s="7" t="e">
        <f t="shared" si="62"/>
        <v>#REF!</v>
      </c>
      <c r="AB505" s="8" t="e">
        <f t="shared" si="63"/>
        <v>#REF!</v>
      </c>
      <c r="AC505" s="9" t="e">
        <f>IF(T505&lt;=0,"Output &lt;= 0, cek manual",IF(OR(Z505&lt;0,Y505&lt;0),"Biaya negatif",IF(AND(AB505&gt;=#REF!,AB505&lt;=#REF!),"OK","Di luar rentang")))</f>
        <v>#REF!</v>
      </c>
    </row>
    <row r="506" ht="57" spans="1:29">
      <c r="A506" s="2" t="s">
        <v>30</v>
      </c>
      <c r="B506" s="2" t="s">
        <v>31</v>
      </c>
      <c r="C506" s="3" t="s">
        <v>2169</v>
      </c>
      <c r="D506" s="3" t="s">
        <v>228</v>
      </c>
      <c r="E506" s="3" t="s">
        <v>1466</v>
      </c>
      <c r="F506" s="4">
        <v>2000000</v>
      </c>
      <c r="G506" s="4">
        <v>180000000</v>
      </c>
      <c r="H506" s="4">
        <v>15000000</v>
      </c>
      <c r="I506" s="4">
        <v>50000</v>
      </c>
      <c r="J506" s="2" t="s">
        <v>2170</v>
      </c>
      <c r="K506" s="4">
        <v>216000000</v>
      </c>
      <c r="L506" s="4">
        <v>0</v>
      </c>
      <c r="M506" s="4">
        <v>19000000</v>
      </c>
      <c r="N506" s="4">
        <v>63000000</v>
      </c>
      <c r="O506" s="4">
        <v>36000000</v>
      </c>
      <c r="P506" s="5">
        <v>0.833333</v>
      </c>
      <c r="Q506" s="5">
        <v>0.527778</v>
      </c>
      <c r="R506" s="2" t="s">
        <v>2171</v>
      </c>
      <c r="S506" s="7">
        <f t="shared" si="56"/>
        <v>19000000</v>
      </c>
      <c r="T506" s="7">
        <f t="shared" si="57"/>
        <v>36000000</v>
      </c>
      <c r="U506" s="8">
        <f t="shared" si="58"/>
        <v>0.527777777777778</v>
      </c>
      <c r="V506" s="9" t="e">
        <f>IF(T506&lt;=0,"Output &lt;= 0",IF(U506&gt;#REF!,"Terlalu tinggi",IF(U506&lt;#REF!,"Terlalu rendah","Sesuai")))</f>
        <v>#REF!</v>
      </c>
      <c r="W506" s="7" t="e">
        <f>IF(T506&lt;=0,S506,IF(U506&gt;#REF!,ROUNDDOWN(T506*#REF!,0),IF(U506&lt;#REF!,ROUNDUP(T506*#REF!,0),S506)))</f>
        <v>#REF!</v>
      </c>
      <c r="X506" s="7" t="e">
        <f t="shared" si="59"/>
        <v>#REF!</v>
      </c>
      <c r="Y506" s="7" t="e">
        <f t="shared" si="60"/>
        <v>#REF!</v>
      </c>
      <c r="Z506" s="7" t="e">
        <f t="shared" si="61"/>
        <v>#REF!</v>
      </c>
      <c r="AA506" s="7" t="e">
        <f t="shared" si="62"/>
        <v>#REF!</v>
      </c>
      <c r="AB506" s="8" t="e">
        <f t="shared" si="63"/>
        <v>#REF!</v>
      </c>
      <c r="AC506" s="9" t="e">
        <f>IF(T506&lt;=0,"Output &lt;= 0, cek manual",IF(OR(Z506&lt;0,Y506&lt;0),"Biaya negatif",IF(AND(AB506&gt;=#REF!,AB506&lt;=#REF!),"OK","Di luar rentang")))</f>
        <v>#REF!</v>
      </c>
    </row>
    <row r="507" ht="99.75" spans="1:29">
      <c r="A507" s="2" t="s">
        <v>30</v>
      </c>
      <c r="B507" s="2" t="s">
        <v>31</v>
      </c>
      <c r="C507" s="3" t="s">
        <v>2172</v>
      </c>
      <c r="D507" s="3" t="s">
        <v>2173</v>
      </c>
      <c r="E507" s="3" t="s">
        <v>2174</v>
      </c>
      <c r="F507" s="4">
        <v>0</v>
      </c>
      <c r="G507" s="4">
        <v>60000000</v>
      </c>
      <c r="H507" s="4">
        <v>1400000</v>
      </c>
      <c r="I507" s="4">
        <v>0</v>
      </c>
      <c r="J507" s="2" t="s">
        <v>2175</v>
      </c>
      <c r="K507" s="4">
        <v>72200000</v>
      </c>
      <c r="L507" s="4">
        <v>0</v>
      </c>
      <c r="M507" s="4">
        <v>10800000</v>
      </c>
      <c r="N507" s="4">
        <v>3100000</v>
      </c>
      <c r="O507" s="4">
        <v>12200000</v>
      </c>
      <c r="P507" s="5">
        <v>0.831025</v>
      </c>
      <c r="Q507" s="5">
        <v>0.885246</v>
      </c>
      <c r="R507" s="2" t="s">
        <v>2176</v>
      </c>
      <c r="S507" s="7">
        <f t="shared" si="56"/>
        <v>10800000</v>
      </c>
      <c r="T507" s="7">
        <f t="shared" si="57"/>
        <v>12200000</v>
      </c>
      <c r="U507" s="8">
        <f t="shared" si="58"/>
        <v>0.885245901639344</v>
      </c>
      <c r="V507" s="9" t="e">
        <f>IF(T507&lt;=0,"Output &lt;= 0",IF(U507&gt;#REF!,"Terlalu tinggi",IF(U507&lt;#REF!,"Terlalu rendah","Sesuai")))</f>
        <v>#REF!</v>
      </c>
      <c r="W507" s="7" t="e">
        <f>IF(T507&lt;=0,S507,IF(U507&gt;#REF!,ROUNDDOWN(T507*#REF!,0),IF(U507&lt;#REF!,ROUNDUP(T507*#REF!,0),S507)))</f>
        <v>#REF!</v>
      </c>
      <c r="X507" s="7" t="e">
        <f t="shared" si="59"/>
        <v>#REF!</v>
      </c>
      <c r="Y507" s="7" t="e">
        <f t="shared" si="60"/>
        <v>#REF!</v>
      </c>
      <c r="Z507" s="7" t="e">
        <f t="shared" si="61"/>
        <v>#REF!</v>
      </c>
      <c r="AA507" s="7" t="e">
        <f t="shared" si="62"/>
        <v>#REF!</v>
      </c>
      <c r="AB507" s="8" t="e">
        <f t="shared" si="63"/>
        <v>#REF!</v>
      </c>
      <c r="AC507" s="9" t="e">
        <f>IF(T507&lt;=0,"Output &lt;= 0, cek manual",IF(OR(Z507&lt;0,Y507&lt;0),"Biaya negatif",IF(AND(AB507&gt;=#REF!,AB507&lt;=#REF!),"OK","Di luar rentang")))</f>
        <v>#REF!</v>
      </c>
    </row>
    <row r="508" ht="99.75" spans="1:29">
      <c r="A508" s="2" t="s">
        <v>30</v>
      </c>
      <c r="B508" s="2" t="s">
        <v>31</v>
      </c>
      <c r="C508" s="3" t="s">
        <v>2177</v>
      </c>
      <c r="D508" s="3" t="s">
        <v>2178</v>
      </c>
      <c r="E508" s="3" t="s">
        <v>2179</v>
      </c>
      <c r="F508" s="4">
        <v>5000000</v>
      </c>
      <c r="G508" s="4">
        <v>3000000</v>
      </c>
      <c r="H508" s="4">
        <v>300000</v>
      </c>
      <c r="I508" s="4">
        <v>0</v>
      </c>
      <c r="J508" s="2" t="s">
        <v>2180</v>
      </c>
      <c r="K508" s="4">
        <v>9300000</v>
      </c>
      <c r="L508" s="4">
        <v>0</v>
      </c>
      <c r="M508" s="4">
        <v>1000000</v>
      </c>
      <c r="N508" s="4">
        <v>10000000</v>
      </c>
      <c r="O508" s="4">
        <v>6300000</v>
      </c>
      <c r="P508" s="5">
        <v>0.322581</v>
      </c>
      <c r="Q508" s="6">
        <v>0.15873</v>
      </c>
      <c r="R508" s="2" t="s">
        <v>2181</v>
      </c>
      <c r="S508" s="7">
        <f t="shared" si="56"/>
        <v>1000000</v>
      </c>
      <c r="T508" s="7">
        <f t="shared" si="57"/>
        <v>6300000</v>
      </c>
      <c r="U508" s="8">
        <f t="shared" si="58"/>
        <v>0.158730158730159</v>
      </c>
      <c r="V508" s="9" t="e">
        <f>IF(T508&lt;=0,"Output &lt;= 0",IF(U508&gt;#REF!,"Terlalu tinggi",IF(U508&lt;#REF!,"Terlalu rendah","Sesuai")))</f>
        <v>#REF!</v>
      </c>
      <c r="W508" s="7" t="e">
        <f>IF(T508&lt;=0,S508,IF(U508&gt;#REF!,ROUNDDOWN(T508*#REF!,0),IF(U508&lt;#REF!,ROUNDUP(T508*#REF!,0),S508)))</f>
        <v>#REF!</v>
      </c>
      <c r="X508" s="7" t="e">
        <f t="shared" si="59"/>
        <v>#REF!</v>
      </c>
      <c r="Y508" s="7" t="e">
        <f t="shared" si="60"/>
        <v>#REF!</v>
      </c>
      <c r="Z508" s="7" t="e">
        <f t="shared" si="61"/>
        <v>#REF!</v>
      </c>
      <c r="AA508" s="7" t="e">
        <f t="shared" si="62"/>
        <v>#REF!</v>
      </c>
      <c r="AB508" s="8" t="e">
        <f t="shared" si="63"/>
        <v>#REF!</v>
      </c>
      <c r="AC508" s="9" t="e">
        <f>IF(T508&lt;=0,"Output &lt;= 0, cek manual",IF(OR(Z508&lt;0,Y508&lt;0),"Biaya negatif",IF(AND(AB508&gt;=#REF!,AB508&lt;=#REF!),"OK","Di luar rentang")))</f>
        <v>#REF!</v>
      </c>
    </row>
    <row r="509" ht="85.5" spans="1:29">
      <c r="A509" s="2" t="s">
        <v>30</v>
      </c>
      <c r="B509" s="2" t="s">
        <v>31</v>
      </c>
      <c r="C509" s="3" t="s">
        <v>2182</v>
      </c>
      <c r="D509" s="3" t="s">
        <v>2119</v>
      </c>
      <c r="E509" s="3" t="s">
        <v>2183</v>
      </c>
      <c r="F509" s="4">
        <v>500000</v>
      </c>
      <c r="G509" s="4">
        <v>5500000</v>
      </c>
      <c r="H509" s="4">
        <v>350000</v>
      </c>
      <c r="I509" s="4">
        <v>0</v>
      </c>
      <c r="J509" s="2" t="s">
        <v>1339</v>
      </c>
      <c r="K509" s="4">
        <v>7500000</v>
      </c>
      <c r="L509" s="4">
        <v>0</v>
      </c>
      <c r="M509" s="4">
        <v>1150000</v>
      </c>
      <c r="N509" s="4">
        <v>15000000</v>
      </c>
      <c r="O509" s="4">
        <v>2000000</v>
      </c>
      <c r="P509" s="5">
        <v>0.733333</v>
      </c>
      <c r="Q509" s="10">
        <v>0.575</v>
      </c>
      <c r="R509" s="2" t="s">
        <v>2184</v>
      </c>
      <c r="S509" s="7">
        <f t="shared" si="56"/>
        <v>1150000</v>
      </c>
      <c r="T509" s="7">
        <f t="shared" si="57"/>
        <v>2000000</v>
      </c>
      <c r="U509" s="8">
        <f t="shared" si="58"/>
        <v>0.575</v>
      </c>
      <c r="V509" s="9" t="e">
        <f>IF(T509&lt;=0,"Output &lt;= 0",IF(U509&gt;#REF!,"Terlalu tinggi",IF(U509&lt;#REF!,"Terlalu rendah","Sesuai")))</f>
        <v>#REF!</v>
      </c>
      <c r="W509" s="7" t="e">
        <f>IF(T509&lt;=0,S509,IF(U509&gt;#REF!,ROUNDDOWN(T509*#REF!,0),IF(U509&lt;#REF!,ROUNDUP(T509*#REF!,0),S509)))</f>
        <v>#REF!</v>
      </c>
      <c r="X509" s="7" t="e">
        <f t="shared" si="59"/>
        <v>#REF!</v>
      </c>
      <c r="Y509" s="7" t="e">
        <f t="shared" si="60"/>
        <v>#REF!</v>
      </c>
      <c r="Z509" s="7" t="e">
        <f t="shared" si="61"/>
        <v>#REF!</v>
      </c>
      <c r="AA509" s="7" t="e">
        <f t="shared" si="62"/>
        <v>#REF!</v>
      </c>
      <c r="AB509" s="8" t="e">
        <f t="shared" si="63"/>
        <v>#REF!</v>
      </c>
      <c r="AC509" s="9" t="e">
        <f>IF(T509&lt;=0,"Output &lt;= 0, cek manual",IF(OR(Z509&lt;0,Y509&lt;0),"Biaya negatif",IF(AND(AB509&gt;=#REF!,AB509&lt;=#REF!),"OK","Di luar rentang")))</f>
        <v>#REF!</v>
      </c>
    </row>
    <row r="510" ht="228" spans="1:29">
      <c r="A510" s="2" t="s">
        <v>30</v>
      </c>
      <c r="B510" s="2" t="s">
        <v>31</v>
      </c>
      <c r="C510" s="3" t="s">
        <v>2185</v>
      </c>
      <c r="D510" s="3" t="s">
        <v>160</v>
      </c>
      <c r="E510" s="3" t="s">
        <v>2186</v>
      </c>
      <c r="F510" s="4">
        <v>20000</v>
      </c>
      <c r="G510" s="4">
        <v>12000000</v>
      </c>
      <c r="H510" s="4">
        <v>200000</v>
      </c>
      <c r="I510" s="4">
        <v>0</v>
      </c>
      <c r="J510" s="2" t="s">
        <v>162</v>
      </c>
      <c r="K510" s="4">
        <v>18600000</v>
      </c>
      <c r="L510" s="4">
        <v>0</v>
      </c>
      <c r="M510" s="4">
        <v>6380000</v>
      </c>
      <c r="N510" s="4">
        <v>2050000</v>
      </c>
      <c r="O510" s="4">
        <v>6600000</v>
      </c>
      <c r="P510" s="5">
        <v>0.645161</v>
      </c>
      <c r="Q510" s="5">
        <v>0.966667</v>
      </c>
      <c r="R510" s="2" t="s">
        <v>2187</v>
      </c>
      <c r="S510" s="7">
        <f t="shared" si="56"/>
        <v>6380000</v>
      </c>
      <c r="T510" s="7">
        <f t="shared" si="57"/>
        <v>6600000</v>
      </c>
      <c r="U510" s="8">
        <f t="shared" si="58"/>
        <v>0.966666666666667</v>
      </c>
      <c r="V510" s="9" t="e">
        <f>IF(T510&lt;=0,"Output &lt;= 0",IF(U510&gt;#REF!,"Terlalu tinggi",IF(U510&lt;#REF!,"Terlalu rendah","Sesuai")))</f>
        <v>#REF!</v>
      </c>
      <c r="W510" s="7" t="e">
        <f>IF(T510&lt;=0,S510,IF(U510&gt;#REF!,ROUNDDOWN(T510*#REF!,0),IF(U510&lt;#REF!,ROUNDUP(T510*#REF!,0),S510)))</f>
        <v>#REF!</v>
      </c>
      <c r="X510" s="7" t="e">
        <f t="shared" si="59"/>
        <v>#REF!</v>
      </c>
      <c r="Y510" s="7" t="e">
        <f t="shared" si="60"/>
        <v>#REF!</v>
      </c>
      <c r="Z510" s="7" t="e">
        <f t="shared" si="61"/>
        <v>#REF!</v>
      </c>
      <c r="AA510" s="7" t="e">
        <f t="shared" si="62"/>
        <v>#REF!</v>
      </c>
      <c r="AB510" s="8" t="e">
        <f t="shared" si="63"/>
        <v>#REF!</v>
      </c>
      <c r="AC510" s="9" t="e">
        <f>IF(T510&lt;=0,"Output &lt;= 0, cek manual",IF(OR(Z510&lt;0,Y510&lt;0),"Biaya negatif",IF(AND(AB510&gt;=#REF!,AB510&lt;=#REF!),"OK","Di luar rentang")))</f>
        <v>#REF!</v>
      </c>
    </row>
    <row r="511" ht="185.25" spans="1:29">
      <c r="A511" s="2" t="s">
        <v>30</v>
      </c>
      <c r="B511" s="2" t="s">
        <v>31</v>
      </c>
      <c r="C511" s="3" t="s">
        <v>2188</v>
      </c>
      <c r="D511" s="3" t="s">
        <v>2189</v>
      </c>
      <c r="E511" s="3" t="s">
        <v>2190</v>
      </c>
      <c r="F511" s="4">
        <v>500000</v>
      </c>
      <c r="G511" s="4">
        <v>36000000</v>
      </c>
      <c r="H511" s="4">
        <v>3600000</v>
      </c>
      <c r="I511" s="4">
        <v>20000</v>
      </c>
      <c r="J511" s="2" t="s">
        <v>2191</v>
      </c>
      <c r="K511" s="4">
        <v>60000000</v>
      </c>
      <c r="L511" s="4">
        <v>0</v>
      </c>
      <c r="M511" s="4">
        <v>19900000</v>
      </c>
      <c r="N511" s="4">
        <v>23000000</v>
      </c>
      <c r="O511" s="4">
        <v>24000000</v>
      </c>
      <c r="P511" s="12">
        <v>0.6</v>
      </c>
      <c r="Q511" s="5">
        <v>0.829167</v>
      </c>
      <c r="R511" s="2" t="s">
        <v>2192</v>
      </c>
      <c r="S511" s="7">
        <f t="shared" si="56"/>
        <v>19900000</v>
      </c>
      <c r="T511" s="7">
        <f t="shared" si="57"/>
        <v>24000000</v>
      </c>
      <c r="U511" s="8">
        <f t="shared" si="58"/>
        <v>0.829166666666667</v>
      </c>
      <c r="V511" s="9" t="e">
        <f>IF(T511&lt;=0,"Output &lt;= 0",IF(U511&gt;#REF!,"Terlalu tinggi",IF(U511&lt;#REF!,"Terlalu rendah","Sesuai")))</f>
        <v>#REF!</v>
      </c>
      <c r="W511" s="7" t="e">
        <f>IF(T511&lt;=0,S511,IF(U511&gt;#REF!,ROUNDDOWN(T511*#REF!,0),IF(U511&lt;#REF!,ROUNDUP(T511*#REF!,0),S511)))</f>
        <v>#REF!</v>
      </c>
      <c r="X511" s="7" t="e">
        <f t="shared" si="59"/>
        <v>#REF!</v>
      </c>
      <c r="Y511" s="7" t="e">
        <f t="shared" si="60"/>
        <v>#REF!</v>
      </c>
      <c r="Z511" s="7" t="e">
        <f t="shared" si="61"/>
        <v>#REF!</v>
      </c>
      <c r="AA511" s="7" t="e">
        <f t="shared" si="62"/>
        <v>#REF!</v>
      </c>
      <c r="AB511" s="8" t="e">
        <f t="shared" si="63"/>
        <v>#REF!</v>
      </c>
      <c r="AC511" s="9" t="e">
        <f>IF(T511&lt;=0,"Output &lt;= 0, cek manual",IF(OR(Z511&lt;0,Y511&lt;0),"Biaya negatif",IF(AND(AB511&gt;=#REF!,AB511&lt;=#REF!),"OK","Di luar rentang")))</f>
        <v>#REF!</v>
      </c>
    </row>
    <row r="512" ht="85.5" spans="1:29">
      <c r="A512" s="2" t="s">
        <v>30</v>
      </c>
      <c r="B512" s="2" t="s">
        <v>31</v>
      </c>
      <c r="C512" s="3" t="s">
        <v>2193</v>
      </c>
      <c r="D512" s="3" t="s">
        <v>2194</v>
      </c>
      <c r="E512" s="3" t="s">
        <v>2195</v>
      </c>
      <c r="F512" s="4">
        <v>0</v>
      </c>
      <c r="G512" s="4">
        <v>12000000</v>
      </c>
      <c r="H512" s="4">
        <v>1800000</v>
      </c>
      <c r="I512" s="4">
        <v>4200000</v>
      </c>
      <c r="J512" s="2" t="s">
        <v>1534</v>
      </c>
      <c r="K512" s="4">
        <v>30000000</v>
      </c>
      <c r="L512" s="4">
        <v>0</v>
      </c>
      <c r="M512" s="4">
        <v>16200000</v>
      </c>
      <c r="N512" s="4">
        <v>0</v>
      </c>
      <c r="O512" s="4">
        <v>18000000</v>
      </c>
      <c r="P512" s="12">
        <v>0.4</v>
      </c>
      <c r="Q512" s="12">
        <v>0.9</v>
      </c>
      <c r="R512" s="2" t="s">
        <v>2196</v>
      </c>
      <c r="S512" s="7">
        <f t="shared" si="56"/>
        <v>16200000</v>
      </c>
      <c r="T512" s="7">
        <f t="shared" si="57"/>
        <v>18000000</v>
      </c>
      <c r="U512" s="8">
        <f t="shared" si="58"/>
        <v>0.9</v>
      </c>
      <c r="V512" s="9" t="e">
        <f>IF(T512&lt;=0,"Output &lt;= 0",IF(U512&gt;#REF!,"Terlalu tinggi",IF(U512&lt;#REF!,"Terlalu rendah","Sesuai")))</f>
        <v>#REF!</v>
      </c>
      <c r="W512" s="7" t="e">
        <f>IF(T512&lt;=0,S512,IF(U512&gt;#REF!,ROUNDDOWN(T512*#REF!,0),IF(U512&lt;#REF!,ROUNDUP(T512*#REF!,0),S512)))</f>
        <v>#REF!</v>
      </c>
      <c r="X512" s="7" t="e">
        <f t="shared" si="59"/>
        <v>#REF!</v>
      </c>
      <c r="Y512" s="7" t="e">
        <f t="shared" si="60"/>
        <v>#REF!</v>
      </c>
      <c r="Z512" s="7" t="e">
        <f t="shared" si="61"/>
        <v>#REF!</v>
      </c>
      <c r="AA512" s="7" t="e">
        <f t="shared" si="62"/>
        <v>#REF!</v>
      </c>
      <c r="AB512" s="8" t="e">
        <f t="shared" si="63"/>
        <v>#REF!</v>
      </c>
      <c r="AC512" s="9" t="e">
        <f>IF(T512&lt;=0,"Output &lt;= 0, cek manual",IF(OR(Z512&lt;0,Y512&lt;0),"Biaya negatif",IF(AND(AB512&gt;=#REF!,AB512&lt;=#REF!),"OK","Di luar rentang")))</f>
        <v>#REF!</v>
      </c>
    </row>
    <row r="513" ht="71.25" spans="1:29">
      <c r="A513" s="2" t="s">
        <v>30</v>
      </c>
      <c r="B513" s="2" t="s">
        <v>31</v>
      </c>
      <c r="C513" s="3" t="s">
        <v>2197</v>
      </c>
      <c r="D513" s="3" t="s">
        <v>2198</v>
      </c>
      <c r="E513" s="3" t="s">
        <v>2199</v>
      </c>
      <c r="F513" s="4">
        <v>50000</v>
      </c>
      <c r="G513" s="4">
        <v>24000000</v>
      </c>
      <c r="H513" s="4">
        <v>480000</v>
      </c>
      <c r="I513" s="4">
        <v>0</v>
      </c>
      <c r="J513" s="2" t="s">
        <v>208</v>
      </c>
      <c r="K513" s="4">
        <v>36000000</v>
      </c>
      <c r="L513" s="4">
        <v>0</v>
      </c>
      <c r="M513" s="4">
        <v>11470000</v>
      </c>
      <c r="N513" s="4">
        <v>1500000</v>
      </c>
      <c r="O513" s="4">
        <v>12000000</v>
      </c>
      <c r="P513" s="5">
        <v>0.666667</v>
      </c>
      <c r="Q513" s="5">
        <v>0.955833</v>
      </c>
      <c r="R513" s="2" t="s">
        <v>2200</v>
      </c>
      <c r="S513" s="7">
        <f t="shared" si="56"/>
        <v>11470000</v>
      </c>
      <c r="T513" s="7">
        <f t="shared" si="57"/>
        <v>12000000</v>
      </c>
      <c r="U513" s="8">
        <f t="shared" si="58"/>
        <v>0.955833333333333</v>
      </c>
      <c r="V513" s="9" t="e">
        <f>IF(T513&lt;=0,"Output &lt;= 0",IF(U513&gt;#REF!,"Terlalu tinggi",IF(U513&lt;#REF!,"Terlalu rendah","Sesuai")))</f>
        <v>#REF!</v>
      </c>
      <c r="W513" s="7" t="e">
        <f>IF(T513&lt;=0,S513,IF(U513&gt;#REF!,ROUNDDOWN(T513*#REF!,0),IF(U513&lt;#REF!,ROUNDUP(T513*#REF!,0),S513)))</f>
        <v>#REF!</v>
      </c>
      <c r="X513" s="7" t="e">
        <f t="shared" si="59"/>
        <v>#REF!</v>
      </c>
      <c r="Y513" s="7" t="e">
        <f t="shared" si="60"/>
        <v>#REF!</v>
      </c>
      <c r="Z513" s="7" t="e">
        <f t="shared" si="61"/>
        <v>#REF!</v>
      </c>
      <c r="AA513" s="7" t="e">
        <f t="shared" si="62"/>
        <v>#REF!</v>
      </c>
      <c r="AB513" s="8" t="e">
        <f t="shared" si="63"/>
        <v>#REF!</v>
      </c>
      <c r="AC513" s="9" t="e">
        <f>IF(T513&lt;=0,"Output &lt;= 0, cek manual",IF(OR(Z513&lt;0,Y513&lt;0),"Biaya negatif",IF(AND(AB513&gt;=#REF!,AB513&lt;=#REF!),"OK","Di luar rentang")))</f>
        <v>#REF!</v>
      </c>
    </row>
    <row r="514" ht="85.5" spans="1:29">
      <c r="A514" s="2" t="s">
        <v>30</v>
      </c>
      <c r="B514" s="2" t="s">
        <v>31</v>
      </c>
      <c r="C514" s="3" t="s">
        <v>2201</v>
      </c>
      <c r="D514" s="3" t="s">
        <v>2202</v>
      </c>
      <c r="E514" s="3" t="s">
        <v>73</v>
      </c>
      <c r="F514" s="4">
        <v>150000</v>
      </c>
      <c r="G514" s="4">
        <v>300000</v>
      </c>
      <c r="H514" s="4">
        <v>300000</v>
      </c>
      <c r="I514" s="4">
        <v>0</v>
      </c>
      <c r="J514" s="2" t="s">
        <v>1357</v>
      </c>
      <c r="K514" s="4">
        <v>7000000</v>
      </c>
      <c r="L514" s="4">
        <v>0</v>
      </c>
      <c r="M514" s="4">
        <v>6250000</v>
      </c>
      <c r="N514" s="4">
        <v>300000</v>
      </c>
      <c r="O514" s="4">
        <v>6700000</v>
      </c>
      <c r="P514" s="5">
        <v>0.042857</v>
      </c>
      <c r="Q514" s="5">
        <v>0.932836</v>
      </c>
      <c r="R514" s="2" t="s">
        <v>2203</v>
      </c>
      <c r="S514" s="7">
        <f t="shared" ref="S514:S577" si="64">K514-F514-G514-H514</f>
        <v>6250000</v>
      </c>
      <c r="T514" s="7">
        <f t="shared" ref="T514:T577" si="65">K514-G514</f>
        <v>6700000</v>
      </c>
      <c r="U514" s="8">
        <f t="shared" ref="U514:U577" si="66">IF(T514&lt;=0,"",S514/T514)</f>
        <v>0.932835820895522</v>
      </c>
      <c r="V514" s="9" t="e">
        <f>IF(T514&lt;=0,"Output &lt;= 0",IF(U514&gt;#REF!,"Terlalu tinggi",IF(U514&lt;#REF!,"Terlalu rendah","Sesuai")))</f>
        <v>#REF!</v>
      </c>
      <c r="W514" s="7" t="e">
        <f>IF(T514&lt;=0,S514,IF(U514&gt;#REF!,ROUNDDOWN(T514*#REF!,0),IF(U514&lt;#REF!,ROUNDUP(T514*#REF!,0),S514)))</f>
        <v>#REF!</v>
      </c>
      <c r="X514" s="7" t="e">
        <f t="shared" ref="X514:X577" si="67">W514-S514</f>
        <v>#REF!</v>
      </c>
      <c r="Y514" s="7" t="e">
        <f t="shared" ref="Y514:Y577" si="68">IF(F514+H514&gt;0,ROUND((T514-W514)*H514/(F514+H514),0),T514-W514)</f>
        <v>#REF!</v>
      </c>
      <c r="Z514" s="7" t="e">
        <f t="shared" ref="Z514:Z577" si="69">(T514-W514)-Y514</f>
        <v>#REF!</v>
      </c>
      <c r="AA514" s="7" t="e">
        <f t="shared" ref="AA514:AA577" si="70">K514-Z514-G514-Y514</f>
        <v>#REF!</v>
      </c>
      <c r="AB514" s="8" t="e">
        <f t="shared" ref="AB514:AB577" si="71">IF(T514&lt;=0,"",AA514/T514)</f>
        <v>#REF!</v>
      </c>
      <c r="AC514" s="9" t="e">
        <f>IF(T514&lt;=0,"Output &lt;= 0, cek manual",IF(OR(Z514&lt;0,Y514&lt;0),"Biaya negatif",IF(AND(AB514&gt;=#REF!,AB514&lt;=#REF!),"OK","Di luar rentang")))</f>
        <v>#REF!</v>
      </c>
    </row>
    <row r="515" ht="85.5" spans="1:29">
      <c r="A515" s="2" t="s">
        <v>30</v>
      </c>
      <c r="B515" s="2" t="s">
        <v>31</v>
      </c>
      <c r="C515" s="3" t="s">
        <v>2204</v>
      </c>
      <c r="D515" s="3" t="s">
        <v>228</v>
      </c>
      <c r="E515" s="3" t="s">
        <v>39</v>
      </c>
      <c r="F515" s="4">
        <v>0</v>
      </c>
      <c r="G515" s="4">
        <v>5000000</v>
      </c>
      <c r="H515" s="4">
        <v>500000</v>
      </c>
      <c r="I515" s="4">
        <v>0</v>
      </c>
      <c r="J515" s="2" t="s">
        <v>88</v>
      </c>
      <c r="K515" s="4">
        <v>8000000</v>
      </c>
      <c r="L515" s="4">
        <v>0</v>
      </c>
      <c r="M515" s="4">
        <v>2500000</v>
      </c>
      <c r="N515" s="4">
        <v>20000000</v>
      </c>
      <c r="O515" s="4">
        <v>3000000</v>
      </c>
      <c r="P515" s="10">
        <v>0.625</v>
      </c>
      <c r="Q515" s="5">
        <v>0.833333</v>
      </c>
      <c r="R515" s="2" t="s">
        <v>2205</v>
      </c>
      <c r="S515" s="7">
        <f t="shared" si="64"/>
        <v>2500000</v>
      </c>
      <c r="T515" s="7">
        <f t="shared" si="65"/>
        <v>3000000</v>
      </c>
      <c r="U515" s="8">
        <f t="shared" si="66"/>
        <v>0.833333333333333</v>
      </c>
      <c r="V515" s="9" t="e">
        <f>IF(T515&lt;=0,"Output &lt;= 0",IF(U515&gt;#REF!,"Terlalu tinggi",IF(U515&lt;#REF!,"Terlalu rendah","Sesuai")))</f>
        <v>#REF!</v>
      </c>
      <c r="W515" s="7" t="e">
        <f>IF(T515&lt;=0,S515,IF(U515&gt;#REF!,ROUNDDOWN(T515*#REF!,0),IF(U515&lt;#REF!,ROUNDUP(T515*#REF!,0),S515)))</f>
        <v>#REF!</v>
      </c>
      <c r="X515" s="7" t="e">
        <f t="shared" si="67"/>
        <v>#REF!</v>
      </c>
      <c r="Y515" s="7" t="e">
        <f t="shared" si="68"/>
        <v>#REF!</v>
      </c>
      <c r="Z515" s="7" t="e">
        <f t="shared" si="69"/>
        <v>#REF!</v>
      </c>
      <c r="AA515" s="7" t="e">
        <f t="shared" si="70"/>
        <v>#REF!</v>
      </c>
      <c r="AB515" s="8" t="e">
        <f t="shared" si="71"/>
        <v>#REF!</v>
      </c>
      <c r="AC515" s="9" t="e">
        <f>IF(T515&lt;=0,"Output &lt;= 0, cek manual",IF(OR(Z515&lt;0,Y515&lt;0),"Biaya negatif",IF(AND(AB515&gt;=#REF!,AB515&lt;=#REF!),"OK","Di luar rentang")))</f>
        <v>#REF!</v>
      </c>
    </row>
    <row r="516" ht="142.5" spans="1:29">
      <c r="A516" s="2" t="s">
        <v>30</v>
      </c>
      <c r="B516" s="2" t="s">
        <v>31</v>
      </c>
      <c r="C516" s="3" t="s">
        <v>2206</v>
      </c>
      <c r="D516" s="3" t="s">
        <v>228</v>
      </c>
      <c r="E516" s="3" t="s">
        <v>2207</v>
      </c>
      <c r="F516" s="4">
        <v>600000</v>
      </c>
      <c r="G516" s="4">
        <v>2000000</v>
      </c>
      <c r="H516" s="4">
        <v>120000</v>
      </c>
      <c r="I516" s="4">
        <v>0</v>
      </c>
      <c r="J516" s="2" t="s">
        <v>2208</v>
      </c>
      <c r="K516" s="4">
        <v>2750000</v>
      </c>
      <c r="L516" s="4">
        <v>0</v>
      </c>
      <c r="M516" s="4">
        <v>30000</v>
      </c>
      <c r="N516" s="4">
        <v>6200000</v>
      </c>
      <c r="O516" s="4">
        <v>750000</v>
      </c>
      <c r="P516" s="5">
        <v>0.727273</v>
      </c>
      <c r="Q516" s="11">
        <v>0.04</v>
      </c>
      <c r="R516" s="2" t="s">
        <v>2209</v>
      </c>
      <c r="S516" s="7">
        <f t="shared" si="64"/>
        <v>30000</v>
      </c>
      <c r="T516" s="7">
        <f t="shared" si="65"/>
        <v>750000</v>
      </c>
      <c r="U516" s="8">
        <f t="shared" si="66"/>
        <v>0.04</v>
      </c>
      <c r="V516" s="9" t="e">
        <f>IF(T516&lt;=0,"Output &lt;= 0",IF(U516&gt;#REF!,"Terlalu tinggi",IF(U516&lt;#REF!,"Terlalu rendah","Sesuai")))</f>
        <v>#REF!</v>
      </c>
      <c r="W516" s="7" t="e">
        <f>IF(T516&lt;=0,S516,IF(U516&gt;#REF!,ROUNDDOWN(T516*#REF!,0),IF(U516&lt;#REF!,ROUNDUP(T516*#REF!,0),S516)))</f>
        <v>#REF!</v>
      </c>
      <c r="X516" s="7" t="e">
        <f t="shared" si="67"/>
        <v>#REF!</v>
      </c>
      <c r="Y516" s="7" t="e">
        <f t="shared" si="68"/>
        <v>#REF!</v>
      </c>
      <c r="Z516" s="7" t="e">
        <f t="shared" si="69"/>
        <v>#REF!</v>
      </c>
      <c r="AA516" s="7" t="e">
        <f t="shared" si="70"/>
        <v>#REF!</v>
      </c>
      <c r="AB516" s="8" t="e">
        <f t="shared" si="71"/>
        <v>#REF!</v>
      </c>
      <c r="AC516" s="9" t="e">
        <f>IF(T516&lt;=0,"Output &lt;= 0, cek manual",IF(OR(Z516&lt;0,Y516&lt;0),"Biaya negatif",IF(AND(AB516&gt;=#REF!,AB516&lt;=#REF!),"OK","Di luar rentang")))</f>
        <v>#REF!</v>
      </c>
    </row>
    <row r="517" ht="199.5" spans="1:29">
      <c r="A517" s="2" t="s">
        <v>30</v>
      </c>
      <c r="B517" s="2" t="s">
        <v>31</v>
      </c>
      <c r="C517" s="3" t="s">
        <v>2210</v>
      </c>
      <c r="D517" s="3" t="s">
        <v>2211</v>
      </c>
      <c r="E517" s="3" t="s">
        <v>2212</v>
      </c>
      <c r="F517" s="4">
        <v>0</v>
      </c>
      <c r="G517" s="4">
        <v>12000000</v>
      </c>
      <c r="H517" s="4">
        <v>1000000</v>
      </c>
      <c r="I517" s="4">
        <v>0</v>
      </c>
      <c r="J517" s="2" t="s">
        <v>2213</v>
      </c>
      <c r="K517" s="4">
        <v>17000000</v>
      </c>
      <c r="L517" s="4">
        <v>500000</v>
      </c>
      <c r="M517" s="4">
        <v>4000000</v>
      </c>
      <c r="N517" s="4">
        <v>400000</v>
      </c>
      <c r="O517" s="4">
        <v>5000000</v>
      </c>
      <c r="P517" s="5">
        <v>0.705882</v>
      </c>
      <c r="Q517" s="12">
        <v>0.8</v>
      </c>
      <c r="R517" s="2" t="s">
        <v>2214</v>
      </c>
      <c r="S517" s="7">
        <f t="shared" si="64"/>
        <v>4000000</v>
      </c>
      <c r="T517" s="7">
        <f t="shared" si="65"/>
        <v>5000000</v>
      </c>
      <c r="U517" s="8">
        <f t="shared" si="66"/>
        <v>0.8</v>
      </c>
      <c r="V517" s="9" t="e">
        <f>IF(T517&lt;=0,"Output &lt;= 0",IF(U517&gt;#REF!,"Terlalu tinggi",IF(U517&lt;#REF!,"Terlalu rendah","Sesuai")))</f>
        <v>#REF!</v>
      </c>
      <c r="W517" s="7" t="e">
        <f>IF(T517&lt;=0,S517,IF(U517&gt;#REF!,ROUNDDOWN(T517*#REF!,0),IF(U517&lt;#REF!,ROUNDUP(T517*#REF!,0),S517)))</f>
        <v>#REF!</v>
      </c>
      <c r="X517" s="7" t="e">
        <f t="shared" si="67"/>
        <v>#REF!</v>
      </c>
      <c r="Y517" s="7" t="e">
        <f t="shared" si="68"/>
        <v>#REF!</v>
      </c>
      <c r="Z517" s="7" t="e">
        <f t="shared" si="69"/>
        <v>#REF!</v>
      </c>
      <c r="AA517" s="7" t="e">
        <f t="shared" si="70"/>
        <v>#REF!</v>
      </c>
      <c r="AB517" s="8" t="e">
        <f t="shared" si="71"/>
        <v>#REF!</v>
      </c>
      <c r="AC517" s="9" t="e">
        <f>IF(T517&lt;=0,"Output &lt;= 0, cek manual",IF(OR(Z517&lt;0,Y517&lt;0),"Biaya negatif",IF(AND(AB517&gt;=#REF!,AB517&lt;=#REF!),"OK","Di luar rentang")))</f>
        <v>#REF!</v>
      </c>
    </row>
    <row r="518" ht="71.25" spans="1:29">
      <c r="A518" s="2" t="s">
        <v>30</v>
      </c>
      <c r="B518" s="2" t="s">
        <v>31</v>
      </c>
      <c r="C518" s="3" t="s">
        <v>2215</v>
      </c>
      <c r="D518" s="3" t="s">
        <v>62</v>
      </c>
      <c r="E518" s="3" t="s">
        <v>2216</v>
      </c>
      <c r="F518" s="4">
        <v>12000000</v>
      </c>
      <c r="G518" s="4">
        <v>120000</v>
      </c>
      <c r="H518" s="4">
        <v>0</v>
      </c>
      <c r="I518" s="4">
        <v>0</v>
      </c>
      <c r="J518" s="2" t="s">
        <v>2217</v>
      </c>
      <c r="K518" s="4">
        <v>32400000</v>
      </c>
      <c r="L518" s="4">
        <v>300000</v>
      </c>
      <c r="M518" s="4">
        <v>20280000</v>
      </c>
      <c r="N518" s="4">
        <v>8000000</v>
      </c>
      <c r="O518" s="4">
        <v>32280000</v>
      </c>
      <c r="P518" s="5">
        <v>0.003704</v>
      </c>
      <c r="Q518" s="5">
        <v>0.628253</v>
      </c>
      <c r="R518" s="2" t="s">
        <v>2218</v>
      </c>
      <c r="S518" s="7">
        <f t="shared" si="64"/>
        <v>20280000</v>
      </c>
      <c r="T518" s="7">
        <f t="shared" si="65"/>
        <v>32280000</v>
      </c>
      <c r="U518" s="8">
        <f t="shared" si="66"/>
        <v>0.628252788104089</v>
      </c>
      <c r="V518" s="9" t="e">
        <f>IF(T518&lt;=0,"Output &lt;= 0",IF(U518&gt;#REF!,"Terlalu tinggi",IF(U518&lt;#REF!,"Terlalu rendah","Sesuai")))</f>
        <v>#REF!</v>
      </c>
      <c r="W518" s="7" t="e">
        <f>IF(T518&lt;=0,S518,IF(U518&gt;#REF!,ROUNDDOWN(T518*#REF!,0),IF(U518&lt;#REF!,ROUNDUP(T518*#REF!,0),S518)))</f>
        <v>#REF!</v>
      </c>
      <c r="X518" s="7" t="e">
        <f t="shared" si="67"/>
        <v>#REF!</v>
      </c>
      <c r="Y518" s="7" t="e">
        <f t="shared" si="68"/>
        <v>#REF!</v>
      </c>
      <c r="Z518" s="7" t="e">
        <f t="shared" si="69"/>
        <v>#REF!</v>
      </c>
      <c r="AA518" s="7" t="e">
        <f t="shared" si="70"/>
        <v>#REF!</v>
      </c>
      <c r="AB518" s="8" t="e">
        <f t="shared" si="71"/>
        <v>#REF!</v>
      </c>
      <c r="AC518" s="9" t="e">
        <f>IF(T518&lt;=0,"Output &lt;= 0, cek manual",IF(OR(Z518&lt;0,Y518&lt;0),"Biaya negatif",IF(AND(AB518&gt;=#REF!,AB518&lt;=#REF!),"OK","Di luar rentang")))</f>
        <v>#REF!</v>
      </c>
    </row>
    <row r="519" ht="114" spans="1:29">
      <c r="A519" s="2" t="s">
        <v>30</v>
      </c>
      <c r="B519" s="2" t="s">
        <v>31</v>
      </c>
      <c r="C519" s="3" t="s">
        <v>2219</v>
      </c>
      <c r="D519" s="3" t="s">
        <v>2220</v>
      </c>
      <c r="E519" s="3" t="s">
        <v>369</v>
      </c>
      <c r="F519" s="4">
        <v>24000</v>
      </c>
      <c r="G519" s="4">
        <v>5000000</v>
      </c>
      <c r="H519" s="4">
        <v>480000</v>
      </c>
      <c r="I519" s="4">
        <v>0</v>
      </c>
      <c r="J519" s="2" t="s">
        <v>2221</v>
      </c>
      <c r="K519" s="4">
        <v>11200000</v>
      </c>
      <c r="L519" s="4">
        <v>0</v>
      </c>
      <c r="M519" s="4">
        <v>5696000</v>
      </c>
      <c r="N519" s="4">
        <v>12700000</v>
      </c>
      <c r="O519" s="4">
        <v>6200000</v>
      </c>
      <c r="P519" s="5">
        <v>0.446429</v>
      </c>
      <c r="Q519" s="6">
        <v>0.91871</v>
      </c>
      <c r="R519" s="2" t="s">
        <v>2222</v>
      </c>
      <c r="S519" s="7">
        <f t="shared" si="64"/>
        <v>5696000</v>
      </c>
      <c r="T519" s="7">
        <f t="shared" si="65"/>
        <v>6200000</v>
      </c>
      <c r="U519" s="8">
        <f t="shared" si="66"/>
        <v>0.918709677419355</v>
      </c>
      <c r="V519" s="9" t="e">
        <f>IF(T519&lt;=0,"Output &lt;= 0",IF(U519&gt;#REF!,"Terlalu tinggi",IF(U519&lt;#REF!,"Terlalu rendah","Sesuai")))</f>
        <v>#REF!</v>
      </c>
      <c r="W519" s="7" t="e">
        <f>IF(T519&lt;=0,S519,IF(U519&gt;#REF!,ROUNDDOWN(T519*#REF!,0),IF(U519&lt;#REF!,ROUNDUP(T519*#REF!,0),S519)))</f>
        <v>#REF!</v>
      </c>
      <c r="X519" s="7" t="e">
        <f t="shared" si="67"/>
        <v>#REF!</v>
      </c>
      <c r="Y519" s="7" t="e">
        <f t="shared" si="68"/>
        <v>#REF!</v>
      </c>
      <c r="Z519" s="7" t="e">
        <f t="shared" si="69"/>
        <v>#REF!</v>
      </c>
      <c r="AA519" s="7" t="e">
        <f t="shared" si="70"/>
        <v>#REF!</v>
      </c>
      <c r="AB519" s="8" t="e">
        <f t="shared" si="71"/>
        <v>#REF!</v>
      </c>
      <c r="AC519" s="9" t="e">
        <f>IF(T519&lt;=0,"Output &lt;= 0, cek manual",IF(OR(Z519&lt;0,Y519&lt;0),"Biaya negatif",IF(AND(AB519&gt;=#REF!,AB519&lt;=#REF!),"OK","Di luar rentang")))</f>
        <v>#REF!</v>
      </c>
    </row>
    <row r="520" ht="128.25" spans="1:29">
      <c r="A520" s="2" t="s">
        <v>30</v>
      </c>
      <c r="B520" s="2" t="s">
        <v>31</v>
      </c>
      <c r="C520" s="3" t="s">
        <v>2223</v>
      </c>
      <c r="D520" s="3" t="s">
        <v>2224</v>
      </c>
      <c r="E520" s="3" t="s">
        <v>2225</v>
      </c>
      <c r="F520" s="4">
        <v>0</v>
      </c>
      <c r="G520" s="4">
        <v>11400000</v>
      </c>
      <c r="H520" s="4">
        <v>800000</v>
      </c>
      <c r="I520" s="4">
        <v>0</v>
      </c>
      <c r="J520" s="2" t="s">
        <v>1481</v>
      </c>
      <c r="K520" s="4">
        <v>20500000</v>
      </c>
      <c r="L520" s="4">
        <v>0</v>
      </c>
      <c r="M520" s="4">
        <v>8300000</v>
      </c>
      <c r="N520" s="4">
        <v>37000000</v>
      </c>
      <c r="O520" s="4">
        <v>9100000</v>
      </c>
      <c r="P520" s="5">
        <v>0.556098</v>
      </c>
      <c r="Q520" s="5">
        <v>0.912088</v>
      </c>
      <c r="R520" s="2" t="s">
        <v>2226</v>
      </c>
      <c r="S520" s="7">
        <f t="shared" si="64"/>
        <v>8300000</v>
      </c>
      <c r="T520" s="7">
        <f t="shared" si="65"/>
        <v>9100000</v>
      </c>
      <c r="U520" s="8">
        <f t="shared" si="66"/>
        <v>0.912087912087912</v>
      </c>
      <c r="V520" s="9" t="e">
        <f>IF(T520&lt;=0,"Output &lt;= 0",IF(U520&gt;#REF!,"Terlalu tinggi",IF(U520&lt;#REF!,"Terlalu rendah","Sesuai")))</f>
        <v>#REF!</v>
      </c>
      <c r="W520" s="7" t="e">
        <f>IF(T520&lt;=0,S520,IF(U520&gt;#REF!,ROUNDDOWN(T520*#REF!,0),IF(U520&lt;#REF!,ROUNDUP(T520*#REF!,0),S520)))</f>
        <v>#REF!</v>
      </c>
      <c r="X520" s="7" t="e">
        <f t="shared" si="67"/>
        <v>#REF!</v>
      </c>
      <c r="Y520" s="7" t="e">
        <f t="shared" si="68"/>
        <v>#REF!</v>
      </c>
      <c r="Z520" s="7" t="e">
        <f t="shared" si="69"/>
        <v>#REF!</v>
      </c>
      <c r="AA520" s="7" t="e">
        <f t="shared" si="70"/>
        <v>#REF!</v>
      </c>
      <c r="AB520" s="8" t="e">
        <f t="shared" si="71"/>
        <v>#REF!</v>
      </c>
      <c r="AC520" s="9" t="e">
        <f>IF(T520&lt;=0,"Output &lt;= 0, cek manual",IF(OR(Z520&lt;0,Y520&lt;0),"Biaya negatif",IF(AND(AB520&gt;=#REF!,AB520&lt;=#REF!),"OK","Di luar rentang")))</f>
        <v>#REF!</v>
      </c>
    </row>
    <row r="521" ht="71.25" spans="1:29">
      <c r="A521" s="2" t="s">
        <v>30</v>
      </c>
      <c r="B521" s="2" t="s">
        <v>31</v>
      </c>
      <c r="C521" s="3" t="s">
        <v>2227</v>
      </c>
      <c r="D521" s="3" t="s">
        <v>91</v>
      </c>
      <c r="E521" s="3" t="s">
        <v>1353</v>
      </c>
      <c r="F521" s="4">
        <v>0</v>
      </c>
      <c r="G521" s="4">
        <v>6280000</v>
      </c>
      <c r="H521" s="4">
        <v>250000</v>
      </c>
      <c r="I521" s="4">
        <v>0</v>
      </c>
      <c r="J521" s="2" t="s">
        <v>2228</v>
      </c>
      <c r="K521" s="4">
        <v>9300000</v>
      </c>
      <c r="L521" s="4">
        <v>0</v>
      </c>
      <c r="M521" s="4">
        <v>2770000</v>
      </c>
      <c r="N521" s="4">
        <v>1700000</v>
      </c>
      <c r="O521" s="4">
        <v>3020000</v>
      </c>
      <c r="P521" s="5">
        <v>0.675269</v>
      </c>
      <c r="Q521" s="5">
        <v>0.917219</v>
      </c>
      <c r="R521" s="2" t="s">
        <v>2229</v>
      </c>
      <c r="S521" s="7">
        <f t="shared" si="64"/>
        <v>2770000</v>
      </c>
      <c r="T521" s="7">
        <f t="shared" si="65"/>
        <v>3020000</v>
      </c>
      <c r="U521" s="8">
        <f t="shared" si="66"/>
        <v>0.917218543046358</v>
      </c>
      <c r="V521" s="9" t="e">
        <f>IF(T521&lt;=0,"Output &lt;= 0",IF(U521&gt;#REF!,"Terlalu tinggi",IF(U521&lt;#REF!,"Terlalu rendah","Sesuai")))</f>
        <v>#REF!</v>
      </c>
      <c r="W521" s="7" t="e">
        <f>IF(T521&lt;=0,S521,IF(U521&gt;#REF!,ROUNDDOWN(T521*#REF!,0),IF(U521&lt;#REF!,ROUNDUP(T521*#REF!,0),S521)))</f>
        <v>#REF!</v>
      </c>
      <c r="X521" s="7" t="e">
        <f t="shared" si="67"/>
        <v>#REF!</v>
      </c>
      <c r="Y521" s="7" t="e">
        <f t="shared" si="68"/>
        <v>#REF!</v>
      </c>
      <c r="Z521" s="7" t="e">
        <f t="shared" si="69"/>
        <v>#REF!</v>
      </c>
      <c r="AA521" s="7" t="e">
        <f t="shared" si="70"/>
        <v>#REF!</v>
      </c>
      <c r="AB521" s="8" t="e">
        <f t="shared" si="71"/>
        <v>#REF!</v>
      </c>
      <c r="AC521" s="9" t="e">
        <f>IF(T521&lt;=0,"Output &lt;= 0, cek manual",IF(OR(Z521&lt;0,Y521&lt;0),"Biaya negatif",IF(AND(AB521&gt;=#REF!,AB521&lt;=#REF!),"OK","Di luar rentang")))</f>
        <v>#REF!</v>
      </c>
    </row>
    <row r="522" ht="128.25" spans="1:29">
      <c r="A522" s="2" t="s">
        <v>30</v>
      </c>
      <c r="B522" s="2" t="s">
        <v>31</v>
      </c>
      <c r="C522" s="3" t="s">
        <v>2230</v>
      </c>
      <c r="D522" s="3" t="s">
        <v>742</v>
      </c>
      <c r="E522" s="3" t="s">
        <v>1353</v>
      </c>
      <c r="F522" s="4">
        <v>0</v>
      </c>
      <c r="G522" s="4">
        <v>7200000</v>
      </c>
      <c r="H522" s="4">
        <v>240000</v>
      </c>
      <c r="I522" s="4">
        <v>0</v>
      </c>
      <c r="J522" s="2" t="s">
        <v>2231</v>
      </c>
      <c r="K522" s="4">
        <v>12000000</v>
      </c>
      <c r="L522" s="4">
        <v>0</v>
      </c>
      <c r="M522" s="4">
        <v>4560000</v>
      </c>
      <c r="N522" s="4">
        <v>1000000</v>
      </c>
      <c r="O522" s="4">
        <v>4800000</v>
      </c>
      <c r="P522" s="12">
        <v>0.6</v>
      </c>
      <c r="Q522" s="11">
        <v>0.95</v>
      </c>
      <c r="R522" s="2" t="s">
        <v>2232</v>
      </c>
      <c r="S522" s="7">
        <f t="shared" si="64"/>
        <v>4560000</v>
      </c>
      <c r="T522" s="7">
        <f t="shared" si="65"/>
        <v>4800000</v>
      </c>
      <c r="U522" s="8">
        <f t="shared" si="66"/>
        <v>0.95</v>
      </c>
      <c r="V522" s="9" t="e">
        <f>IF(T522&lt;=0,"Output &lt;= 0",IF(U522&gt;#REF!,"Terlalu tinggi",IF(U522&lt;#REF!,"Terlalu rendah","Sesuai")))</f>
        <v>#REF!</v>
      </c>
      <c r="W522" s="7" t="e">
        <f>IF(T522&lt;=0,S522,IF(U522&gt;#REF!,ROUNDDOWN(T522*#REF!,0),IF(U522&lt;#REF!,ROUNDUP(T522*#REF!,0),S522)))</f>
        <v>#REF!</v>
      </c>
      <c r="X522" s="7" t="e">
        <f t="shared" si="67"/>
        <v>#REF!</v>
      </c>
      <c r="Y522" s="7" t="e">
        <f t="shared" si="68"/>
        <v>#REF!</v>
      </c>
      <c r="Z522" s="7" t="e">
        <f t="shared" si="69"/>
        <v>#REF!</v>
      </c>
      <c r="AA522" s="7" t="e">
        <f t="shared" si="70"/>
        <v>#REF!</v>
      </c>
      <c r="AB522" s="8" t="e">
        <f t="shared" si="71"/>
        <v>#REF!</v>
      </c>
      <c r="AC522" s="9" t="e">
        <f>IF(T522&lt;=0,"Output &lt;= 0, cek manual",IF(OR(Z522&lt;0,Y522&lt;0),"Biaya negatif",IF(AND(AB522&gt;=#REF!,AB522&lt;=#REF!),"OK","Di luar rentang")))</f>
        <v>#REF!</v>
      </c>
    </row>
    <row r="523" ht="114" spans="1:29">
      <c r="A523" s="2" t="s">
        <v>30</v>
      </c>
      <c r="B523" s="2" t="s">
        <v>31</v>
      </c>
      <c r="C523" s="3" t="s">
        <v>2233</v>
      </c>
      <c r="D523" s="3" t="s">
        <v>2234</v>
      </c>
      <c r="E523" s="3" t="s">
        <v>2235</v>
      </c>
      <c r="F523" s="4">
        <v>0</v>
      </c>
      <c r="G523" s="4">
        <v>4200000</v>
      </c>
      <c r="H523" s="4">
        <v>1020000</v>
      </c>
      <c r="I523" s="4">
        <v>300000</v>
      </c>
      <c r="J523" s="2" t="s">
        <v>2236</v>
      </c>
      <c r="K523" s="4">
        <v>7000000</v>
      </c>
      <c r="L523" s="4">
        <v>0</v>
      </c>
      <c r="M523" s="4">
        <v>1780000</v>
      </c>
      <c r="N523" s="4">
        <v>1700000</v>
      </c>
      <c r="O523" s="4">
        <v>2800000</v>
      </c>
      <c r="P523" s="12">
        <v>0.6</v>
      </c>
      <c r="Q523" s="5">
        <v>0.635714</v>
      </c>
      <c r="R523" s="2" t="s">
        <v>2237</v>
      </c>
      <c r="S523" s="7">
        <f t="shared" si="64"/>
        <v>1780000</v>
      </c>
      <c r="T523" s="7">
        <f t="shared" si="65"/>
        <v>2800000</v>
      </c>
      <c r="U523" s="8">
        <f t="shared" si="66"/>
        <v>0.635714285714286</v>
      </c>
      <c r="V523" s="9" t="e">
        <f>IF(T523&lt;=0,"Output &lt;= 0",IF(U523&gt;#REF!,"Terlalu tinggi",IF(U523&lt;#REF!,"Terlalu rendah","Sesuai")))</f>
        <v>#REF!</v>
      </c>
      <c r="W523" s="7" t="e">
        <f>IF(T523&lt;=0,S523,IF(U523&gt;#REF!,ROUNDDOWN(T523*#REF!,0),IF(U523&lt;#REF!,ROUNDUP(T523*#REF!,0),S523)))</f>
        <v>#REF!</v>
      </c>
      <c r="X523" s="7" t="e">
        <f t="shared" si="67"/>
        <v>#REF!</v>
      </c>
      <c r="Y523" s="7" t="e">
        <f t="shared" si="68"/>
        <v>#REF!</v>
      </c>
      <c r="Z523" s="7" t="e">
        <f t="shared" si="69"/>
        <v>#REF!</v>
      </c>
      <c r="AA523" s="7" t="e">
        <f t="shared" si="70"/>
        <v>#REF!</v>
      </c>
      <c r="AB523" s="8" t="e">
        <f t="shared" si="71"/>
        <v>#REF!</v>
      </c>
      <c r="AC523" s="9" t="e">
        <f>IF(T523&lt;=0,"Output &lt;= 0, cek manual",IF(OR(Z523&lt;0,Y523&lt;0),"Biaya negatif",IF(AND(AB523&gt;=#REF!,AB523&lt;=#REF!),"OK","Di luar rentang")))</f>
        <v>#REF!</v>
      </c>
    </row>
    <row r="524" ht="57" spans="1:29">
      <c r="A524" s="2" t="s">
        <v>30</v>
      </c>
      <c r="B524" s="2" t="s">
        <v>31</v>
      </c>
      <c r="C524" s="3" t="s">
        <v>2238</v>
      </c>
      <c r="D524" s="3" t="s">
        <v>2239</v>
      </c>
      <c r="E524" s="3" t="s">
        <v>2240</v>
      </c>
      <c r="F524" s="4">
        <v>0</v>
      </c>
      <c r="G524" s="4">
        <v>5000000</v>
      </c>
      <c r="H524" s="4">
        <v>600000</v>
      </c>
      <c r="I524" s="4">
        <v>0</v>
      </c>
      <c r="J524" s="2" t="s">
        <v>1066</v>
      </c>
      <c r="K524" s="4">
        <v>9600000</v>
      </c>
      <c r="L524" s="4">
        <v>0</v>
      </c>
      <c r="M524" s="4">
        <v>4000000</v>
      </c>
      <c r="N524" s="4">
        <v>7400000</v>
      </c>
      <c r="O524" s="4">
        <v>4600000</v>
      </c>
      <c r="P524" s="5">
        <v>0.520833</v>
      </c>
      <c r="Q524" s="5">
        <v>0.869565</v>
      </c>
      <c r="R524" s="2" t="s">
        <v>2241</v>
      </c>
      <c r="S524" s="7">
        <f t="shared" si="64"/>
        <v>4000000</v>
      </c>
      <c r="T524" s="7">
        <f t="shared" si="65"/>
        <v>4600000</v>
      </c>
      <c r="U524" s="8">
        <f t="shared" si="66"/>
        <v>0.869565217391304</v>
      </c>
      <c r="V524" s="9" t="e">
        <f>IF(T524&lt;=0,"Output &lt;= 0",IF(U524&gt;#REF!,"Terlalu tinggi",IF(U524&lt;#REF!,"Terlalu rendah","Sesuai")))</f>
        <v>#REF!</v>
      </c>
      <c r="W524" s="7" t="e">
        <f>IF(T524&lt;=0,S524,IF(U524&gt;#REF!,ROUNDDOWN(T524*#REF!,0),IF(U524&lt;#REF!,ROUNDUP(T524*#REF!,0),S524)))</f>
        <v>#REF!</v>
      </c>
      <c r="X524" s="7" t="e">
        <f t="shared" si="67"/>
        <v>#REF!</v>
      </c>
      <c r="Y524" s="7" t="e">
        <f t="shared" si="68"/>
        <v>#REF!</v>
      </c>
      <c r="Z524" s="7" t="e">
        <f t="shared" si="69"/>
        <v>#REF!</v>
      </c>
      <c r="AA524" s="7" t="e">
        <f t="shared" si="70"/>
        <v>#REF!</v>
      </c>
      <c r="AB524" s="8" t="e">
        <f t="shared" si="71"/>
        <v>#REF!</v>
      </c>
      <c r="AC524" s="9" t="e">
        <f>IF(T524&lt;=0,"Output &lt;= 0, cek manual",IF(OR(Z524&lt;0,Y524&lt;0),"Biaya negatif",IF(AND(AB524&gt;=#REF!,AB524&lt;=#REF!),"OK","Di luar rentang")))</f>
        <v>#REF!</v>
      </c>
    </row>
    <row r="525" ht="71.25" spans="1:29">
      <c r="A525" s="2" t="s">
        <v>30</v>
      </c>
      <c r="B525" s="2" t="s">
        <v>31</v>
      </c>
      <c r="C525" s="3" t="s">
        <v>2242</v>
      </c>
      <c r="D525" s="3" t="s">
        <v>202</v>
      </c>
      <c r="E525" s="3" t="s">
        <v>39</v>
      </c>
      <c r="F525" s="4">
        <v>2500000</v>
      </c>
      <c r="G525" s="4">
        <v>1500000</v>
      </c>
      <c r="H525" s="4">
        <v>50000</v>
      </c>
      <c r="I525" s="4">
        <v>0</v>
      </c>
      <c r="J525" s="2" t="s">
        <v>1231</v>
      </c>
      <c r="K525" s="4">
        <v>6000000</v>
      </c>
      <c r="L525" s="4">
        <v>0</v>
      </c>
      <c r="M525" s="4">
        <v>1950000</v>
      </c>
      <c r="N525" s="4">
        <v>1200000</v>
      </c>
      <c r="O525" s="4">
        <v>4500000</v>
      </c>
      <c r="P525" s="11">
        <v>0.25</v>
      </c>
      <c r="Q525" s="5">
        <v>0.433333</v>
      </c>
      <c r="R525" s="2" t="s">
        <v>2243</v>
      </c>
      <c r="S525" s="7">
        <f t="shared" si="64"/>
        <v>1950000</v>
      </c>
      <c r="T525" s="7">
        <f t="shared" si="65"/>
        <v>4500000</v>
      </c>
      <c r="U525" s="8">
        <f t="shared" si="66"/>
        <v>0.433333333333333</v>
      </c>
      <c r="V525" s="9" t="e">
        <f>IF(T525&lt;=0,"Output &lt;= 0",IF(U525&gt;#REF!,"Terlalu tinggi",IF(U525&lt;#REF!,"Terlalu rendah","Sesuai")))</f>
        <v>#REF!</v>
      </c>
      <c r="W525" s="7" t="e">
        <f>IF(T525&lt;=0,S525,IF(U525&gt;#REF!,ROUNDDOWN(T525*#REF!,0),IF(U525&lt;#REF!,ROUNDUP(T525*#REF!,0),S525)))</f>
        <v>#REF!</v>
      </c>
      <c r="X525" s="7" t="e">
        <f t="shared" si="67"/>
        <v>#REF!</v>
      </c>
      <c r="Y525" s="7" t="e">
        <f t="shared" si="68"/>
        <v>#REF!</v>
      </c>
      <c r="Z525" s="7" t="e">
        <f t="shared" si="69"/>
        <v>#REF!</v>
      </c>
      <c r="AA525" s="7" t="e">
        <f t="shared" si="70"/>
        <v>#REF!</v>
      </c>
      <c r="AB525" s="8" t="e">
        <f t="shared" si="71"/>
        <v>#REF!</v>
      </c>
      <c r="AC525" s="9" t="e">
        <f>IF(T525&lt;=0,"Output &lt;= 0, cek manual",IF(OR(Z525&lt;0,Y525&lt;0),"Biaya negatif",IF(AND(AB525&gt;=#REF!,AB525&lt;=#REF!),"OK","Di luar rentang")))</f>
        <v>#REF!</v>
      </c>
    </row>
    <row r="526" ht="85.5" spans="1:29">
      <c r="A526" s="2" t="s">
        <v>30</v>
      </c>
      <c r="B526" s="2" t="s">
        <v>31</v>
      </c>
      <c r="C526" s="3" t="s">
        <v>32</v>
      </c>
      <c r="D526" s="3" t="s">
        <v>943</v>
      </c>
      <c r="E526" s="3" t="s">
        <v>943</v>
      </c>
      <c r="F526" s="4">
        <v>500000</v>
      </c>
      <c r="G526" s="4">
        <v>3000000</v>
      </c>
      <c r="H526" s="4">
        <v>250000</v>
      </c>
      <c r="I526" s="4">
        <v>0</v>
      </c>
      <c r="J526" s="2" t="s">
        <v>1487</v>
      </c>
      <c r="K526" s="4">
        <v>7000000</v>
      </c>
      <c r="L526" s="4">
        <v>0</v>
      </c>
      <c r="M526" s="4">
        <v>3250000</v>
      </c>
      <c r="N526" s="4">
        <v>4000000</v>
      </c>
      <c r="O526" s="4">
        <v>4000000</v>
      </c>
      <c r="P526" s="5">
        <v>0.428571</v>
      </c>
      <c r="Q526" s="13">
        <v>0.8125</v>
      </c>
      <c r="R526" s="2" t="s">
        <v>2244</v>
      </c>
      <c r="S526" s="7">
        <f t="shared" si="64"/>
        <v>3250000</v>
      </c>
      <c r="T526" s="7">
        <f t="shared" si="65"/>
        <v>4000000</v>
      </c>
      <c r="U526" s="8">
        <f t="shared" si="66"/>
        <v>0.8125</v>
      </c>
      <c r="V526" s="9" t="e">
        <f>IF(T526&lt;=0,"Output &lt;= 0",IF(U526&gt;#REF!,"Terlalu tinggi",IF(U526&lt;#REF!,"Terlalu rendah","Sesuai")))</f>
        <v>#REF!</v>
      </c>
      <c r="W526" s="7" t="e">
        <f>IF(T526&lt;=0,S526,IF(U526&gt;#REF!,ROUNDDOWN(T526*#REF!,0),IF(U526&lt;#REF!,ROUNDUP(T526*#REF!,0),S526)))</f>
        <v>#REF!</v>
      </c>
      <c r="X526" s="7" t="e">
        <f t="shared" si="67"/>
        <v>#REF!</v>
      </c>
      <c r="Y526" s="7" t="e">
        <f t="shared" si="68"/>
        <v>#REF!</v>
      </c>
      <c r="Z526" s="7" t="e">
        <f t="shared" si="69"/>
        <v>#REF!</v>
      </c>
      <c r="AA526" s="7" t="e">
        <f t="shared" si="70"/>
        <v>#REF!</v>
      </c>
      <c r="AB526" s="8" t="e">
        <f t="shared" si="71"/>
        <v>#REF!</v>
      </c>
      <c r="AC526" s="9" t="e">
        <f>IF(T526&lt;=0,"Output &lt;= 0, cek manual",IF(OR(Z526&lt;0,Y526&lt;0),"Biaya negatif",IF(AND(AB526&gt;=#REF!,AB526&lt;=#REF!),"OK","Di luar rentang")))</f>
        <v>#REF!</v>
      </c>
    </row>
    <row r="527" ht="114" spans="1:29">
      <c r="A527" s="2" t="s">
        <v>30</v>
      </c>
      <c r="B527" s="2" t="s">
        <v>31</v>
      </c>
      <c r="C527" s="3" t="s">
        <v>2245</v>
      </c>
      <c r="D527" s="3" t="s">
        <v>2246</v>
      </c>
      <c r="E527" s="3" t="s">
        <v>2247</v>
      </c>
      <c r="F527" s="4">
        <v>324000</v>
      </c>
      <c r="G527" s="4">
        <v>62400000</v>
      </c>
      <c r="H527" s="4">
        <v>2400000</v>
      </c>
      <c r="I527" s="4">
        <v>150000</v>
      </c>
      <c r="J527" s="2" t="s">
        <v>2248</v>
      </c>
      <c r="K527" s="4">
        <v>78000000</v>
      </c>
      <c r="L527" s="4">
        <v>0</v>
      </c>
      <c r="M527" s="4">
        <v>12876000</v>
      </c>
      <c r="N527" s="4">
        <v>21200000</v>
      </c>
      <c r="O527" s="4">
        <v>15600000</v>
      </c>
      <c r="P527" s="12">
        <v>0.8</v>
      </c>
      <c r="Q527" s="5">
        <v>0.825385</v>
      </c>
      <c r="R527" s="2" t="s">
        <v>2249</v>
      </c>
      <c r="S527" s="7">
        <f t="shared" si="64"/>
        <v>12876000</v>
      </c>
      <c r="T527" s="7">
        <f t="shared" si="65"/>
        <v>15600000</v>
      </c>
      <c r="U527" s="8">
        <f t="shared" si="66"/>
        <v>0.825384615384615</v>
      </c>
      <c r="V527" s="9" t="e">
        <f>IF(T527&lt;=0,"Output &lt;= 0",IF(U527&gt;#REF!,"Terlalu tinggi",IF(U527&lt;#REF!,"Terlalu rendah","Sesuai")))</f>
        <v>#REF!</v>
      </c>
      <c r="W527" s="7" t="e">
        <f>IF(T527&lt;=0,S527,IF(U527&gt;#REF!,ROUNDDOWN(T527*#REF!,0),IF(U527&lt;#REF!,ROUNDUP(T527*#REF!,0),S527)))</f>
        <v>#REF!</v>
      </c>
      <c r="X527" s="7" t="e">
        <f t="shared" si="67"/>
        <v>#REF!</v>
      </c>
      <c r="Y527" s="7" t="e">
        <f t="shared" si="68"/>
        <v>#REF!</v>
      </c>
      <c r="Z527" s="7" t="e">
        <f t="shared" si="69"/>
        <v>#REF!</v>
      </c>
      <c r="AA527" s="7" t="e">
        <f t="shared" si="70"/>
        <v>#REF!</v>
      </c>
      <c r="AB527" s="8" t="e">
        <f t="shared" si="71"/>
        <v>#REF!</v>
      </c>
      <c r="AC527" s="9" t="e">
        <f>IF(T527&lt;=0,"Output &lt;= 0, cek manual",IF(OR(Z527&lt;0,Y527&lt;0),"Biaya negatif",IF(AND(AB527&gt;=#REF!,AB527&lt;=#REF!),"OK","Di luar rentang")))</f>
        <v>#REF!</v>
      </c>
    </row>
    <row r="528" ht="71.25" spans="1:29">
      <c r="A528" s="2" t="s">
        <v>30</v>
      </c>
      <c r="B528" s="2" t="s">
        <v>31</v>
      </c>
      <c r="C528" s="3" t="s">
        <v>2250</v>
      </c>
      <c r="D528" s="3" t="s">
        <v>2251</v>
      </c>
      <c r="E528" s="3" t="s">
        <v>2057</v>
      </c>
      <c r="F528" s="4">
        <v>300000</v>
      </c>
      <c r="G528" s="4">
        <v>6000000</v>
      </c>
      <c r="H528" s="4">
        <v>1000000</v>
      </c>
      <c r="I528" s="4">
        <v>0</v>
      </c>
      <c r="J528" s="2" t="s">
        <v>2252</v>
      </c>
      <c r="K528" s="4">
        <v>15000000</v>
      </c>
      <c r="L528" s="4">
        <v>0</v>
      </c>
      <c r="M528" s="4">
        <v>7700000</v>
      </c>
      <c r="N528" s="4">
        <v>650000</v>
      </c>
      <c r="O528" s="4">
        <v>9000000</v>
      </c>
      <c r="P528" s="12">
        <v>0.4</v>
      </c>
      <c r="Q528" s="5">
        <v>0.855556</v>
      </c>
      <c r="R528" s="2" t="s">
        <v>2253</v>
      </c>
      <c r="S528" s="7">
        <f t="shared" si="64"/>
        <v>7700000</v>
      </c>
      <c r="T528" s="7">
        <f t="shared" si="65"/>
        <v>9000000</v>
      </c>
      <c r="U528" s="8">
        <f t="shared" si="66"/>
        <v>0.855555555555556</v>
      </c>
      <c r="V528" s="9" t="e">
        <f>IF(T528&lt;=0,"Output &lt;= 0",IF(U528&gt;#REF!,"Terlalu tinggi",IF(U528&lt;#REF!,"Terlalu rendah","Sesuai")))</f>
        <v>#REF!</v>
      </c>
      <c r="W528" s="7" t="e">
        <f>IF(T528&lt;=0,S528,IF(U528&gt;#REF!,ROUNDDOWN(T528*#REF!,0),IF(U528&lt;#REF!,ROUNDUP(T528*#REF!,0),S528)))</f>
        <v>#REF!</v>
      </c>
      <c r="X528" s="7" t="e">
        <f t="shared" si="67"/>
        <v>#REF!</v>
      </c>
      <c r="Y528" s="7" t="e">
        <f t="shared" si="68"/>
        <v>#REF!</v>
      </c>
      <c r="Z528" s="7" t="e">
        <f t="shared" si="69"/>
        <v>#REF!</v>
      </c>
      <c r="AA528" s="7" t="e">
        <f t="shared" si="70"/>
        <v>#REF!</v>
      </c>
      <c r="AB528" s="8" t="e">
        <f t="shared" si="71"/>
        <v>#REF!</v>
      </c>
      <c r="AC528" s="9" t="e">
        <f>IF(T528&lt;=0,"Output &lt;= 0, cek manual",IF(OR(Z528&lt;0,Y528&lt;0),"Biaya negatif",IF(AND(AB528&gt;=#REF!,AB528&lt;=#REF!),"OK","Di luar rentang")))</f>
        <v>#REF!</v>
      </c>
    </row>
    <row r="529" ht="142.5" spans="1:29">
      <c r="A529" s="2" t="s">
        <v>30</v>
      </c>
      <c r="B529" s="2" t="s">
        <v>31</v>
      </c>
      <c r="C529" s="3" t="s">
        <v>2254</v>
      </c>
      <c r="D529" s="3" t="s">
        <v>2255</v>
      </c>
      <c r="E529" s="3" t="s">
        <v>2256</v>
      </c>
      <c r="F529" s="4">
        <v>0</v>
      </c>
      <c r="G529" s="4">
        <v>5000000</v>
      </c>
      <c r="H529" s="4">
        <v>1500000</v>
      </c>
      <c r="I529" s="4">
        <v>0</v>
      </c>
      <c r="J529" s="2" t="s">
        <v>353</v>
      </c>
      <c r="K529" s="4">
        <v>12000000</v>
      </c>
      <c r="L529" s="4">
        <v>0</v>
      </c>
      <c r="M529" s="4">
        <v>5500000</v>
      </c>
      <c r="N529" s="4">
        <v>35000000</v>
      </c>
      <c r="O529" s="4">
        <v>7000000</v>
      </c>
      <c r="P529" s="5">
        <v>0.416667</v>
      </c>
      <c r="Q529" s="5">
        <v>0.785714</v>
      </c>
      <c r="R529" s="2" t="s">
        <v>2257</v>
      </c>
      <c r="S529" s="7">
        <f t="shared" si="64"/>
        <v>5500000</v>
      </c>
      <c r="T529" s="7">
        <f t="shared" si="65"/>
        <v>7000000</v>
      </c>
      <c r="U529" s="8">
        <f t="shared" si="66"/>
        <v>0.785714285714286</v>
      </c>
      <c r="V529" s="9" t="e">
        <f>IF(T529&lt;=0,"Output &lt;= 0",IF(U529&gt;#REF!,"Terlalu tinggi",IF(U529&lt;#REF!,"Terlalu rendah","Sesuai")))</f>
        <v>#REF!</v>
      </c>
      <c r="W529" s="7" t="e">
        <f>IF(T529&lt;=0,S529,IF(U529&gt;#REF!,ROUNDDOWN(T529*#REF!,0),IF(U529&lt;#REF!,ROUNDUP(T529*#REF!,0),S529)))</f>
        <v>#REF!</v>
      </c>
      <c r="X529" s="7" t="e">
        <f t="shared" si="67"/>
        <v>#REF!</v>
      </c>
      <c r="Y529" s="7" t="e">
        <f t="shared" si="68"/>
        <v>#REF!</v>
      </c>
      <c r="Z529" s="7" t="e">
        <f t="shared" si="69"/>
        <v>#REF!</v>
      </c>
      <c r="AA529" s="7" t="e">
        <f t="shared" si="70"/>
        <v>#REF!</v>
      </c>
      <c r="AB529" s="8" t="e">
        <f t="shared" si="71"/>
        <v>#REF!</v>
      </c>
      <c r="AC529" s="9" t="e">
        <f>IF(T529&lt;=0,"Output &lt;= 0, cek manual",IF(OR(Z529&lt;0,Y529&lt;0),"Biaya negatif",IF(AND(AB529&gt;=#REF!,AB529&lt;=#REF!),"OK","Di luar rentang")))</f>
        <v>#REF!</v>
      </c>
    </row>
    <row r="530" ht="99.75" spans="1:29">
      <c r="A530" s="2" t="s">
        <v>30</v>
      </c>
      <c r="B530" s="2" t="s">
        <v>31</v>
      </c>
      <c r="C530" s="3" t="s">
        <v>2258</v>
      </c>
      <c r="D530" s="3" t="s">
        <v>2259</v>
      </c>
      <c r="E530" s="3" t="s">
        <v>2260</v>
      </c>
      <c r="F530" s="4">
        <v>500000</v>
      </c>
      <c r="G530" s="4">
        <v>33600000</v>
      </c>
      <c r="H530" s="4">
        <v>300000</v>
      </c>
      <c r="I530" s="4">
        <v>0</v>
      </c>
      <c r="J530" s="2" t="s">
        <v>2261</v>
      </c>
      <c r="K530" s="4">
        <v>40640000</v>
      </c>
      <c r="L530" s="4">
        <v>0</v>
      </c>
      <c r="M530" s="4">
        <v>6240000</v>
      </c>
      <c r="N530" s="4">
        <v>1450000</v>
      </c>
      <c r="O530" s="4">
        <v>7040000</v>
      </c>
      <c r="P530" s="5">
        <v>0.826772</v>
      </c>
      <c r="Q530" s="5">
        <v>0.886364</v>
      </c>
      <c r="R530" s="2" t="s">
        <v>2262</v>
      </c>
      <c r="S530" s="7">
        <f t="shared" si="64"/>
        <v>6240000</v>
      </c>
      <c r="T530" s="7">
        <f t="shared" si="65"/>
        <v>7040000</v>
      </c>
      <c r="U530" s="8">
        <f t="shared" si="66"/>
        <v>0.886363636363636</v>
      </c>
      <c r="V530" s="9" t="e">
        <f>IF(T530&lt;=0,"Output &lt;= 0",IF(U530&gt;#REF!,"Terlalu tinggi",IF(U530&lt;#REF!,"Terlalu rendah","Sesuai")))</f>
        <v>#REF!</v>
      </c>
      <c r="W530" s="7" t="e">
        <f>IF(T530&lt;=0,S530,IF(U530&gt;#REF!,ROUNDDOWN(T530*#REF!,0),IF(U530&lt;#REF!,ROUNDUP(T530*#REF!,0),S530)))</f>
        <v>#REF!</v>
      </c>
      <c r="X530" s="7" t="e">
        <f t="shared" si="67"/>
        <v>#REF!</v>
      </c>
      <c r="Y530" s="7" t="e">
        <f t="shared" si="68"/>
        <v>#REF!</v>
      </c>
      <c r="Z530" s="7" t="e">
        <f t="shared" si="69"/>
        <v>#REF!</v>
      </c>
      <c r="AA530" s="7" t="e">
        <f t="shared" si="70"/>
        <v>#REF!</v>
      </c>
      <c r="AB530" s="8" t="e">
        <f t="shared" si="71"/>
        <v>#REF!</v>
      </c>
      <c r="AC530" s="9" t="e">
        <f>IF(T530&lt;=0,"Output &lt;= 0, cek manual",IF(OR(Z530&lt;0,Y530&lt;0),"Biaya negatif",IF(AND(AB530&gt;=#REF!,AB530&lt;=#REF!),"OK","Di luar rentang")))</f>
        <v>#REF!</v>
      </c>
    </row>
    <row r="531" ht="85.5" spans="1:29">
      <c r="A531" s="2" t="s">
        <v>30</v>
      </c>
      <c r="B531" s="2" t="s">
        <v>31</v>
      </c>
      <c r="C531" s="3" t="s">
        <v>32</v>
      </c>
      <c r="D531" s="3" t="s">
        <v>546</v>
      </c>
      <c r="E531" s="3" t="s">
        <v>2263</v>
      </c>
      <c r="F531" s="4">
        <v>25000</v>
      </c>
      <c r="G531" s="4">
        <v>5000000</v>
      </c>
      <c r="H531" s="4">
        <v>100000</v>
      </c>
      <c r="I531" s="4">
        <v>0</v>
      </c>
      <c r="J531" s="2" t="s">
        <v>914</v>
      </c>
      <c r="K531" s="4">
        <v>6800000</v>
      </c>
      <c r="L531" s="4">
        <v>500000</v>
      </c>
      <c r="M531" s="4">
        <v>1675000</v>
      </c>
      <c r="N531" s="4">
        <v>11000000</v>
      </c>
      <c r="O531" s="4">
        <v>1800000</v>
      </c>
      <c r="P531" s="5">
        <v>0.735294</v>
      </c>
      <c r="Q531" s="5">
        <v>0.930556</v>
      </c>
      <c r="R531" s="2" t="s">
        <v>2264</v>
      </c>
      <c r="S531" s="7">
        <f t="shared" si="64"/>
        <v>1675000</v>
      </c>
      <c r="T531" s="7">
        <f t="shared" si="65"/>
        <v>1800000</v>
      </c>
      <c r="U531" s="8">
        <f t="shared" si="66"/>
        <v>0.930555555555556</v>
      </c>
      <c r="V531" s="9" t="e">
        <f>IF(T531&lt;=0,"Output &lt;= 0",IF(U531&gt;#REF!,"Terlalu tinggi",IF(U531&lt;#REF!,"Terlalu rendah","Sesuai")))</f>
        <v>#REF!</v>
      </c>
      <c r="W531" s="7" t="e">
        <f>IF(T531&lt;=0,S531,IF(U531&gt;#REF!,ROUNDDOWN(T531*#REF!,0),IF(U531&lt;#REF!,ROUNDUP(T531*#REF!,0),S531)))</f>
        <v>#REF!</v>
      </c>
      <c r="X531" s="7" t="e">
        <f t="shared" si="67"/>
        <v>#REF!</v>
      </c>
      <c r="Y531" s="7" t="e">
        <f t="shared" si="68"/>
        <v>#REF!</v>
      </c>
      <c r="Z531" s="7" t="e">
        <f t="shared" si="69"/>
        <v>#REF!</v>
      </c>
      <c r="AA531" s="7" t="e">
        <f t="shared" si="70"/>
        <v>#REF!</v>
      </c>
      <c r="AB531" s="8" t="e">
        <f t="shared" si="71"/>
        <v>#REF!</v>
      </c>
      <c r="AC531" s="9" t="e">
        <f>IF(T531&lt;=0,"Output &lt;= 0, cek manual",IF(OR(Z531&lt;0,Y531&lt;0),"Biaya negatif",IF(AND(AB531&gt;=#REF!,AB531&lt;=#REF!),"OK","Di luar rentang")))</f>
        <v>#REF!</v>
      </c>
    </row>
    <row r="532" ht="85.5" spans="1:29">
      <c r="A532" s="2" t="s">
        <v>30</v>
      </c>
      <c r="B532" s="2" t="s">
        <v>31</v>
      </c>
      <c r="C532" s="3" t="s">
        <v>2265</v>
      </c>
      <c r="D532" s="3" t="s">
        <v>1415</v>
      </c>
      <c r="E532" s="3" t="s">
        <v>2266</v>
      </c>
      <c r="F532" s="4">
        <v>0</v>
      </c>
      <c r="G532" s="4">
        <v>4500000</v>
      </c>
      <c r="H532" s="4">
        <v>450000</v>
      </c>
      <c r="I532" s="4">
        <v>0</v>
      </c>
      <c r="J532" s="2" t="s">
        <v>864</v>
      </c>
      <c r="K532" s="4">
        <v>7000000</v>
      </c>
      <c r="L532" s="4">
        <v>0</v>
      </c>
      <c r="M532" s="4">
        <v>2050000</v>
      </c>
      <c r="N532" s="4">
        <v>30000000</v>
      </c>
      <c r="O532" s="4">
        <v>2500000</v>
      </c>
      <c r="P532" s="5">
        <v>0.642857</v>
      </c>
      <c r="Q532" s="11">
        <v>0.82</v>
      </c>
      <c r="R532" s="2" t="s">
        <v>2267</v>
      </c>
      <c r="S532" s="7">
        <f t="shared" si="64"/>
        <v>2050000</v>
      </c>
      <c r="T532" s="7">
        <f t="shared" si="65"/>
        <v>2500000</v>
      </c>
      <c r="U532" s="8">
        <f t="shared" si="66"/>
        <v>0.82</v>
      </c>
      <c r="V532" s="9" t="e">
        <f>IF(T532&lt;=0,"Output &lt;= 0",IF(U532&gt;#REF!,"Terlalu tinggi",IF(U532&lt;#REF!,"Terlalu rendah","Sesuai")))</f>
        <v>#REF!</v>
      </c>
      <c r="W532" s="7" t="e">
        <f>IF(T532&lt;=0,S532,IF(U532&gt;#REF!,ROUNDDOWN(T532*#REF!,0),IF(U532&lt;#REF!,ROUNDUP(T532*#REF!,0),S532)))</f>
        <v>#REF!</v>
      </c>
      <c r="X532" s="7" t="e">
        <f t="shared" si="67"/>
        <v>#REF!</v>
      </c>
      <c r="Y532" s="7" t="e">
        <f t="shared" si="68"/>
        <v>#REF!</v>
      </c>
      <c r="Z532" s="7" t="e">
        <f t="shared" si="69"/>
        <v>#REF!</v>
      </c>
      <c r="AA532" s="7" t="e">
        <f t="shared" si="70"/>
        <v>#REF!</v>
      </c>
      <c r="AB532" s="8" t="e">
        <f t="shared" si="71"/>
        <v>#REF!</v>
      </c>
      <c r="AC532" s="9" t="e">
        <f>IF(T532&lt;=0,"Output &lt;= 0, cek manual",IF(OR(Z532&lt;0,Y532&lt;0),"Biaya negatif",IF(AND(AB532&gt;=#REF!,AB532&lt;=#REF!),"OK","Di luar rentang")))</f>
        <v>#REF!</v>
      </c>
    </row>
    <row r="533" ht="99.75" spans="1:29">
      <c r="A533" s="2" t="s">
        <v>30</v>
      </c>
      <c r="B533" s="2" t="s">
        <v>31</v>
      </c>
      <c r="C533" s="3" t="s">
        <v>2268</v>
      </c>
      <c r="D533" s="3" t="s">
        <v>2269</v>
      </c>
      <c r="E533" s="3" t="s">
        <v>2270</v>
      </c>
      <c r="F533" s="4">
        <v>300000</v>
      </c>
      <c r="G533" s="4">
        <v>12000000</v>
      </c>
      <c r="H533" s="4">
        <v>1200000</v>
      </c>
      <c r="I533" s="4">
        <v>0</v>
      </c>
      <c r="J533" s="2" t="s">
        <v>45</v>
      </c>
      <c r="K533" s="4">
        <v>30000000</v>
      </c>
      <c r="L533" s="4">
        <v>0</v>
      </c>
      <c r="M533" s="4">
        <v>16500000</v>
      </c>
      <c r="N533" s="4">
        <v>86000000</v>
      </c>
      <c r="O533" s="4">
        <v>18000000</v>
      </c>
      <c r="P533" s="12">
        <v>0.4</v>
      </c>
      <c r="Q533" s="5">
        <v>0.916667</v>
      </c>
      <c r="R533" s="2" t="s">
        <v>2271</v>
      </c>
      <c r="S533" s="7">
        <f t="shared" si="64"/>
        <v>16500000</v>
      </c>
      <c r="T533" s="7">
        <f t="shared" si="65"/>
        <v>18000000</v>
      </c>
      <c r="U533" s="8">
        <f t="shared" si="66"/>
        <v>0.916666666666667</v>
      </c>
      <c r="V533" s="9" t="e">
        <f>IF(T533&lt;=0,"Output &lt;= 0",IF(U533&gt;#REF!,"Terlalu tinggi",IF(U533&lt;#REF!,"Terlalu rendah","Sesuai")))</f>
        <v>#REF!</v>
      </c>
      <c r="W533" s="7" t="e">
        <f>IF(T533&lt;=0,S533,IF(U533&gt;#REF!,ROUNDDOWN(T533*#REF!,0),IF(U533&lt;#REF!,ROUNDUP(T533*#REF!,0),S533)))</f>
        <v>#REF!</v>
      </c>
      <c r="X533" s="7" t="e">
        <f t="shared" si="67"/>
        <v>#REF!</v>
      </c>
      <c r="Y533" s="7" t="e">
        <f t="shared" si="68"/>
        <v>#REF!</v>
      </c>
      <c r="Z533" s="7" t="e">
        <f t="shared" si="69"/>
        <v>#REF!</v>
      </c>
      <c r="AA533" s="7" t="e">
        <f t="shared" si="70"/>
        <v>#REF!</v>
      </c>
      <c r="AB533" s="8" t="e">
        <f t="shared" si="71"/>
        <v>#REF!</v>
      </c>
      <c r="AC533" s="9" t="e">
        <f>IF(T533&lt;=0,"Output &lt;= 0, cek manual",IF(OR(Z533&lt;0,Y533&lt;0),"Biaya negatif",IF(AND(AB533&gt;=#REF!,AB533&lt;=#REF!),"OK","Di luar rentang")))</f>
        <v>#REF!</v>
      </c>
    </row>
    <row r="534" ht="99.75" spans="1:29">
      <c r="A534" s="2" t="s">
        <v>30</v>
      </c>
      <c r="B534" s="2" t="s">
        <v>31</v>
      </c>
      <c r="C534" s="3" t="s">
        <v>2272</v>
      </c>
      <c r="D534" s="3" t="s">
        <v>2273</v>
      </c>
      <c r="E534" s="3" t="s">
        <v>2274</v>
      </c>
      <c r="F534" s="4">
        <v>0</v>
      </c>
      <c r="G534" s="4">
        <v>117000000</v>
      </c>
      <c r="H534" s="4">
        <v>3000000</v>
      </c>
      <c r="I534" s="4">
        <v>0</v>
      </c>
      <c r="J534" s="2" t="s">
        <v>2275</v>
      </c>
      <c r="K534" s="4">
        <v>144000000</v>
      </c>
      <c r="L534" s="4">
        <v>0</v>
      </c>
      <c r="M534" s="4">
        <v>24000000</v>
      </c>
      <c r="N534" s="4">
        <v>16000000</v>
      </c>
      <c r="O534" s="4">
        <v>27000000</v>
      </c>
      <c r="P534" s="13">
        <v>0.8125</v>
      </c>
      <c r="Q534" s="5">
        <v>0.888889</v>
      </c>
      <c r="R534" s="2" t="s">
        <v>2276</v>
      </c>
      <c r="S534" s="7">
        <f t="shared" si="64"/>
        <v>24000000</v>
      </c>
      <c r="T534" s="7">
        <f t="shared" si="65"/>
        <v>27000000</v>
      </c>
      <c r="U534" s="8">
        <f t="shared" si="66"/>
        <v>0.888888888888889</v>
      </c>
      <c r="V534" s="9" t="e">
        <f>IF(T534&lt;=0,"Output &lt;= 0",IF(U534&gt;#REF!,"Terlalu tinggi",IF(U534&lt;#REF!,"Terlalu rendah","Sesuai")))</f>
        <v>#REF!</v>
      </c>
      <c r="W534" s="7" t="e">
        <f>IF(T534&lt;=0,S534,IF(U534&gt;#REF!,ROUNDDOWN(T534*#REF!,0),IF(U534&lt;#REF!,ROUNDUP(T534*#REF!,0),S534)))</f>
        <v>#REF!</v>
      </c>
      <c r="X534" s="7" t="e">
        <f t="shared" si="67"/>
        <v>#REF!</v>
      </c>
      <c r="Y534" s="7" t="e">
        <f t="shared" si="68"/>
        <v>#REF!</v>
      </c>
      <c r="Z534" s="7" t="e">
        <f t="shared" si="69"/>
        <v>#REF!</v>
      </c>
      <c r="AA534" s="7" t="e">
        <f t="shared" si="70"/>
        <v>#REF!</v>
      </c>
      <c r="AB534" s="8" t="e">
        <f t="shared" si="71"/>
        <v>#REF!</v>
      </c>
      <c r="AC534" s="9" t="e">
        <f>IF(T534&lt;=0,"Output &lt;= 0, cek manual",IF(OR(Z534&lt;0,Y534&lt;0),"Biaya negatif",IF(AND(AB534&gt;=#REF!,AB534&lt;=#REF!),"OK","Di luar rentang")))</f>
        <v>#REF!</v>
      </c>
    </row>
    <row r="535" ht="242.25" spans="1:29">
      <c r="A535" s="2" t="s">
        <v>30</v>
      </c>
      <c r="B535" s="2" t="s">
        <v>31</v>
      </c>
      <c r="C535" s="3" t="s">
        <v>2277</v>
      </c>
      <c r="D535" s="3" t="s">
        <v>2278</v>
      </c>
      <c r="E535" s="3" t="s">
        <v>2279</v>
      </c>
      <c r="F535" s="4">
        <v>0</v>
      </c>
      <c r="G535" s="4">
        <v>2400000</v>
      </c>
      <c r="H535" s="4">
        <v>500000</v>
      </c>
      <c r="I535" s="4">
        <v>50000</v>
      </c>
      <c r="J535" s="2" t="s">
        <v>1943</v>
      </c>
      <c r="K535" s="4">
        <v>3700000</v>
      </c>
      <c r="L535" s="4">
        <v>0</v>
      </c>
      <c r="M535" s="4">
        <v>800000</v>
      </c>
      <c r="N535" s="4">
        <v>120000000</v>
      </c>
      <c r="O535" s="4">
        <v>1300000</v>
      </c>
      <c r="P535" s="5">
        <v>0.648649</v>
      </c>
      <c r="Q535" s="5">
        <v>0.615385</v>
      </c>
      <c r="R535" s="2" t="s">
        <v>2280</v>
      </c>
      <c r="S535" s="7">
        <f t="shared" si="64"/>
        <v>800000</v>
      </c>
      <c r="T535" s="7">
        <f t="shared" si="65"/>
        <v>1300000</v>
      </c>
      <c r="U535" s="8">
        <f t="shared" si="66"/>
        <v>0.615384615384615</v>
      </c>
      <c r="V535" s="9" t="e">
        <f>IF(T535&lt;=0,"Output &lt;= 0",IF(U535&gt;#REF!,"Terlalu tinggi",IF(U535&lt;#REF!,"Terlalu rendah","Sesuai")))</f>
        <v>#REF!</v>
      </c>
      <c r="W535" s="7" t="e">
        <f>IF(T535&lt;=0,S535,IF(U535&gt;#REF!,ROUNDDOWN(T535*#REF!,0),IF(U535&lt;#REF!,ROUNDUP(T535*#REF!,0),S535)))</f>
        <v>#REF!</v>
      </c>
      <c r="X535" s="7" t="e">
        <f t="shared" si="67"/>
        <v>#REF!</v>
      </c>
      <c r="Y535" s="7" t="e">
        <f t="shared" si="68"/>
        <v>#REF!</v>
      </c>
      <c r="Z535" s="7" t="e">
        <f t="shared" si="69"/>
        <v>#REF!</v>
      </c>
      <c r="AA535" s="7" t="e">
        <f t="shared" si="70"/>
        <v>#REF!</v>
      </c>
      <c r="AB535" s="8" t="e">
        <f t="shared" si="71"/>
        <v>#REF!</v>
      </c>
      <c r="AC535" s="9" t="e">
        <f>IF(T535&lt;=0,"Output &lt;= 0, cek manual",IF(OR(Z535&lt;0,Y535&lt;0),"Biaya negatif",IF(AND(AB535&gt;=#REF!,AB535&lt;=#REF!),"OK","Di luar rentang")))</f>
        <v>#REF!</v>
      </c>
    </row>
    <row r="536" ht="57" spans="1:29">
      <c r="A536" s="2" t="s">
        <v>30</v>
      </c>
      <c r="B536" s="2" t="s">
        <v>235</v>
      </c>
      <c r="C536" s="3" t="s">
        <v>2281</v>
      </c>
      <c r="D536" s="3" t="s">
        <v>198</v>
      </c>
      <c r="E536" s="3" t="s">
        <v>198</v>
      </c>
      <c r="F536" s="4">
        <v>450000</v>
      </c>
      <c r="G536" s="4">
        <v>6000000</v>
      </c>
      <c r="H536" s="4">
        <v>350000</v>
      </c>
      <c r="I536" s="4">
        <v>0</v>
      </c>
      <c r="J536" s="2" t="s">
        <v>2282</v>
      </c>
      <c r="K536" s="4">
        <v>8000000</v>
      </c>
      <c r="L536" s="4">
        <v>0</v>
      </c>
      <c r="M536" s="4">
        <v>1200000</v>
      </c>
      <c r="N536" s="4">
        <v>20000</v>
      </c>
      <c r="O536" s="4">
        <v>2000000</v>
      </c>
      <c r="P536" s="11">
        <v>0.75</v>
      </c>
      <c r="Q536" s="12">
        <v>0.6</v>
      </c>
      <c r="R536" s="2" t="s">
        <v>2283</v>
      </c>
      <c r="S536" s="7">
        <f t="shared" si="64"/>
        <v>1200000</v>
      </c>
      <c r="T536" s="7">
        <f t="shared" si="65"/>
        <v>2000000</v>
      </c>
      <c r="U536" s="8">
        <f t="shared" si="66"/>
        <v>0.6</v>
      </c>
      <c r="V536" s="9" t="e">
        <f>IF(T536&lt;=0,"Output &lt;= 0",IF(U536&gt;#REF!,"Terlalu tinggi",IF(U536&lt;#REF!,"Terlalu rendah","Sesuai")))</f>
        <v>#REF!</v>
      </c>
      <c r="W536" s="7" t="e">
        <f>IF(T536&lt;=0,S536,IF(U536&gt;#REF!,ROUNDDOWN(T536*#REF!,0),IF(U536&lt;#REF!,ROUNDUP(T536*#REF!,0),S536)))</f>
        <v>#REF!</v>
      </c>
      <c r="X536" s="7" t="e">
        <f t="shared" si="67"/>
        <v>#REF!</v>
      </c>
      <c r="Y536" s="7" t="e">
        <f t="shared" si="68"/>
        <v>#REF!</v>
      </c>
      <c r="Z536" s="7" t="e">
        <f t="shared" si="69"/>
        <v>#REF!</v>
      </c>
      <c r="AA536" s="7" t="e">
        <f t="shared" si="70"/>
        <v>#REF!</v>
      </c>
      <c r="AB536" s="8" t="e">
        <f t="shared" si="71"/>
        <v>#REF!</v>
      </c>
      <c r="AC536" s="9" t="e">
        <f>IF(T536&lt;=0,"Output &lt;= 0, cek manual",IF(OR(Z536&lt;0,Y536&lt;0),"Biaya negatif",IF(AND(AB536&gt;=#REF!,AB536&lt;=#REF!),"OK","Di luar rentang")))</f>
        <v>#REF!</v>
      </c>
    </row>
    <row r="537" ht="99.75" spans="1:29">
      <c r="A537" s="2" t="s">
        <v>30</v>
      </c>
      <c r="B537" s="2" t="s">
        <v>245</v>
      </c>
      <c r="C537" s="3" t="s">
        <v>2284</v>
      </c>
      <c r="D537" s="3" t="s">
        <v>2285</v>
      </c>
      <c r="E537" s="3" t="s">
        <v>2286</v>
      </c>
      <c r="F537" s="4">
        <v>0</v>
      </c>
      <c r="G537" s="4">
        <v>0</v>
      </c>
      <c r="H537" s="4">
        <v>850000</v>
      </c>
      <c r="I537" s="4">
        <v>2000</v>
      </c>
      <c r="J537" s="2" t="s">
        <v>1693</v>
      </c>
      <c r="K537" s="4">
        <v>5000000</v>
      </c>
      <c r="L537" s="4">
        <v>0</v>
      </c>
      <c r="M537" s="4">
        <v>4150000</v>
      </c>
      <c r="N537" s="4">
        <v>500000</v>
      </c>
      <c r="O537" s="4">
        <v>5000000</v>
      </c>
      <c r="P537" s="4">
        <v>0</v>
      </c>
      <c r="Q537" s="11">
        <v>0.83</v>
      </c>
      <c r="R537" s="2" t="s">
        <v>2287</v>
      </c>
      <c r="S537" s="7">
        <f t="shared" si="64"/>
        <v>4150000</v>
      </c>
      <c r="T537" s="7">
        <f t="shared" si="65"/>
        <v>5000000</v>
      </c>
      <c r="U537" s="8">
        <f t="shared" si="66"/>
        <v>0.83</v>
      </c>
      <c r="V537" s="9" t="e">
        <f>IF(T537&lt;=0,"Output &lt;= 0",IF(U537&gt;#REF!,"Terlalu tinggi",IF(U537&lt;#REF!,"Terlalu rendah","Sesuai")))</f>
        <v>#REF!</v>
      </c>
      <c r="W537" s="7" t="e">
        <f>IF(T537&lt;=0,S537,IF(U537&gt;#REF!,ROUNDDOWN(T537*#REF!,0),IF(U537&lt;#REF!,ROUNDUP(T537*#REF!,0),S537)))</f>
        <v>#REF!</v>
      </c>
      <c r="X537" s="7" t="e">
        <f t="shared" si="67"/>
        <v>#REF!</v>
      </c>
      <c r="Y537" s="7" t="e">
        <f t="shared" si="68"/>
        <v>#REF!</v>
      </c>
      <c r="Z537" s="7" t="e">
        <f t="shared" si="69"/>
        <v>#REF!</v>
      </c>
      <c r="AA537" s="7" t="e">
        <f t="shared" si="70"/>
        <v>#REF!</v>
      </c>
      <c r="AB537" s="8" t="e">
        <f t="shared" si="71"/>
        <v>#REF!</v>
      </c>
      <c r="AC537" s="9" t="e">
        <f>IF(T537&lt;=0,"Output &lt;= 0, cek manual",IF(OR(Z537&lt;0,Y537&lt;0),"Biaya negatif",IF(AND(AB537&gt;=#REF!,AB537&lt;=#REF!),"OK","Di luar rentang")))</f>
        <v>#REF!</v>
      </c>
    </row>
    <row r="538" ht="71.25" spans="1:29">
      <c r="A538" s="2" t="s">
        <v>30</v>
      </c>
      <c r="B538" s="2" t="s">
        <v>272</v>
      </c>
      <c r="C538" s="3" t="s">
        <v>2288</v>
      </c>
      <c r="D538" s="3" t="s">
        <v>2289</v>
      </c>
      <c r="E538" s="3" t="s">
        <v>2290</v>
      </c>
      <c r="F538" s="4">
        <v>0</v>
      </c>
      <c r="G538" s="4">
        <v>100000</v>
      </c>
      <c r="H538" s="4">
        <v>60000</v>
      </c>
      <c r="I538" s="4">
        <v>0</v>
      </c>
      <c r="J538" s="2" t="s">
        <v>2291</v>
      </c>
      <c r="K538" s="4">
        <v>500000</v>
      </c>
      <c r="L538" s="4">
        <v>0</v>
      </c>
      <c r="M538" s="4">
        <v>340000</v>
      </c>
      <c r="N538" s="4">
        <v>300000</v>
      </c>
      <c r="O538" s="4">
        <v>400000</v>
      </c>
      <c r="P538" s="12">
        <v>0.2</v>
      </c>
      <c r="Q538" s="11">
        <v>0.85</v>
      </c>
      <c r="R538" s="2" t="s">
        <v>2292</v>
      </c>
      <c r="S538" s="7">
        <f t="shared" si="64"/>
        <v>340000</v>
      </c>
      <c r="T538" s="7">
        <f t="shared" si="65"/>
        <v>400000</v>
      </c>
      <c r="U538" s="8">
        <f t="shared" si="66"/>
        <v>0.85</v>
      </c>
      <c r="V538" s="9" t="e">
        <f>IF(T538&lt;=0,"Output &lt;= 0",IF(U538&gt;#REF!,"Terlalu tinggi",IF(U538&lt;#REF!,"Terlalu rendah","Sesuai")))</f>
        <v>#REF!</v>
      </c>
      <c r="W538" s="7" t="e">
        <f>IF(T538&lt;=0,S538,IF(U538&gt;#REF!,ROUNDDOWN(T538*#REF!,0),IF(U538&lt;#REF!,ROUNDUP(T538*#REF!,0),S538)))</f>
        <v>#REF!</v>
      </c>
      <c r="X538" s="7" t="e">
        <f t="shared" si="67"/>
        <v>#REF!</v>
      </c>
      <c r="Y538" s="7" t="e">
        <f t="shared" si="68"/>
        <v>#REF!</v>
      </c>
      <c r="Z538" s="7" t="e">
        <f t="shared" si="69"/>
        <v>#REF!</v>
      </c>
      <c r="AA538" s="7" t="e">
        <f t="shared" si="70"/>
        <v>#REF!</v>
      </c>
      <c r="AB538" s="8" t="e">
        <f t="shared" si="71"/>
        <v>#REF!</v>
      </c>
      <c r="AC538" s="9" t="e">
        <f>IF(T538&lt;=0,"Output &lt;= 0, cek manual",IF(OR(Z538&lt;0,Y538&lt;0),"Biaya negatif",IF(AND(AB538&gt;=#REF!,AB538&lt;=#REF!),"OK","Di luar rentang")))</f>
        <v>#REF!</v>
      </c>
    </row>
    <row r="539" ht="156.75" spans="1:29">
      <c r="A539" s="2" t="s">
        <v>30</v>
      </c>
      <c r="B539" s="2" t="s">
        <v>293</v>
      </c>
      <c r="C539" s="3" t="s">
        <v>2293</v>
      </c>
      <c r="D539" s="3" t="s">
        <v>2294</v>
      </c>
      <c r="E539" s="3" t="s">
        <v>1190</v>
      </c>
      <c r="F539" s="4">
        <v>0</v>
      </c>
      <c r="G539" s="4">
        <v>5000000</v>
      </c>
      <c r="H539" s="4">
        <v>300000</v>
      </c>
      <c r="I539" s="4">
        <v>0</v>
      </c>
      <c r="J539" s="2" t="s">
        <v>256</v>
      </c>
      <c r="K539" s="4">
        <v>8300000</v>
      </c>
      <c r="L539" s="4">
        <v>0</v>
      </c>
      <c r="M539" s="4">
        <v>3000000</v>
      </c>
      <c r="N539" s="4">
        <v>0</v>
      </c>
      <c r="O539" s="4">
        <v>3300000</v>
      </c>
      <c r="P539" s="6">
        <v>0.60241</v>
      </c>
      <c r="Q539" s="5">
        <v>0.909091</v>
      </c>
      <c r="R539" s="2" t="s">
        <v>2295</v>
      </c>
      <c r="S539" s="7">
        <f t="shared" si="64"/>
        <v>3000000</v>
      </c>
      <c r="T539" s="7">
        <f t="shared" si="65"/>
        <v>3300000</v>
      </c>
      <c r="U539" s="8">
        <f t="shared" si="66"/>
        <v>0.909090909090909</v>
      </c>
      <c r="V539" s="9" t="e">
        <f>IF(T539&lt;=0,"Output &lt;= 0",IF(U539&gt;#REF!,"Terlalu tinggi",IF(U539&lt;#REF!,"Terlalu rendah","Sesuai")))</f>
        <v>#REF!</v>
      </c>
      <c r="W539" s="7" t="e">
        <f>IF(T539&lt;=0,S539,IF(U539&gt;#REF!,ROUNDDOWN(T539*#REF!,0),IF(U539&lt;#REF!,ROUNDUP(T539*#REF!,0),S539)))</f>
        <v>#REF!</v>
      </c>
      <c r="X539" s="7" t="e">
        <f t="shared" si="67"/>
        <v>#REF!</v>
      </c>
      <c r="Y539" s="7" t="e">
        <f t="shared" si="68"/>
        <v>#REF!</v>
      </c>
      <c r="Z539" s="7" t="e">
        <f t="shared" si="69"/>
        <v>#REF!</v>
      </c>
      <c r="AA539" s="7" t="e">
        <f t="shared" si="70"/>
        <v>#REF!</v>
      </c>
      <c r="AB539" s="8" t="e">
        <f t="shared" si="71"/>
        <v>#REF!</v>
      </c>
      <c r="AC539" s="9" t="e">
        <f>IF(T539&lt;=0,"Output &lt;= 0, cek manual",IF(OR(Z539&lt;0,Y539&lt;0),"Biaya negatif",IF(AND(AB539&gt;=#REF!,AB539&lt;=#REF!),"OK","Di luar rentang")))</f>
        <v>#REF!</v>
      </c>
    </row>
    <row r="540" ht="71.25" spans="1:29">
      <c r="A540" s="2" t="s">
        <v>30</v>
      </c>
      <c r="B540" s="2" t="s">
        <v>299</v>
      </c>
      <c r="C540" s="3" t="s">
        <v>2296</v>
      </c>
      <c r="D540" s="3" t="s">
        <v>2297</v>
      </c>
      <c r="E540" s="3" t="s">
        <v>2296</v>
      </c>
      <c r="F540" s="4">
        <v>200000</v>
      </c>
      <c r="G540" s="4">
        <v>4000000</v>
      </c>
      <c r="H540" s="4">
        <v>200000</v>
      </c>
      <c r="I540" s="4">
        <v>0</v>
      </c>
      <c r="J540" s="2" t="s">
        <v>2298</v>
      </c>
      <c r="K540" s="4">
        <v>7000000</v>
      </c>
      <c r="L540" s="4">
        <v>0</v>
      </c>
      <c r="M540" s="4">
        <v>2600000</v>
      </c>
      <c r="N540" s="4">
        <v>800000</v>
      </c>
      <c r="O540" s="4">
        <v>3000000</v>
      </c>
      <c r="P540" s="5">
        <v>0.571429</v>
      </c>
      <c r="Q540" s="5">
        <v>0.866667</v>
      </c>
      <c r="R540" s="2" t="s">
        <v>2299</v>
      </c>
      <c r="S540" s="7">
        <f t="shared" si="64"/>
        <v>2600000</v>
      </c>
      <c r="T540" s="7">
        <f t="shared" si="65"/>
        <v>3000000</v>
      </c>
      <c r="U540" s="8">
        <f t="shared" si="66"/>
        <v>0.866666666666667</v>
      </c>
      <c r="V540" s="9" t="e">
        <f>IF(T540&lt;=0,"Output &lt;= 0",IF(U540&gt;#REF!,"Terlalu tinggi",IF(U540&lt;#REF!,"Terlalu rendah","Sesuai")))</f>
        <v>#REF!</v>
      </c>
      <c r="W540" s="7" t="e">
        <f>IF(T540&lt;=0,S540,IF(U540&gt;#REF!,ROUNDDOWN(T540*#REF!,0),IF(U540&lt;#REF!,ROUNDUP(T540*#REF!,0),S540)))</f>
        <v>#REF!</v>
      </c>
      <c r="X540" s="7" t="e">
        <f t="shared" si="67"/>
        <v>#REF!</v>
      </c>
      <c r="Y540" s="7" t="e">
        <f t="shared" si="68"/>
        <v>#REF!</v>
      </c>
      <c r="Z540" s="7" t="e">
        <f t="shared" si="69"/>
        <v>#REF!</v>
      </c>
      <c r="AA540" s="7" t="e">
        <f t="shared" si="70"/>
        <v>#REF!</v>
      </c>
      <c r="AB540" s="8" t="e">
        <f t="shared" si="71"/>
        <v>#REF!</v>
      </c>
      <c r="AC540" s="9" t="e">
        <f>IF(T540&lt;=0,"Output &lt;= 0, cek manual",IF(OR(Z540&lt;0,Y540&lt;0),"Biaya negatif",IF(AND(AB540&gt;=#REF!,AB540&lt;=#REF!),"OK","Di luar rentang")))</f>
        <v>#REF!</v>
      </c>
    </row>
    <row r="541" ht="85.5" spans="1:29">
      <c r="A541" s="2" t="s">
        <v>30</v>
      </c>
      <c r="B541" s="2" t="s">
        <v>305</v>
      </c>
      <c r="C541" s="3" t="s">
        <v>2300</v>
      </c>
      <c r="D541" s="3" t="s">
        <v>377</v>
      </c>
      <c r="E541" s="3" t="s">
        <v>2301</v>
      </c>
      <c r="F541" s="4">
        <v>1000000</v>
      </c>
      <c r="G541" s="4">
        <v>1000000</v>
      </c>
      <c r="H541" s="4">
        <v>200000</v>
      </c>
      <c r="I541" s="4">
        <v>0</v>
      </c>
      <c r="J541" s="2" t="s">
        <v>2302</v>
      </c>
      <c r="K541" s="4">
        <v>14400000</v>
      </c>
      <c r="L541" s="4">
        <v>0</v>
      </c>
      <c r="M541" s="4">
        <v>12200000</v>
      </c>
      <c r="N541" s="4">
        <v>2000000</v>
      </c>
      <c r="O541" s="4">
        <v>13400000</v>
      </c>
      <c r="P541" s="5">
        <v>0.069444</v>
      </c>
      <c r="Q541" s="5">
        <v>0.910448</v>
      </c>
      <c r="R541" s="2" t="s">
        <v>2303</v>
      </c>
      <c r="S541" s="7">
        <f t="shared" si="64"/>
        <v>12200000</v>
      </c>
      <c r="T541" s="7">
        <f t="shared" si="65"/>
        <v>13400000</v>
      </c>
      <c r="U541" s="8">
        <f t="shared" si="66"/>
        <v>0.91044776119403</v>
      </c>
      <c r="V541" s="9" t="e">
        <f>IF(T541&lt;=0,"Output &lt;= 0",IF(U541&gt;#REF!,"Terlalu tinggi",IF(U541&lt;#REF!,"Terlalu rendah","Sesuai")))</f>
        <v>#REF!</v>
      </c>
      <c r="W541" s="7" t="e">
        <f>IF(T541&lt;=0,S541,IF(U541&gt;#REF!,ROUNDDOWN(T541*#REF!,0),IF(U541&lt;#REF!,ROUNDUP(T541*#REF!,0),S541)))</f>
        <v>#REF!</v>
      </c>
      <c r="X541" s="7" t="e">
        <f t="shared" si="67"/>
        <v>#REF!</v>
      </c>
      <c r="Y541" s="7" t="e">
        <f t="shared" si="68"/>
        <v>#REF!</v>
      </c>
      <c r="Z541" s="7" t="e">
        <f t="shared" si="69"/>
        <v>#REF!</v>
      </c>
      <c r="AA541" s="7" t="e">
        <f t="shared" si="70"/>
        <v>#REF!</v>
      </c>
      <c r="AB541" s="8" t="e">
        <f t="shared" si="71"/>
        <v>#REF!</v>
      </c>
      <c r="AC541" s="9" t="e">
        <f>IF(T541&lt;=0,"Output &lt;= 0, cek manual",IF(OR(Z541&lt;0,Y541&lt;0),"Biaya negatif",IF(AND(AB541&gt;=#REF!,AB541&lt;=#REF!),"OK","Di luar rentang")))</f>
        <v>#REF!</v>
      </c>
    </row>
    <row r="542" ht="99.75" spans="1:29">
      <c r="A542" s="2" t="s">
        <v>30</v>
      </c>
      <c r="B542" s="2" t="s">
        <v>305</v>
      </c>
      <c r="C542" s="3" t="s">
        <v>2304</v>
      </c>
      <c r="D542" s="3" t="s">
        <v>612</v>
      </c>
      <c r="E542" s="3" t="s">
        <v>2305</v>
      </c>
      <c r="F542" s="4">
        <v>1200000</v>
      </c>
      <c r="G542" s="4">
        <v>7000000</v>
      </c>
      <c r="H542" s="4">
        <v>1000000</v>
      </c>
      <c r="I542" s="4">
        <v>0</v>
      </c>
      <c r="J542" s="2" t="s">
        <v>1287</v>
      </c>
      <c r="K542" s="4">
        <v>10000000</v>
      </c>
      <c r="L542" s="4">
        <v>0</v>
      </c>
      <c r="M542" s="4">
        <v>800000</v>
      </c>
      <c r="N542" s="4">
        <v>0</v>
      </c>
      <c r="O542" s="4">
        <v>3000000</v>
      </c>
      <c r="P542" s="12">
        <v>0.7</v>
      </c>
      <c r="Q542" s="5">
        <v>0.266667</v>
      </c>
      <c r="R542" s="2" t="s">
        <v>2306</v>
      </c>
      <c r="S542" s="7">
        <f t="shared" si="64"/>
        <v>800000</v>
      </c>
      <c r="T542" s="7">
        <f t="shared" si="65"/>
        <v>3000000</v>
      </c>
      <c r="U542" s="8">
        <f t="shared" si="66"/>
        <v>0.266666666666667</v>
      </c>
      <c r="V542" s="9" t="e">
        <f>IF(T542&lt;=0,"Output &lt;= 0",IF(U542&gt;#REF!,"Terlalu tinggi",IF(U542&lt;#REF!,"Terlalu rendah","Sesuai")))</f>
        <v>#REF!</v>
      </c>
      <c r="W542" s="7" t="e">
        <f>IF(T542&lt;=0,S542,IF(U542&gt;#REF!,ROUNDDOWN(T542*#REF!,0),IF(U542&lt;#REF!,ROUNDUP(T542*#REF!,0),S542)))</f>
        <v>#REF!</v>
      </c>
      <c r="X542" s="7" t="e">
        <f t="shared" si="67"/>
        <v>#REF!</v>
      </c>
      <c r="Y542" s="7" t="e">
        <f t="shared" si="68"/>
        <v>#REF!</v>
      </c>
      <c r="Z542" s="7" t="e">
        <f t="shared" si="69"/>
        <v>#REF!</v>
      </c>
      <c r="AA542" s="7" t="e">
        <f t="shared" si="70"/>
        <v>#REF!</v>
      </c>
      <c r="AB542" s="8" t="e">
        <f t="shared" si="71"/>
        <v>#REF!</v>
      </c>
      <c r="AC542" s="9" t="e">
        <f>IF(T542&lt;=0,"Output &lt;= 0, cek manual",IF(OR(Z542&lt;0,Y542&lt;0),"Biaya negatif",IF(AND(AB542&gt;=#REF!,AB542&lt;=#REF!),"OK","Di luar rentang")))</f>
        <v>#REF!</v>
      </c>
    </row>
    <row r="543" ht="85.5" spans="1:29">
      <c r="A543" s="2" t="s">
        <v>30</v>
      </c>
      <c r="B543" s="2" t="s">
        <v>305</v>
      </c>
      <c r="C543" s="3" t="s">
        <v>2307</v>
      </c>
      <c r="D543" s="3" t="s">
        <v>307</v>
      </c>
      <c r="E543" s="3" t="s">
        <v>308</v>
      </c>
      <c r="F543" s="4">
        <v>4000000</v>
      </c>
      <c r="G543" s="4">
        <v>0</v>
      </c>
      <c r="H543" s="4">
        <v>3000000</v>
      </c>
      <c r="I543" s="4">
        <v>0</v>
      </c>
      <c r="J543" s="2" t="s">
        <v>2308</v>
      </c>
      <c r="K543" s="4">
        <v>16800000</v>
      </c>
      <c r="L543" s="4">
        <v>0</v>
      </c>
      <c r="M543" s="4">
        <v>9800000</v>
      </c>
      <c r="N543" s="4">
        <v>5000000</v>
      </c>
      <c r="O543" s="4">
        <v>16800000</v>
      </c>
      <c r="P543" s="4">
        <v>0</v>
      </c>
      <c r="Q543" s="5">
        <v>0.583333</v>
      </c>
      <c r="R543" s="2" t="s">
        <v>2309</v>
      </c>
      <c r="S543" s="7">
        <f t="shared" si="64"/>
        <v>9800000</v>
      </c>
      <c r="T543" s="7">
        <f t="shared" si="65"/>
        <v>16800000</v>
      </c>
      <c r="U543" s="8">
        <f t="shared" si="66"/>
        <v>0.583333333333333</v>
      </c>
      <c r="V543" s="9" t="e">
        <f>IF(T543&lt;=0,"Output &lt;= 0",IF(U543&gt;#REF!,"Terlalu tinggi",IF(U543&lt;#REF!,"Terlalu rendah","Sesuai")))</f>
        <v>#REF!</v>
      </c>
      <c r="W543" s="7" t="e">
        <f>IF(T543&lt;=0,S543,IF(U543&gt;#REF!,ROUNDDOWN(T543*#REF!,0),IF(U543&lt;#REF!,ROUNDUP(T543*#REF!,0),S543)))</f>
        <v>#REF!</v>
      </c>
      <c r="X543" s="7" t="e">
        <f t="shared" si="67"/>
        <v>#REF!</v>
      </c>
      <c r="Y543" s="7" t="e">
        <f t="shared" si="68"/>
        <v>#REF!</v>
      </c>
      <c r="Z543" s="7" t="e">
        <f t="shared" si="69"/>
        <v>#REF!</v>
      </c>
      <c r="AA543" s="7" t="e">
        <f t="shared" si="70"/>
        <v>#REF!</v>
      </c>
      <c r="AB543" s="8" t="e">
        <f t="shared" si="71"/>
        <v>#REF!</v>
      </c>
      <c r="AC543" s="9" t="e">
        <f>IF(T543&lt;=0,"Output &lt;= 0, cek manual",IF(OR(Z543&lt;0,Y543&lt;0),"Biaya negatif",IF(AND(AB543&gt;=#REF!,AB543&lt;=#REF!),"OK","Di luar rentang")))</f>
        <v>#REF!</v>
      </c>
    </row>
    <row r="544" ht="99.75" spans="1:29">
      <c r="A544" s="2" t="s">
        <v>30</v>
      </c>
      <c r="B544" s="2" t="s">
        <v>320</v>
      </c>
      <c r="C544" s="3" t="s">
        <v>2310</v>
      </c>
      <c r="D544" s="3" t="s">
        <v>2311</v>
      </c>
      <c r="E544" s="3" t="s">
        <v>2312</v>
      </c>
      <c r="F544" s="4">
        <v>150000</v>
      </c>
      <c r="G544" s="4">
        <v>100000</v>
      </c>
      <c r="H544" s="4">
        <v>0</v>
      </c>
      <c r="I544" s="4">
        <v>0</v>
      </c>
      <c r="J544" s="2" t="s">
        <v>662</v>
      </c>
      <c r="K544" s="4">
        <v>1000000</v>
      </c>
      <c r="L544" s="4">
        <v>0</v>
      </c>
      <c r="M544" s="4">
        <v>750000</v>
      </c>
      <c r="N544" s="4">
        <v>50100000</v>
      </c>
      <c r="O544" s="4">
        <v>900000</v>
      </c>
      <c r="P544" s="12">
        <v>0.1</v>
      </c>
      <c r="Q544" s="5">
        <v>0.833333</v>
      </c>
      <c r="R544" s="2" t="s">
        <v>2313</v>
      </c>
      <c r="S544" s="7">
        <f t="shared" si="64"/>
        <v>750000</v>
      </c>
      <c r="T544" s="7">
        <f t="shared" si="65"/>
        <v>900000</v>
      </c>
      <c r="U544" s="8">
        <f t="shared" si="66"/>
        <v>0.833333333333333</v>
      </c>
      <c r="V544" s="9" t="e">
        <f>IF(T544&lt;=0,"Output &lt;= 0",IF(U544&gt;#REF!,"Terlalu tinggi",IF(U544&lt;#REF!,"Terlalu rendah","Sesuai")))</f>
        <v>#REF!</v>
      </c>
      <c r="W544" s="7" t="e">
        <f>IF(T544&lt;=0,S544,IF(U544&gt;#REF!,ROUNDDOWN(T544*#REF!,0),IF(U544&lt;#REF!,ROUNDUP(T544*#REF!,0),S544)))</f>
        <v>#REF!</v>
      </c>
      <c r="X544" s="7" t="e">
        <f t="shared" si="67"/>
        <v>#REF!</v>
      </c>
      <c r="Y544" s="7" t="e">
        <f t="shared" si="68"/>
        <v>#REF!</v>
      </c>
      <c r="Z544" s="7" t="e">
        <f t="shared" si="69"/>
        <v>#REF!</v>
      </c>
      <c r="AA544" s="7" t="e">
        <f t="shared" si="70"/>
        <v>#REF!</v>
      </c>
      <c r="AB544" s="8" t="e">
        <f t="shared" si="71"/>
        <v>#REF!</v>
      </c>
      <c r="AC544" s="9" t="e">
        <f>IF(T544&lt;=0,"Output &lt;= 0, cek manual",IF(OR(Z544&lt;0,Y544&lt;0),"Biaya negatif",IF(AND(AB544&gt;=#REF!,AB544&lt;=#REF!),"OK","Di luar rentang")))</f>
        <v>#REF!</v>
      </c>
    </row>
    <row r="545" ht="128.25" spans="1:29">
      <c r="A545" s="2" t="s">
        <v>30</v>
      </c>
      <c r="B545" s="2" t="s">
        <v>330</v>
      </c>
      <c r="C545" s="3" t="s">
        <v>2314</v>
      </c>
      <c r="D545" s="3" t="s">
        <v>716</v>
      </c>
      <c r="E545" s="3" t="s">
        <v>2315</v>
      </c>
      <c r="F545" s="4">
        <v>0</v>
      </c>
      <c r="G545" s="4">
        <v>85000000</v>
      </c>
      <c r="H545" s="4">
        <v>2000000</v>
      </c>
      <c r="I545" s="4">
        <v>0</v>
      </c>
      <c r="J545" s="2" t="s">
        <v>2316</v>
      </c>
      <c r="K545" s="4">
        <v>152400000</v>
      </c>
      <c r="L545" s="4">
        <v>0</v>
      </c>
      <c r="M545" s="4">
        <v>65400000</v>
      </c>
      <c r="N545" s="4">
        <v>500000</v>
      </c>
      <c r="O545" s="4">
        <v>67400000</v>
      </c>
      <c r="P545" s="5">
        <v>0.557743</v>
      </c>
      <c r="Q545" s="5">
        <v>0.970326</v>
      </c>
      <c r="R545" s="2" t="s">
        <v>2317</v>
      </c>
      <c r="S545" s="7">
        <f t="shared" si="64"/>
        <v>65400000</v>
      </c>
      <c r="T545" s="7">
        <f t="shared" si="65"/>
        <v>67400000</v>
      </c>
      <c r="U545" s="8">
        <f t="shared" si="66"/>
        <v>0.970326409495549</v>
      </c>
      <c r="V545" s="9" t="e">
        <f>IF(T545&lt;=0,"Output &lt;= 0",IF(U545&gt;#REF!,"Terlalu tinggi",IF(U545&lt;#REF!,"Terlalu rendah","Sesuai")))</f>
        <v>#REF!</v>
      </c>
      <c r="W545" s="7" t="e">
        <f>IF(T545&lt;=0,S545,IF(U545&gt;#REF!,ROUNDDOWN(T545*#REF!,0),IF(U545&lt;#REF!,ROUNDUP(T545*#REF!,0),S545)))</f>
        <v>#REF!</v>
      </c>
      <c r="X545" s="7" t="e">
        <f t="shared" si="67"/>
        <v>#REF!</v>
      </c>
      <c r="Y545" s="7" t="e">
        <f t="shared" si="68"/>
        <v>#REF!</v>
      </c>
      <c r="Z545" s="7" t="e">
        <f t="shared" si="69"/>
        <v>#REF!</v>
      </c>
      <c r="AA545" s="7" t="e">
        <f t="shared" si="70"/>
        <v>#REF!</v>
      </c>
      <c r="AB545" s="8" t="e">
        <f t="shared" si="71"/>
        <v>#REF!</v>
      </c>
      <c r="AC545" s="9" t="e">
        <f>IF(T545&lt;=0,"Output &lt;= 0, cek manual",IF(OR(Z545&lt;0,Y545&lt;0),"Biaya negatif",IF(AND(AB545&gt;=#REF!,AB545&lt;=#REF!),"OK","Di luar rentang")))</f>
        <v>#REF!</v>
      </c>
    </row>
    <row r="546" ht="57" spans="1:29">
      <c r="A546" s="2" t="s">
        <v>30</v>
      </c>
      <c r="B546" s="2" t="s">
        <v>336</v>
      </c>
      <c r="C546" s="3" t="s">
        <v>2318</v>
      </c>
      <c r="D546" s="3" t="s">
        <v>2319</v>
      </c>
      <c r="E546" s="3" t="s">
        <v>2320</v>
      </c>
      <c r="F546" s="4">
        <v>1500000</v>
      </c>
      <c r="G546" s="4">
        <v>200000</v>
      </c>
      <c r="H546" s="4">
        <v>0</v>
      </c>
      <c r="I546" s="4">
        <v>0</v>
      </c>
      <c r="J546" s="2" t="s">
        <v>1943</v>
      </c>
      <c r="K546" s="4">
        <v>3600000</v>
      </c>
      <c r="L546" s="4">
        <v>0</v>
      </c>
      <c r="M546" s="4">
        <v>1900000</v>
      </c>
      <c r="N546" s="4">
        <v>0</v>
      </c>
      <c r="O546" s="4">
        <v>3400000</v>
      </c>
      <c r="P546" s="5">
        <v>0.055556</v>
      </c>
      <c r="Q546" s="5">
        <v>0.558824</v>
      </c>
      <c r="R546" s="2" t="s">
        <v>2321</v>
      </c>
      <c r="S546" s="7">
        <f t="shared" si="64"/>
        <v>1900000</v>
      </c>
      <c r="T546" s="7">
        <f t="shared" si="65"/>
        <v>3400000</v>
      </c>
      <c r="U546" s="8">
        <f t="shared" si="66"/>
        <v>0.558823529411765</v>
      </c>
      <c r="V546" s="9" t="e">
        <f>IF(T546&lt;=0,"Output &lt;= 0",IF(U546&gt;#REF!,"Terlalu tinggi",IF(U546&lt;#REF!,"Terlalu rendah","Sesuai")))</f>
        <v>#REF!</v>
      </c>
      <c r="W546" s="7" t="e">
        <f>IF(T546&lt;=0,S546,IF(U546&gt;#REF!,ROUNDDOWN(T546*#REF!,0),IF(U546&lt;#REF!,ROUNDUP(T546*#REF!,0),S546)))</f>
        <v>#REF!</v>
      </c>
      <c r="X546" s="7" t="e">
        <f t="shared" si="67"/>
        <v>#REF!</v>
      </c>
      <c r="Y546" s="7" t="e">
        <f t="shared" si="68"/>
        <v>#REF!</v>
      </c>
      <c r="Z546" s="7" t="e">
        <f t="shared" si="69"/>
        <v>#REF!</v>
      </c>
      <c r="AA546" s="7" t="e">
        <f t="shared" si="70"/>
        <v>#REF!</v>
      </c>
      <c r="AB546" s="8" t="e">
        <f t="shared" si="71"/>
        <v>#REF!</v>
      </c>
      <c r="AC546" s="9" t="e">
        <f>IF(T546&lt;=0,"Output &lt;= 0, cek manual",IF(OR(Z546&lt;0,Y546&lt;0),"Biaya negatif",IF(AND(AB546&gt;=#REF!,AB546&lt;=#REF!),"OK","Di luar rentang")))</f>
        <v>#REF!</v>
      </c>
    </row>
    <row r="547" ht="85.5" spans="1:29">
      <c r="A547" s="2" t="s">
        <v>30</v>
      </c>
      <c r="B547" s="2" t="s">
        <v>336</v>
      </c>
      <c r="C547" s="3" t="s">
        <v>2322</v>
      </c>
      <c r="D547" s="3" t="s">
        <v>2323</v>
      </c>
      <c r="E547" s="3" t="s">
        <v>2324</v>
      </c>
      <c r="F547" s="4">
        <v>250000</v>
      </c>
      <c r="G547" s="4">
        <v>1000000</v>
      </c>
      <c r="H547" s="4">
        <v>150000</v>
      </c>
      <c r="I547" s="4">
        <v>0</v>
      </c>
      <c r="J547" s="2" t="s">
        <v>1948</v>
      </c>
      <c r="K547" s="4">
        <v>8000000</v>
      </c>
      <c r="L547" s="4">
        <v>0</v>
      </c>
      <c r="M547" s="4">
        <v>6600000</v>
      </c>
      <c r="N547" s="4">
        <v>0</v>
      </c>
      <c r="O547" s="4">
        <v>7000000</v>
      </c>
      <c r="P547" s="10">
        <v>0.125</v>
      </c>
      <c r="Q547" s="5">
        <v>0.942857</v>
      </c>
      <c r="R547" s="2" t="s">
        <v>2325</v>
      </c>
      <c r="S547" s="7">
        <f t="shared" si="64"/>
        <v>6600000</v>
      </c>
      <c r="T547" s="7">
        <f t="shared" si="65"/>
        <v>7000000</v>
      </c>
      <c r="U547" s="8">
        <f t="shared" si="66"/>
        <v>0.942857142857143</v>
      </c>
      <c r="V547" s="9" t="e">
        <f>IF(T547&lt;=0,"Output &lt;= 0",IF(U547&gt;#REF!,"Terlalu tinggi",IF(U547&lt;#REF!,"Terlalu rendah","Sesuai")))</f>
        <v>#REF!</v>
      </c>
      <c r="W547" s="7" t="e">
        <f>IF(T547&lt;=0,S547,IF(U547&gt;#REF!,ROUNDDOWN(T547*#REF!,0),IF(U547&lt;#REF!,ROUNDUP(T547*#REF!,0),S547)))</f>
        <v>#REF!</v>
      </c>
      <c r="X547" s="7" t="e">
        <f t="shared" si="67"/>
        <v>#REF!</v>
      </c>
      <c r="Y547" s="7" t="e">
        <f t="shared" si="68"/>
        <v>#REF!</v>
      </c>
      <c r="Z547" s="7" t="e">
        <f t="shared" si="69"/>
        <v>#REF!</v>
      </c>
      <c r="AA547" s="7" t="e">
        <f t="shared" si="70"/>
        <v>#REF!</v>
      </c>
      <c r="AB547" s="8" t="e">
        <f t="shared" si="71"/>
        <v>#REF!</v>
      </c>
      <c r="AC547" s="9" t="e">
        <f>IF(T547&lt;=0,"Output &lt;= 0, cek manual",IF(OR(Z547&lt;0,Y547&lt;0),"Biaya negatif",IF(AND(AB547&gt;=#REF!,AB547&lt;=#REF!),"OK","Di luar rentang")))</f>
        <v>#REF!</v>
      </c>
    </row>
    <row r="548" ht="57" spans="1:29">
      <c r="A548" s="2" t="s">
        <v>30</v>
      </c>
      <c r="B548" s="2" t="s">
        <v>336</v>
      </c>
      <c r="C548" s="3" t="s">
        <v>2326</v>
      </c>
      <c r="D548" s="3" t="s">
        <v>2327</v>
      </c>
      <c r="E548" s="3" t="s">
        <v>2328</v>
      </c>
      <c r="F548" s="4">
        <v>0</v>
      </c>
      <c r="G548" s="4">
        <v>2250000</v>
      </c>
      <c r="H548" s="4">
        <v>3630000</v>
      </c>
      <c r="I548" s="4">
        <v>0</v>
      </c>
      <c r="J548" s="2" t="s">
        <v>2329</v>
      </c>
      <c r="K548" s="4">
        <v>6725000</v>
      </c>
      <c r="L548" s="4">
        <v>0</v>
      </c>
      <c r="M548" s="4">
        <v>845000</v>
      </c>
      <c r="N548" s="4">
        <v>2800000</v>
      </c>
      <c r="O548" s="4">
        <v>4475000</v>
      </c>
      <c r="P548" s="5">
        <v>0.334572</v>
      </c>
      <c r="Q548" s="5">
        <v>0.188827</v>
      </c>
      <c r="R548" s="2" t="s">
        <v>2330</v>
      </c>
      <c r="S548" s="7">
        <f t="shared" si="64"/>
        <v>845000</v>
      </c>
      <c r="T548" s="7">
        <f t="shared" si="65"/>
        <v>4475000</v>
      </c>
      <c r="U548" s="8">
        <f t="shared" si="66"/>
        <v>0.188826815642458</v>
      </c>
      <c r="V548" s="9" t="e">
        <f>IF(T548&lt;=0,"Output &lt;= 0",IF(U548&gt;#REF!,"Terlalu tinggi",IF(U548&lt;#REF!,"Terlalu rendah","Sesuai")))</f>
        <v>#REF!</v>
      </c>
      <c r="W548" s="7" t="e">
        <f>IF(T548&lt;=0,S548,IF(U548&gt;#REF!,ROUNDDOWN(T548*#REF!,0),IF(U548&lt;#REF!,ROUNDUP(T548*#REF!,0),S548)))</f>
        <v>#REF!</v>
      </c>
      <c r="X548" s="7" t="e">
        <f t="shared" si="67"/>
        <v>#REF!</v>
      </c>
      <c r="Y548" s="7" t="e">
        <f t="shared" si="68"/>
        <v>#REF!</v>
      </c>
      <c r="Z548" s="7" t="e">
        <f t="shared" si="69"/>
        <v>#REF!</v>
      </c>
      <c r="AA548" s="7" t="e">
        <f t="shared" si="70"/>
        <v>#REF!</v>
      </c>
      <c r="AB548" s="8" t="e">
        <f t="shared" si="71"/>
        <v>#REF!</v>
      </c>
      <c r="AC548" s="9" t="e">
        <f>IF(T548&lt;=0,"Output &lt;= 0, cek manual",IF(OR(Z548&lt;0,Y548&lt;0),"Biaya negatif",IF(AND(AB548&gt;=#REF!,AB548&lt;=#REF!),"OK","Di luar rentang")))</f>
        <v>#REF!</v>
      </c>
    </row>
    <row r="549" ht="57" spans="1:29">
      <c r="A549" s="2" t="s">
        <v>30</v>
      </c>
      <c r="B549" s="2" t="s">
        <v>336</v>
      </c>
      <c r="C549" s="3" t="s">
        <v>2331</v>
      </c>
      <c r="D549" s="3" t="s">
        <v>2332</v>
      </c>
      <c r="E549" s="3" t="s">
        <v>2333</v>
      </c>
      <c r="F549" s="4">
        <v>500000</v>
      </c>
      <c r="G549" s="4">
        <v>300000</v>
      </c>
      <c r="H549" s="4">
        <v>100000</v>
      </c>
      <c r="I549" s="4">
        <v>50000</v>
      </c>
      <c r="J549" s="2" t="s">
        <v>1502</v>
      </c>
      <c r="K549" s="4">
        <v>10000000</v>
      </c>
      <c r="L549" s="4">
        <v>0</v>
      </c>
      <c r="M549" s="4">
        <v>9100000</v>
      </c>
      <c r="N549" s="4">
        <v>700000</v>
      </c>
      <c r="O549" s="4">
        <v>9700000</v>
      </c>
      <c r="P549" s="11">
        <v>0.03</v>
      </c>
      <c r="Q549" s="5">
        <v>0.938144</v>
      </c>
      <c r="R549" s="2" t="s">
        <v>2334</v>
      </c>
      <c r="S549" s="7">
        <f t="shared" si="64"/>
        <v>9100000</v>
      </c>
      <c r="T549" s="7">
        <f t="shared" si="65"/>
        <v>9700000</v>
      </c>
      <c r="U549" s="8">
        <f t="shared" si="66"/>
        <v>0.938144329896907</v>
      </c>
      <c r="V549" s="9" t="e">
        <f>IF(T549&lt;=0,"Output &lt;= 0",IF(U549&gt;#REF!,"Terlalu tinggi",IF(U549&lt;#REF!,"Terlalu rendah","Sesuai")))</f>
        <v>#REF!</v>
      </c>
      <c r="W549" s="7" t="e">
        <f>IF(T549&lt;=0,S549,IF(U549&gt;#REF!,ROUNDDOWN(T549*#REF!,0),IF(U549&lt;#REF!,ROUNDUP(T549*#REF!,0),S549)))</f>
        <v>#REF!</v>
      </c>
      <c r="X549" s="7" t="e">
        <f t="shared" si="67"/>
        <v>#REF!</v>
      </c>
      <c r="Y549" s="7" t="e">
        <f t="shared" si="68"/>
        <v>#REF!</v>
      </c>
      <c r="Z549" s="7" t="e">
        <f t="shared" si="69"/>
        <v>#REF!</v>
      </c>
      <c r="AA549" s="7" t="e">
        <f t="shared" si="70"/>
        <v>#REF!</v>
      </c>
      <c r="AB549" s="8" t="e">
        <f t="shared" si="71"/>
        <v>#REF!</v>
      </c>
      <c r="AC549" s="9" t="e">
        <f>IF(T549&lt;=0,"Output &lt;= 0, cek manual",IF(OR(Z549&lt;0,Y549&lt;0),"Biaya negatif",IF(AND(AB549&gt;=#REF!,AB549&lt;=#REF!),"OK","Di luar rentang")))</f>
        <v>#REF!</v>
      </c>
    </row>
    <row r="550" ht="114" spans="1:29">
      <c r="A550" s="2" t="s">
        <v>30</v>
      </c>
      <c r="B550" s="2" t="s">
        <v>336</v>
      </c>
      <c r="C550" s="3" t="s">
        <v>2335</v>
      </c>
      <c r="D550" s="3" t="s">
        <v>2336</v>
      </c>
      <c r="E550" s="3" t="s">
        <v>2337</v>
      </c>
      <c r="F550" s="4">
        <v>100000</v>
      </c>
      <c r="G550" s="4">
        <v>14400000</v>
      </c>
      <c r="H550" s="4">
        <v>200000</v>
      </c>
      <c r="I550" s="4">
        <v>600000</v>
      </c>
      <c r="J550" s="2" t="s">
        <v>2338</v>
      </c>
      <c r="K550" s="4">
        <v>25920000</v>
      </c>
      <c r="L550" s="4">
        <v>0</v>
      </c>
      <c r="M550" s="4">
        <v>11220000</v>
      </c>
      <c r="N550" s="4">
        <v>600000</v>
      </c>
      <c r="O550" s="4">
        <v>11520000</v>
      </c>
      <c r="P550" s="5">
        <v>0.555556</v>
      </c>
      <c r="Q550" s="5">
        <v>0.973958</v>
      </c>
      <c r="R550" s="2" t="s">
        <v>2339</v>
      </c>
      <c r="S550" s="7">
        <f t="shared" si="64"/>
        <v>11220000</v>
      </c>
      <c r="T550" s="7">
        <f t="shared" si="65"/>
        <v>11520000</v>
      </c>
      <c r="U550" s="8">
        <f t="shared" si="66"/>
        <v>0.973958333333333</v>
      </c>
      <c r="V550" s="9" t="e">
        <f>IF(T550&lt;=0,"Output &lt;= 0",IF(U550&gt;#REF!,"Terlalu tinggi",IF(U550&lt;#REF!,"Terlalu rendah","Sesuai")))</f>
        <v>#REF!</v>
      </c>
      <c r="W550" s="7" t="e">
        <f>IF(T550&lt;=0,S550,IF(U550&gt;#REF!,ROUNDDOWN(T550*#REF!,0),IF(U550&lt;#REF!,ROUNDUP(T550*#REF!,0),S550)))</f>
        <v>#REF!</v>
      </c>
      <c r="X550" s="7" t="e">
        <f t="shared" si="67"/>
        <v>#REF!</v>
      </c>
      <c r="Y550" s="7" t="e">
        <f t="shared" si="68"/>
        <v>#REF!</v>
      </c>
      <c r="Z550" s="7" t="e">
        <f t="shared" si="69"/>
        <v>#REF!</v>
      </c>
      <c r="AA550" s="7" t="e">
        <f t="shared" si="70"/>
        <v>#REF!</v>
      </c>
      <c r="AB550" s="8" t="e">
        <f t="shared" si="71"/>
        <v>#REF!</v>
      </c>
      <c r="AC550" s="9" t="e">
        <f>IF(T550&lt;=0,"Output &lt;= 0, cek manual",IF(OR(Z550&lt;0,Y550&lt;0),"Biaya negatif",IF(AND(AB550&gt;=#REF!,AB550&lt;=#REF!),"OK","Di luar rentang")))</f>
        <v>#REF!</v>
      </c>
    </row>
    <row r="551" ht="71.25" spans="1:29">
      <c r="A551" s="2" t="s">
        <v>30</v>
      </c>
      <c r="B551" s="2" t="s">
        <v>336</v>
      </c>
      <c r="C551" s="3" t="s">
        <v>2340</v>
      </c>
      <c r="D551" s="3" t="s">
        <v>2341</v>
      </c>
      <c r="E551" s="3" t="s">
        <v>2342</v>
      </c>
      <c r="F551" s="4">
        <v>36500000</v>
      </c>
      <c r="G551" s="4">
        <v>0</v>
      </c>
      <c r="H551" s="4">
        <v>725000</v>
      </c>
      <c r="I551" s="4">
        <v>0</v>
      </c>
      <c r="J551" s="2" t="s">
        <v>2343</v>
      </c>
      <c r="K551" s="4">
        <v>47450000</v>
      </c>
      <c r="L551" s="4">
        <v>0</v>
      </c>
      <c r="M551" s="4">
        <v>10225000</v>
      </c>
      <c r="N551" s="4">
        <v>75000000</v>
      </c>
      <c r="O551" s="4">
        <v>47450000</v>
      </c>
      <c r="P551" s="4">
        <v>0</v>
      </c>
      <c r="Q551" s="6">
        <v>0.21549</v>
      </c>
      <c r="R551" s="2" t="s">
        <v>2344</v>
      </c>
      <c r="S551" s="7">
        <f t="shared" si="64"/>
        <v>10225000</v>
      </c>
      <c r="T551" s="7">
        <f t="shared" si="65"/>
        <v>47450000</v>
      </c>
      <c r="U551" s="8">
        <f t="shared" si="66"/>
        <v>0.215489989462592</v>
      </c>
      <c r="V551" s="9" t="e">
        <f>IF(T551&lt;=0,"Output &lt;= 0",IF(U551&gt;#REF!,"Terlalu tinggi",IF(U551&lt;#REF!,"Terlalu rendah","Sesuai")))</f>
        <v>#REF!</v>
      </c>
      <c r="W551" s="7" t="e">
        <f>IF(T551&lt;=0,S551,IF(U551&gt;#REF!,ROUNDDOWN(T551*#REF!,0),IF(U551&lt;#REF!,ROUNDUP(T551*#REF!,0),S551)))</f>
        <v>#REF!</v>
      </c>
      <c r="X551" s="7" t="e">
        <f t="shared" si="67"/>
        <v>#REF!</v>
      </c>
      <c r="Y551" s="7" t="e">
        <f t="shared" si="68"/>
        <v>#REF!</v>
      </c>
      <c r="Z551" s="7" t="e">
        <f t="shared" si="69"/>
        <v>#REF!</v>
      </c>
      <c r="AA551" s="7" t="e">
        <f t="shared" si="70"/>
        <v>#REF!</v>
      </c>
      <c r="AB551" s="8" t="e">
        <f t="shared" si="71"/>
        <v>#REF!</v>
      </c>
      <c r="AC551" s="9" t="e">
        <f>IF(T551&lt;=0,"Output &lt;= 0, cek manual",IF(OR(Z551&lt;0,Y551&lt;0),"Biaya negatif",IF(AND(AB551&gt;=#REF!,AB551&lt;=#REF!),"OK","Di luar rentang")))</f>
        <v>#REF!</v>
      </c>
    </row>
    <row r="552" ht="99.75" spans="1:29">
      <c r="A552" s="2" t="s">
        <v>30</v>
      </c>
      <c r="B552" s="2" t="s">
        <v>363</v>
      </c>
      <c r="C552" s="3" t="s">
        <v>2345</v>
      </c>
      <c r="D552" s="3" t="s">
        <v>183</v>
      </c>
      <c r="E552" s="3" t="s">
        <v>2346</v>
      </c>
      <c r="F552" s="4">
        <v>0</v>
      </c>
      <c r="G552" s="4">
        <v>66000000</v>
      </c>
      <c r="H552" s="4">
        <v>6000000</v>
      </c>
      <c r="I552" s="4">
        <v>0</v>
      </c>
      <c r="J552" s="2" t="s">
        <v>186</v>
      </c>
      <c r="K552" s="4">
        <v>132000000</v>
      </c>
      <c r="L552" s="4">
        <v>0</v>
      </c>
      <c r="M552" s="4">
        <v>60000000</v>
      </c>
      <c r="N552" s="4">
        <v>0</v>
      </c>
      <c r="O552" s="4">
        <v>66000000</v>
      </c>
      <c r="P552" s="12">
        <v>0.5</v>
      </c>
      <c r="Q552" s="5">
        <v>0.909091</v>
      </c>
      <c r="R552" s="2" t="s">
        <v>2347</v>
      </c>
      <c r="S552" s="7">
        <f t="shared" si="64"/>
        <v>60000000</v>
      </c>
      <c r="T552" s="7">
        <f t="shared" si="65"/>
        <v>66000000</v>
      </c>
      <c r="U552" s="8">
        <f t="shared" si="66"/>
        <v>0.909090909090909</v>
      </c>
      <c r="V552" s="9" t="e">
        <f>IF(T552&lt;=0,"Output &lt;= 0",IF(U552&gt;#REF!,"Terlalu tinggi",IF(U552&lt;#REF!,"Terlalu rendah","Sesuai")))</f>
        <v>#REF!</v>
      </c>
      <c r="W552" s="7" t="e">
        <f>IF(T552&lt;=0,S552,IF(U552&gt;#REF!,ROUNDDOWN(T552*#REF!,0),IF(U552&lt;#REF!,ROUNDUP(T552*#REF!,0),S552)))</f>
        <v>#REF!</v>
      </c>
      <c r="X552" s="7" t="e">
        <f t="shared" si="67"/>
        <v>#REF!</v>
      </c>
      <c r="Y552" s="7" t="e">
        <f t="shared" si="68"/>
        <v>#REF!</v>
      </c>
      <c r="Z552" s="7" t="e">
        <f t="shared" si="69"/>
        <v>#REF!</v>
      </c>
      <c r="AA552" s="7" t="e">
        <f t="shared" si="70"/>
        <v>#REF!</v>
      </c>
      <c r="AB552" s="8" t="e">
        <f t="shared" si="71"/>
        <v>#REF!</v>
      </c>
      <c r="AC552" s="9" t="e">
        <f>IF(T552&lt;=0,"Output &lt;= 0, cek manual",IF(OR(Z552&lt;0,Y552&lt;0),"Biaya negatif",IF(AND(AB552&gt;=#REF!,AB552&lt;=#REF!),"OK","Di luar rentang")))</f>
        <v>#REF!</v>
      </c>
    </row>
    <row r="553" ht="42.75" spans="1:29">
      <c r="A553" s="2" t="s">
        <v>30</v>
      </c>
      <c r="B553" s="2" t="s">
        <v>363</v>
      </c>
      <c r="C553" s="3" t="s">
        <v>2348</v>
      </c>
      <c r="D553" s="3" t="s">
        <v>307</v>
      </c>
      <c r="E553" s="3" t="s">
        <v>2349</v>
      </c>
      <c r="F553" s="4">
        <v>1000000</v>
      </c>
      <c r="G553" s="4">
        <v>2000000</v>
      </c>
      <c r="H553" s="4">
        <v>500000</v>
      </c>
      <c r="I553" s="4">
        <v>0</v>
      </c>
      <c r="J553" s="2" t="s">
        <v>2350</v>
      </c>
      <c r="K553" s="4">
        <v>5000000</v>
      </c>
      <c r="L553" s="4">
        <v>0</v>
      </c>
      <c r="M553" s="4">
        <v>1500000</v>
      </c>
      <c r="N553" s="4">
        <v>1000000</v>
      </c>
      <c r="O553" s="4">
        <v>3000000</v>
      </c>
      <c r="P553" s="12">
        <v>0.4</v>
      </c>
      <c r="Q553" s="12">
        <v>0.5</v>
      </c>
      <c r="R553" s="2" t="s">
        <v>2351</v>
      </c>
      <c r="S553" s="7">
        <f t="shared" si="64"/>
        <v>1500000</v>
      </c>
      <c r="T553" s="7">
        <f t="shared" si="65"/>
        <v>3000000</v>
      </c>
      <c r="U553" s="8">
        <f t="shared" si="66"/>
        <v>0.5</v>
      </c>
      <c r="V553" s="9" t="e">
        <f>IF(T553&lt;=0,"Output &lt;= 0",IF(U553&gt;#REF!,"Terlalu tinggi",IF(U553&lt;#REF!,"Terlalu rendah","Sesuai")))</f>
        <v>#REF!</v>
      </c>
      <c r="W553" s="7" t="e">
        <f>IF(T553&lt;=0,S553,IF(U553&gt;#REF!,ROUNDDOWN(T553*#REF!,0),IF(U553&lt;#REF!,ROUNDUP(T553*#REF!,0),S553)))</f>
        <v>#REF!</v>
      </c>
      <c r="X553" s="7" t="e">
        <f t="shared" si="67"/>
        <v>#REF!</v>
      </c>
      <c r="Y553" s="7" t="e">
        <f t="shared" si="68"/>
        <v>#REF!</v>
      </c>
      <c r="Z553" s="7" t="e">
        <f t="shared" si="69"/>
        <v>#REF!</v>
      </c>
      <c r="AA553" s="7" t="e">
        <f t="shared" si="70"/>
        <v>#REF!</v>
      </c>
      <c r="AB553" s="8" t="e">
        <f t="shared" si="71"/>
        <v>#REF!</v>
      </c>
      <c r="AC553" s="9" t="e">
        <f>IF(T553&lt;=0,"Output &lt;= 0, cek manual",IF(OR(Z553&lt;0,Y553&lt;0),"Biaya negatif",IF(AND(AB553&gt;=#REF!,AB553&lt;=#REF!),"OK","Di luar rentang")))</f>
        <v>#REF!</v>
      </c>
    </row>
    <row r="554" ht="114" spans="1:29">
      <c r="A554" s="2" t="s">
        <v>30</v>
      </c>
      <c r="B554" s="2" t="s">
        <v>363</v>
      </c>
      <c r="C554" s="3" t="s">
        <v>2352</v>
      </c>
      <c r="D554" s="3" t="s">
        <v>2353</v>
      </c>
      <c r="E554" s="3" t="s">
        <v>2354</v>
      </c>
      <c r="F554" s="4">
        <v>2000000</v>
      </c>
      <c r="G554" s="4">
        <v>1000000</v>
      </c>
      <c r="H554" s="4">
        <v>200000</v>
      </c>
      <c r="I554" s="4">
        <v>0</v>
      </c>
      <c r="J554" s="2" t="s">
        <v>1657</v>
      </c>
      <c r="K554" s="4">
        <v>4000000</v>
      </c>
      <c r="L554" s="4">
        <v>0</v>
      </c>
      <c r="M554" s="4">
        <v>800000</v>
      </c>
      <c r="N554" s="4">
        <v>10000000</v>
      </c>
      <c r="O554" s="4">
        <v>3000000</v>
      </c>
      <c r="P554" s="11">
        <v>0.25</v>
      </c>
      <c r="Q554" s="5">
        <v>0.266667</v>
      </c>
      <c r="R554" s="2" t="s">
        <v>2355</v>
      </c>
      <c r="S554" s="7">
        <f t="shared" si="64"/>
        <v>800000</v>
      </c>
      <c r="T554" s="7">
        <f t="shared" si="65"/>
        <v>3000000</v>
      </c>
      <c r="U554" s="8">
        <f t="shared" si="66"/>
        <v>0.266666666666667</v>
      </c>
      <c r="V554" s="9" t="e">
        <f>IF(T554&lt;=0,"Output &lt;= 0",IF(U554&gt;#REF!,"Terlalu tinggi",IF(U554&lt;#REF!,"Terlalu rendah","Sesuai")))</f>
        <v>#REF!</v>
      </c>
      <c r="W554" s="7" t="e">
        <f>IF(T554&lt;=0,S554,IF(U554&gt;#REF!,ROUNDDOWN(T554*#REF!,0),IF(U554&lt;#REF!,ROUNDUP(T554*#REF!,0),S554)))</f>
        <v>#REF!</v>
      </c>
      <c r="X554" s="7" t="e">
        <f t="shared" si="67"/>
        <v>#REF!</v>
      </c>
      <c r="Y554" s="7" t="e">
        <f t="shared" si="68"/>
        <v>#REF!</v>
      </c>
      <c r="Z554" s="7" t="e">
        <f t="shared" si="69"/>
        <v>#REF!</v>
      </c>
      <c r="AA554" s="7" t="e">
        <f t="shared" si="70"/>
        <v>#REF!</v>
      </c>
      <c r="AB554" s="8" t="e">
        <f t="shared" si="71"/>
        <v>#REF!</v>
      </c>
      <c r="AC554" s="9" t="e">
        <f>IF(T554&lt;=0,"Output &lt;= 0, cek manual",IF(OR(Z554&lt;0,Y554&lt;0),"Biaya negatif",IF(AND(AB554&gt;=#REF!,AB554&lt;=#REF!),"OK","Di luar rentang")))</f>
        <v>#REF!</v>
      </c>
    </row>
    <row r="555" ht="99.75" spans="1:29">
      <c r="A555" s="2" t="s">
        <v>30</v>
      </c>
      <c r="B555" s="2" t="s">
        <v>1081</v>
      </c>
      <c r="C555" s="3" t="s">
        <v>2356</v>
      </c>
      <c r="D555" s="3" t="s">
        <v>2357</v>
      </c>
      <c r="E555" s="3" t="s">
        <v>2358</v>
      </c>
      <c r="F555" s="4">
        <v>350000</v>
      </c>
      <c r="G555" s="4">
        <v>3000000</v>
      </c>
      <c r="H555" s="4">
        <v>450000</v>
      </c>
      <c r="I555" s="4">
        <v>0</v>
      </c>
      <c r="J555" s="2" t="s">
        <v>2359</v>
      </c>
      <c r="K555" s="4">
        <v>9000000</v>
      </c>
      <c r="L555" s="4">
        <v>300000</v>
      </c>
      <c r="M555" s="4">
        <v>5200000</v>
      </c>
      <c r="N555" s="4">
        <v>450000</v>
      </c>
      <c r="O555" s="4">
        <v>6000000</v>
      </c>
      <c r="P555" s="5">
        <v>0.333333</v>
      </c>
      <c r="Q555" s="5">
        <v>0.866667</v>
      </c>
      <c r="R555" s="2" t="s">
        <v>2360</v>
      </c>
      <c r="S555" s="7">
        <f t="shared" si="64"/>
        <v>5200000</v>
      </c>
      <c r="T555" s="7">
        <f t="shared" si="65"/>
        <v>6000000</v>
      </c>
      <c r="U555" s="8">
        <f t="shared" si="66"/>
        <v>0.866666666666667</v>
      </c>
      <c r="V555" s="9" t="e">
        <f>IF(T555&lt;=0,"Output &lt;= 0",IF(U555&gt;#REF!,"Terlalu tinggi",IF(U555&lt;#REF!,"Terlalu rendah","Sesuai")))</f>
        <v>#REF!</v>
      </c>
      <c r="W555" s="7" t="e">
        <f>IF(T555&lt;=0,S555,IF(U555&gt;#REF!,ROUNDDOWN(T555*#REF!,0),IF(U555&lt;#REF!,ROUNDUP(T555*#REF!,0),S555)))</f>
        <v>#REF!</v>
      </c>
      <c r="X555" s="7" t="e">
        <f t="shared" si="67"/>
        <v>#REF!</v>
      </c>
      <c r="Y555" s="7" t="e">
        <f t="shared" si="68"/>
        <v>#REF!</v>
      </c>
      <c r="Z555" s="7" t="e">
        <f t="shared" si="69"/>
        <v>#REF!</v>
      </c>
      <c r="AA555" s="7" t="e">
        <f t="shared" si="70"/>
        <v>#REF!</v>
      </c>
      <c r="AB555" s="8" t="e">
        <f t="shared" si="71"/>
        <v>#REF!</v>
      </c>
      <c r="AC555" s="9" t="e">
        <f>IF(T555&lt;=0,"Output &lt;= 0, cek manual",IF(OR(Z555&lt;0,Y555&lt;0),"Biaya negatif",IF(AND(AB555&gt;=#REF!,AB555&lt;=#REF!),"OK","Di luar rentang")))</f>
        <v>#REF!</v>
      </c>
    </row>
    <row r="556" ht="99.75" spans="1:29">
      <c r="A556" s="2" t="s">
        <v>30</v>
      </c>
      <c r="B556" s="2" t="s">
        <v>372</v>
      </c>
      <c r="C556" s="3" t="s">
        <v>2361</v>
      </c>
      <c r="D556" s="3" t="s">
        <v>2362</v>
      </c>
      <c r="E556" s="3" t="s">
        <v>2363</v>
      </c>
      <c r="F556" s="4">
        <v>100000</v>
      </c>
      <c r="G556" s="4">
        <v>5000000</v>
      </c>
      <c r="H556" s="4">
        <v>100000</v>
      </c>
      <c r="I556" s="4">
        <v>5000</v>
      </c>
      <c r="J556" s="2" t="s">
        <v>2364</v>
      </c>
      <c r="K556" s="4">
        <v>11000000</v>
      </c>
      <c r="L556" s="4">
        <v>0</v>
      </c>
      <c r="M556" s="4">
        <v>5800000</v>
      </c>
      <c r="N556" s="4">
        <v>55150000</v>
      </c>
      <c r="O556" s="4">
        <v>6000000</v>
      </c>
      <c r="P556" s="5">
        <v>0.454545</v>
      </c>
      <c r="Q556" s="5">
        <v>0.966667</v>
      </c>
      <c r="R556" s="2" t="s">
        <v>2365</v>
      </c>
      <c r="S556" s="7">
        <f t="shared" si="64"/>
        <v>5800000</v>
      </c>
      <c r="T556" s="7">
        <f t="shared" si="65"/>
        <v>6000000</v>
      </c>
      <c r="U556" s="8">
        <f t="shared" si="66"/>
        <v>0.966666666666667</v>
      </c>
      <c r="V556" s="9" t="e">
        <f>IF(T556&lt;=0,"Output &lt;= 0",IF(U556&gt;#REF!,"Terlalu tinggi",IF(U556&lt;#REF!,"Terlalu rendah","Sesuai")))</f>
        <v>#REF!</v>
      </c>
      <c r="W556" s="7" t="e">
        <f>IF(T556&lt;=0,S556,IF(U556&gt;#REF!,ROUNDDOWN(T556*#REF!,0),IF(U556&lt;#REF!,ROUNDUP(T556*#REF!,0),S556)))</f>
        <v>#REF!</v>
      </c>
      <c r="X556" s="7" t="e">
        <f t="shared" si="67"/>
        <v>#REF!</v>
      </c>
      <c r="Y556" s="7" t="e">
        <f t="shared" si="68"/>
        <v>#REF!</v>
      </c>
      <c r="Z556" s="7" t="e">
        <f t="shared" si="69"/>
        <v>#REF!</v>
      </c>
      <c r="AA556" s="7" t="e">
        <f t="shared" si="70"/>
        <v>#REF!</v>
      </c>
      <c r="AB556" s="8" t="e">
        <f t="shared" si="71"/>
        <v>#REF!</v>
      </c>
      <c r="AC556" s="9" t="e">
        <f>IF(T556&lt;=0,"Output &lt;= 0, cek manual",IF(OR(Z556&lt;0,Y556&lt;0),"Biaya negatif",IF(AND(AB556&gt;=#REF!,AB556&lt;=#REF!),"OK","Di luar rentang")))</f>
        <v>#REF!</v>
      </c>
    </row>
    <row r="557" ht="128.25" spans="1:29">
      <c r="A557" s="2" t="s">
        <v>30</v>
      </c>
      <c r="B557" s="2" t="s">
        <v>372</v>
      </c>
      <c r="C557" s="3" t="s">
        <v>2366</v>
      </c>
      <c r="D557" s="3" t="s">
        <v>2362</v>
      </c>
      <c r="E557" s="3" t="s">
        <v>2367</v>
      </c>
      <c r="F557" s="4">
        <v>450000</v>
      </c>
      <c r="G557" s="4">
        <v>700000</v>
      </c>
      <c r="H557" s="4">
        <v>60000</v>
      </c>
      <c r="I557" s="4">
        <v>0</v>
      </c>
      <c r="J557" s="2" t="s">
        <v>2368</v>
      </c>
      <c r="K557" s="4">
        <v>1500000</v>
      </c>
      <c r="L557" s="4">
        <v>0</v>
      </c>
      <c r="M557" s="4">
        <v>290000</v>
      </c>
      <c r="N557" s="4">
        <v>600000</v>
      </c>
      <c r="O557" s="4">
        <v>800000</v>
      </c>
      <c r="P557" s="5">
        <v>0.466667</v>
      </c>
      <c r="Q557" s="13">
        <v>0.3625</v>
      </c>
      <c r="R557" s="2" t="s">
        <v>2369</v>
      </c>
      <c r="S557" s="7">
        <f t="shared" si="64"/>
        <v>290000</v>
      </c>
      <c r="T557" s="7">
        <f t="shared" si="65"/>
        <v>800000</v>
      </c>
      <c r="U557" s="8">
        <f t="shared" si="66"/>
        <v>0.3625</v>
      </c>
      <c r="V557" s="9" t="e">
        <f>IF(T557&lt;=0,"Output &lt;= 0",IF(U557&gt;#REF!,"Terlalu tinggi",IF(U557&lt;#REF!,"Terlalu rendah","Sesuai")))</f>
        <v>#REF!</v>
      </c>
      <c r="W557" s="7" t="e">
        <f>IF(T557&lt;=0,S557,IF(U557&gt;#REF!,ROUNDDOWN(T557*#REF!,0),IF(U557&lt;#REF!,ROUNDUP(T557*#REF!,0),S557)))</f>
        <v>#REF!</v>
      </c>
      <c r="X557" s="7" t="e">
        <f t="shared" si="67"/>
        <v>#REF!</v>
      </c>
      <c r="Y557" s="7" t="e">
        <f t="shared" si="68"/>
        <v>#REF!</v>
      </c>
      <c r="Z557" s="7" t="e">
        <f t="shared" si="69"/>
        <v>#REF!</v>
      </c>
      <c r="AA557" s="7" t="e">
        <f t="shared" si="70"/>
        <v>#REF!</v>
      </c>
      <c r="AB557" s="8" t="e">
        <f t="shared" si="71"/>
        <v>#REF!</v>
      </c>
      <c r="AC557" s="9" t="e">
        <f>IF(T557&lt;=0,"Output &lt;= 0, cek manual",IF(OR(Z557&lt;0,Y557&lt;0),"Biaya negatif",IF(AND(AB557&gt;=#REF!,AB557&lt;=#REF!),"OK","Di luar rentang")))</f>
        <v>#REF!</v>
      </c>
    </row>
    <row r="558" ht="99.75" spans="1:29">
      <c r="A558" s="2" t="s">
        <v>30</v>
      </c>
      <c r="B558" s="2" t="s">
        <v>391</v>
      </c>
      <c r="C558" s="3" t="s">
        <v>2370</v>
      </c>
      <c r="D558" s="3" t="s">
        <v>2371</v>
      </c>
      <c r="E558" s="3" t="s">
        <v>2372</v>
      </c>
      <c r="F558" s="4">
        <v>43200000</v>
      </c>
      <c r="G558" s="4">
        <v>600000</v>
      </c>
      <c r="H558" s="4">
        <v>2016000</v>
      </c>
      <c r="I558" s="4">
        <v>0</v>
      </c>
      <c r="J558" s="2" t="s">
        <v>2373</v>
      </c>
      <c r="K558" s="4">
        <v>69120000</v>
      </c>
      <c r="L558" s="4">
        <v>0</v>
      </c>
      <c r="M558" s="4">
        <v>23304000</v>
      </c>
      <c r="N558" s="4">
        <v>0</v>
      </c>
      <c r="O558" s="4">
        <v>68520000</v>
      </c>
      <c r="P558" s="5">
        <v>0.008681</v>
      </c>
      <c r="Q558" s="5">
        <v>0.340105</v>
      </c>
      <c r="R558" s="2" t="s">
        <v>2374</v>
      </c>
      <c r="S558" s="7">
        <f t="shared" si="64"/>
        <v>23304000</v>
      </c>
      <c r="T558" s="7">
        <f t="shared" si="65"/>
        <v>68520000</v>
      </c>
      <c r="U558" s="8">
        <f t="shared" si="66"/>
        <v>0.340105078809107</v>
      </c>
      <c r="V558" s="9" t="e">
        <f>IF(T558&lt;=0,"Output &lt;= 0",IF(U558&gt;#REF!,"Terlalu tinggi",IF(U558&lt;#REF!,"Terlalu rendah","Sesuai")))</f>
        <v>#REF!</v>
      </c>
      <c r="W558" s="7" t="e">
        <f>IF(T558&lt;=0,S558,IF(U558&gt;#REF!,ROUNDDOWN(T558*#REF!,0),IF(U558&lt;#REF!,ROUNDUP(T558*#REF!,0),S558)))</f>
        <v>#REF!</v>
      </c>
      <c r="X558" s="7" t="e">
        <f t="shared" si="67"/>
        <v>#REF!</v>
      </c>
      <c r="Y558" s="7" t="e">
        <f t="shared" si="68"/>
        <v>#REF!</v>
      </c>
      <c r="Z558" s="7" t="e">
        <f t="shared" si="69"/>
        <v>#REF!</v>
      </c>
      <c r="AA558" s="7" t="e">
        <f t="shared" si="70"/>
        <v>#REF!</v>
      </c>
      <c r="AB558" s="8" t="e">
        <f t="shared" si="71"/>
        <v>#REF!</v>
      </c>
      <c r="AC558" s="9" t="e">
        <f>IF(T558&lt;=0,"Output &lt;= 0, cek manual",IF(OR(Z558&lt;0,Y558&lt;0),"Biaya negatif",IF(AND(AB558&gt;=#REF!,AB558&lt;=#REF!),"OK","Di luar rentang")))</f>
        <v>#REF!</v>
      </c>
    </row>
    <row r="559" ht="99.75" spans="1:29">
      <c r="A559" s="2" t="s">
        <v>30</v>
      </c>
      <c r="B559" s="2" t="s">
        <v>391</v>
      </c>
      <c r="C559" s="3" t="s">
        <v>2375</v>
      </c>
      <c r="D559" s="3" t="s">
        <v>2376</v>
      </c>
      <c r="E559" s="3" t="s">
        <v>2377</v>
      </c>
      <c r="F559" s="4">
        <v>100000</v>
      </c>
      <c r="G559" s="4">
        <v>1280000</v>
      </c>
      <c r="H559" s="4">
        <v>0</v>
      </c>
      <c r="I559" s="4">
        <v>0</v>
      </c>
      <c r="J559" s="2" t="s">
        <v>2378</v>
      </c>
      <c r="K559" s="4">
        <v>2600000</v>
      </c>
      <c r="L559" s="4">
        <v>0</v>
      </c>
      <c r="M559" s="4">
        <v>1220000</v>
      </c>
      <c r="N559" s="4">
        <v>9200000</v>
      </c>
      <c r="O559" s="4">
        <v>1320000</v>
      </c>
      <c r="P559" s="5">
        <v>0.492308</v>
      </c>
      <c r="Q559" s="5">
        <v>0.924242</v>
      </c>
      <c r="R559" s="2" t="s">
        <v>2379</v>
      </c>
      <c r="S559" s="7">
        <f t="shared" si="64"/>
        <v>1220000</v>
      </c>
      <c r="T559" s="7">
        <f t="shared" si="65"/>
        <v>1320000</v>
      </c>
      <c r="U559" s="8">
        <f t="shared" si="66"/>
        <v>0.924242424242424</v>
      </c>
      <c r="V559" s="9" t="e">
        <f>IF(T559&lt;=0,"Output &lt;= 0",IF(U559&gt;#REF!,"Terlalu tinggi",IF(U559&lt;#REF!,"Terlalu rendah","Sesuai")))</f>
        <v>#REF!</v>
      </c>
      <c r="W559" s="7" t="e">
        <f>IF(T559&lt;=0,S559,IF(U559&gt;#REF!,ROUNDDOWN(T559*#REF!,0),IF(U559&lt;#REF!,ROUNDUP(T559*#REF!,0),S559)))</f>
        <v>#REF!</v>
      </c>
      <c r="X559" s="7" t="e">
        <f t="shared" si="67"/>
        <v>#REF!</v>
      </c>
      <c r="Y559" s="7" t="e">
        <f t="shared" si="68"/>
        <v>#REF!</v>
      </c>
      <c r="Z559" s="7" t="e">
        <f t="shared" si="69"/>
        <v>#REF!</v>
      </c>
      <c r="AA559" s="7" t="e">
        <f t="shared" si="70"/>
        <v>#REF!</v>
      </c>
      <c r="AB559" s="8" t="e">
        <f t="shared" si="71"/>
        <v>#REF!</v>
      </c>
      <c r="AC559" s="9" t="e">
        <f>IF(T559&lt;=0,"Output &lt;= 0, cek manual",IF(OR(Z559&lt;0,Y559&lt;0),"Biaya negatif",IF(AND(AB559&gt;=#REF!,AB559&lt;=#REF!),"OK","Di luar rentang")))</f>
        <v>#REF!</v>
      </c>
    </row>
    <row r="560" ht="99.75" spans="1:29">
      <c r="A560" s="2" t="s">
        <v>30</v>
      </c>
      <c r="B560" s="2" t="s">
        <v>391</v>
      </c>
      <c r="C560" s="3" t="s">
        <v>2380</v>
      </c>
      <c r="D560" s="3" t="s">
        <v>1992</v>
      </c>
      <c r="E560" s="3" t="s">
        <v>1993</v>
      </c>
      <c r="F560" s="4">
        <v>0</v>
      </c>
      <c r="G560" s="4">
        <v>13200000</v>
      </c>
      <c r="H560" s="4">
        <v>1500000</v>
      </c>
      <c r="I560" s="4">
        <v>0</v>
      </c>
      <c r="J560" s="2" t="s">
        <v>1994</v>
      </c>
      <c r="K560" s="4">
        <v>22800000</v>
      </c>
      <c r="L560" s="4">
        <v>0</v>
      </c>
      <c r="M560" s="4">
        <v>8100000</v>
      </c>
      <c r="N560" s="4">
        <v>2000000</v>
      </c>
      <c r="O560" s="4">
        <v>9600000</v>
      </c>
      <c r="P560" s="5">
        <v>0.578947</v>
      </c>
      <c r="Q560" s="6">
        <v>0.84375</v>
      </c>
      <c r="R560" s="2" t="s">
        <v>1995</v>
      </c>
      <c r="S560" s="7">
        <f t="shared" si="64"/>
        <v>8100000</v>
      </c>
      <c r="T560" s="7">
        <f t="shared" si="65"/>
        <v>9600000</v>
      </c>
      <c r="U560" s="8">
        <f t="shared" si="66"/>
        <v>0.84375</v>
      </c>
      <c r="V560" s="9" t="e">
        <f>IF(T560&lt;=0,"Output &lt;= 0",IF(U560&gt;#REF!,"Terlalu tinggi",IF(U560&lt;#REF!,"Terlalu rendah","Sesuai")))</f>
        <v>#REF!</v>
      </c>
      <c r="W560" s="7" t="e">
        <f>IF(T560&lt;=0,S560,IF(U560&gt;#REF!,ROUNDDOWN(T560*#REF!,0),IF(U560&lt;#REF!,ROUNDUP(T560*#REF!,0),S560)))</f>
        <v>#REF!</v>
      </c>
      <c r="X560" s="7" t="e">
        <f t="shared" si="67"/>
        <v>#REF!</v>
      </c>
      <c r="Y560" s="7" t="e">
        <f t="shared" si="68"/>
        <v>#REF!</v>
      </c>
      <c r="Z560" s="7" t="e">
        <f t="shared" si="69"/>
        <v>#REF!</v>
      </c>
      <c r="AA560" s="7" t="e">
        <f t="shared" si="70"/>
        <v>#REF!</v>
      </c>
      <c r="AB560" s="8" t="e">
        <f t="shared" si="71"/>
        <v>#REF!</v>
      </c>
      <c r="AC560" s="9" t="e">
        <f>IF(T560&lt;=0,"Output &lt;= 0, cek manual",IF(OR(Z560&lt;0,Y560&lt;0),"Biaya negatif",IF(AND(AB560&gt;=#REF!,AB560&lt;=#REF!),"OK","Di luar rentang")))</f>
        <v>#REF!</v>
      </c>
    </row>
    <row r="561" ht="99.75" spans="1:29">
      <c r="A561" s="2" t="s">
        <v>30</v>
      </c>
      <c r="B561" s="2" t="s">
        <v>391</v>
      </c>
      <c r="C561" s="3" t="s">
        <v>2381</v>
      </c>
      <c r="D561" s="3" t="s">
        <v>1686</v>
      </c>
      <c r="E561" s="3" t="s">
        <v>425</v>
      </c>
      <c r="F561" s="4">
        <v>15360000</v>
      </c>
      <c r="G561" s="4">
        <v>0</v>
      </c>
      <c r="H561" s="4">
        <v>960000</v>
      </c>
      <c r="I561" s="4">
        <v>0</v>
      </c>
      <c r="J561" s="2" t="s">
        <v>2382</v>
      </c>
      <c r="K561" s="4">
        <v>19200000</v>
      </c>
      <c r="L561" s="4">
        <v>0</v>
      </c>
      <c r="M561" s="4">
        <v>2880000</v>
      </c>
      <c r="N561" s="4">
        <v>12399999</v>
      </c>
      <c r="O561" s="4">
        <v>19200000</v>
      </c>
      <c r="P561" s="4">
        <v>0</v>
      </c>
      <c r="Q561" s="11">
        <v>0.15</v>
      </c>
      <c r="R561" s="2" t="s">
        <v>2383</v>
      </c>
      <c r="S561" s="7">
        <f t="shared" si="64"/>
        <v>2880000</v>
      </c>
      <c r="T561" s="7">
        <f t="shared" si="65"/>
        <v>19200000</v>
      </c>
      <c r="U561" s="8">
        <f t="shared" si="66"/>
        <v>0.15</v>
      </c>
      <c r="V561" s="9" t="e">
        <f>IF(T561&lt;=0,"Output &lt;= 0",IF(U561&gt;#REF!,"Terlalu tinggi",IF(U561&lt;#REF!,"Terlalu rendah","Sesuai")))</f>
        <v>#REF!</v>
      </c>
      <c r="W561" s="7" t="e">
        <f>IF(T561&lt;=0,S561,IF(U561&gt;#REF!,ROUNDDOWN(T561*#REF!,0),IF(U561&lt;#REF!,ROUNDUP(T561*#REF!,0),S561)))</f>
        <v>#REF!</v>
      </c>
      <c r="X561" s="7" t="e">
        <f t="shared" si="67"/>
        <v>#REF!</v>
      </c>
      <c r="Y561" s="7" t="e">
        <f t="shared" si="68"/>
        <v>#REF!</v>
      </c>
      <c r="Z561" s="7" t="e">
        <f t="shared" si="69"/>
        <v>#REF!</v>
      </c>
      <c r="AA561" s="7" t="e">
        <f t="shared" si="70"/>
        <v>#REF!</v>
      </c>
      <c r="AB561" s="8" t="e">
        <f t="shared" si="71"/>
        <v>#REF!</v>
      </c>
      <c r="AC561" s="9" t="e">
        <f>IF(T561&lt;=0,"Output &lt;= 0, cek manual",IF(OR(Z561&lt;0,Y561&lt;0),"Biaya negatif",IF(AND(AB561&gt;=#REF!,AB561&lt;=#REF!),"OK","Di luar rentang")))</f>
        <v>#REF!</v>
      </c>
    </row>
    <row r="562" ht="85.5" spans="1:29">
      <c r="A562" s="2" t="s">
        <v>30</v>
      </c>
      <c r="B562" s="2" t="s">
        <v>391</v>
      </c>
      <c r="C562" s="3" t="s">
        <v>2384</v>
      </c>
      <c r="D562" s="3" t="s">
        <v>2385</v>
      </c>
      <c r="E562" s="3" t="s">
        <v>2386</v>
      </c>
      <c r="F562" s="4">
        <v>500000</v>
      </c>
      <c r="G562" s="4">
        <v>500000</v>
      </c>
      <c r="H562" s="4">
        <v>0</v>
      </c>
      <c r="I562" s="4">
        <v>0</v>
      </c>
      <c r="J562" s="2" t="s">
        <v>84</v>
      </c>
      <c r="K562" s="4">
        <v>1500000</v>
      </c>
      <c r="L562" s="4">
        <v>0</v>
      </c>
      <c r="M562" s="4">
        <v>500000</v>
      </c>
      <c r="N562" s="4">
        <v>0</v>
      </c>
      <c r="O562" s="4">
        <v>1000000</v>
      </c>
      <c r="P562" s="5">
        <v>0.333333</v>
      </c>
      <c r="Q562" s="12">
        <v>0.5</v>
      </c>
      <c r="R562" s="2" t="s">
        <v>2387</v>
      </c>
      <c r="S562" s="7">
        <f t="shared" si="64"/>
        <v>500000</v>
      </c>
      <c r="T562" s="7">
        <f t="shared" si="65"/>
        <v>1000000</v>
      </c>
      <c r="U562" s="8">
        <f t="shared" si="66"/>
        <v>0.5</v>
      </c>
      <c r="V562" s="9" t="e">
        <f>IF(T562&lt;=0,"Output &lt;= 0",IF(U562&gt;#REF!,"Terlalu tinggi",IF(U562&lt;#REF!,"Terlalu rendah","Sesuai")))</f>
        <v>#REF!</v>
      </c>
      <c r="W562" s="7" t="e">
        <f>IF(T562&lt;=0,S562,IF(U562&gt;#REF!,ROUNDDOWN(T562*#REF!,0),IF(U562&lt;#REF!,ROUNDUP(T562*#REF!,0),S562)))</f>
        <v>#REF!</v>
      </c>
      <c r="X562" s="7" t="e">
        <f t="shared" si="67"/>
        <v>#REF!</v>
      </c>
      <c r="Y562" s="7" t="e">
        <f t="shared" si="68"/>
        <v>#REF!</v>
      </c>
      <c r="Z562" s="7" t="e">
        <f t="shared" si="69"/>
        <v>#REF!</v>
      </c>
      <c r="AA562" s="7" t="e">
        <f t="shared" si="70"/>
        <v>#REF!</v>
      </c>
      <c r="AB562" s="8" t="e">
        <f t="shared" si="71"/>
        <v>#REF!</v>
      </c>
      <c r="AC562" s="9" t="e">
        <f>IF(T562&lt;=0,"Output &lt;= 0, cek manual",IF(OR(Z562&lt;0,Y562&lt;0),"Biaya negatif",IF(AND(AB562&gt;=#REF!,AB562&lt;=#REF!),"OK","Di luar rentang")))</f>
        <v>#REF!</v>
      </c>
    </row>
    <row r="563" ht="99.75" spans="1:29">
      <c r="A563" s="2" t="s">
        <v>30</v>
      </c>
      <c r="B563" s="2" t="s">
        <v>391</v>
      </c>
      <c r="C563" s="3" t="s">
        <v>2388</v>
      </c>
      <c r="D563" s="3" t="s">
        <v>1669</v>
      </c>
      <c r="E563" s="3" t="s">
        <v>2389</v>
      </c>
      <c r="F563" s="4">
        <v>100000</v>
      </c>
      <c r="G563" s="4">
        <v>200000</v>
      </c>
      <c r="H563" s="4">
        <v>35000</v>
      </c>
      <c r="I563" s="4">
        <v>0</v>
      </c>
      <c r="J563" s="2" t="s">
        <v>2390</v>
      </c>
      <c r="K563" s="4">
        <v>2500000</v>
      </c>
      <c r="L563" s="4">
        <v>0</v>
      </c>
      <c r="M563" s="4">
        <v>2165000</v>
      </c>
      <c r="N563" s="4">
        <v>100000</v>
      </c>
      <c r="O563" s="4">
        <v>2300000</v>
      </c>
      <c r="P563" s="11">
        <v>0.08</v>
      </c>
      <c r="Q563" s="5">
        <v>0.941304</v>
      </c>
      <c r="R563" s="2" t="s">
        <v>2391</v>
      </c>
      <c r="S563" s="7">
        <f t="shared" si="64"/>
        <v>2165000</v>
      </c>
      <c r="T563" s="7">
        <f t="shared" si="65"/>
        <v>2300000</v>
      </c>
      <c r="U563" s="8">
        <f t="shared" si="66"/>
        <v>0.941304347826087</v>
      </c>
      <c r="V563" s="9" t="e">
        <f>IF(T563&lt;=0,"Output &lt;= 0",IF(U563&gt;#REF!,"Terlalu tinggi",IF(U563&lt;#REF!,"Terlalu rendah","Sesuai")))</f>
        <v>#REF!</v>
      </c>
      <c r="W563" s="7" t="e">
        <f>IF(T563&lt;=0,S563,IF(U563&gt;#REF!,ROUNDDOWN(T563*#REF!,0),IF(U563&lt;#REF!,ROUNDUP(T563*#REF!,0),S563)))</f>
        <v>#REF!</v>
      </c>
      <c r="X563" s="7" t="e">
        <f t="shared" si="67"/>
        <v>#REF!</v>
      </c>
      <c r="Y563" s="7" t="e">
        <f t="shared" si="68"/>
        <v>#REF!</v>
      </c>
      <c r="Z563" s="7" t="e">
        <f t="shared" si="69"/>
        <v>#REF!</v>
      </c>
      <c r="AA563" s="7" t="e">
        <f t="shared" si="70"/>
        <v>#REF!</v>
      </c>
      <c r="AB563" s="8" t="e">
        <f t="shared" si="71"/>
        <v>#REF!</v>
      </c>
      <c r="AC563" s="9" t="e">
        <f>IF(T563&lt;=0,"Output &lt;= 0, cek manual",IF(OR(Z563&lt;0,Y563&lt;0),"Biaya negatif",IF(AND(AB563&gt;=#REF!,AB563&lt;=#REF!),"OK","Di luar rentang")))</f>
        <v>#REF!</v>
      </c>
    </row>
    <row r="564" ht="85.5" spans="1:29">
      <c r="A564" s="2" t="s">
        <v>30</v>
      </c>
      <c r="B564" s="2" t="s">
        <v>391</v>
      </c>
      <c r="C564" s="3" t="s">
        <v>2392</v>
      </c>
      <c r="D564" s="3" t="s">
        <v>1700</v>
      </c>
      <c r="E564" s="3" t="s">
        <v>2393</v>
      </c>
      <c r="F564" s="4">
        <v>0</v>
      </c>
      <c r="G564" s="4">
        <v>28800000</v>
      </c>
      <c r="H564" s="4">
        <v>1000000</v>
      </c>
      <c r="I564" s="4">
        <v>0</v>
      </c>
      <c r="J564" s="2" t="s">
        <v>2394</v>
      </c>
      <c r="K564" s="4">
        <v>39500000</v>
      </c>
      <c r="L564" s="4">
        <v>0</v>
      </c>
      <c r="M564" s="4">
        <v>9700000</v>
      </c>
      <c r="N564" s="4">
        <v>500000</v>
      </c>
      <c r="O564" s="4">
        <v>10700000</v>
      </c>
      <c r="P564" s="5">
        <v>0.729114</v>
      </c>
      <c r="Q564" s="5">
        <v>0.906542</v>
      </c>
      <c r="R564" s="2" t="s">
        <v>2395</v>
      </c>
      <c r="S564" s="7">
        <f t="shared" si="64"/>
        <v>9700000</v>
      </c>
      <c r="T564" s="7">
        <f t="shared" si="65"/>
        <v>10700000</v>
      </c>
      <c r="U564" s="8">
        <f t="shared" si="66"/>
        <v>0.906542056074766</v>
      </c>
      <c r="V564" s="9" t="e">
        <f>IF(T564&lt;=0,"Output &lt;= 0",IF(U564&gt;#REF!,"Terlalu tinggi",IF(U564&lt;#REF!,"Terlalu rendah","Sesuai")))</f>
        <v>#REF!</v>
      </c>
      <c r="W564" s="7" t="e">
        <f>IF(T564&lt;=0,S564,IF(U564&gt;#REF!,ROUNDDOWN(T564*#REF!,0),IF(U564&lt;#REF!,ROUNDUP(T564*#REF!,0),S564)))</f>
        <v>#REF!</v>
      </c>
      <c r="X564" s="7" t="e">
        <f t="shared" si="67"/>
        <v>#REF!</v>
      </c>
      <c r="Y564" s="7" t="e">
        <f t="shared" si="68"/>
        <v>#REF!</v>
      </c>
      <c r="Z564" s="7" t="e">
        <f t="shared" si="69"/>
        <v>#REF!</v>
      </c>
      <c r="AA564" s="7" t="e">
        <f t="shared" si="70"/>
        <v>#REF!</v>
      </c>
      <c r="AB564" s="8" t="e">
        <f t="shared" si="71"/>
        <v>#REF!</v>
      </c>
      <c r="AC564" s="9" t="e">
        <f>IF(T564&lt;=0,"Output &lt;= 0, cek manual",IF(OR(Z564&lt;0,Y564&lt;0),"Biaya negatif",IF(AND(AB564&gt;=#REF!,AB564&lt;=#REF!),"OK","Di luar rentang")))</f>
        <v>#REF!</v>
      </c>
    </row>
    <row r="565" ht="57" spans="1:29">
      <c r="A565" s="2" t="s">
        <v>30</v>
      </c>
      <c r="B565" s="2" t="s">
        <v>391</v>
      </c>
      <c r="C565" s="3" t="s">
        <v>2396</v>
      </c>
      <c r="D565" s="3" t="s">
        <v>1669</v>
      </c>
      <c r="E565" s="3" t="s">
        <v>2397</v>
      </c>
      <c r="F565" s="4">
        <v>500000</v>
      </c>
      <c r="G565" s="4">
        <v>0</v>
      </c>
      <c r="H565" s="4">
        <v>250000</v>
      </c>
      <c r="I565" s="4">
        <v>50000</v>
      </c>
      <c r="J565" s="2" t="s">
        <v>1339</v>
      </c>
      <c r="K565" s="4">
        <v>800000</v>
      </c>
      <c r="L565" s="4">
        <v>0</v>
      </c>
      <c r="M565" s="4">
        <v>50000</v>
      </c>
      <c r="N565" s="4">
        <v>350000</v>
      </c>
      <c r="O565" s="4">
        <v>800000</v>
      </c>
      <c r="P565" s="4">
        <v>0</v>
      </c>
      <c r="Q565" s="13">
        <v>0.0625</v>
      </c>
      <c r="R565" s="2" t="s">
        <v>2398</v>
      </c>
      <c r="S565" s="7">
        <f t="shared" si="64"/>
        <v>50000</v>
      </c>
      <c r="T565" s="7">
        <f t="shared" si="65"/>
        <v>800000</v>
      </c>
      <c r="U565" s="8">
        <f t="shared" si="66"/>
        <v>0.0625</v>
      </c>
      <c r="V565" s="9" t="e">
        <f>IF(T565&lt;=0,"Output &lt;= 0",IF(U565&gt;#REF!,"Terlalu tinggi",IF(U565&lt;#REF!,"Terlalu rendah","Sesuai")))</f>
        <v>#REF!</v>
      </c>
      <c r="W565" s="7" t="e">
        <f>IF(T565&lt;=0,S565,IF(U565&gt;#REF!,ROUNDDOWN(T565*#REF!,0),IF(U565&lt;#REF!,ROUNDUP(T565*#REF!,0),S565)))</f>
        <v>#REF!</v>
      </c>
      <c r="X565" s="7" t="e">
        <f t="shared" si="67"/>
        <v>#REF!</v>
      </c>
      <c r="Y565" s="7" t="e">
        <f t="shared" si="68"/>
        <v>#REF!</v>
      </c>
      <c r="Z565" s="7" t="e">
        <f t="shared" si="69"/>
        <v>#REF!</v>
      </c>
      <c r="AA565" s="7" t="e">
        <f t="shared" si="70"/>
        <v>#REF!</v>
      </c>
      <c r="AB565" s="8" t="e">
        <f t="shared" si="71"/>
        <v>#REF!</v>
      </c>
      <c r="AC565" s="9" t="e">
        <f>IF(T565&lt;=0,"Output &lt;= 0, cek manual",IF(OR(Z565&lt;0,Y565&lt;0),"Biaya negatif",IF(AND(AB565&gt;=#REF!,AB565&lt;=#REF!),"OK","Di luar rentang")))</f>
        <v>#REF!</v>
      </c>
    </row>
    <row r="566" ht="85.5" spans="1:29">
      <c r="A566" s="2" t="s">
        <v>30</v>
      </c>
      <c r="B566" s="2" t="s">
        <v>391</v>
      </c>
      <c r="C566" s="3" t="s">
        <v>2399</v>
      </c>
      <c r="D566" s="3" t="s">
        <v>2400</v>
      </c>
      <c r="E566" s="3" t="s">
        <v>2401</v>
      </c>
      <c r="F566" s="4">
        <v>1200000</v>
      </c>
      <c r="G566" s="4">
        <v>2000000</v>
      </c>
      <c r="H566" s="4">
        <v>200000</v>
      </c>
      <c r="I566" s="4">
        <v>10000</v>
      </c>
      <c r="J566" s="2" t="s">
        <v>2402</v>
      </c>
      <c r="K566" s="4">
        <v>4000000</v>
      </c>
      <c r="L566" s="4">
        <v>1000000</v>
      </c>
      <c r="M566" s="4">
        <v>600000</v>
      </c>
      <c r="N566" s="4">
        <v>2200000</v>
      </c>
      <c r="O566" s="4">
        <v>2000000</v>
      </c>
      <c r="P566" s="12">
        <v>0.5</v>
      </c>
      <c r="Q566" s="12">
        <v>0.3</v>
      </c>
      <c r="R566" s="2" t="s">
        <v>2403</v>
      </c>
      <c r="S566" s="7">
        <f t="shared" si="64"/>
        <v>600000</v>
      </c>
      <c r="T566" s="7">
        <f t="shared" si="65"/>
        <v>2000000</v>
      </c>
      <c r="U566" s="8">
        <f t="shared" si="66"/>
        <v>0.3</v>
      </c>
      <c r="V566" s="9" t="e">
        <f>IF(T566&lt;=0,"Output &lt;= 0",IF(U566&gt;#REF!,"Terlalu tinggi",IF(U566&lt;#REF!,"Terlalu rendah","Sesuai")))</f>
        <v>#REF!</v>
      </c>
      <c r="W566" s="7" t="e">
        <f>IF(T566&lt;=0,S566,IF(U566&gt;#REF!,ROUNDDOWN(T566*#REF!,0),IF(U566&lt;#REF!,ROUNDUP(T566*#REF!,0),S566)))</f>
        <v>#REF!</v>
      </c>
      <c r="X566" s="7" t="e">
        <f t="shared" si="67"/>
        <v>#REF!</v>
      </c>
      <c r="Y566" s="7" t="e">
        <f t="shared" si="68"/>
        <v>#REF!</v>
      </c>
      <c r="Z566" s="7" t="e">
        <f t="shared" si="69"/>
        <v>#REF!</v>
      </c>
      <c r="AA566" s="7" t="e">
        <f t="shared" si="70"/>
        <v>#REF!</v>
      </c>
      <c r="AB566" s="8" t="e">
        <f t="shared" si="71"/>
        <v>#REF!</v>
      </c>
      <c r="AC566" s="9" t="e">
        <f>IF(T566&lt;=0,"Output &lt;= 0, cek manual",IF(OR(Z566&lt;0,Y566&lt;0),"Biaya negatif",IF(AND(AB566&gt;=#REF!,AB566&lt;=#REF!),"OK","Di luar rentang")))</f>
        <v>#REF!</v>
      </c>
    </row>
    <row r="567" ht="99.75" spans="1:29">
      <c r="A567" s="2" t="s">
        <v>30</v>
      </c>
      <c r="B567" s="2" t="s">
        <v>391</v>
      </c>
      <c r="C567" s="3" t="s">
        <v>2404</v>
      </c>
      <c r="D567" s="3" t="s">
        <v>2134</v>
      </c>
      <c r="E567" s="3" t="s">
        <v>2135</v>
      </c>
      <c r="F567" s="4">
        <v>150000</v>
      </c>
      <c r="G567" s="4">
        <v>560000</v>
      </c>
      <c r="H567" s="4">
        <v>350000</v>
      </c>
      <c r="I567" s="4">
        <v>0</v>
      </c>
      <c r="J567" s="2" t="s">
        <v>2136</v>
      </c>
      <c r="K567" s="4">
        <v>3400000</v>
      </c>
      <c r="L567" s="4">
        <v>0</v>
      </c>
      <c r="M567" s="4">
        <v>2340000</v>
      </c>
      <c r="N567" s="4">
        <v>200000</v>
      </c>
      <c r="O567" s="4">
        <v>2840000</v>
      </c>
      <c r="P567" s="5">
        <v>0.164706</v>
      </c>
      <c r="Q567" s="5">
        <v>0.823944</v>
      </c>
      <c r="R567" s="2" t="s">
        <v>2137</v>
      </c>
      <c r="S567" s="7">
        <f t="shared" si="64"/>
        <v>2340000</v>
      </c>
      <c r="T567" s="7">
        <f t="shared" si="65"/>
        <v>2840000</v>
      </c>
      <c r="U567" s="8">
        <f t="shared" si="66"/>
        <v>0.823943661971831</v>
      </c>
      <c r="V567" s="9" t="e">
        <f>IF(T567&lt;=0,"Output &lt;= 0",IF(U567&gt;#REF!,"Terlalu tinggi",IF(U567&lt;#REF!,"Terlalu rendah","Sesuai")))</f>
        <v>#REF!</v>
      </c>
      <c r="W567" s="7" t="e">
        <f>IF(T567&lt;=0,S567,IF(U567&gt;#REF!,ROUNDDOWN(T567*#REF!,0),IF(U567&lt;#REF!,ROUNDUP(T567*#REF!,0),S567)))</f>
        <v>#REF!</v>
      </c>
      <c r="X567" s="7" t="e">
        <f t="shared" si="67"/>
        <v>#REF!</v>
      </c>
      <c r="Y567" s="7" t="e">
        <f t="shared" si="68"/>
        <v>#REF!</v>
      </c>
      <c r="Z567" s="7" t="e">
        <f t="shared" si="69"/>
        <v>#REF!</v>
      </c>
      <c r="AA567" s="7" t="e">
        <f t="shared" si="70"/>
        <v>#REF!</v>
      </c>
      <c r="AB567" s="8" t="e">
        <f t="shared" si="71"/>
        <v>#REF!</v>
      </c>
      <c r="AC567" s="9" t="e">
        <f>IF(T567&lt;=0,"Output &lt;= 0, cek manual",IF(OR(Z567&lt;0,Y567&lt;0),"Biaya negatif",IF(AND(AB567&gt;=#REF!,AB567&lt;=#REF!),"OK","Di luar rentang")))</f>
        <v>#REF!</v>
      </c>
    </row>
    <row r="568" ht="71.25" spans="1:29">
      <c r="A568" s="2" t="s">
        <v>30</v>
      </c>
      <c r="B568" s="2" t="s">
        <v>391</v>
      </c>
      <c r="C568" s="3" t="s">
        <v>2405</v>
      </c>
      <c r="D568" s="3" t="s">
        <v>403</v>
      </c>
      <c r="E568" s="3" t="s">
        <v>2406</v>
      </c>
      <c r="F568" s="4">
        <v>50000</v>
      </c>
      <c r="G568" s="4">
        <v>12000000</v>
      </c>
      <c r="H568" s="4">
        <v>0</v>
      </c>
      <c r="I568" s="4">
        <v>0</v>
      </c>
      <c r="J568" s="2" t="s">
        <v>2407</v>
      </c>
      <c r="K568" s="4">
        <v>21650000</v>
      </c>
      <c r="L568" s="4">
        <v>0</v>
      </c>
      <c r="M568" s="4">
        <v>9600000</v>
      </c>
      <c r="N568" s="4">
        <v>5000000</v>
      </c>
      <c r="O568" s="4">
        <v>9650000</v>
      </c>
      <c r="P568" s="5">
        <v>0.554273</v>
      </c>
      <c r="Q568" s="5">
        <v>0.994819</v>
      </c>
      <c r="R568" s="2" t="s">
        <v>2408</v>
      </c>
      <c r="S568" s="7">
        <f t="shared" si="64"/>
        <v>9600000</v>
      </c>
      <c r="T568" s="7">
        <f t="shared" si="65"/>
        <v>9650000</v>
      </c>
      <c r="U568" s="8">
        <f t="shared" si="66"/>
        <v>0.994818652849741</v>
      </c>
      <c r="V568" s="9" t="e">
        <f>IF(T568&lt;=0,"Output &lt;= 0",IF(U568&gt;#REF!,"Terlalu tinggi",IF(U568&lt;#REF!,"Terlalu rendah","Sesuai")))</f>
        <v>#REF!</v>
      </c>
      <c r="W568" s="7" t="e">
        <f>IF(T568&lt;=0,S568,IF(U568&gt;#REF!,ROUNDDOWN(T568*#REF!,0),IF(U568&lt;#REF!,ROUNDUP(T568*#REF!,0),S568)))</f>
        <v>#REF!</v>
      </c>
      <c r="X568" s="7" t="e">
        <f t="shared" si="67"/>
        <v>#REF!</v>
      </c>
      <c r="Y568" s="7" t="e">
        <f t="shared" si="68"/>
        <v>#REF!</v>
      </c>
      <c r="Z568" s="7" t="e">
        <f t="shared" si="69"/>
        <v>#REF!</v>
      </c>
      <c r="AA568" s="7" t="e">
        <f t="shared" si="70"/>
        <v>#REF!</v>
      </c>
      <c r="AB568" s="8" t="e">
        <f t="shared" si="71"/>
        <v>#REF!</v>
      </c>
      <c r="AC568" s="9" t="e">
        <f>IF(T568&lt;=0,"Output &lt;= 0, cek manual",IF(OR(Z568&lt;0,Y568&lt;0),"Biaya negatif",IF(AND(AB568&gt;=#REF!,AB568&lt;=#REF!),"OK","Di luar rentang")))</f>
        <v>#REF!</v>
      </c>
    </row>
    <row r="569" ht="128.25" spans="1:29">
      <c r="A569" s="2" t="s">
        <v>30</v>
      </c>
      <c r="B569" s="2" t="s">
        <v>391</v>
      </c>
      <c r="C569" s="3" t="s">
        <v>2409</v>
      </c>
      <c r="D569" s="3" t="s">
        <v>403</v>
      </c>
      <c r="E569" s="3" t="s">
        <v>2410</v>
      </c>
      <c r="F569" s="4">
        <v>200000</v>
      </c>
      <c r="G569" s="4">
        <v>12000000</v>
      </c>
      <c r="H569" s="4">
        <v>200000</v>
      </c>
      <c r="I569" s="4">
        <v>5000</v>
      </c>
      <c r="J569" s="2" t="s">
        <v>2411</v>
      </c>
      <c r="K569" s="4">
        <v>16500000</v>
      </c>
      <c r="L569" s="4">
        <v>0</v>
      </c>
      <c r="M569" s="4">
        <v>4100000</v>
      </c>
      <c r="N569" s="4">
        <v>10100000</v>
      </c>
      <c r="O569" s="4">
        <v>4500000</v>
      </c>
      <c r="P569" s="5">
        <v>0.727273</v>
      </c>
      <c r="Q569" s="5">
        <v>0.911111</v>
      </c>
      <c r="R569" s="2" t="s">
        <v>2412</v>
      </c>
      <c r="S569" s="7">
        <f t="shared" si="64"/>
        <v>4100000</v>
      </c>
      <c r="T569" s="7">
        <f t="shared" si="65"/>
        <v>4500000</v>
      </c>
      <c r="U569" s="8">
        <f t="shared" si="66"/>
        <v>0.911111111111111</v>
      </c>
      <c r="V569" s="9" t="e">
        <f>IF(T569&lt;=0,"Output &lt;= 0",IF(U569&gt;#REF!,"Terlalu tinggi",IF(U569&lt;#REF!,"Terlalu rendah","Sesuai")))</f>
        <v>#REF!</v>
      </c>
      <c r="W569" s="7" t="e">
        <f>IF(T569&lt;=0,S569,IF(U569&gt;#REF!,ROUNDDOWN(T569*#REF!,0),IF(U569&lt;#REF!,ROUNDUP(T569*#REF!,0),S569)))</f>
        <v>#REF!</v>
      </c>
      <c r="X569" s="7" t="e">
        <f t="shared" si="67"/>
        <v>#REF!</v>
      </c>
      <c r="Y569" s="7" t="e">
        <f t="shared" si="68"/>
        <v>#REF!</v>
      </c>
      <c r="Z569" s="7" t="e">
        <f t="shared" si="69"/>
        <v>#REF!</v>
      </c>
      <c r="AA569" s="7" t="e">
        <f t="shared" si="70"/>
        <v>#REF!</v>
      </c>
      <c r="AB569" s="8" t="e">
        <f t="shared" si="71"/>
        <v>#REF!</v>
      </c>
      <c r="AC569" s="9" t="e">
        <f>IF(T569&lt;=0,"Output &lt;= 0, cek manual",IF(OR(Z569&lt;0,Y569&lt;0),"Biaya negatif",IF(AND(AB569&gt;=#REF!,AB569&lt;=#REF!),"OK","Di luar rentang")))</f>
        <v>#REF!</v>
      </c>
    </row>
    <row r="570" ht="71.25" spans="1:29">
      <c r="A570" s="2" t="s">
        <v>30</v>
      </c>
      <c r="B570" s="2" t="s">
        <v>391</v>
      </c>
      <c r="C570" s="3" t="s">
        <v>2413</v>
      </c>
      <c r="D570" s="3" t="s">
        <v>403</v>
      </c>
      <c r="E570" s="3" t="s">
        <v>407</v>
      </c>
      <c r="F570" s="4">
        <v>400000</v>
      </c>
      <c r="G570" s="4">
        <v>0</v>
      </c>
      <c r="H570" s="4">
        <v>0</v>
      </c>
      <c r="I570" s="4">
        <v>100000</v>
      </c>
      <c r="J570" s="2" t="s">
        <v>208</v>
      </c>
      <c r="K570" s="4">
        <v>700000</v>
      </c>
      <c r="L570" s="4">
        <v>0</v>
      </c>
      <c r="M570" s="4">
        <v>300000</v>
      </c>
      <c r="N570" s="4">
        <v>300000</v>
      </c>
      <c r="O570" s="4">
        <v>700000</v>
      </c>
      <c r="P570" s="4">
        <v>0</v>
      </c>
      <c r="Q570" s="5">
        <v>0.428571</v>
      </c>
      <c r="R570" s="2" t="s">
        <v>2414</v>
      </c>
      <c r="S570" s="7">
        <f t="shared" si="64"/>
        <v>300000</v>
      </c>
      <c r="T570" s="7">
        <f t="shared" si="65"/>
        <v>700000</v>
      </c>
      <c r="U570" s="8">
        <f t="shared" si="66"/>
        <v>0.428571428571429</v>
      </c>
      <c r="V570" s="9" t="e">
        <f>IF(T570&lt;=0,"Output &lt;= 0",IF(U570&gt;#REF!,"Terlalu tinggi",IF(U570&lt;#REF!,"Terlalu rendah","Sesuai")))</f>
        <v>#REF!</v>
      </c>
      <c r="W570" s="7" t="e">
        <f>IF(T570&lt;=0,S570,IF(U570&gt;#REF!,ROUNDDOWN(T570*#REF!,0),IF(U570&lt;#REF!,ROUNDUP(T570*#REF!,0),S570)))</f>
        <v>#REF!</v>
      </c>
      <c r="X570" s="7" t="e">
        <f t="shared" si="67"/>
        <v>#REF!</v>
      </c>
      <c r="Y570" s="7" t="e">
        <f t="shared" si="68"/>
        <v>#REF!</v>
      </c>
      <c r="Z570" s="7" t="e">
        <f t="shared" si="69"/>
        <v>#REF!</v>
      </c>
      <c r="AA570" s="7" t="e">
        <f t="shared" si="70"/>
        <v>#REF!</v>
      </c>
      <c r="AB570" s="8" t="e">
        <f t="shared" si="71"/>
        <v>#REF!</v>
      </c>
      <c r="AC570" s="9" t="e">
        <f>IF(T570&lt;=0,"Output &lt;= 0, cek manual",IF(OR(Z570&lt;0,Y570&lt;0),"Biaya negatif",IF(AND(AB570&gt;=#REF!,AB570&lt;=#REF!),"OK","Di luar rentang")))</f>
        <v>#REF!</v>
      </c>
    </row>
    <row r="571" ht="71.25" spans="1:29">
      <c r="A571" s="2" t="s">
        <v>30</v>
      </c>
      <c r="B571" s="2" t="s">
        <v>455</v>
      </c>
      <c r="C571" s="3" t="s">
        <v>2415</v>
      </c>
      <c r="D571" s="3" t="s">
        <v>2416</v>
      </c>
      <c r="E571" s="3" t="s">
        <v>426</v>
      </c>
      <c r="F571" s="4">
        <v>1200000</v>
      </c>
      <c r="G571" s="4">
        <v>4200000</v>
      </c>
      <c r="H571" s="4">
        <v>1500000</v>
      </c>
      <c r="I571" s="4">
        <v>580000</v>
      </c>
      <c r="J571" s="2" t="s">
        <v>2417</v>
      </c>
      <c r="K571" s="4">
        <v>9500000</v>
      </c>
      <c r="L571" s="4">
        <v>0</v>
      </c>
      <c r="M571" s="4">
        <v>2600000</v>
      </c>
      <c r="N571" s="4">
        <v>3000000</v>
      </c>
      <c r="O571" s="4">
        <v>5300000</v>
      </c>
      <c r="P571" s="5">
        <v>0.442105</v>
      </c>
      <c r="Q571" s="5">
        <v>0.490566</v>
      </c>
      <c r="R571" s="2" t="s">
        <v>2418</v>
      </c>
      <c r="S571" s="7">
        <f t="shared" si="64"/>
        <v>2600000</v>
      </c>
      <c r="T571" s="7">
        <f t="shared" si="65"/>
        <v>5300000</v>
      </c>
      <c r="U571" s="8">
        <f t="shared" si="66"/>
        <v>0.490566037735849</v>
      </c>
      <c r="V571" s="9" t="e">
        <f>IF(T571&lt;=0,"Output &lt;= 0",IF(U571&gt;#REF!,"Terlalu tinggi",IF(U571&lt;#REF!,"Terlalu rendah","Sesuai")))</f>
        <v>#REF!</v>
      </c>
      <c r="W571" s="7" t="e">
        <f>IF(T571&lt;=0,S571,IF(U571&gt;#REF!,ROUNDDOWN(T571*#REF!,0),IF(U571&lt;#REF!,ROUNDUP(T571*#REF!,0),S571)))</f>
        <v>#REF!</v>
      </c>
      <c r="X571" s="7" t="e">
        <f t="shared" si="67"/>
        <v>#REF!</v>
      </c>
      <c r="Y571" s="7" t="e">
        <f t="shared" si="68"/>
        <v>#REF!</v>
      </c>
      <c r="Z571" s="7" t="e">
        <f t="shared" si="69"/>
        <v>#REF!</v>
      </c>
      <c r="AA571" s="7" t="e">
        <f t="shared" si="70"/>
        <v>#REF!</v>
      </c>
      <c r="AB571" s="8" t="e">
        <f t="shared" si="71"/>
        <v>#REF!</v>
      </c>
      <c r="AC571" s="9" t="e">
        <f>IF(T571&lt;=0,"Output &lt;= 0, cek manual",IF(OR(Z571&lt;0,Y571&lt;0),"Biaya negatif",IF(AND(AB571&gt;=#REF!,AB571&lt;=#REF!),"OK","Di luar rentang")))</f>
        <v>#REF!</v>
      </c>
    </row>
    <row r="572" ht="114" spans="1:29">
      <c r="A572" s="2" t="s">
        <v>30</v>
      </c>
      <c r="B572" s="2" t="s">
        <v>1139</v>
      </c>
      <c r="C572" s="3" t="s">
        <v>2419</v>
      </c>
      <c r="D572" s="3" t="s">
        <v>2420</v>
      </c>
      <c r="E572" s="3" t="s">
        <v>2421</v>
      </c>
      <c r="F572" s="4">
        <v>150000</v>
      </c>
      <c r="G572" s="4">
        <v>12000000</v>
      </c>
      <c r="H572" s="4">
        <v>200000</v>
      </c>
      <c r="I572" s="4">
        <v>0</v>
      </c>
      <c r="J572" s="2" t="s">
        <v>2422</v>
      </c>
      <c r="K572" s="4">
        <v>27600000</v>
      </c>
      <c r="L572" s="4">
        <v>0</v>
      </c>
      <c r="M572" s="4">
        <v>15250000</v>
      </c>
      <c r="N572" s="4">
        <v>11000000</v>
      </c>
      <c r="O572" s="4">
        <v>15600000</v>
      </c>
      <c r="P572" s="5">
        <v>0.434783</v>
      </c>
      <c r="Q572" s="5">
        <v>0.977564</v>
      </c>
      <c r="R572" s="2" t="s">
        <v>2423</v>
      </c>
      <c r="S572" s="7">
        <f t="shared" si="64"/>
        <v>15250000</v>
      </c>
      <c r="T572" s="7">
        <f t="shared" si="65"/>
        <v>15600000</v>
      </c>
      <c r="U572" s="8">
        <f t="shared" si="66"/>
        <v>0.977564102564103</v>
      </c>
      <c r="V572" s="9" t="e">
        <f>IF(T572&lt;=0,"Output &lt;= 0",IF(U572&gt;#REF!,"Terlalu tinggi",IF(U572&lt;#REF!,"Terlalu rendah","Sesuai")))</f>
        <v>#REF!</v>
      </c>
      <c r="W572" s="7" t="e">
        <f>IF(T572&lt;=0,S572,IF(U572&gt;#REF!,ROUNDDOWN(T572*#REF!,0),IF(U572&lt;#REF!,ROUNDUP(T572*#REF!,0),S572)))</f>
        <v>#REF!</v>
      </c>
      <c r="X572" s="7" t="e">
        <f t="shared" si="67"/>
        <v>#REF!</v>
      </c>
      <c r="Y572" s="7" t="e">
        <f t="shared" si="68"/>
        <v>#REF!</v>
      </c>
      <c r="Z572" s="7" t="e">
        <f t="shared" si="69"/>
        <v>#REF!</v>
      </c>
      <c r="AA572" s="7" t="e">
        <f t="shared" si="70"/>
        <v>#REF!</v>
      </c>
      <c r="AB572" s="8" t="e">
        <f t="shared" si="71"/>
        <v>#REF!</v>
      </c>
      <c r="AC572" s="9" t="e">
        <f>IF(T572&lt;=0,"Output &lt;= 0, cek manual",IF(OR(Z572&lt;0,Y572&lt;0),"Biaya negatif",IF(AND(AB572&gt;=#REF!,AB572&lt;=#REF!),"OK","Di luar rentang")))</f>
        <v>#REF!</v>
      </c>
    </row>
    <row r="573" ht="156.75" spans="1:29">
      <c r="A573" s="2" t="s">
        <v>30</v>
      </c>
      <c r="B573" s="2" t="s">
        <v>2424</v>
      </c>
      <c r="C573" s="3" t="s">
        <v>2425</v>
      </c>
      <c r="D573" s="3" t="s">
        <v>2426</v>
      </c>
      <c r="E573" s="3" t="s">
        <v>2427</v>
      </c>
      <c r="F573" s="4">
        <v>1860000</v>
      </c>
      <c r="G573" s="4">
        <v>38250000</v>
      </c>
      <c r="H573" s="4">
        <v>1800000</v>
      </c>
      <c r="I573" s="4">
        <v>200000</v>
      </c>
      <c r="J573" s="2" t="s">
        <v>2428</v>
      </c>
      <c r="K573" s="4">
        <v>60000000</v>
      </c>
      <c r="L573" s="4">
        <v>6720000</v>
      </c>
      <c r="M573" s="4">
        <v>18090000</v>
      </c>
      <c r="N573" s="4">
        <v>28000000</v>
      </c>
      <c r="O573" s="4">
        <v>21750000</v>
      </c>
      <c r="P573" s="13">
        <v>0.6375</v>
      </c>
      <c r="Q573" s="5">
        <v>0.831724</v>
      </c>
      <c r="R573" s="2" t="s">
        <v>2429</v>
      </c>
      <c r="S573" s="7">
        <f t="shared" si="64"/>
        <v>18090000</v>
      </c>
      <c r="T573" s="7">
        <f t="shared" si="65"/>
        <v>21750000</v>
      </c>
      <c r="U573" s="8">
        <f t="shared" si="66"/>
        <v>0.831724137931035</v>
      </c>
      <c r="V573" s="9" t="e">
        <f>IF(T573&lt;=0,"Output &lt;= 0",IF(U573&gt;#REF!,"Terlalu tinggi",IF(U573&lt;#REF!,"Terlalu rendah","Sesuai")))</f>
        <v>#REF!</v>
      </c>
      <c r="W573" s="7" t="e">
        <f>IF(T573&lt;=0,S573,IF(U573&gt;#REF!,ROUNDDOWN(T573*#REF!,0),IF(U573&lt;#REF!,ROUNDUP(T573*#REF!,0),S573)))</f>
        <v>#REF!</v>
      </c>
      <c r="X573" s="7" t="e">
        <f t="shared" si="67"/>
        <v>#REF!</v>
      </c>
      <c r="Y573" s="7" t="e">
        <f t="shared" si="68"/>
        <v>#REF!</v>
      </c>
      <c r="Z573" s="7" t="e">
        <f t="shared" si="69"/>
        <v>#REF!</v>
      </c>
      <c r="AA573" s="7" t="e">
        <f t="shared" si="70"/>
        <v>#REF!</v>
      </c>
      <c r="AB573" s="8" t="e">
        <f t="shared" si="71"/>
        <v>#REF!</v>
      </c>
      <c r="AC573" s="9" t="e">
        <f>IF(T573&lt;=0,"Output &lt;= 0, cek manual",IF(OR(Z573&lt;0,Y573&lt;0),"Biaya negatif",IF(AND(AB573&gt;=#REF!,AB573&lt;=#REF!),"OK","Di luar rentang")))</f>
        <v>#REF!</v>
      </c>
    </row>
    <row r="574" ht="256.5" spans="1:29">
      <c r="A574" s="2" t="s">
        <v>30</v>
      </c>
      <c r="B574" s="2" t="s">
        <v>2424</v>
      </c>
      <c r="C574" s="3" t="s">
        <v>2430</v>
      </c>
      <c r="D574" s="3" t="s">
        <v>2431</v>
      </c>
      <c r="E574" s="3" t="s">
        <v>2432</v>
      </c>
      <c r="F574" s="4">
        <v>200000</v>
      </c>
      <c r="G574" s="4">
        <v>25000000</v>
      </c>
      <c r="H574" s="4">
        <v>3500000</v>
      </c>
      <c r="I574" s="4">
        <v>0</v>
      </c>
      <c r="J574" s="2" t="s">
        <v>2433</v>
      </c>
      <c r="K574" s="4">
        <v>45000000</v>
      </c>
      <c r="L574" s="4">
        <v>0</v>
      </c>
      <c r="M574" s="4">
        <v>16300000</v>
      </c>
      <c r="N574" s="4">
        <v>300000</v>
      </c>
      <c r="O574" s="4">
        <v>20000000</v>
      </c>
      <c r="P574" s="5">
        <v>0.555556</v>
      </c>
      <c r="Q574" s="10">
        <v>0.815</v>
      </c>
      <c r="R574" s="2" t="s">
        <v>2434</v>
      </c>
      <c r="S574" s="7">
        <f t="shared" si="64"/>
        <v>16300000</v>
      </c>
      <c r="T574" s="7">
        <f t="shared" si="65"/>
        <v>20000000</v>
      </c>
      <c r="U574" s="8">
        <f t="shared" si="66"/>
        <v>0.815</v>
      </c>
      <c r="V574" s="9" t="e">
        <f>IF(T574&lt;=0,"Output &lt;= 0",IF(U574&gt;#REF!,"Terlalu tinggi",IF(U574&lt;#REF!,"Terlalu rendah","Sesuai")))</f>
        <v>#REF!</v>
      </c>
      <c r="W574" s="7" t="e">
        <f>IF(T574&lt;=0,S574,IF(U574&gt;#REF!,ROUNDDOWN(T574*#REF!,0),IF(U574&lt;#REF!,ROUNDUP(T574*#REF!,0),S574)))</f>
        <v>#REF!</v>
      </c>
      <c r="X574" s="7" t="e">
        <f t="shared" si="67"/>
        <v>#REF!</v>
      </c>
      <c r="Y574" s="7" t="e">
        <f t="shared" si="68"/>
        <v>#REF!</v>
      </c>
      <c r="Z574" s="7" t="e">
        <f t="shared" si="69"/>
        <v>#REF!</v>
      </c>
      <c r="AA574" s="7" t="e">
        <f t="shared" si="70"/>
        <v>#REF!</v>
      </c>
      <c r="AB574" s="8" t="e">
        <f t="shared" si="71"/>
        <v>#REF!</v>
      </c>
      <c r="AC574" s="9" t="e">
        <f>IF(T574&lt;=0,"Output &lt;= 0, cek manual",IF(OR(Z574&lt;0,Y574&lt;0),"Biaya negatif",IF(AND(AB574&gt;=#REF!,AB574&lt;=#REF!),"OK","Di luar rentang")))</f>
        <v>#REF!</v>
      </c>
    </row>
    <row r="575" ht="57" spans="1:29">
      <c r="A575" s="2" t="s">
        <v>30</v>
      </c>
      <c r="B575" s="2" t="s">
        <v>1144</v>
      </c>
      <c r="C575" s="3" t="s">
        <v>2435</v>
      </c>
      <c r="D575" s="3" t="s">
        <v>2436</v>
      </c>
      <c r="E575" s="3" t="s">
        <v>2437</v>
      </c>
      <c r="F575" s="4">
        <v>20000000</v>
      </c>
      <c r="G575" s="4">
        <v>0</v>
      </c>
      <c r="H575" s="4">
        <v>0</v>
      </c>
      <c r="I575" s="4">
        <v>0</v>
      </c>
      <c r="J575" s="2" t="s">
        <v>512</v>
      </c>
      <c r="K575" s="4">
        <v>40000000</v>
      </c>
      <c r="L575" s="4">
        <v>0</v>
      </c>
      <c r="M575" s="4">
        <v>20000000</v>
      </c>
      <c r="N575" s="4">
        <v>5000000</v>
      </c>
      <c r="O575" s="4">
        <v>40000000</v>
      </c>
      <c r="P575" s="4">
        <v>0</v>
      </c>
      <c r="Q575" s="12">
        <v>0.5</v>
      </c>
      <c r="R575" s="2" t="s">
        <v>2438</v>
      </c>
      <c r="S575" s="7">
        <f t="shared" si="64"/>
        <v>20000000</v>
      </c>
      <c r="T575" s="7">
        <f t="shared" si="65"/>
        <v>40000000</v>
      </c>
      <c r="U575" s="8">
        <f t="shared" si="66"/>
        <v>0.5</v>
      </c>
      <c r="V575" s="9" t="e">
        <f>IF(T575&lt;=0,"Output &lt;= 0",IF(U575&gt;#REF!,"Terlalu tinggi",IF(U575&lt;#REF!,"Terlalu rendah","Sesuai")))</f>
        <v>#REF!</v>
      </c>
      <c r="W575" s="7" t="e">
        <f>IF(T575&lt;=0,S575,IF(U575&gt;#REF!,ROUNDDOWN(T575*#REF!,0),IF(U575&lt;#REF!,ROUNDUP(T575*#REF!,0),S575)))</f>
        <v>#REF!</v>
      </c>
      <c r="X575" s="7" t="e">
        <f t="shared" si="67"/>
        <v>#REF!</v>
      </c>
      <c r="Y575" s="7" t="e">
        <f t="shared" si="68"/>
        <v>#REF!</v>
      </c>
      <c r="Z575" s="7" t="e">
        <f t="shared" si="69"/>
        <v>#REF!</v>
      </c>
      <c r="AA575" s="7" t="e">
        <f t="shared" si="70"/>
        <v>#REF!</v>
      </c>
      <c r="AB575" s="8" t="e">
        <f t="shared" si="71"/>
        <v>#REF!</v>
      </c>
      <c r="AC575" s="9" t="e">
        <f>IF(T575&lt;=0,"Output &lt;= 0, cek manual",IF(OR(Z575&lt;0,Y575&lt;0),"Biaya negatif",IF(AND(AB575&gt;=#REF!,AB575&lt;=#REF!),"OK","Di luar rentang")))</f>
        <v>#REF!</v>
      </c>
    </row>
    <row r="576" ht="242.25" spans="1:29">
      <c r="A576" s="2" t="s">
        <v>30</v>
      </c>
      <c r="B576" s="2" t="s">
        <v>466</v>
      </c>
      <c r="C576" s="3" t="s">
        <v>2439</v>
      </c>
      <c r="D576" s="3" t="s">
        <v>2440</v>
      </c>
      <c r="E576" s="3" t="s">
        <v>2441</v>
      </c>
      <c r="F576" s="4">
        <v>0</v>
      </c>
      <c r="G576" s="4">
        <v>2400000</v>
      </c>
      <c r="H576" s="4">
        <v>250000</v>
      </c>
      <c r="I576" s="4">
        <v>56000</v>
      </c>
      <c r="J576" s="2" t="s">
        <v>2442</v>
      </c>
      <c r="K576" s="4">
        <v>7950000</v>
      </c>
      <c r="L576" s="4">
        <v>3500000</v>
      </c>
      <c r="M576" s="4">
        <v>5300000</v>
      </c>
      <c r="N576" s="4">
        <v>9000000</v>
      </c>
      <c r="O576" s="4">
        <v>5550000</v>
      </c>
      <c r="P576" s="5">
        <v>0.301887</v>
      </c>
      <c r="Q576" s="5">
        <v>0.954955</v>
      </c>
      <c r="R576" s="2" t="s">
        <v>2443</v>
      </c>
      <c r="S576" s="7">
        <f t="shared" si="64"/>
        <v>5300000</v>
      </c>
      <c r="T576" s="7">
        <f t="shared" si="65"/>
        <v>5550000</v>
      </c>
      <c r="U576" s="8">
        <f t="shared" si="66"/>
        <v>0.954954954954955</v>
      </c>
      <c r="V576" s="9" t="e">
        <f>IF(T576&lt;=0,"Output &lt;= 0",IF(U576&gt;#REF!,"Terlalu tinggi",IF(U576&lt;#REF!,"Terlalu rendah","Sesuai")))</f>
        <v>#REF!</v>
      </c>
      <c r="W576" s="7" t="e">
        <f>IF(T576&lt;=0,S576,IF(U576&gt;#REF!,ROUNDDOWN(T576*#REF!,0),IF(U576&lt;#REF!,ROUNDUP(T576*#REF!,0),S576)))</f>
        <v>#REF!</v>
      </c>
      <c r="X576" s="7" t="e">
        <f t="shared" si="67"/>
        <v>#REF!</v>
      </c>
      <c r="Y576" s="7" t="e">
        <f t="shared" si="68"/>
        <v>#REF!</v>
      </c>
      <c r="Z576" s="7" t="e">
        <f t="shared" si="69"/>
        <v>#REF!</v>
      </c>
      <c r="AA576" s="7" t="e">
        <f t="shared" si="70"/>
        <v>#REF!</v>
      </c>
      <c r="AB576" s="8" t="e">
        <f t="shared" si="71"/>
        <v>#REF!</v>
      </c>
      <c r="AC576" s="9" t="e">
        <f>IF(T576&lt;=0,"Output &lt;= 0, cek manual",IF(OR(Z576&lt;0,Y576&lt;0),"Biaya negatif",IF(AND(AB576&gt;=#REF!,AB576&lt;=#REF!),"OK","Di luar rentang")))</f>
        <v>#REF!</v>
      </c>
    </row>
    <row r="577" ht="99.75" spans="1:29">
      <c r="A577" s="2" t="s">
        <v>30</v>
      </c>
      <c r="B577" s="2" t="s">
        <v>466</v>
      </c>
      <c r="C577" s="3" t="s">
        <v>2444</v>
      </c>
      <c r="D577" s="3" t="s">
        <v>2445</v>
      </c>
      <c r="E577" s="3" t="s">
        <v>2446</v>
      </c>
      <c r="F577" s="4">
        <v>2400000</v>
      </c>
      <c r="G577" s="4">
        <v>0</v>
      </c>
      <c r="H577" s="4">
        <v>28800000</v>
      </c>
      <c r="I577" s="4">
        <v>0</v>
      </c>
      <c r="J577" s="2" t="s">
        <v>2447</v>
      </c>
      <c r="K577" s="4">
        <v>49200000</v>
      </c>
      <c r="L577" s="4">
        <v>0</v>
      </c>
      <c r="M577" s="4">
        <v>18000000</v>
      </c>
      <c r="N577" s="4">
        <v>1500000</v>
      </c>
      <c r="O577" s="4">
        <v>49200000</v>
      </c>
      <c r="P577" s="4">
        <v>0</v>
      </c>
      <c r="Q577" s="5">
        <v>0.365854</v>
      </c>
      <c r="R577" s="2" t="s">
        <v>2448</v>
      </c>
      <c r="S577" s="7">
        <f t="shared" si="64"/>
        <v>18000000</v>
      </c>
      <c r="T577" s="7">
        <f t="shared" si="65"/>
        <v>49200000</v>
      </c>
      <c r="U577" s="8">
        <f t="shared" si="66"/>
        <v>0.365853658536585</v>
      </c>
      <c r="V577" s="9" t="e">
        <f>IF(T577&lt;=0,"Output &lt;= 0",IF(U577&gt;#REF!,"Terlalu tinggi",IF(U577&lt;#REF!,"Terlalu rendah","Sesuai")))</f>
        <v>#REF!</v>
      </c>
      <c r="W577" s="7" t="e">
        <f>IF(T577&lt;=0,S577,IF(U577&gt;#REF!,ROUNDDOWN(T577*#REF!,0),IF(U577&lt;#REF!,ROUNDUP(T577*#REF!,0),S577)))</f>
        <v>#REF!</v>
      </c>
      <c r="X577" s="7" t="e">
        <f t="shared" si="67"/>
        <v>#REF!</v>
      </c>
      <c r="Y577" s="7" t="e">
        <f t="shared" si="68"/>
        <v>#REF!</v>
      </c>
      <c r="Z577" s="7" t="e">
        <f t="shared" si="69"/>
        <v>#REF!</v>
      </c>
      <c r="AA577" s="7" t="e">
        <f t="shared" si="70"/>
        <v>#REF!</v>
      </c>
      <c r="AB577" s="8" t="e">
        <f t="shared" si="71"/>
        <v>#REF!</v>
      </c>
      <c r="AC577" s="9" t="e">
        <f>IF(T577&lt;=0,"Output &lt;= 0, cek manual",IF(OR(Z577&lt;0,Y577&lt;0),"Biaya negatif",IF(AND(AB577&gt;=#REF!,AB577&lt;=#REF!),"OK","Di luar rentang")))</f>
        <v>#REF!</v>
      </c>
    </row>
    <row r="578" ht="57" spans="1:29">
      <c r="A578" s="2" t="s">
        <v>30</v>
      </c>
      <c r="B578" s="2" t="s">
        <v>466</v>
      </c>
      <c r="C578" s="3" t="s">
        <v>2449</v>
      </c>
      <c r="D578" s="3" t="s">
        <v>2450</v>
      </c>
      <c r="E578" s="3" t="s">
        <v>2450</v>
      </c>
      <c r="F578" s="4">
        <v>500000</v>
      </c>
      <c r="G578" s="4">
        <v>20000000</v>
      </c>
      <c r="H578" s="4">
        <v>9600000</v>
      </c>
      <c r="I578" s="4">
        <v>0</v>
      </c>
      <c r="J578" s="2" t="s">
        <v>2451</v>
      </c>
      <c r="K578" s="4">
        <v>48000000</v>
      </c>
      <c r="L578" s="4">
        <v>0</v>
      </c>
      <c r="M578" s="4">
        <v>17900000</v>
      </c>
      <c r="N578" s="4">
        <v>60000000</v>
      </c>
      <c r="O578" s="4">
        <v>28000000</v>
      </c>
      <c r="P578" s="5">
        <v>0.416667</v>
      </c>
      <c r="Q578" s="5">
        <v>0.639286</v>
      </c>
      <c r="R578" s="2" t="s">
        <v>2452</v>
      </c>
      <c r="S578" s="7">
        <f t="shared" ref="S578:S585" si="72">K578-F578-G578-H578</f>
        <v>17900000</v>
      </c>
      <c r="T578" s="7">
        <f t="shared" ref="T578:T585" si="73">K578-G578</f>
        <v>28000000</v>
      </c>
      <c r="U578" s="8">
        <f t="shared" ref="U578:U585" si="74">IF(T578&lt;=0,"",S578/T578)</f>
        <v>0.639285714285714</v>
      </c>
      <c r="V578" s="9" t="e">
        <f>IF(T578&lt;=0,"Output &lt;= 0",IF(U578&gt;#REF!,"Terlalu tinggi",IF(U578&lt;#REF!,"Terlalu rendah","Sesuai")))</f>
        <v>#REF!</v>
      </c>
      <c r="W578" s="7" t="e">
        <f>IF(T578&lt;=0,S578,IF(U578&gt;#REF!,ROUNDDOWN(T578*#REF!,0),IF(U578&lt;#REF!,ROUNDUP(T578*#REF!,0),S578)))</f>
        <v>#REF!</v>
      </c>
      <c r="X578" s="7" t="e">
        <f t="shared" ref="X578:X585" si="75">W578-S578</f>
        <v>#REF!</v>
      </c>
      <c r="Y578" s="7" t="e">
        <f t="shared" ref="Y578:Y585" si="76">IF(F578+H578&gt;0,ROUND((T578-W578)*H578/(F578+H578),0),T578-W578)</f>
        <v>#REF!</v>
      </c>
      <c r="Z578" s="7" t="e">
        <f t="shared" ref="Z578:Z585" si="77">(T578-W578)-Y578</f>
        <v>#REF!</v>
      </c>
      <c r="AA578" s="7" t="e">
        <f t="shared" ref="AA578:AA585" si="78">K578-Z578-G578-Y578</f>
        <v>#REF!</v>
      </c>
      <c r="AB578" s="8" t="e">
        <f t="shared" ref="AB578:AB585" si="79">IF(T578&lt;=0,"",AA578/T578)</f>
        <v>#REF!</v>
      </c>
      <c r="AC578" s="9" t="e">
        <f>IF(T578&lt;=0,"Output &lt;= 0, cek manual",IF(OR(Z578&lt;0,Y578&lt;0),"Biaya negatif",IF(AND(AB578&gt;=#REF!,AB578&lt;=#REF!),"OK","Di luar rentang")))</f>
        <v>#REF!</v>
      </c>
    </row>
    <row r="579" ht="57" spans="1:29">
      <c r="A579" s="2" t="s">
        <v>30</v>
      </c>
      <c r="B579" s="2" t="s">
        <v>466</v>
      </c>
      <c r="C579" s="3" t="s">
        <v>2453</v>
      </c>
      <c r="D579" s="3" t="s">
        <v>2454</v>
      </c>
      <c r="E579" s="3" t="s">
        <v>2455</v>
      </c>
      <c r="F579" s="4">
        <v>0</v>
      </c>
      <c r="G579" s="4">
        <v>10000000</v>
      </c>
      <c r="H579" s="4">
        <v>50000</v>
      </c>
      <c r="I579" s="4">
        <v>0</v>
      </c>
      <c r="J579" s="2" t="s">
        <v>2456</v>
      </c>
      <c r="K579" s="4">
        <v>20000000</v>
      </c>
      <c r="L579" s="4">
        <v>0</v>
      </c>
      <c r="M579" s="4">
        <v>9950000</v>
      </c>
      <c r="N579" s="4">
        <v>4800000</v>
      </c>
      <c r="O579" s="4">
        <v>10000000</v>
      </c>
      <c r="P579" s="12">
        <v>0.5</v>
      </c>
      <c r="Q579" s="10">
        <v>0.995</v>
      </c>
      <c r="R579" s="2" t="s">
        <v>2457</v>
      </c>
      <c r="S579" s="7">
        <f t="shared" si="72"/>
        <v>9950000</v>
      </c>
      <c r="T579" s="7">
        <f t="shared" si="73"/>
        <v>10000000</v>
      </c>
      <c r="U579" s="8">
        <f t="shared" si="74"/>
        <v>0.995</v>
      </c>
      <c r="V579" s="9" t="e">
        <f>IF(T579&lt;=0,"Output &lt;= 0",IF(U579&gt;#REF!,"Terlalu tinggi",IF(U579&lt;#REF!,"Terlalu rendah","Sesuai")))</f>
        <v>#REF!</v>
      </c>
      <c r="W579" s="7" t="e">
        <f>IF(T579&lt;=0,S579,IF(U579&gt;#REF!,ROUNDDOWN(T579*#REF!,0),IF(U579&lt;#REF!,ROUNDUP(T579*#REF!,0),S579)))</f>
        <v>#REF!</v>
      </c>
      <c r="X579" s="7" t="e">
        <f t="shared" si="75"/>
        <v>#REF!</v>
      </c>
      <c r="Y579" s="7" t="e">
        <f t="shared" si="76"/>
        <v>#REF!</v>
      </c>
      <c r="Z579" s="7" t="e">
        <f t="shared" si="77"/>
        <v>#REF!</v>
      </c>
      <c r="AA579" s="7" t="e">
        <f t="shared" si="78"/>
        <v>#REF!</v>
      </c>
      <c r="AB579" s="8" t="e">
        <f t="shared" si="79"/>
        <v>#REF!</v>
      </c>
      <c r="AC579" s="9" t="e">
        <f>IF(T579&lt;=0,"Output &lt;= 0, cek manual",IF(OR(Z579&lt;0,Y579&lt;0),"Biaya negatif",IF(AND(AB579&gt;=#REF!,AB579&lt;=#REF!),"OK","Di luar rentang")))</f>
        <v>#REF!</v>
      </c>
    </row>
    <row r="580" ht="71.25" spans="1:29">
      <c r="A580" s="2" t="s">
        <v>30</v>
      </c>
      <c r="B580" s="2" t="s">
        <v>466</v>
      </c>
      <c r="C580" s="3" t="s">
        <v>2458</v>
      </c>
      <c r="D580" s="3" t="s">
        <v>478</v>
      </c>
      <c r="E580" s="3" t="s">
        <v>473</v>
      </c>
      <c r="F580" s="4">
        <v>720000</v>
      </c>
      <c r="G580" s="4">
        <v>12000000</v>
      </c>
      <c r="H580" s="4">
        <v>1800000</v>
      </c>
      <c r="I580" s="4">
        <v>936000</v>
      </c>
      <c r="J580" s="2" t="s">
        <v>2459</v>
      </c>
      <c r="K580" s="4">
        <v>31200000</v>
      </c>
      <c r="L580" s="4">
        <v>0</v>
      </c>
      <c r="M580" s="4">
        <v>16680000</v>
      </c>
      <c r="N580" s="4">
        <v>15000000</v>
      </c>
      <c r="O580" s="4">
        <v>19200000</v>
      </c>
      <c r="P580" s="5">
        <v>0.384615</v>
      </c>
      <c r="Q580" s="6">
        <v>0.86875</v>
      </c>
      <c r="R580" s="2" t="s">
        <v>2460</v>
      </c>
      <c r="S580" s="7">
        <f t="shared" si="72"/>
        <v>16680000</v>
      </c>
      <c r="T580" s="7">
        <f t="shared" si="73"/>
        <v>19200000</v>
      </c>
      <c r="U580" s="8">
        <f t="shared" si="74"/>
        <v>0.86875</v>
      </c>
      <c r="V580" s="9" t="e">
        <f>IF(T580&lt;=0,"Output &lt;= 0",IF(U580&gt;#REF!,"Terlalu tinggi",IF(U580&lt;#REF!,"Terlalu rendah","Sesuai")))</f>
        <v>#REF!</v>
      </c>
      <c r="W580" s="7" t="e">
        <f>IF(T580&lt;=0,S580,IF(U580&gt;#REF!,ROUNDDOWN(T580*#REF!,0),IF(U580&lt;#REF!,ROUNDUP(T580*#REF!,0),S580)))</f>
        <v>#REF!</v>
      </c>
      <c r="X580" s="7" t="e">
        <f t="shared" si="75"/>
        <v>#REF!</v>
      </c>
      <c r="Y580" s="7" t="e">
        <f t="shared" si="76"/>
        <v>#REF!</v>
      </c>
      <c r="Z580" s="7" t="e">
        <f t="shared" si="77"/>
        <v>#REF!</v>
      </c>
      <c r="AA580" s="7" t="e">
        <f t="shared" si="78"/>
        <v>#REF!</v>
      </c>
      <c r="AB580" s="8" t="e">
        <f t="shared" si="79"/>
        <v>#REF!</v>
      </c>
      <c r="AC580" s="9" t="e">
        <f>IF(T580&lt;=0,"Output &lt;= 0, cek manual",IF(OR(Z580&lt;0,Y580&lt;0),"Biaya negatif",IF(AND(AB580&gt;=#REF!,AB580&lt;=#REF!),"OK","Di luar rentang")))</f>
        <v>#REF!</v>
      </c>
    </row>
    <row r="581" ht="57" spans="1:29">
      <c r="A581" s="2" t="s">
        <v>30</v>
      </c>
      <c r="B581" s="2" t="s">
        <v>466</v>
      </c>
      <c r="C581" s="3" t="s">
        <v>2461</v>
      </c>
      <c r="D581" s="3" t="s">
        <v>1162</v>
      </c>
      <c r="E581" s="3" t="s">
        <v>2462</v>
      </c>
      <c r="F581" s="4">
        <v>2500000</v>
      </c>
      <c r="G581" s="4">
        <v>45000000</v>
      </c>
      <c r="H581" s="4">
        <v>1000000</v>
      </c>
      <c r="I581" s="4">
        <v>5000000</v>
      </c>
      <c r="J581" s="2" t="s">
        <v>2463</v>
      </c>
      <c r="K581" s="4">
        <v>65000000</v>
      </c>
      <c r="L581" s="4">
        <v>0</v>
      </c>
      <c r="M581" s="4">
        <v>16500000</v>
      </c>
      <c r="N581" s="4">
        <v>45000000</v>
      </c>
      <c r="O581" s="4">
        <v>20000000</v>
      </c>
      <c r="P581" s="5">
        <v>0.692308</v>
      </c>
      <c r="Q581" s="10">
        <v>0.825</v>
      </c>
      <c r="R581" s="2" t="s">
        <v>2464</v>
      </c>
      <c r="S581" s="7">
        <f t="shared" si="72"/>
        <v>16500000</v>
      </c>
      <c r="T581" s="7">
        <f t="shared" si="73"/>
        <v>20000000</v>
      </c>
      <c r="U581" s="8">
        <f t="shared" si="74"/>
        <v>0.825</v>
      </c>
      <c r="V581" s="9" t="e">
        <f>IF(T581&lt;=0,"Output &lt;= 0",IF(U581&gt;#REF!,"Terlalu tinggi",IF(U581&lt;#REF!,"Terlalu rendah","Sesuai")))</f>
        <v>#REF!</v>
      </c>
      <c r="W581" s="7" t="e">
        <f>IF(T581&lt;=0,S581,IF(U581&gt;#REF!,ROUNDDOWN(T581*#REF!,0),IF(U581&lt;#REF!,ROUNDUP(T581*#REF!,0),S581)))</f>
        <v>#REF!</v>
      </c>
      <c r="X581" s="7" t="e">
        <f t="shared" si="75"/>
        <v>#REF!</v>
      </c>
      <c r="Y581" s="7" t="e">
        <f t="shared" si="76"/>
        <v>#REF!</v>
      </c>
      <c r="Z581" s="7" t="e">
        <f t="shared" si="77"/>
        <v>#REF!</v>
      </c>
      <c r="AA581" s="7" t="e">
        <f t="shared" si="78"/>
        <v>#REF!</v>
      </c>
      <c r="AB581" s="8" t="e">
        <f t="shared" si="79"/>
        <v>#REF!</v>
      </c>
      <c r="AC581" s="9" t="e">
        <f>IF(T581&lt;=0,"Output &lt;= 0, cek manual",IF(OR(Z581&lt;0,Y581&lt;0),"Biaya negatif",IF(AND(AB581&gt;=#REF!,AB581&lt;=#REF!),"OK","Di luar rentang")))</f>
        <v>#REF!</v>
      </c>
    </row>
    <row r="582" ht="128.25" spans="1:29">
      <c r="A582" s="2" t="s">
        <v>30</v>
      </c>
      <c r="B582" s="2" t="s">
        <v>493</v>
      </c>
      <c r="C582" s="3" t="s">
        <v>2465</v>
      </c>
      <c r="D582" s="3" t="s">
        <v>2466</v>
      </c>
      <c r="E582" s="3" t="s">
        <v>2467</v>
      </c>
      <c r="F582" s="4">
        <v>0</v>
      </c>
      <c r="G582" s="4">
        <v>10000000</v>
      </c>
      <c r="H582" s="4">
        <v>2000000</v>
      </c>
      <c r="I582" s="4">
        <v>0</v>
      </c>
      <c r="J582" s="2" t="s">
        <v>1148</v>
      </c>
      <c r="K582" s="4">
        <v>20000000</v>
      </c>
      <c r="L582" s="4">
        <v>0</v>
      </c>
      <c r="M582" s="4">
        <v>8000000</v>
      </c>
      <c r="N582" s="4">
        <v>500000</v>
      </c>
      <c r="O582" s="4">
        <v>10000000</v>
      </c>
      <c r="P582" s="12">
        <v>0.5</v>
      </c>
      <c r="Q582" s="12">
        <v>0.8</v>
      </c>
      <c r="R582" s="2" t="s">
        <v>2468</v>
      </c>
      <c r="S582" s="7">
        <f t="shared" si="72"/>
        <v>8000000</v>
      </c>
      <c r="T582" s="7">
        <f t="shared" si="73"/>
        <v>10000000</v>
      </c>
      <c r="U582" s="8">
        <f t="shared" si="74"/>
        <v>0.8</v>
      </c>
      <c r="V582" s="9" t="e">
        <f>IF(T582&lt;=0,"Output &lt;= 0",IF(U582&gt;#REF!,"Terlalu tinggi",IF(U582&lt;#REF!,"Terlalu rendah","Sesuai")))</f>
        <v>#REF!</v>
      </c>
      <c r="W582" s="7" t="e">
        <f>IF(T582&lt;=0,S582,IF(U582&gt;#REF!,ROUNDDOWN(T582*#REF!,0),IF(U582&lt;#REF!,ROUNDUP(T582*#REF!,0),S582)))</f>
        <v>#REF!</v>
      </c>
      <c r="X582" s="7" t="e">
        <f t="shared" si="75"/>
        <v>#REF!</v>
      </c>
      <c r="Y582" s="7" t="e">
        <f t="shared" si="76"/>
        <v>#REF!</v>
      </c>
      <c r="Z582" s="7" t="e">
        <f t="shared" si="77"/>
        <v>#REF!</v>
      </c>
      <c r="AA582" s="7" t="e">
        <f t="shared" si="78"/>
        <v>#REF!</v>
      </c>
      <c r="AB582" s="8" t="e">
        <f t="shared" si="79"/>
        <v>#REF!</v>
      </c>
      <c r="AC582" s="9" t="e">
        <f>IF(T582&lt;=0,"Output &lt;= 0, cek manual",IF(OR(Z582&lt;0,Y582&lt;0),"Biaya negatif",IF(AND(AB582&gt;=#REF!,AB582&lt;=#REF!),"OK","Di luar rentang")))</f>
        <v>#REF!</v>
      </c>
    </row>
    <row r="583" ht="85.5" spans="1:29">
      <c r="A583" s="2" t="s">
        <v>30</v>
      </c>
      <c r="B583" s="2" t="s">
        <v>493</v>
      </c>
      <c r="C583" s="3" t="s">
        <v>2469</v>
      </c>
      <c r="D583" s="3" t="s">
        <v>495</v>
      </c>
      <c r="E583" s="3" t="s">
        <v>495</v>
      </c>
      <c r="F583" s="4">
        <v>455000</v>
      </c>
      <c r="G583" s="4">
        <v>12000000</v>
      </c>
      <c r="H583" s="4">
        <v>8280000</v>
      </c>
      <c r="I583" s="4">
        <v>800000</v>
      </c>
      <c r="J583" s="2" t="s">
        <v>2470</v>
      </c>
      <c r="K583" s="4">
        <v>31200000</v>
      </c>
      <c r="L583" s="4">
        <v>0</v>
      </c>
      <c r="M583" s="4">
        <v>10465000</v>
      </c>
      <c r="N583" s="4">
        <v>30000000</v>
      </c>
      <c r="O583" s="4">
        <v>19200000</v>
      </c>
      <c r="P583" s="5">
        <v>0.384615</v>
      </c>
      <c r="Q583" s="5">
        <v>0.545052</v>
      </c>
      <c r="R583" s="2" t="s">
        <v>2471</v>
      </c>
      <c r="S583" s="7">
        <f t="shared" si="72"/>
        <v>10465000</v>
      </c>
      <c r="T583" s="7">
        <f t="shared" si="73"/>
        <v>19200000</v>
      </c>
      <c r="U583" s="8">
        <f t="shared" si="74"/>
        <v>0.545052083333333</v>
      </c>
      <c r="V583" s="9" t="e">
        <f>IF(T583&lt;=0,"Output &lt;= 0",IF(U583&gt;#REF!,"Terlalu tinggi",IF(U583&lt;#REF!,"Terlalu rendah","Sesuai")))</f>
        <v>#REF!</v>
      </c>
      <c r="W583" s="7" t="e">
        <f>IF(T583&lt;=0,S583,IF(U583&gt;#REF!,ROUNDDOWN(T583*#REF!,0),IF(U583&lt;#REF!,ROUNDUP(T583*#REF!,0),S583)))</f>
        <v>#REF!</v>
      </c>
      <c r="X583" s="7" t="e">
        <f t="shared" si="75"/>
        <v>#REF!</v>
      </c>
      <c r="Y583" s="7" t="e">
        <f t="shared" si="76"/>
        <v>#REF!</v>
      </c>
      <c r="Z583" s="7" t="e">
        <f t="shared" si="77"/>
        <v>#REF!</v>
      </c>
      <c r="AA583" s="7" t="e">
        <f t="shared" si="78"/>
        <v>#REF!</v>
      </c>
      <c r="AB583" s="8" t="e">
        <f t="shared" si="79"/>
        <v>#REF!</v>
      </c>
      <c r="AC583" s="9" t="e">
        <f>IF(T583&lt;=0,"Output &lt;= 0, cek manual",IF(OR(Z583&lt;0,Y583&lt;0),"Biaya negatif",IF(AND(AB583&gt;=#REF!,AB583&lt;=#REF!),"OK","Di luar rentang")))</f>
        <v>#REF!</v>
      </c>
    </row>
    <row r="584" ht="99.75" spans="1:29">
      <c r="A584" s="2" t="s">
        <v>30</v>
      </c>
      <c r="B584" s="2" t="s">
        <v>493</v>
      </c>
      <c r="C584" s="3" t="s">
        <v>2472</v>
      </c>
      <c r="D584" s="3" t="s">
        <v>499</v>
      </c>
      <c r="E584" s="3" t="s">
        <v>2473</v>
      </c>
      <c r="F584" s="4">
        <v>500000</v>
      </c>
      <c r="G584" s="4">
        <v>10000000</v>
      </c>
      <c r="H584" s="4">
        <v>500000</v>
      </c>
      <c r="I584" s="4">
        <v>0</v>
      </c>
      <c r="J584" s="2" t="s">
        <v>167</v>
      </c>
      <c r="K584" s="4">
        <v>15000000</v>
      </c>
      <c r="L584" s="4">
        <v>0</v>
      </c>
      <c r="M584" s="4">
        <v>4000000</v>
      </c>
      <c r="N584" s="4">
        <v>50000</v>
      </c>
      <c r="O584" s="4">
        <v>5000000</v>
      </c>
      <c r="P584" s="5">
        <v>0.666667</v>
      </c>
      <c r="Q584" s="12">
        <v>0.8</v>
      </c>
      <c r="R584" s="2" t="s">
        <v>2474</v>
      </c>
      <c r="S584" s="7">
        <f t="shared" si="72"/>
        <v>4000000</v>
      </c>
      <c r="T584" s="7">
        <f t="shared" si="73"/>
        <v>5000000</v>
      </c>
      <c r="U584" s="8">
        <f t="shared" si="74"/>
        <v>0.8</v>
      </c>
      <c r="V584" s="9" t="e">
        <f>IF(T584&lt;=0,"Output &lt;= 0",IF(U584&gt;#REF!,"Terlalu tinggi",IF(U584&lt;#REF!,"Terlalu rendah","Sesuai")))</f>
        <v>#REF!</v>
      </c>
      <c r="W584" s="7" t="e">
        <f>IF(T584&lt;=0,S584,IF(U584&gt;#REF!,ROUNDDOWN(T584*#REF!,0),IF(U584&lt;#REF!,ROUNDUP(T584*#REF!,0),S584)))</f>
        <v>#REF!</v>
      </c>
      <c r="X584" s="7" t="e">
        <f t="shared" si="75"/>
        <v>#REF!</v>
      </c>
      <c r="Y584" s="7" t="e">
        <f t="shared" si="76"/>
        <v>#REF!</v>
      </c>
      <c r="Z584" s="7" t="e">
        <f t="shared" si="77"/>
        <v>#REF!</v>
      </c>
      <c r="AA584" s="7" t="e">
        <f t="shared" si="78"/>
        <v>#REF!</v>
      </c>
      <c r="AB584" s="8" t="e">
        <f t="shared" si="79"/>
        <v>#REF!</v>
      </c>
      <c r="AC584" s="9" t="e">
        <f>IF(T584&lt;=0,"Output &lt;= 0, cek manual",IF(OR(Z584&lt;0,Y584&lt;0),"Biaya negatif",IF(AND(AB584&gt;=#REF!,AB584&lt;=#REF!),"OK","Di luar rentang")))</f>
        <v>#REF!</v>
      </c>
    </row>
    <row r="585" ht="42.75" spans="1:29">
      <c r="A585" s="2" t="s">
        <v>30</v>
      </c>
      <c r="B585" s="2" t="s">
        <v>493</v>
      </c>
      <c r="C585" s="3" t="s">
        <v>2475</v>
      </c>
      <c r="D585" s="3" t="s">
        <v>2476</v>
      </c>
      <c r="E585" s="3" t="s">
        <v>2477</v>
      </c>
      <c r="F585" s="4">
        <v>5000000</v>
      </c>
      <c r="G585" s="4">
        <v>15000000</v>
      </c>
      <c r="H585" s="4">
        <v>500000</v>
      </c>
      <c r="I585" s="4">
        <v>8000000</v>
      </c>
      <c r="J585" s="2" t="s">
        <v>2478</v>
      </c>
      <c r="K585" s="4">
        <v>50000000</v>
      </c>
      <c r="L585" s="4">
        <v>0</v>
      </c>
      <c r="M585" s="4">
        <v>29500000</v>
      </c>
      <c r="N585" s="4">
        <v>25000000</v>
      </c>
      <c r="O585" s="4">
        <v>35000000</v>
      </c>
      <c r="P585" s="12">
        <v>0.3</v>
      </c>
      <c r="Q585" s="5">
        <v>0.842857</v>
      </c>
      <c r="R585" s="2" t="s">
        <v>2479</v>
      </c>
      <c r="S585" s="7">
        <f t="shared" si="72"/>
        <v>29500000</v>
      </c>
      <c r="T585" s="7">
        <f t="shared" si="73"/>
        <v>35000000</v>
      </c>
      <c r="U585" s="8">
        <f t="shared" si="74"/>
        <v>0.842857142857143</v>
      </c>
      <c r="V585" s="9" t="e">
        <f>IF(T585&lt;=0,"Output &lt;= 0",IF(U585&gt;#REF!,"Terlalu tinggi",IF(U585&lt;#REF!,"Terlalu rendah","Sesuai")))</f>
        <v>#REF!</v>
      </c>
      <c r="W585" s="7" t="e">
        <f>IF(T585&lt;=0,S585,IF(U585&gt;#REF!,ROUNDDOWN(T585*#REF!,0),IF(U585&lt;#REF!,ROUNDUP(T585*#REF!,0),S585)))</f>
        <v>#REF!</v>
      </c>
      <c r="X585" s="7" t="e">
        <f t="shared" si="75"/>
        <v>#REF!</v>
      </c>
      <c r="Y585" s="7" t="e">
        <f t="shared" si="76"/>
        <v>#REF!</v>
      </c>
      <c r="Z585" s="7" t="e">
        <f t="shared" si="77"/>
        <v>#REF!</v>
      </c>
      <c r="AA585" s="7" t="e">
        <f t="shared" si="78"/>
        <v>#REF!</v>
      </c>
      <c r="AB585" s="8" t="e">
        <f t="shared" si="79"/>
        <v>#REF!</v>
      </c>
      <c r="AC585" s="9" t="e">
        <f>IF(T585&lt;=0,"Output &lt;= 0, cek manual",IF(OR(Z585&lt;0,Y585&lt;0),"Biaya negatif",IF(AND(AB585&gt;=#REF!,AB585&lt;=#REF!),"OK","Di luar rentang")))</f>
        <v>#REF!</v>
      </c>
    </row>
  </sheetData>
  <hyperlinks>
    <hyperlink ref="R340" r:id="rId1" display="https://fasih-sm.bps.go.id/app/assignment/fd68e454-ba45-4b85-8205-f3bf777ded24/d83dee31-07fe-4833-93ea-c58e12e2b1e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2026-10-19T07:04:00Z</dcterms:created>
  <dcterms:modified xsi:type="dcterms:W3CDTF">2026-10-19T11:29:16Z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54C923BAE1194E01A09ADC8F7BCE7BAF_11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